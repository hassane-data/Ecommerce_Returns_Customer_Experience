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esktop\ExcelBeginner\Data\Ecommerce_Returns_Customer_Experience_Starter\"/>
    </mc:Choice>
  </mc:AlternateContent>
  <bookViews>
    <workbookView xWindow="0" yWindow="0" windowWidth="11184" windowHeight="5928" firstSheet="6" activeTab="13"/>
  </bookViews>
  <sheets>
    <sheet name="Project Brief" sheetId="1" r:id="rId1"/>
    <sheet name="Audit" sheetId="9" r:id="rId2"/>
    <sheet name="Orders_Raw" sheetId="2" r:id="rId3"/>
    <sheet name="Orders_Clean" sheetId="10" r:id="rId4"/>
    <sheet name="Products" sheetId="3" r:id="rId5"/>
    <sheet name="Product_Clean" sheetId="11" r:id="rId6"/>
    <sheet name="Customers" sheetId="4" r:id="rId7"/>
    <sheet name="Customers_Clean" sheetId="12" r:id="rId8"/>
    <sheet name="Shipments" sheetId="5" r:id="rId9"/>
    <sheet name="Returns_Raw" sheetId="6" r:id="rId10"/>
    <sheet name="Monthly_Targets" sheetId="7" r:id="rId11"/>
    <sheet name="Data Dictionary" sheetId="8" r:id="rId12"/>
    <sheet name="KPI_Analysis" sheetId="13" r:id="rId13"/>
    <sheet name="Dashboard" sheetId="16" r:id="rId14"/>
  </sheets>
  <externalReferences>
    <externalReference r:id="rId15"/>
  </externalReferences>
  <calcPr calcId="152511"/>
  <pivotCaches>
    <pivotCache cacheId="3" r:id="rId16"/>
    <pivotCache cacheId="4" r:id="rId17"/>
    <pivotCache cacheId="5" r:id="rId18"/>
  </pivotCaches>
  <fileRecoveryPr repairLoad="1"/>
</workbook>
</file>

<file path=xl/calcChain.xml><?xml version="1.0" encoding="utf-8"?>
<calcChain xmlns="http://schemas.openxmlformats.org/spreadsheetml/2006/main">
  <c r="E29" i="13" l="1"/>
  <c r="I33" i="13"/>
  <c r="I34" i="13"/>
  <c r="I35" i="13"/>
  <c r="I36" i="13"/>
  <c r="I32" i="13"/>
  <c r="K27" i="13"/>
  <c r="K26" i="13"/>
  <c r="E30" i="13"/>
  <c r="E31" i="13"/>
  <c r="E32" i="13"/>
  <c r="E33" i="13"/>
  <c r="D22" i="13"/>
  <c r="C22" i="13"/>
  <c r="B22" i="13"/>
  <c r="G6" i="5" l="1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AH6" i="10"/>
  <c r="AH7" i="10"/>
  <c r="AH8" i="10"/>
  <c r="AH9" i="10"/>
  <c r="AH10" i="10"/>
  <c r="AH11" i="10"/>
  <c r="AH12" i="10"/>
  <c r="AH13" i="10"/>
  <c r="AH14" i="10"/>
  <c r="AH15" i="10"/>
  <c r="AH16" i="10"/>
  <c r="AH17" i="10"/>
  <c r="AH18" i="10"/>
  <c r="AH19" i="10"/>
  <c r="AH20" i="10"/>
  <c r="AH21" i="10"/>
  <c r="AH22" i="10"/>
  <c r="AH23" i="10"/>
  <c r="AH24" i="10"/>
  <c r="AH25" i="10"/>
  <c r="AH26" i="10"/>
  <c r="AH27" i="10"/>
  <c r="AH28" i="10"/>
  <c r="AH29" i="10"/>
  <c r="AH30" i="10"/>
  <c r="AH31" i="10"/>
  <c r="AH32" i="10"/>
  <c r="AH33" i="10"/>
  <c r="AH34" i="10"/>
  <c r="AH35" i="10"/>
  <c r="AH36" i="10"/>
  <c r="AH37" i="10"/>
  <c r="AH38" i="10"/>
  <c r="AH39" i="10"/>
  <c r="AH40" i="10"/>
  <c r="AH41" i="10"/>
  <c r="AH42" i="10"/>
  <c r="AH43" i="10"/>
  <c r="AH44" i="10"/>
  <c r="AH45" i="10"/>
  <c r="AH46" i="10"/>
  <c r="AH47" i="10"/>
  <c r="AH48" i="10"/>
  <c r="AH49" i="10"/>
  <c r="AH50" i="10"/>
  <c r="AH51" i="10"/>
  <c r="AH52" i="10"/>
  <c r="AH53" i="10"/>
  <c r="AH54" i="10"/>
  <c r="AH55" i="10"/>
  <c r="AH56" i="10"/>
  <c r="AH57" i="10"/>
  <c r="AH58" i="10"/>
  <c r="AH59" i="10"/>
  <c r="AH60" i="10"/>
  <c r="AH61" i="10"/>
  <c r="AH62" i="10"/>
  <c r="AH63" i="10"/>
  <c r="AH64" i="10"/>
  <c r="AH65" i="10"/>
  <c r="AH66" i="10"/>
  <c r="AH67" i="10"/>
  <c r="AH68" i="10"/>
  <c r="AH69" i="10"/>
  <c r="AH70" i="10"/>
  <c r="AH71" i="10"/>
  <c r="AH72" i="10"/>
  <c r="AH73" i="10"/>
  <c r="AH74" i="10"/>
  <c r="AH75" i="10"/>
  <c r="AH76" i="10"/>
  <c r="AH77" i="10"/>
  <c r="AH78" i="10"/>
  <c r="AH79" i="10"/>
  <c r="AH80" i="10"/>
  <c r="AH81" i="10"/>
  <c r="AH82" i="10"/>
  <c r="AH83" i="10"/>
  <c r="AH84" i="10"/>
  <c r="AH85" i="10"/>
  <c r="AH86" i="10"/>
  <c r="AH87" i="10"/>
  <c r="AH88" i="10"/>
  <c r="AH89" i="10"/>
  <c r="AH90" i="10"/>
  <c r="AH91" i="10"/>
  <c r="AH92" i="10"/>
  <c r="AH93" i="10"/>
  <c r="AH94" i="10"/>
  <c r="AH95" i="10"/>
  <c r="AH96" i="10"/>
  <c r="AH97" i="10"/>
  <c r="AH98" i="10"/>
  <c r="AH99" i="10"/>
  <c r="AH100" i="10"/>
  <c r="AH101" i="10"/>
  <c r="AH102" i="10"/>
  <c r="AH103" i="10"/>
  <c r="AH104" i="10"/>
  <c r="AH105" i="10"/>
  <c r="AH106" i="10"/>
  <c r="AH107" i="10"/>
  <c r="AH108" i="10"/>
  <c r="AH109" i="10"/>
  <c r="AH110" i="10"/>
  <c r="AH111" i="10"/>
  <c r="AH112" i="10"/>
  <c r="AH113" i="10"/>
  <c r="AH114" i="10"/>
  <c r="AH115" i="10"/>
  <c r="AH116" i="10"/>
  <c r="AH117" i="10"/>
  <c r="AH118" i="10"/>
  <c r="AH119" i="10"/>
  <c r="AH120" i="10"/>
  <c r="AH121" i="10"/>
  <c r="AH122" i="10"/>
  <c r="AH123" i="10"/>
  <c r="AH124" i="10"/>
  <c r="AH125" i="10"/>
  <c r="AH126" i="10"/>
  <c r="AH127" i="10"/>
  <c r="AH128" i="10"/>
  <c r="AH129" i="10"/>
  <c r="AH130" i="10"/>
  <c r="AH131" i="10"/>
  <c r="AH132" i="10"/>
  <c r="AH133" i="10"/>
  <c r="AH134" i="10"/>
  <c r="AH135" i="10"/>
  <c r="AH136" i="10"/>
  <c r="AH137" i="10"/>
  <c r="AH138" i="10"/>
  <c r="AH139" i="10"/>
  <c r="AH140" i="10"/>
  <c r="AH141" i="10"/>
  <c r="AH142" i="10"/>
  <c r="AH143" i="10"/>
  <c r="AH144" i="10"/>
  <c r="AH145" i="10"/>
  <c r="AH146" i="10"/>
  <c r="AH147" i="10"/>
  <c r="AH148" i="10"/>
  <c r="AH149" i="10"/>
  <c r="AH150" i="10"/>
  <c r="AH151" i="10"/>
  <c r="AH152" i="10"/>
  <c r="AH153" i="10"/>
  <c r="AH154" i="10"/>
  <c r="AH155" i="10"/>
  <c r="AH156" i="10"/>
  <c r="AH157" i="10"/>
  <c r="AH158" i="10"/>
  <c r="AH159" i="10"/>
  <c r="AH160" i="10"/>
  <c r="AH161" i="10"/>
  <c r="AH162" i="10"/>
  <c r="AH163" i="10"/>
  <c r="AH164" i="10"/>
  <c r="AH165" i="10"/>
  <c r="AH166" i="10"/>
  <c r="AH167" i="10"/>
  <c r="AH168" i="10"/>
  <c r="AH169" i="10"/>
  <c r="AH170" i="10"/>
  <c r="AH171" i="10"/>
  <c r="AH172" i="10"/>
  <c r="AH173" i="10"/>
  <c r="AH174" i="10"/>
  <c r="AH175" i="10"/>
  <c r="AH176" i="10"/>
  <c r="AH177" i="10"/>
  <c r="AH178" i="10"/>
  <c r="AH179" i="10"/>
  <c r="AH180" i="10"/>
  <c r="AH181" i="10"/>
  <c r="AH182" i="10"/>
  <c r="AH183" i="10"/>
  <c r="AH184" i="10"/>
  <c r="AH185" i="10"/>
  <c r="AH186" i="10"/>
  <c r="AH187" i="10"/>
  <c r="AH188" i="10"/>
  <c r="AH189" i="10"/>
  <c r="AH190" i="10"/>
  <c r="AH191" i="10"/>
  <c r="AH192" i="10"/>
  <c r="AH193" i="10"/>
  <c r="AH194" i="10"/>
  <c r="AH195" i="10"/>
  <c r="AH196" i="10"/>
  <c r="AH197" i="10"/>
  <c r="AH198" i="10"/>
  <c r="AH199" i="10"/>
  <c r="AH200" i="10"/>
  <c r="AH201" i="10"/>
  <c r="AH202" i="10"/>
  <c r="AH203" i="10"/>
  <c r="AH204" i="10"/>
  <c r="AH205" i="10"/>
  <c r="AH206" i="10"/>
  <c r="AH207" i="10"/>
  <c r="AH208" i="10"/>
  <c r="AH209" i="10"/>
  <c r="AH210" i="10"/>
  <c r="AH211" i="10"/>
  <c r="AH212" i="10"/>
  <c r="AH213" i="10"/>
  <c r="AH214" i="10"/>
  <c r="AH215" i="10"/>
  <c r="AH216" i="10"/>
  <c r="AH217" i="10"/>
  <c r="AH218" i="10"/>
  <c r="AH219" i="10"/>
  <c r="AH220" i="10"/>
  <c r="AH221" i="10"/>
  <c r="AH222" i="10"/>
  <c r="AH223" i="10"/>
  <c r="AH224" i="10"/>
  <c r="AH225" i="10"/>
  <c r="AH226" i="10"/>
  <c r="AH227" i="10"/>
  <c r="AH228" i="10"/>
  <c r="AH229" i="10"/>
  <c r="AH230" i="10"/>
  <c r="AH231" i="10"/>
  <c r="AH232" i="10"/>
  <c r="AH233" i="10"/>
  <c r="AH234" i="10"/>
  <c r="AH235" i="10"/>
  <c r="AH236" i="10"/>
  <c r="AH237" i="10"/>
  <c r="AH238" i="10"/>
  <c r="AH239" i="10"/>
  <c r="AH240" i="10"/>
  <c r="AH241" i="10"/>
  <c r="AH242" i="10"/>
  <c r="AH243" i="10"/>
  <c r="AH244" i="10"/>
  <c r="AH245" i="10"/>
  <c r="AH246" i="10"/>
  <c r="AH247" i="10"/>
  <c r="AH248" i="10"/>
  <c r="AH249" i="10"/>
  <c r="AH250" i="10"/>
  <c r="AH251" i="10"/>
  <c r="AH252" i="10"/>
  <c r="AH253" i="10"/>
  <c r="AH254" i="10"/>
  <c r="AH255" i="10"/>
  <c r="AH256" i="10"/>
  <c r="AH257" i="10"/>
  <c r="AH258" i="10"/>
  <c r="AH259" i="10"/>
  <c r="AH260" i="10"/>
  <c r="AH261" i="10"/>
  <c r="AH262" i="10"/>
  <c r="AH263" i="10"/>
  <c r="AH264" i="10"/>
  <c r="AH265" i="10"/>
  <c r="AH266" i="10"/>
  <c r="AH267" i="10"/>
  <c r="AH268" i="10"/>
  <c r="AH269" i="10"/>
  <c r="AH270" i="10"/>
  <c r="AH271" i="10"/>
  <c r="AH272" i="10"/>
  <c r="AH273" i="10"/>
  <c r="AH274" i="10"/>
  <c r="AH275" i="10"/>
  <c r="AH276" i="10"/>
  <c r="AH277" i="10"/>
  <c r="AH278" i="10"/>
  <c r="AH279" i="10"/>
  <c r="AH280" i="10"/>
  <c r="AH281" i="10"/>
  <c r="AH282" i="10"/>
  <c r="AH283" i="10"/>
  <c r="AH284" i="10"/>
  <c r="AH285" i="10"/>
  <c r="AH286" i="10"/>
  <c r="AH287" i="10"/>
  <c r="AH288" i="10"/>
  <c r="AH289" i="10"/>
  <c r="AH290" i="10"/>
  <c r="AH291" i="10"/>
  <c r="AH292" i="10"/>
  <c r="AH293" i="10"/>
  <c r="AH294" i="10"/>
  <c r="AH295" i="10"/>
  <c r="AH296" i="10"/>
  <c r="AH297" i="10"/>
  <c r="AH298" i="10"/>
  <c r="AH299" i="10"/>
  <c r="AH300" i="10"/>
  <c r="AH301" i="10"/>
  <c r="AH302" i="10"/>
  <c r="AH303" i="10"/>
  <c r="AH304" i="10"/>
  <c r="AH305" i="10"/>
  <c r="AH306" i="10"/>
  <c r="AH307" i="10"/>
  <c r="AH308" i="10"/>
  <c r="AH309" i="10"/>
  <c r="AH310" i="10"/>
  <c r="AH311" i="10"/>
  <c r="AH312" i="10"/>
  <c r="AH313" i="10"/>
  <c r="AH314" i="10"/>
  <c r="AH315" i="10"/>
  <c r="AH316" i="10"/>
  <c r="AH317" i="10"/>
  <c r="AH318" i="10"/>
  <c r="AH319" i="10"/>
  <c r="AH320" i="10"/>
  <c r="AH321" i="10"/>
  <c r="AH322" i="10"/>
  <c r="AH323" i="10"/>
  <c r="AH324" i="10"/>
  <c r="AH325" i="10"/>
  <c r="AH326" i="10"/>
  <c r="AH327" i="10"/>
  <c r="AH328" i="10"/>
  <c r="AH329" i="10"/>
  <c r="AH330" i="10"/>
  <c r="AH331" i="10"/>
  <c r="AH332" i="10"/>
  <c r="AH333" i="10"/>
  <c r="AH334" i="10"/>
  <c r="AH335" i="10"/>
  <c r="AH336" i="10"/>
  <c r="AH337" i="10"/>
  <c r="AH338" i="10"/>
  <c r="AH339" i="10"/>
  <c r="AH340" i="10"/>
  <c r="AH341" i="10"/>
  <c r="AH342" i="10"/>
  <c r="AH343" i="10"/>
  <c r="AH344" i="10"/>
  <c r="AH345" i="10"/>
  <c r="AH346" i="10"/>
  <c r="AH347" i="10"/>
  <c r="AH348" i="10"/>
  <c r="AH349" i="10"/>
  <c r="AH350" i="10"/>
  <c r="AH351" i="10"/>
  <c r="AH352" i="10"/>
  <c r="AH353" i="10"/>
  <c r="AH354" i="10"/>
  <c r="AH355" i="10"/>
  <c r="AH356" i="10"/>
  <c r="AH357" i="10"/>
  <c r="AH358" i="10"/>
  <c r="AH359" i="10"/>
  <c r="AH360" i="10"/>
  <c r="AH361" i="10"/>
  <c r="AH362" i="10"/>
  <c r="AH363" i="10"/>
  <c r="AH364" i="10"/>
  <c r="AH365" i="10"/>
  <c r="AH366" i="10"/>
  <c r="AH367" i="10"/>
  <c r="AH368" i="10"/>
  <c r="AH369" i="10"/>
  <c r="AH370" i="10"/>
  <c r="AH371" i="10"/>
  <c r="AH372" i="10"/>
  <c r="AH373" i="10"/>
  <c r="AH374" i="10"/>
  <c r="AH375" i="10"/>
  <c r="AH376" i="10"/>
  <c r="AH377" i="10"/>
  <c r="AH378" i="10"/>
  <c r="AH379" i="10"/>
  <c r="AH380" i="10"/>
  <c r="AH381" i="10"/>
  <c r="AH382" i="10"/>
  <c r="AH383" i="10"/>
  <c r="AH384" i="10"/>
  <c r="AH385" i="10"/>
  <c r="AH386" i="10"/>
  <c r="AH387" i="10"/>
  <c r="AH388" i="10"/>
  <c r="AH389" i="10"/>
  <c r="AH390" i="10"/>
  <c r="AH391" i="10"/>
  <c r="AH392" i="10"/>
  <c r="AH393" i="10"/>
  <c r="AH394" i="10"/>
  <c r="AH395" i="10"/>
  <c r="AH396" i="10"/>
  <c r="AH397" i="10"/>
  <c r="AH398" i="10"/>
  <c r="AH399" i="10"/>
  <c r="AH400" i="10"/>
  <c r="AH401" i="10"/>
  <c r="AH402" i="10"/>
  <c r="AH403" i="10"/>
  <c r="AH404" i="10"/>
  <c r="AH405" i="10"/>
  <c r="AH406" i="10"/>
  <c r="AH407" i="10"/>
  <c r="AH408" i="10"/>
  <c r="AH409" i="10"/>
  <c r="AH410" i="10"/>
  <c r="AH411" i="10"/>
  <c r="AH412" i="10"/>
  <c r="AH413" i="10"/>
  <c r="AH414" i="10"/>
  <c r="AH415" i="10"/>
  <c r="AH416" i="10"/>
  <c r="AH417" i="10"/>
  <c r="AH418" i="10"/>
  <c r="AH419" i="10"/>
  <c r="AH420" i="10"/>
  <c r="AH421" i="10"/>
  <c r="AH422" i="10"/>
  <c r="AH423" i="10"/>
  <c r="AH424" i="10"/>
  <c r="AH425" i="10"/>
  <c r="AH426" i="10"/>
  <c r="AH427" i="10"/>
  <c r="AH428" i="10"/>
  <c r="AH429" i="10"/>
  <c r="AH430" i="10"/>
  <c r="AH431" i="10"/>
  <c r="AH432" i="10"/>
  <c r="AH433" i="10"/>
  <c r="AH434" i="10"/>
  <c r="AH435" i="10"/>
  <c r="AH436" i="10"/>
  <c r="AH437" i="10"/>
  <c r="AH438" i="10"/>
  <c r="AH439" i="10"/>
  <c r="AH440" i="10"/>
  <c r="AH441" i="10"/>
  <c r="AH442" i="10"/>
  <c r="AH443" i="10"/>
  <c r="AH444" i="10"/>
  <c r="AH445" i="10"/>
  <c r="AH446" i="10"/>
  <c r="AH447" i="10"/>
  <c r="AH448" i="10"/>
  <c r="AH449" i="10"/>
  <c r="AH450" i="10"/>
  <c r="AH451" i="10"/>
  <c r="AH452" i="10"/>
  <c r="AH453" i="10"/>
  <c r="AH454" i="10"/>
  <c r="AH455" i="10"/>
  <c r="AH456" i="10"/>
  <c r="AH457" i="10"/>
  <c r="AH458" i="10"/>
  <c r="AH459" i="10"/>
  <c r="AH460" i="10"/>
  <c r="AH461" i="10"/>
  <c r="AH462" i="10"/>
  <c r="AH463" i="10"/>
  <c r="AH464" i="10"/>
  <c r="AH465" i="10"/>
  <c r="AH466" i="10"/>
  <c r="AH467" i="10"/>
  <c r="AH468" i="10"/>
  <c r="AH469" i="10"/>
  <c r="AH470" i="10"/>
  <c r="AH471" i="10"/>
  <c r="AH472" i="10"/>
  <c r="AH473" i="10"/>
  <c r="AH474" i="10"/>
  <c r="AH475" i="10"/>
  <c r="AH476" i="10"/>
  <c r="AH477" i="10"/>
  <c r="AH478" i="10"/>
  <c r="AH479" i="10"/>
  <c r="AH480" i="10"/>
  <c r="AH481" i="10"/>
  <c r="AH482" i="10"/>
  <c r="AH483" i="10"/>
  <c r="AH484" i="10"/>
  <c r="AH485" i="10"/>
  <c r="AH486" i="10"/>
  <c r="AH487" i="10"/>
  <c r="AH488" i="10"/>
  <c r="AH489" i="10"/>
  <c r="AH490" i="10"/>
  <c r="AH491" i="10"/>
  <c r="AH492" i="10"/>
  <c r="AH493" i="10"/>
  <c r="AH494" i="10"/>
  <c r="AH495" i="10"/>
  <c r="AH496" i="10"/>
  <c r="AH497" i="10"/>
  <c r="AH498" i="10"/>
  <c r="AH499" i="10"/>
  <c r="AH500" i="10"/>
  <c r="AH501" i="10"/>
  <c r="AH502" i="10"/>
  <c r="AH503" i="10"/>
  <c r="AH504" i="10"/>
  <c r="AH505" i="10"/>
  <c r="AH506" i="10"/>
  <c r="AH507" i="10"/>
  <c r="AH508" i="10"/>
  <c r="AH509" i="10"/>
  <c r="AH510" i="10"/>
  <c r="AH511" i="10"/>
  <c r="AH512" i="10"/>
  <c r="AH513" i="10"/>
  <c r="AH514" i="10"/>
  <c r="AH515" i="10"/>
  <c r="AH516" i="10"/>
  <c r="AH517" i="10"/>
  <c r="AH518" i="10"/>
  <c r="AH519" i="10"/>
  <c r="AH520" i="10"/>
  <c r="AH521" i="10"/>
  <c r="AH522" i="10"/>
  <c r="AH523" i="10"/>
  <c r="AH524" i="10"/>
  <c r="AH525" i="10"/>
  <c r="AH526" i="10"/>
  <c r="AH527" i="10"/>
  <c r="AH528" i="10"/>
  <c r="AH529" i="10"/>
  <c r="AH530" i="10"/>
  <c r="AH531" i="10"/>
  <c r="AH532" i="10"/>
  <c r="AH533" i="10"/>
  <c r="AH534" i="10"/>
  <c r="AH535" i="10"/>
  <c r="AH536" i="10"/>
  <c r="AH537" i="10"/>
  <c r="AH538" i="10"/>
  <c r="AH539" i="10"/>
  <c r="AH540" i="10"/>
  <c r="AH541" i="10"/>
  <c r="AH542" i="10"/>
  <c r="AH543" i="10"/>
  <c r="AH544" i="10"/>
  <c r="AH545" i="10"/>
  <c r="AH546" i="10"/>
  <c r="AH547" i="10"/>
  <c r="AH548" i="10"/>
  <c r="AH549" i="10"/>
  <c r="AH550" i="10"/>
  <c r="AH551" i="10"/>
  <c r="AH552" i="10"/>
  <c r="AH553" i="10"/>
  <c r="AH554" i="10"/>
  <c r="AH555" i="10"/>
  <c r="AH556" i="10"/>
  <c r="AH557" i="10"/>
  <c r="AH558" i="10"/>
  <c r="AH559" i="10"/>
  <c r="AH560" i="10"/>
  <c r="AH561" i="10"/>
  <c r="AH562" i="10"/>
  <c r="AH563" i="10"/>
  <c r="AH564" i="10"/>
  <c r="AH565" i="10"/>
  <c r="AH566" i="10"/>
  <c r="AH567" i="10"/>
  <c r="AH568" i="10"/>
  <c r="AH569" i="10"/>
  <c r="AH570" i="10"/>
  <c r="AH571" i="10"/>
  <c r="AH572" i="10"/>
  <c r="AH573" i="10"/>
  <c r="AH574" i="10"/>
  <c r="AH575" i="10"/>
  <c r="AH576" i="10"/>
  <c r="AH577" i="10"/>
  <c r="AH578" i="10"/>
  <c r="AH579" i="10"/>
  <c r="AH580" i="10"/>
  <c r="AH581" i="10"/>
  <c r="AH582" i="10"/>
  <c r="AH583" i="10"/>
  <c r="AH584" i="10"/>
  <c r="AH585" i="10"/>
  <c r="AH586" i="10"/>
  <c r="AH587" i="10"/>
  <c r="AH588" i="10"/>
  <c r="AH589" i="10"/>
  <c r="AH590" i="10"/>
  <c r="AH591" i="10"/>
  <c r="AH592" i="10"/>
  <c r="AH593" i="10"/>
  <c r="AH594" i="10"/>
  <c r="AH595" i="10"/>
  <c r="AH596" i="10"/>
  <c r="AH597" i="10"/>
  <c r="AH598" i="10"/>
  <c r="AH599" i="10"/>
  <c r="AH600" i="10"/>
  <c r="AH601" i="10"/>
  <c r="AH602" i="10"/>
  <c r="AH603" i="10"/>
  <c r="AH604" i="10"/>
  <c r="AH605" i="10"/>
  <c r="AH606" i="10"/>
  <c r="AH607" i="10"/>
  <c r="AH608" i="10"/>
  <c r="AH609" i="10"/>
  <c r="AH610" i="10"/>
  <c r="AH611" i="10"/>
  <c r="AH612" i="10"/>
  <c r="AH613" i="10"/>
  <c r="AH614" i="10"/>
  <c r="AH615" i="10"/>
  <c r="AH616" i="10"/>
  <c r="AH617" i="10"/>
  <c r="AH618" i="10"/>
  <c r="AH619" i="10"/>
  <c r="AH620" i="10"/>
  <c r="AH621" i="10"/>
  <c r="AH622" i="10"/>
  <c r="AH623" i="10"/>
  <c r="AH624" i="10"/>
  <c r="AH625" i="10"/>
  <c r="AH626" i="10"/>
  <c r="AH627" i="10"/>
  <c r="AH628" i="10"/>
  <c r="AH629" i="10"/>
  <c r="AH630" i="10"/>
  <c r="AH631" i="10"/>
  <c r="AH632" i="10"/>
  <c r="AH633" i="10"/>
  <c r="AH634" i="10"/>
  <c r="AH635" i="10"/>
  <c r="AH636" i="10"/>
  <c r="AH637" i="10"/>
  <c r="AH638" i="10"/>
  <c r="AH639" i="10"/>
  <c r="AH640" i="10"/>
  <c r="AH641" i="10"/>
  <c r="AH642" i="10"/>
  <c r="AH643" i="10"/>
  <c r="AH644" i="10"/>
  <c r="AH645" i="10"/>
  <c r="AH646" i="10"/>
  <c r="AH647" i="10"/>
  <c r="AH648" i="10"/>
  <c r="AH649" i="10"/>
  <c r="AH650" i="10"/>
  <c r="AH651" i="10"/>
  <c r="AH652" i="10"/>
  <c r="AH653" i="10"/>
  <c r="AH654" i="10"/>
  <c r="AH655" i="10"/>
  <c r="AH656" i="10"/>
  <c r="AH657" i="10"/>
  <c r="AH658" i="10"/>
  <c r="AH659" i="10"/>
  <c r="AH660" i="10"/>
  <c r="AH661" i="10"/>
  <c r="AH662" i="10"/>
  <c r="AH663" i="10"/>
  <c r="AH664" i="10"/>
  <c r="AH665" i="10"/>
  <c r="AH666" i="10"/>
  <c r="AH667" i="10"/>
  <c r="AH668" i="10"/>
  <c r="AH669" i="10"/>
  <c r="AH670" i="10"/>
  <c r="AH671" i="10"/>
  <c r="AH672" i="10"/>
  <c r="AH673" i="10"/>
  <c r="AH674" i="10"/>
  <c r="AH675" i="10"/>
  <c r="AH676" i="10"/>
  <c r="AH677" i="10"/>
  <c r="AH678" i="10"/>
  <c r="AH679" i="10"/>
  <c r="AH680" i="10"/>
  <c r="AH681" i="10"/>
  <c r="AH682" i="10"/>
  <c r="AH683" i="10"/>
  <c r="AH684" i="10"/>
  <c r="AH685" i="10"/>
  <c r="AH686" i="10"/>
  <c r="AH687" i="10"/>
  <c r="AH688" i="10"/>
  <c r="AH689" i="10"/>
  <c r="AH690" i="10"/>
  <c r="AH691" i="10"/>
  <c r="AH692" i="10"/>
  <c r="AH693" i="10"/>
  <c r="AH694" i="10"/>
  <c r="AH695" i="10"/>
  <c r="AH696" i="10"/>
  <c r="AH697" i="10"/>
  <c r="AH698" i="10"/>
  <c r="AH699" i="10"/>
  <c r="AH700" i="10"/>
  <c r="AH701" i="10"/>
  <c r="AH702" i="10"/>
  <c r="AH703" i="10"/>
  <c r="AH704" i="10"/>
  <c r="AH705" i="10"/>
  <c r="AH706" i="10"/>
  <c r="AH707" i="10"/>
  <c r="AH708" i="10"/>
  <c r="AH709" i="10"/>
  <c r="AH710" i="10"/>
  <c r="AH711" i="10"/>
  <c r="AH712" i="10"/>
  <c r="AH713" i="10"/>
  <c r="AH714" i="10"/>
  <c r="AH715" i="10"/>
  <c r="AH716" i="10"/>
  <c r="AH717" i="10"/>
  <c r="AH718" i="10"/>
  <c r="AH719" i="10"/>
  <c r="AH720" i="10"/>
  <c r="AH721" i="10"/>
  <c r="AH722" i="10"/>
  <c r="AH723" i="10"/>
  <c r="AH724" i="10"/>
  <c r="AH725" i="10"/>
  <c r="AH726" i="10"/>
  <c r="AH727" i="10"/>
  <c r="AH728" i="10"/>
  <c r="AH729" i="10"/>
  <c r="AH730" i="10"/>
  <c r="AH731" i="10"/>
  <c r="AH732" i="10"/>
  <c r="AH733" i="10"/>
  <c r="AH734" i="10"/>
  <c r="AH735" i="10"/>
  <c r="AH736" i="10"/>
  <c r="AH737" i="10"/>
  <c r="AH738" i="10"/>
  <c r="AH739" i="10"/>
  <c r="AH740" i="10"/>
  <c r="AH741" i="10"/>
  <c r="AH742" i="10"/>
  <c r="AH743" i="10"/>
  <c r="AH744" i="10"/>
  <c r="AH745" i="10"/>
  <c r="AH746" i="10"/>
  <c r="AH747" i="10"/>
  <c r="AH748" i="10"/>
  <c r="AH749" i="10"/>
  <c r="AH750" i="10"/>
  <c r="AH751" i="10"/>
  <c r="AH752" i="10"/>
  <c r="AH753" i="10"/>
  <c r="AH754" i="10"/>
  <c r="AH755" i="10"/>
  <c r="AH756" i="10"/>
  <c r="AH757" i="10"/>
  <c r="AH758" i="10"/>
  <c r="AH759" i="10"/>
  <c r="AH760" i="10"/>
  <c r="AH761" i="10"/>
  <c r="AH762" i="10"/>
  <c r="AH763" i="10"/>
  <c r="AH764" i="10"/>
  <c r="AH765" i="10"/>
  <c r="AH766" i="10"/>
  <c r="AH767" i="10"/>
  <c r="AH768" i="10"/>
  <c r="AH769" i="10"/>
  <c r="AH770" i="10"/>
  <c r="AH771" i="10"/>
  <c r="AH772" i="10"/>
  <c r="AH773" i="10"/>
  <c r="AH774" i="10"/>
  <c r="AH775" i="10"/>
  <c r="AH776" i="10"/>
  <c r="AH777" i="10"/>
  <c r="AH778" i="10"/>
  <c r="AH779" i="10"/>
  <c r="AH780" i="10"/>
  <c r="AH781" i="10"/>
  <c r="AH782" i="10"/>
  <c r="AH783" i="10"/>
  <c r="AH784" i="10"/>
  <c r="AH785" i="10"/>
  <c r="AH786" i="10"/>
  <c r="AH787" i="10"/>
  <c r="AH788" i="10"/>
  <c r="AH789" i="10"/>
  <c r="AH790" i="10"/>
  <c r="AH791" i="10"/>
  <c r="AH792" i="10"/>
  <c r="AH793" i="10"/>
  <c r="AH794" i="10"/>
  <c r="AH795" i="10"/>
  <c r="AH796" i="10"/>
  <c r="AH797" i="10"/>
  <c r="AH798" i="10"/>
  <c r="AH799" i="10"/>
  <c r="AH800" i="10"/>
  <c r="AH801" i="10"/>
  <c r="AH802" i="10"/>
  <c r="AH803" i="10"/>
  <c r="AH804" i="10"/>
  <c r="AH805" i="10"/>
  <c r="AH806" i="10"/>
  <c r="AH807" i="10"/>
  <c r="AH808" i="10"/>
  <c r="AH809" i="10"/>
  <c r="AH810" i="10"/>
  <c r="AH811" i="10"/>
  <c r="AH812" i="10"/>
  <c r="AH813" i="10"/>
  <c r="AH814" i="10"/>
  <c r="AH815" i="10"/>
  <c r="AH816" i="10"/>
  <c r="AH817" i="10"/>
  <c r="AH818" i="10"/>
  <c r="AH819" i="10"/>
  <c r="AH820" i="10"/>
  <c r="AH821" i="10"/>
  <c r="AH822" i="10"/>
  <c r="AH823" i="10"/>
  <c r="AH824" i="10"/>
  <c r="AH825" i="10"/>
  <c r="AH826" i="10"/>
  <c r="AH827" i="10"/>
  <c r="AH828" i="10"/>
  <c r="AH829" i="10"/>
  <c r="AH830" i="10"/>
  <c r="AH831" i="10"/>
  <c r="AH832" i="10"/>
  <c r="AH833" i="10"/>
  <c r="AH834" i="10"/>
  <c r="AH835" i="10"/>
  <c r="AH836" i="10"/>
  <c r="AH837" i="10"/>
  <c r="AH838" i="10"/>
  <c r="AH839" i="10"/>
  <c r="AH840" i="10"/>
  <c r="AH841" i="10"/>
  <c r="AH842" i="10"/>
  <c r="AH843" i="10"/>
  <c r="AH844" i="10"/>
  <c r="AH845" i="10"/>
  <c r="AH846" i="10"/>
  <c r="AH847" i="10"/>
  <c r="AH848" i="10"/>
  <c r="AH849" i="10"/>
  <c r="AH850" i="10"/>
  <c r="AH851" i="10"/>
  <c r="AH852" i="10"/>
  <c r="AH853" i="10"/>
  <c r="AH854" i="10"/>
  <c r="AH855" i="10"/>
  <c r="AH856" i="10"/>
  <c r="AH857" i="10"/>
  <c r="AH858" i="10"/>
  <c r="AH859" i="10"/>
  <c r="AH860" i="10"/>
  <c r="AH861" i="10"/>
  <c r="AH862" i="10"/>
  <c r="AH863" i="10"/>
  <c r="AH864" i="10"/>
  <c r="AH865" i="10"/>
  <c r="AH866" i="10"/>
  <c r="AH867" i="10"/>
  <c r="AH868" i="10"/>
  <c r="AH869" i="10"/>
  <c r="AH870" i="10"/>
  <c r="AH871" i="10"/>
  <c r="AH872" i="10"/>
  <c r="AH873" i="10"/>
  <c r="AH874" i="10"/>
  <c r="AH875" i="10"/>
  <c r="AH876" i="10"/>
  <c r="AH877" i="10"/>
  <c r="AH878" i="10"/>
  <c r="AH879" i="10"/>
  <c r="AH880" i="10"/>
  <c r="AH881" i="10"/>
  <c r="AH882" i="10"/>
  <c r="AH883" i="10"/>
  <c r="AH884" i="10"/>
  <c r="AH885" i="10"/>
  <c r="AH886" i="10"/>
  <c r="AH887" i="10"/>
  <c r="AH888" i="10"/>
  <c r="AG6" i="10" l="1"/>
  <c r="AG7" i="10"/>
  <c r="AG8" i="10"/>
  <c r="AG9" i="10"/>
  <c r="AG10" i="10"/>
  <c r="AG11" i="10"/>
  <c r="AG12" i="10"/>
  <c r="AG13" i="10"/>
  <c r="AG14" i="10"/>
  <c r="AG15" i="10"/>
  <c r="AG16" i="10"/>
  <c r="AG17" i="10"/>
  <c r="AG18" i="10"/>
  <c r="AG19" i="10"/>
  <c r="AG20" i="10"/>
  <c r="AG21" i="10"/>
  <c r="AG22" i="10"/>
  <c r="AG23" i="10"/>
  <c r="AG24" i="10"/>
  <c r="AG25" i="10"/>
  <c r="AG26" i="10"/>
  <c r="AG27" i="10"/>
  <c r="AG28" i="10"/>
  <c r="AG29" i="10"/>
  <c r="AG30" i="10"/>
  <c r="AG31" i="10"/>
  <c r="AG32" i="10"/>
  <c r="AG33" i="10"/>
  <c r="AG34" i="10"/>
  <c r="AG35" i="10"/>
  <c r="AG36" i="10"/>
  <c r="AG37" i="10"/>
  <c r="AG38" i="10"/>
  <c r="AG39" i="10"/>
  <c r="AG40" i="10"/>
  <c r="AG41" i="10"/>
  <c r="AG42" i="10"/>
  <c r="AG43" i="10"/>
  <c r="AG44" i="10"/>
  <c r="AG45" i="10"/>
  <c r="AG46" i="10"/>
  <c r="AG47" i="10"/>
  <c r="AG48" i="10"/>
  <c r="AG49" i="10"/>
  <c r="AG50" i="10"/>
  <c r="AG51" i="10"/>
  <c r="AG52" i="10"/>
  <c r="AG53" i="10"/>
  <c r="AG54" i="10"/>
  <c r="AG55" i="10"/>
  <c r="AG56" i="10"/>
  <c r="AG57" i="10"/>
  <c r="AG58" i="10"/>
  <c r="AG59" i="10"/>
  <c r="AG60" i="10"/>
  <c r="AG61" i="10"/>
  <c r="AG62" i="10"/>
  <c r="AG63" i="10"/>
  <c r="AG64" i="10"/>
  <c r="AG65" i="10"/>
  <c r="AG66" i="10"/>
  <c r="AG67" i="10"/>
  <c r="AG68" i="10"/>
  <c r="AG69" i="10"/>
  <c r="AG70" i="10"/>
  <c r="AG71" i="10"/>
  <c r="AG72" i="10"/>
  <c r="AG73" i="10"/>
  <c r="AG74" i="10"/>
  <c r="AG75" i="10"/>
  <c r="AG76" i="10"/>
  <c r="AG77" i="10"/>
  <c r="AG78" i="10"/>
  <c r="AG79" i="10"/>
  <c r="AG80" i="10"/>
  <c r="AG81" i="10"/>
  <c r="AG82" i="10"/>
  <c r="AG83" i="10"/>
  <c r="AG84" i="10"/>
  <c r="AG85" i="10"/>
  <c r="AG86" i="10"/>
  <c r="AG87" i="10"/>
  <c r="AG88" i="10"/>
  <c r="AG89" i="10"/>
  <c r="AG90" i="10"/>
  <c r="AG91" i="10"/>
  <c r="AG92" i="10"/>
  <c r="AG93" i="10"/>
  <c r="AG94" i="10"/>
  <c r="AG95" i="10"/>
  <c r="AG96" i="10"/>
  <c r="AG97" i="10"/>
  <c r="AG98" i="10"/>
  <c r="AG99" i="10"/>
  <c r="AG100" i="10"/>
  <c r="AG101" i="10"/>
  <c r="AG102" i="10"/>
  <c r="AG103" i="10"/>
  <c r="AG104" i="10"/>
  <c r="AG105" i="10"/>
  <c r="AG106" i="10"/>
  <c r="AG107" i="10"/>
  <c r="AG108" i="10"/>
  <c r="AG109" i="10"/>
  <c r="AG110" i="10"/>
  <c r="AG111" i="10"/>
  <c r="AG112" i="10"/>
  <c r="AG113" i="10"/>
  <c r="AG114" i="10"/>
  <c r="AG115" i="10"/>
  <c r="AG116" i="10"/>
  <c r="AG117" i="10"/>
  <c r="AG118" i="10"/>
  <c r="AG119" i="10"/>
  <c r="AG120" i="10"/>
  <c r="AG121" i="10"/>
  <c r="AG122" i="10"/>
  <c r="AG123" i="10"/>
  <c r="AG124" i="10"/>
  <c r="AG125" i="10"/>
  <c r="AG126" i="10"/>
  <c r="AG127" i="10"/>
  <c r="AG128" i="10"/>
  <c r="AG129" i="10"/>
  <c r="AG130" i="10"/>
  <c r="AG131" i="10"/>
  <c r="AG132" i="10"/>
  <c r="AG133" i="10"/>
  <c r="AG134" i="10"/>
  <c r="AG135" i="10"/>
  <c r="AG136" i="10"/>
  <c r="AG137" i="10"/>
  <c r="AG138" i="10"/>
  <c r="AG139" i="10"/>
  <c r="AG140" i="10"/>
  <c r="AG141" i="10"/>
  <c r="AG142" i="10"/>
  <c r="AG143" i="10"/>
  <c r="AG144" i="10"/>
  <c r="AG145" i="10"/>
  <c r="AG146" i="10"/>
  <c r="AG147" i="10"/>
  <c r="AG148" i="10"/>
  <c r="AG149" i="10"/>
  <c r="AG150" i="10"/>
  <c r="AG151" i="10"/>
  <c r="AG152" i="10"/>
  <c r="AG153" i="10"/>
  <c r="AG154" i="10"/>
  <c r="AG155" i="10"/>
  <c r="AG156" i="10"/>
  <c r="AG157" i="10"/>
  <c r="AG158" i="10"/>
  <c r="AG159" i="10"/>
  <c r="AG160" i="10"/>
  <c r="AG161" i="10"/>
  <c r="AG162" i="10"/>
  <c r="AG163" i="10"/>
  <c r="AG164" i="10"/>
  <c r="AG165" i="10"/>
  <c r="AG166" i="10"/>
  <c r="AG167" i="10"/>
  <c r="AG168" i="10"/>
  <c r="AG169" i="10"/>
  <c r="AG170" i="10"/>
  <c r="AG171" i="10"/>
  <c r="AG172" i="10"/>
  <c r="AG173" i="10"/>
  <c r="AG174" i="10"/>
  <c r="AG175" i="10"/>
  <c r="AG176" i="10"/>
  <c r="AG177" i="10"/>
  <c r="AG178" i="10"/>
  <c r="AG179" i="10"/>
  <c r="AG180" i="10"/>
  <c r="AG181" i="10"/>
  <c r="AG182" i="10"/>
  <c r="AG183" i="10"/>
  <c r="AG184" i="10"/>
  <c r="AG185" i="10"/>
  <c r="AG186" i="10"/>
  <c r="AG187" i="10"/>
  <c r="AG188" i="10"/>
  <c r="AG189" i="10"/>
  <c r="AG190" i="10"/>
  <c r="AG191" i="10"/>
  <c r="AG192" i="10"/>
  <c r="AG193" i="10"/>
  <c r="AG194" i="10"/>
  <c r="AG195" i="10"/>
  <c r="AG196" i="10"/>
  <c r="AG197" i="10"/>
  <c r="AG198" i="10"/>
  <c r="AG199" i="10"/>
  <c r="AG200" i="10"/>
  <c r="AG201" i="10"/>
  <c r="AG202" i="10"/>
  <c r="AG203" i="10"/>
  <c r="AG204" i="10"/>
  <c r="AG205" i="10"/>
  <c r="AG206" i="10"/>
  <c r="AG207" i="10"/>
  <c r="AG208" i="10"/>
  <c r="AG209" i="10"/>
  <c r="AG210" i="10"/>
  <c r="AG211" i="10"/>
  <c r="AG212" i="10"/>
  <c r="AG213" i="10"/>
  <c r="AG214" i="10"/>
  <c r="AG215" i="10"/>
  <c r="AG216" i="10"/>
  <c r="AG217" i="10"/>
  <c r="AG218" i="10"/>
  <c r="AG219" i="10"/>
  <c r="AG220" i="10"/>
  <c r="AG221" i="10"/>
  <c r="AG222" i="10"/>
  <c r="AG223" i="10"/>
  <c r="AG224" i="10"/>
  <c r="AG225" i="10"/>
  <c r="AG226" i="10"/>
  <c r="AG227" i="10"/>
  <c r="AG228" i="10"/>
  <c r="AG229" i="10"/>
  <c r="AG230" i="10"/>
  <c r="AG231" i="10"/>
  <c r="AG232" i="10"/>
  <c r="AG233" i="10"/>
  <c r="AG234" i="10"/>
  <c r="AG235" i="10"/>
  <c r="AG236" i="10"/>
  <c r="AG237" i="10"/>
  <c r="AG238" i="10"/>
  <c r="AG239" i="10"/>
  <c r="AG240" i="10"/>
  <c r="AG241" i="10"/>
  <c r="AG242" i="10"/>
  <c r="AG243" i="10"/>
  <c r="AG244" i="10"/>
  <c r="AG245" i="10"/>
  <c r="AG246" i="10"/>
  <c r="AG247" i="10"/>
  <c r="AG248" i="10"/>
  <c r="AG249" i="10"/>
  <c r="AG250" i="10"/>
  <c r="AG251" i="10"/>
  <c r="AG252" i="10"/>
  <c r="AG253" i="10"/>
  <c r="AG254" i="10"/>
  <c r="AG255" i="10"/>
  <c r="AG256" i="10"/>
  <c r="AG257" i="10"/>
  <c r="AG258" i="10"/>
  <c r="AG259" i="10"/>
  <c r="AG260" i="10"/>
  <c r="AG261" i="10"/>
  <c r="AG262" i="10"/>
  <c r="AG263" i="10"/>
  <c r="AG264" i="10"/>
  <c r="AG265" i="10"/>
  <c r="AG266" i="10"/>
  <c r="AG267" i="10"/>
  <c r="AG268" i="10"/>
  <c r="AG269" i="10"/>
  <c r="AG270" i="10"/>
  <c r="AG271" i="10"/>
  <c r="AG272" i="10"/>
  <c r="AG273" i="10"/>
  <c r="AG274" i="10"/>
  <c r="AG275" i="10"/>
  <c r="AG276" i="10"/>
  <c r="AG277" i="10"/>
  <c r="AG278" i="10"/>
  <c r="AG279" i="10"/>
  <c r="AG280" i="10"/>
  <c r="AG281" i="10"/>
  <c r="AG282" i="10"/>
  <c r="AG283" i="10"/>
  <c r="AG284" i="10"/>
  <c r="AG285" i="10"/>
  <c r="AG286" i="10"/>
  <c r="AG287" i="10"/>
  <c r="AG288" i="10"/>
  <c r="AG289" i="10"/>
  <c r="AG290" i="10"/>
  <c r="AG291" i="10"/>
  <c r="AG292" i="10"/>
  <c r="AG293" i="10"/>
  <c r="AG294" i="10"/>
  <c r="AG295" i="10"/>
  <c r="AG296" i="10"/>
  <c r="AG297" i="10"/>
  <c r="AG298" i="10"/>
  <c r="AG299" i="10"/>
  <c r="AG300" i="10"/>
  <c r="AG301" i="10"/>
  <c r="AG302" i="10"/>
  <c r="AG303" i="10"/>
  <c r="AG304" i="10"/>
  <c r="AG305" i="10"/>
  <c r="AG306" i="10"/>
  <c r="AG307" i="10"/>
  <c r="AG308" i="10"/>
  <c r="AG309" i="10"/>
  <c r="AG310" i="10"/>
  <c r="AG311" i="10"/>
  <c r="AG312" i="10"/>
  <c r="AG313" i="10"/>
  <c r="AG314" i="10"/>
  <c r="AG315" i="10"/>
  <c r="AG316" i="10"/>
  <c r="AG317" i="10"/>
  <c r="AG318" i="10"/>
  <c r="AG319" i="10"/>
  <c r="AG320" i="10"/>
  <c r="AG321" i="10"/>
  <c r="AG322" i="10"/>
  <c r="AG323" i="10"/>
  <c r="AG324" i="10"/>
  <c r="AG325" i="10"/>
  <c r="AG326" i="10"/>
  <c r="AG327" i="10"/>
  <c r="AG328" i="10"/>
  <c r="AG329" i="10"/>
  <c r="AG330" i="10"/>
  <c r="AG331" i="10"/>
  <c r="AG332" i="10"/>
  <c r="AG333" i="10"/>
  <c r="AG334" i="10"/>
  <c r="AG335" i="10"/>
  <c r="AG336" i="10"/>
  <c r="AG337" i="10"/>
  <c r="AG338" i="10"/>
  <c r="AG339" i="10"/>
  <c r="AG340" i="10"/>
  <c r="AG341" i="10"/>
  <c r="AG342" i="10"/>
  <c r="AG343" i="10"/>
  <c r="AG344" i="10"/>
  <c r="AG345" i="10"/>
  <c r="AG346" i="10"/>
  <c r="AG347" i="10"/>
  <c r="AG348" i="10"/>
  <c r="AG349" i="10"/>
  <c r="AG350" i="10"/>
  <c r="AG351" i="10"/>
  <c r="AG352" i="10"/>
  <c r="AG353" i="10"/>
  <c r="AG354" i="10"/>
  <c r="AG355" i="10"/>
  <c r="AG356" i="10"/>
  <c r="AG357" i="10"/>
  <c r="AG358" i="10"/>
  <c r="AG359" i="10"/>
  <c r="AG360" i="10"/>
  <c r="AG361" i="10"/>
  <c r="AG362" i="10"/>
  <c r="AG363" i="10"/>
  <c r="AG364" i="10"/>
  <c r="AG365" i="10"/>
  <c r="AG366" i="10"/>
  <c r="AG367" i="10"/>
  <c r="AG368" i="10"/>
  <c r="AG369" i="10"/>
  <c r="AG370" i="10"/>
  <c r="AG371" i="10"/>
  <c r="AG372" i="10"/>
  <c r="AG373" i="10"/>
  <c r="AG374" i="10"/>
  <c r="AG375" i="10"/>
  <c r="AG376" i="10"/>
  <c r="AG377" i="10"/>
  <c r="AG378" i="10"/>
  <c r="AG379" i="10"/>
  <c r="AG380" i="10"/>
  <c r="AG381" i="10"/>
  <c r="AG382" i="10"/>
  <c r="AG383" i="10"/>
  <c r="AG384" i="10"/>
  <c r="AG385" i="10"/>
  <c r="AG386" i="10"/>
  <c r="AG387" i="10"/>
  <c r="AG388" i="10"/>
  <c r="AG389" i="10"/>
  <c r="AG390" i="10"/>
  <c r="AG391" i="10"/>
  <c r="AG392" i="10"/>
  <c r="AG393" i="10"/>
  <c r="AG394" i="10"/>
  <c r="AG395" i="10"/>
  <c r="AG396" i="10"/>
  <c r="AG397" i="10"/>
  <c r="AG398" i="10"/>
  <c r="AG399" i="10"/>
  <c r="AG400" i="10"/>
  <c r="AG401" i="10"/>
  <c r="AG402" i="10"/>
  <c r="AG403" i="10"/>
  <c r="AG404" i="10"/>
  <c r="AG405" i="10"/>
  <c r="AG406" i="10"/>
  <c r="AG407" i="10"/>
  <c r="AG408" i="10"/>
  <c r="AG409" i="10"/>
  <c r="AG410" i="10"/>
  <c r="AG411" i="10"/>
  <c r="AG412" i="10"/>
  <c r="AG413" i="10"/>
  <c r="AG414" i="10"/>
  <c r="AG415" i="10"/>
  <c r="AG416" i="10"/>
  <c r="AG417" i="10"/>
  <c r="AG418" i="10"/>
  <c r="AG419" i="10"/>
  <c r="AG420" i="10"/>
  <c r="AG421" i="10"/>
  <c r="AG422" i="10"/>
  <c r="AG423" i="10"/>
  <c r="AG424" i="10"/>
  <c r="AG425" i="10"/>
  <c r="AG426" i="10"/>
  <c r="AG427" i="10"/>
  <c r="AG428" i="10"/>
  <c r="AG429" i="10"/>
  <c r="AG430" i="10"/>
  <c r="AG431" i="10"/>
  <c r="AG432" i="10"/>
  <c r="AG433" i="10"/>
  <c r="AG434" i="10"/>
  <c r="AG435" i="10"/>
  <c r="AG436" i="10"/>
  <c r="AG437" i="10"/>
  <c r="AG438" i="10"/>
  <c r="AG439" i="10"/>
  <c r="AG440" i="10"/>
  <c r="AG441" i="10"/>
  <c r="AG442" i="10"/>
  <c r="AG443" i="10"/>
  <c r="AG444" i="10"/>
  <c r="AG445" i="10"/>
  <c r="AG446" i="10"/>
  <c r="AG447" i="10"/>
  <c r="AG448" i="10"/>
  <c r="AG449" i="10"/>
  <c r="AG450" i="10"/>
  <c r="AG451" i="10"/>
  <c r="AG452" i="10"/>
  <c r="AG453" i="10"/>
  <c r="AG454" i="10"/>
  <c r="AG455" i="10"/>
  <c r="AG456" i="10"/>
  <c r="AG457" i="10"/>
  <c r="AG458" i="10"/>
  <c r="AG459" i="10"/>
  <c r="AG460" i="10"/>
  <c r="AG461" i="10"/>
  <c r="AG462" i="10"/>
  <c r="AG463" i="10"/>
  <c r="AG464" i="10"/>
  <c r="AG465" i="10"/>
  <c r="AG466" i="10"/>
  <c r="AG467" i="10"/>
  <c r="AG468" i="10"/>
  <c r="AG469" i="10"/>
  <c r="AG470" i="10"/>
  <c r="AG471" i="10"/>
  <c r="AG472" i="10"/>
  <c r="AG473" i="10"/>
  <c r="AG474" i="10"/>
  <c r="AG475" i="10"/>
  <c r="AG476" i="10"/>
  <c r="AG477" i="10"/>
  <c r="AG478" i="10"/>
  <c r="AG479" i="10"/>
  <c r="AG480" i="10"/>
  <c r="AG481" i="10"/>
  <c r="AG482" i="10"/>
  <c r="AG483" i="10"/>
  <c r="AG484" i="10"/>
  <c r="AG485" i="10"/>
  <c r="AG486" i="10"/>
  <c r="AG487" i="10"/>
  <c r="AG488" i="10"/>
  <c r="AG489" i="10"/>
  <c r="AG490" i="10"/>
  <c r="AG491" i="10"/>
  <c r="AG492" i="10"/>
  <c r="AG493" i="10"/>
  <c r="AG494" i="10"/>
  <c r="AG495" i="10"/>
  <c r="AG496" i="10"/>
  <c r="AG497" i="10"/>
  <c r="AG498" i="10"/>
  <c r="AG499" i="10"/>
  <c r="AG500" i="10"/>
  <c r="AG501" i="10"/>
  <c r="AG502" i="10"/>
  <c r="AG503" i="10"/>
  <c r="AG504" i="10"/>
  <c r="AG505" i="10"/>
  <c r="AG506" i="10"/>
  <c r="AG507" i="10"/>
  <c r="AG508" i="10"/>
  <c r="AG509" i="10"/>
  <c r="AG510" i="10"/>
  <c r="AG511" i="10"/>
  <c r="AG512" i="10"/>
  <c r="AG513" i="10"/>
  <c r="AG514" i="10"/>
  <c r="AG515" i="10"/>
  <c r="AG516" i="10"/>
  <c r="AG517" i="10"/>
  <c r="AG518" i="10"/>
  <c r="AG519" i="10"/>
  <c r="AG520" i="10"/>
  <c r="AG521" i="10"/>
  <c r="AG522" i="10"/>
  <c r="AG523" i="10"/>
  <c r="AG524" i="10"/>
  <c r="AG525" i="10"/>
  <c r="AG526" i="10"/>
  <c r="AG527" i="10"/>
  <c r="AG528" i="10"/>
  <c r="AG529" i="10"/>
  <c r="AG530" i="10"/>
  <c r="AG531" i="10"/>
  <c r="AG532" i="10"/>
  <c r="AG533" i="10"/>
  <c r="AG534" i="10"/>
  <c r="AG535" i="10"/>
  <c r="AG536" i="10"/>
  <c r="AG537" i="10"/>
  <c r="AG538" i="10"/>
  <c r="AG539" i="10"/>
  <c r="AG540" i="10"/>
  <c r="AG541" i="10"/>
  <c r="AG542" i="10"/>
  <c r="AG543" i="10"/>
  <c r="AG544" i="10"/>
  <c r="AG545" i="10"/>
  <c r="AG546" i="10"/>
  <c r="AG547" i="10"/>
  <c r="AG548" i="10"/>
  <c r="AG549" i="10"/>
  <c r="AG550" i="10"/>
  <c r="AG551" i="10"/>
  <c r="AG552" i="10"/>
  <c r="AG553" i="10"/>
  <c r="AG554" i="10"/>
  <c r="AG555" i="10"/>
  <c r="AG556" i="10"/>
  <c r="AG557" i="10"/>
  <c r="AG558" i="10"/>
  <c r="AG559" i="10"/>
  <c r="AG560" i="10"/>
  <c r="AG561" i="10"/>
  <c r="AG562" i="10"/>
  <c r="AG563" i="10"/>
  <c r="AG564" i="10"/>
  <c r="AG565" i="10"/>
  <c r="AG566" i="10"/>
  <c r="AG567" i="10"/>
  <c r="AG568" i="10"/>
  <c r="AG569" i="10"/>
  <c r="AG570" i="10"/>
  <c r="AG571" i="10"/>
  <c r="AG572" i="10"/>
  <c r="AG573" i="10"/>
  <c r="AG574" i="10"/>
  <c r="AG575" i="10"/>
  <c r="AG576" i="10"/>
  <c r="AG577" i="10"/>
  <c r="AG578" i="10"/>
  <c r="AG579" i="10"/>
  <c r="AG580" i="10"/>
  <c r="AG581" i="10"/>
  <c r="AG582" i="10"/>
  <c r="AG583" i="10"/>
  <c r="AG584" i="10"/>
  <c r="AG585" i="10"/>
  <c r="AG586" i="10"/>
  <c r="AG587" i="10"/>
  <c r="AG588" i="10"/>
  <c r="AG589" i="10"/>
  <c r="AG590" i="10"/>
  <c r="AG591" i="10"/>
  <c r="AG592" i="10"/>
  <c r="AG593" i="10"/>
  <c r="AG594" i="10"/>
  <c r="AG595" i="10"/>
  <c r="AG596" i="10"/>
  <c r="AG597" i="10"/>
  <c r="AG598" i="10"/>
  <c r="AG599" i="10"/>
  <c r="AG600" i="10"/>
  <c r="AG601" i="10"/>
  <c r="AG602" i="10"/>
  <c r="AG603" i="10"/>
  <c r="AG604" i="10"/>
  <c r="AG605" i="10"/>
  <c r="AG606" i="10"/>
  <c r="AG607" i="10"/>
  <c r="AG608" i="10"/>
  <c r="AG609" i="10"/>
  <c r="AG610" i="10"/>
  <c r="AG611" i="10"/>
  <c r="AG612" i="10"/>
  <c r="AG613" i="10"/>
  <c r="AG614" i="10"/>
  <c r="AG615" i="10"/>
  <c r="AG616" i="10"/>
  <c r="AG617" i="10"/>
  <c r="AG618" i="10"/>
  <c r="AG619" i="10"/>
  <c r="AG620" i="10"/>
  <c r="AG621" i="10"/>
  <c r="AG622" i="10"/>
  <c r="AG623" i="10"/>
  <c r="AG624" i="10"/>
  <c r="AG625" i="10"/>
  <c r="AG626" i="10"/>
  <c r="AG627" i="10"/>
  <c r="AG628" i="10"/>
  <c r="AG629" i="10"/>
  <c r="AG630" i="10"/>
  <c r="AG631" i="10"/>
  <c r="AG632" i="10"/>
  <c r="AG633" i="10"/>
  <c r="AG634" i="10"/>
  <c r="AG635" i="10"/>
  <c r="AG636" i="10"/>
  <c r="AG637" i="10"/>
  <c r="AG638" i="10"/>
  <c r="AG639" i="10"/>
  <c r="AG640" i="10"/>
  <c r="AG641" i="10"/>
  <c r="AG642" i="10"/>
  <c r="AG643" i="10"/>
  <c r="AG644" i="10"/>
  <c r="AG645" i="10"/>
  <c r="AG646" i="10"/>
  <c r="AG647" i="10"/>
  <c r="AG648" i="10"/>
  <c r="AG649" i="10"/>
  <c r="AG650" i="10"/>
  <c r="AG651" i="10"/>
  <c r="AG652" i="10"/>
  <c r="AG653" i="10"/>
  <c r="AG654" i="10"/>
  <c r="AG655" i="10"/>
  <c r="AG656" i="10"/>
  <c r="AG657" i="10"/>
  <c r="AG658" i="10"/>
  <c r="AG659" i="10"/>
  <c r="AG660" i="10"/>
  <c r="AG661" i="10"/>
  <c r="AG662" i="10"/>
  <c r="AG663" i="10"/>
  <c r="AG664" i="10"/>
  <c r="AG665" i="10"/>
  <c r="AG666" i="10"/>
  <c r="AG667" i="10"/>
  <c r="AG668" i="10"/>
  <c r="AG669" i="10"/>
  <c r="AG670" i="10"/>
  <c r="AG671" i="10"/>
  <c r="AG672" i="10"/>
  <c r="AG673" i="10"/>
  <c r="AG674" i="10"/>
  <c r="AG675" i="10"/>
  <c r="AG676" i="10"/>
  <c r="AG677" i="10"/>
  <c r="AG678" i="10"/>
  <c r="AG679" i="10"/>
  <c r="AG680" i="10"/>
  <c r="AG681" i="10"/>
  <c r="AG682" i="10"/>
  <c r="AG683" i="10"/>
  <c r="AG684" i="10"/>
  <c r="AG685" i="10"/>
  <c r="AG686" i="10"/>
  <c r="AG687" i="10"/>
  <c r="AG688" i="10"/>
  <c r="AG689" i="10"/>
  <c r="AG690" i="10"/>
  <c r="AG691" i="10"/>
  <c r="AG692" i="10"/>
  <c r="AG693" i="10"/>
  <c r="AG694" i="10"/>
  <c r="AG695" i="10"/>
  <c r="AG696" i="10"/>
  <c r="AG697" i="10"/>
  <c r="AG698" i="10"/>
  <c r="AG699" i="10"/>
  <c r="AG700" i="10"/>
  <c r="AG701" i="10"/>
  <c r="AG702" i="10"/>
  <c r="AG703" i="10"/>
  <c r="AG704" i="10"/>
  <c r="AG705" i="10"/>
  <c r="AG706" i="10"/>
  <c r="AG707" i="10"/>
  <c r="AG708" i="10"/>
  <c r="AG709" i="10"/>
  <c r="AG710" i="10"/>
  <c r="AG711" i="10"/>
  <c r="AG712" i="10"/>
  <c r="AG713" i="10"/>
  <c r="AG714" i="10"/>
  <c r="AG715" i="10"/>
  <c r="AG716" i="10"/>
  <c r="AG717" i="10"/>
  <c r="AG718" i="10"/>
  <c r="AG719" i="10"/>
  <c r="AG720" i="10"/>
  <c r="AG721" i="10"/>
  <c r="AG722" i="10"/>
  <c r="AG723" i="10"/>
  <c r="AG724" i="10"/>
  <c r="AG725" i="10"/>
  <c r="AG726" i="10"/>
  <c r="AG727" i="10"/>
  <c r="AG728" i="10"/>
  <c r="AG729" i="10"/>
  <c r="AG730" i="10"/>
  <c r="AG731" i="10"/>
  <c r="AG732" i="10"/>
  <c r="AG733" i="10"/>
  <c r="AG734" i="10"/>
  <c r="AG735" i="10"/>
  <c r="AG736" i="10"/>
  <c r="AG737" i="10"/>
  <c r="AG738" i="10"/>
  <c r="AG739" i="10"/>
  <c r="AG740" i="10"/>
  <c r="AG741" i="10"/>
  <c r="AG742" i="10"/>
  <c r="AG743" i="10"/>
  <c r="AG744" i="10"/>
  <c r="AG745" i="10"/>
  <c r="AG746" i="10"/>
  <c r="AG747" i="10"/>
  <c r="AG748" i="10"/>
  <c r="AG749" i="10"/>
  <c r="AG750" i="10"/>
  <c r="AG751" i="10"/>
  <c r="AG752" i="10"/>
  <c r="AG753" i="10"/>
  <c r="AG754" i="10"/>
  <c r="AG755" i="10"/>
  <c r="AG756" i="10"/>
  <c r="AG757" i="10"/>
  <c r="AG758" i="10"/>
  <c r="AG759" i="10"/>
  <c r="AG760" i="10"/>
  <c r="AG761" i="10"/>
  <c r="AG762" i="10"/>
  <c r="AG763" i="10"/>
  <c r="AG764" i="10"/>
  <c r="AG765" i="10"/>
  <c r="AG766" i="10"/>
  <c r="AG767" i="10"/>
  <c r="AG768" i="10"/>
  <c r="AG769" i="10"/>
  <c r="AG770" i="10"/>
  <c r="AG771" i="10"/>
  <c r="AG772" i="10"/>
  <c r="AG773" i="10"/>
  <c r="AG774" i="10"/>
  <c r="AG775" i="10"/>
  <c r="AG776" i="10"/>
  <c r="AG777" i="10"/>
  <c r="AG778" i="10"/>
  <c r="AG779" i="10"/>
  <c r="AG780" i="10"/>
  <c r="AG781" i="10"/>
  <c r="AG782" i="10"/>
  <c r="AG783" i="10"/>
  <c r="AG784" i="10"/>
  <c r="AG785" i="10"/>
  <c r="AG786" i="10"/>
  <c r="AG787" i="10"/>
  <c r="AG788" i="10"/>
  <c r="AG789" i="10"/>
  <c r="AG790" i="10"/>
  <c r="AG791" i="10"/>
  <c r="AG792" i="10"/>
  <c r="AG793" i="10"/>
  <c r="AG794" i="10"/>
  <c r="AG795" i="10"/>
  <c r="AG796" i="10"/>
  <c r="AG797" i="10"/>
  <c r="AG798" i="10"/>
  <c r="AG799" i="10"/>
  <c r="AG800" i="10"/>
  <c r="AG801" i="10"/>
  <c r="AG802" i="10"/>
  <c r="AG803" i="10"/>
  <c r="AG804" i="10"/>
  <c r="AG805" i="10"/>
  <c r="AG806" i="10"/>
  <c r="AG807" i="10"/>
  <c r="AG808" i="10"/>
  <c r="AG809" i="10"/>
  <c r="AG810" i="10"/>
  <c r="AG811" i="10"/>
  <c r="AG812" i="10"/>
  <c r="AG813" i="10"/>
  <c r="AG814" i="10"/>
  <c r="AG815" i="10"/>
  <c r="AG816" i="10"/>
  <c r="AG817" i="10"/>
  <c r="AG818" i="10"/>
  <c r="AG819" i="10"/>
  <c r="AG820" i="10"/>
  <c r="AG821" i="10"/>
  <c r="AG822" i="10"/>
  <c r="AG823" i="10"/>
  <c r="AG824" i="10"/>
  <c r="AG825" i="10"/>
  <c r="AG826" i="10"/>
  <c r="AG827" i="10"/>
  <c r="AG828" i="10"/>
  <c r="AG829" i="10"/>
  <c r="AG830" i="10"/>
  <c r="AG831" i="10"/>
  <c r="AG832" i="10"/>
  <c r="AG833" i="10"/>
  <c r="AG834" i="10"/>
  <c r="AG835" i="10"/>
  <c r="AG836" i="10"/>
  <c r="AG837" i="10"/>
  <c r="AG838" i="10"/>
  <c r="AG839" i="10"/>
  <c r="AG840" i="10"/>
  <c r="AG841" i="10"/>
  <c r="AG842" i="10"/>
  <c r="AG843" i="10"/>
  <c r="AG844" i="10"/>
  <c r="AG845" i="10"/>
  <c r="AG846" i="10"/>
  <c r="AG847" i="10"/>
  <c r="AG848" i="10"/>
  <c r="AG849" i="10"/>
  <c r="AG850" i="10"/>
  <c r="AG851" i="10"/>
  <c r="AG852" i="10"/>
  <c r="AG853" i="10"/>
  <c r="AG854" i="10"/>
  <c r="AG855" i="10"/>
  <c r="AG856" i="10"/>
  <c r="AG857" i="10"/>
  <c r="AG858" i="10"/>
  <c r="AG859" i="10"/>
  <c r="AG860" i="10"/>
  <c r="AG861" i="10"/>
  <c r="AG862" i="10"/>
  <c r="AG863" i="10"/>
  <c r="AG864" i="10"/>
  <c r="AG865" i="10"/>
  <c r="AG866" i="10"/>
  <c r="AG867" i="10"/>
  <c r="AG868" i="10"/>
  <c r="AG869" i="10"/>
  <c r="AG870" i="10"/>
  <c r="AG871" i="10"/>
  <c r="AG872" i="10"/>
  <c r="AG873" i="10"/>
  <c r="AG874" i="10"/>
  <c r="AG875" i="10"/>
  <c r="AG876" i="10"/>
  <c r="AG877" i="10"/>
  <c r="AG878" i="10"/>
  <c r="AG879" i="10"/>
  <c r="AG880" i="10"/>
  <c r="AG881" i="10"/>
  <c r="AG882" i="10"/>
  <c r="AG883" i="10"/>
  <c r="AG884" i="10"/>
  <c r="AG885" i="10"/>
  <c r="AG886" i="10"/>
  <c r="AG887" i="10"/>
  <c r="AG888" i="10"/>
  <c r="AF6" i="10"/>
  <c r="AF7" i="10"/>
  <c r="AF8" i="10"/>
  <c r="AF9" i="10"/>
  <c r="AF10" i="10"/>
  <c r="AF11" i="10"/>
  <c r="AF12" i="10"/>
  <c r="AF13" i="10"/>
  <c r="AF14" i="10"/>
  <c r="AF15" i="10"/>
  <c r="AF16" i="10"/>
  <c r="AF17" i="10"/>
  <c r="AF18" i="10"/>
  <c r="AF19" i="10"/>
  <c r="AF20" i="10"/>
  <c r="AF21" i="10"/>
  <c r="AF22" i="10"/>
  <c r="AF23" i="10"/>
  <c r="AF24" i="10"/>
  <c r="AF25" i="10"/>
  <c r="AF26" i="10"/>
  <c r="AF27" i="10"/>
  <c r="AF28" i="10"/>
  <c r="AF29" i="10"/>
  <c r="AF30" i="10"/>
  <c r="AF31" i="10"/>
  <c r="AF32" i="10"/>
  <c r="AF33" i="10"/>
  <c r="AF34" i="10"/>
  <c r="AF35" i="10"/>
  <c r="AF36" i="10"/>
  <c r="AF37" i="10"/>
  <c r="AF38" i="10"/>
  <c r="AF39" i="10"/>
  <c r="AF40" i="10"/>
  <c r="AF41" i="10"/>
  <c r="AF42" i="10"/>
  <c r="AF43" i="10"/>
  <c r="AF44" i="10"/>
  <c r="AF45" i="10"/>
  <c r="AF46" i="10"/>
  <c r="AF47" i="10"/>
  <c r="AF48" i="10"/>
  <c r="AF49" i="10"/>
  <c r="AF50" i="10"/>
  <c r="AF51" i="10"/>
  <c r="AF52" i="10"/>
  <c r="AF53" i="10"/>
  <c r="AF54" i="10"/>
  <c r="AF55" i="10"/>
  <c r="AF56" i="10"/>
  <c r="AF57" i="10"/>
  <c r="AF58" i="10"/>
  <c r="AF59" i="10"/>
  <c r="AF60" i="10"/>
  <c r="AF61" i="10"/>
  <c r="AF62" i="10"/>
  <c r="AF63" i="10"/>
  <c r="AF64" i="10"/>
  <c r="AF65" i="10"/>
  <c r="AF66" i="10"/>
  <c r="AF67" i="10"/>
  <c r="AF68" i="10"/>
  <c r="AF69" i="10"/>
  <c r="AF70" i="10"/>
  <c r="AF71" i="10"/>
  <c r="AF72" i="10"/>
  <c r="AF73" i="10"/>
  <c r="AF74" i="10"/>
  <c r="AF75" i="10"/>
  <c r="AF76" i="10"/>
  <c r="AF77" i="10"/>
  <c r="AF78" i="10"/>
  <c r="AF79" i="10"/>
  <c r="AF80" i="10"/>
  <c r="AF81" i="10"/>
  <c r="AF82" i="10"/>
  <c r="AF83" i="10"/>
  <c r="AF84" i="10"/>
  <c r="AF85" i="10"/>
  <c r="AF86" i="10"/>
  <c r="AF87" i="10"/>
  <c r="AF88" i="10"/>
  <c r="AF89" i="10"/>
  <c r="AF90" i="10"/>
  <c r="AF91" i="10"/>
  <c r="AF92" i="10"/>
  <c r="AF93" i="10"/>
  <c r="AF94" i="10"/>
  <c r="AF95" i="10"/>
  <c r="AF96" i="10"/>
  <c r="AF97" i="10"/>
  <c r="AF98" i="10"/>
  <c r="AF99" i="10"/>
  <c r="AF100" i="10"/>
  <c r="AF101" i="10"/>
  <c r="AF102" i="10"/>
  <c r="AF103" i="10"/>
  <c r="AF104" i="10"/>
  <c r="AF105" i="10"/>
  <c r="AF106" i="10"/>
  <c r="AF107" i="10"/>
  <c r="AF108" i="10"/>
  <c r="AF109" i="10"/>
  <c r="AF110" i="10"/>
  <c r="AF111" i="10"/>
  <c r="AF112" i="10"/>
  <c r="AF113" i="10"/>
  <c r="AF114" i="10"/>
  <c r="AF115" i="10"/>
  <c r="AF116" i="10"/>
  <c r="AF117" i="10"/>
  <c r="AF118" i="10"/>
  <c r="AF119" i="10"/>
  <c r="AF120" i="10"/>
  <c r="AF121" i="10"/>
  <c r="AF122" i="10"/>
  <c r="AF123" i="10"/>
  <c r="AF124" i="10"/>
  <c r="AF125" i="10"/>
  <c r="AF126" i="10"/>
  <c r="AF127" i="10"/>
  <c r="AF128" i="10"/>
  <c r="AF129" i="10"/>
  <c r="AF130" i="10"/>
  <c r="AF131" i="10"/>
  <c r="AF132" i="10"/>
  <c r="AF133" i="10"/>
  <c r="AF134" i="10"/>
  <c r="AF135" i="10"/>
  <c r="AF136" i="10"/>
  <c r="AF137" i="10"/>
  <c r="AF138" i="10"/>
  <c r="AF139" i="10"/>
  <c r="AF140" i="10"/>
  <c r="AF141" i="10"/>
  <c r="AF142" i="10"/>
  <c r="AF143" i="10"/>
  <c r="AF144" i="10"/>
  <c r="AF145" i="10"/>
  <c r="AF146" i="10"/>
  <c r="AF147" i="10"/>
  <c r="AF148" i="10"/>
  <c r="AF149" i="10"/>
  <c r="AF150" i="10"/>
  <c r="AF151" i="10"/>
  <c r="AF152" i="10"/>
  <c r="AF153" i="10"/>
  <c r="AF154" i="10"/>
  <c r="AF155" i="10"/>
  <c r="AF156" i="10"/>
  <c r="AF157" i="10"/>
  <c r="AF158" i="10"/>
  <c r="AF159" i="10"/>
  <c r="AF160" i="10"/>
  <c r="AF161" i="10"/>
  <c r="AF162" i="10"/>
  <c r="AF163" i="10"/>
  <c r="AF164" i="10"/>
  <c r="AF165" i="10"/>
  <c r="AF166" i="10"/>
  <c r="AF167" i="10"/>
  <c r="AF168" i="10"/>
  <c r="AF169" i="10"/>
  <c r="AF170" i="10"/>
  <c r="AF171" i="10"/>
  <c r="AF172" i="10"/>
  <c r="AF173" i="10"/>
  <c r="AF174" i="10"/>
  <c r="AF175" i="10"/>
  <c r="AF176" i="10"/>
  <c r="AF177" i="10"/>
  <c r="AF178" i="10"/>
  <c r="AF179" i="10"/>
  <c r="AF180" i="10"/>
  <c r="AF181" i="10"/>
  <c r="AF182" i="10"/>
  <c r="AF183" i="10"/>
  <c r="AF184" i="10"/>
  <c r="AF185" i="10"/>
  <c r="AF186" i="10"/>
  <c r="AF187" i="10"/>
  <c r="AF188" i="10"/>
  <c r="AF189" i="10"/>
  <c r="AF190" i="10"/>
  <c r="AF191" i="10"/>
  <c r="AF192" i="10"/>
  <c r="AF193" i="10"/>
  <c r="AF194" i="10"/>
  <c r="AF195" i="10"/>
  <c r="AF196" i="10"/>
  <c r="AF197" i="10"/>
  <c r="AF198" i="10"/>
  <c r="AF199" i="10"/>
  <c r="AF200" i="10"/>
  <c r="AF201" i="10"/>
  <c r="AF202" i="10"/>
  <c r="AF203" i="10"/>
  <c r="AF204" i="10"/>
  <c r="AF205" i="10"/>
  <c r="AF206" i="10"/>
  <c r="AF207" i="10"/>
  <c r="AF208" i="10"/>
  <c r="AF209" i="10"/>
  <c r="AF210" i="10"/>
  <c r="AF211" i="10"/>
  <c r="AF212" i="10"/>
  <c r="AF213" i="10"/>
  <c r="AF214" i="10"/>
  <c r="AF215" i="10"/>
  <c r="AF216" i="10"/>
  <c r="AF217" i="10"/>
  <c r="AF218" i="10"/>
  <c r="AF219" i="10"/>
  <c r="AF220" i="10"/>
  <c r="AF221" i="10"/>
  <c r="AF222" i="10"/>
  <c r="AF223" i="10"/>
  <c r="AF224" i="10"/>
  <c r="AF225" i="10"/>
  <c r="AF226" i="10"/>
  <c r="AF227" i="10"/>
  <c r="AF228" i="10"/>
  <c r="AF229" i="10"/>
  <c r="AF230" i="10"/>
  <c r="AF231" i="10"/>
  <c r="AF232" i="10"/>
  <c r="AF233" i="10"/>
  <c r="AF234" i="10"/>
  <c r="AF235" i="10"/>
  <c r="AF236" i="10"/>
  <c r="AF237" i="10"/>
  <c r="AF238" i="10"/>
  <c r="AF239" i="10"/>
  <c r="AF240" i="10"/>
  <c r="AF241" i="10"/>
  <c r="AF242" i="10"/>
  <c r="AF243" i="10"/>
  <c r="AF244" i="10"/>
  <c r="AF245" i="10"/>
  <c r="AF246" i="10"/>
  <c r="AF247" i="10"/>
  <c r="AF248" i="10"/>
  <c r="AF249" i="10"/>
  <c r="AF250" i="10"/>
  <c r="AF251" i="10"/>
  <c r="AF252" i="10"/>
  <c r="AF253" i="10"/>
  <c r="AF254" i="10"/>
  <c r="AF255" i="10"/>
  <c r="AF256" i="10"/>
  <c r="AF257" i="10"/>
  <c r="AF258" i="10"/>
  <c r="AF259" i="10"/>
  <c r="AF260" i="10"/>
  <c r="AF261" i="10"/>
  <c r="AF262" i="10"/>
  <c r="AF263" i="10"/>
  <c r="AF264" i="10"/>
  <c r="AF265" i="10"/>
  <c r="AF266" i="10"/>
  <c r="AF267" i="10"/>
  <c r="AF268" i="10"/>
  <c r="AF269" i="10"/>
  <c r="AF270" i="10"/>
  <c r="AF271" i="10"/>
  <c r="AF272" i="10"/>
  <c r="AF273" i="10"/>
  <c r="AF274" i="10"/>
  <c r="AF275" i="10"/>
  <c r="AF276" i="10"/>
  <c r="AF277" i="10"/>
  <c r="AF278" i="10"/>
  <c r="AF279" i="10"/>
  <c r="AF280" i="10"/>
  <c r="AF281" i="10"/>
  <c r="AF282" i="10"/>
  <c r="AF283" i="10"/>
  <c r="AF284" i="10"/>
  <c r="AF285" i="10"/>
  <c r="AF286" i="10"/>
  <c r="AF287" i="10"/>
  <c r="AF288" i="10"/>
  <c r="AF289" i="10"/>
  <c r="AF290" i="10"/>
  <c r="AF291" i="10"/>
  <c r="AF292" i="10"/>
  <c r="AF293" i="10"/>
  <c r="AF294" i="10"/>
  <c r="AF295" i="10"/>
  <c r="AF296" i="10"/>
  <c r="AF297" i="10"/>
  <c r="AF298" i="10"/>
  <c r="AF299" i="10"/>
  <c r="AF300" i="10"/>
  <c r="AF301" i="10"/>
  <c r="AF302" i="10"/>
  <c r="AF303" i="10"/>
  <c r="AF304" i="10"/>
  <c r="AF305" i="10"/>
  <c r="AF306" i="10"/>
  <c r="AF307" i="10"/>
  <c r="AF308" i="10"/>
  <c r="AF309" i="10"/>
  <c r="AF310" i="10"/>
  <c r="AF311" i="10"/>
  <c r="AF312" i="10"/>
  <c r="AF313" i="10"/>
  <c r="AF314" i="10"/>
  <c r="AF315" i="10"/>
  <c r="AF316" i="10"/>
  <c r="AF317" i="10"/>
  <c r="AF318" i="10"/>
  <c r="AF319" i="10"/>
  <c r="AF320" i="10"/>
  <c r="AF321" i="10"/>
  <c r="AF322" i="10"/>
  <c r="AF323" i="10"/>
  <c r="AF324" i="10"/>
  <c r="AF325" i="10"/>
  <c r="AF326" i="10"/>
  <c r="AF327" i="10"/>
  <c r="AF328" i="10"/>
  <c r="AF329" i="10"/>
  <c r="AF330" i="10"/>
  <c r="AF331" i="10"/>
  <c r="AF332" i="10"/>
  <c r="AF333" i="10"/>
  <c r="AF334" i="10"/>
  <c r="AF335" i="10"/>
  <c r="AF336" i="10"/>
  <c r="AF337" i="10"/>
  <c r="AF338" i="10"/>
  <c r="AF339" i="10"/>
  <c r="AF340" i="10"/>
  <c r="AF341" i="10"/>
  <c r="AF342" i="10"/>
  <c r="AF343" i="10"/>
  <c r="AF344" i="10"/>
  <c r="AF345" i="10"/>
  <c r="AF346" i="10"/>
  <c r="AF347" i="10"/>
  <c r="AF348" i="10"/>
  <c r="AF349" i="10"/>
  <c r="AF350" i="10"/>
  <c r="AF351" i="10"/>
  <c r="AF352" i="10"/>
  <c r="AF353" i="10"/>
  <c r="AF354" i="10"/>
  <c r="AF355" i="10"/>
  <c r="AF356" i="10"/>
  <c r="AF357" i="10"/>
  <c r="AF358" i="10"/>
  <c r="AF359" i="10"/>
  <c r="AF360" i="10"/>
  <c r="AF361" i="10"/>
  <c r="AF362" i="10"/>
  <c r="AF363" i="10"/>
  <c r="AF364" i="10"/>
  <c r="AF365" i="10"/>
  <c r="AF366" i="10"/>
  <c r="AF367" i="10"/>
  <c r="AF368" i="10"/>
  <c r="AF369" i="10"/>
  <c r="AF370" i="10"/>
  <c r="AF371" i="10"/>
  <c r="AF372" i="10"/>
  <c r="AF373" i="10"/>
  <c r="AF374" i="10"/>
  <c r="AF375" i="10"/>
  <c r="AF376" i="10"/>
  <c r="AF377" i="10"/>
  <c r="AF378" i="10"/>
  <c r="AF379" i="10"/>
  <c r="AF380" i="10"/>
  <c r="AF381" i="10"/>
  <c r="AF382" i="10"/>
  <c r="AF383" i="10"/>
  <c r="AF384" i="10"/>
  <c r="AF385" i="10"/>
  <c r="AF386" i="10"/>
  <c r="AF387" i="10"/>
  <c r="AF388" i="10"/>
  <c r="AF389" i="10"/>
  <c r="AF390" i="10"/>
  <c r="AF391" i="10"/>
  <c r="AF392" i="10"/>
  <c r="AF393" i="10"/>
  <c r="AF394" i="10"/>
  <c r="AF395" i="10"/>
  <c r="AF396" i="10"/>
  <c r="AF397" i="10"/>
  <c r="AF398" i="10"/>
  <c r="AF399" i="10"/>
  <c r="AF400" i="10"/>
  <c r="AF401" i="10"/>
  <c r="AF402" i="10"/>
  <c r="AF403" i="10"/>
  <c r="AF404" i="10"/>
  <c r="AF405" i="10"/>
  <c r="AF406" i="10"/>
  <c r="AF407" i="10"/>
  <c r="AF408" i="10"/>
  <c r="AF409" i="10"/>
  <c r="AF410" i="10"/>
  <c r="AF411" i="10"/>
  <c r="AF412" i="10"/>
  <c r="AF413" i="10"/>
  <c r="AF414" i="10"/>
  <c r="AF415" i="10"/>
  <c r="AF416" i="10"/>
  <c r="AF417" i="10"/>
  <c r="AF418" i="10"/>
  <c r="AF419" i="10"/>
  <c r="AF420" i="10"/>
  <c r="AF421" i="10"/>
  <c r="AF422" i="10"/>
  <c r="AF423" i="10"/>
  <c r="AF424" i="10"/>
  <c r="AF425" i="10"/>
  <c r="AF426" i="10"/>
  <c r="AF427" i="10"/>
  <c r="AF428" i="10"/>
  <c r="AF429" i="10"/>
  <c r="AF430" i="10"/>
  <c r="AF431" i="10"/>
  <c r="AF432" i="10"/>
  <c r="AF433" i="10"/>
  <c r="AF434" i="10"/>
  <c r="AF435" i="10"/>
  <c r="AF436" i="10"/>
  <c r="AF437" i="10"/>
  <c r="AF438" i="10"/>
  <c r="AF439" i="10"/>
  <c r="AF440" i="10"/>
  <c r="AF441" i="10"/>
  <c r="AF442" i="10"/>
  <c r="AF443" i="10"/>
  <c r="AF444" i="10"/>
  <c r="AF445" i="10"/>
  <c r="AF446" i="10"/>
  <c r="AF447" i="10"/>
  <c r="AF448" i="10"/>
  <c r="AF449" i="10"/>
  <c r="AF450" i="10"/>
  <c r="AF451" i="10"/>
  <c r="AF452" i="10"/>
  <c r="AF453" i="10"/>
  <c r="AF454" i="10"/>
  <c r="AF455" i="10"/>
  <c r="AF456" i="10"/>
  <c r="AF457" i="10"/>
  <c r="AF458" i="10"/>
  <c r="AF459" i="10"/>
  <c r="AF460" i="10"/>
  <c r="AF461" i="10"/>
  <c r="AF462" i="10"/>
  <c r="AF463" i="10"/>
  <c r="AF464" i="10"/>
  <c r="AF465" i="10"/>
  <c r="AF466" i="10"/>
  <c r="AF467" i="10"/>
  <c r="AF468" i="10"/>
  <c r="AF469" i="10"/>
  <c r="AF470" i="10"/>
  <c r="AF471" i="10"/>
  <c r="AF472" i="10"/>
  <c r="AF473" i="10"/>
  <c r="AF474" i="10"/>
  <c r="AF475" i="10"/>
  <c r="AF476" i="10"/>
  <c r="AF477" i="10"/>
  <c r="AF478" i="10"/>
  <c r="AF479" i="10"/>
  <c r="AF480" i="10"/>
  <c r="AF481" i="10"/>
  <c r="AF482" i="10"/>
  <c r="AF483" i="10"/>
  <c r="AF484" i="10"/>
  <c r="AF485" i="10"/>
  <c r="AF486" i="10"/>
  <c r="AF487" i="10"/>
  <c r="AF488" i="10"/>
  <c r="AF489" i="10"/>
  <c r="AF490" i="10"/>
  <c r="AF491" i="10"/>
  <c r="AF492" i="10"/>
  <c r="AF493" i="10"/>
  <c r="AF494" i="10"/>
  <c r="AF495" i="10"/>
  <c r="AF496" i="10"/>
  <c r="AF497" i="10"/>
  <c r="AF498" i="10"/>
  <c r="AF499" i="10"/>
  <c r="AF500" i="10"/>
  <c r="AF501" i="10"/>
  <c r="AF502" i="10"/>
  <c r="AF503" i="10"/>
  <c r="AF504" i="10"/>
  <c r="AF505" i="10"/>
  <c r="AF506" i="10"/>
  <c r="AF507" i="10"/>
  <c r="AF508" i="10"/>
  <c r="AF509" i="10"/>
  <c r="AF510" i="10"/>
  <c r="AF511" i="10"/>
  <c r="AF512" i="10"/>
  <c r="AF513" i="10"/>
  <c r="AF514" i="10"/>
  <c r="AF515" i="10"/>
  <c r="AF516" i="10"/>
  <c r="AF517" i="10"/>
  <c r="AF518" i="10"/>
  <c r="AF519" i="10"/>
  <c r="AF520" i="10"/>
  <c r="AF521" i="10"/>
  <c r="AF522" i="10"/>
  <c r="AF523" i="10"/>
  <c r="AF524" i="10"/>
  <c r="AF525" i="10"/>
  <c r="AF526" i="10"/>
  <c r="AF527" i="10"/>
  <c r="AF528" i="10"/>
  <c r="AF529" i="10"/>
  <c r="AF530" i="10"/>
  <c r="AF531" i="10"/>
  <c r="AF532" i="10"/>
  <c r="AF533" i="10"/>
  <c r="AF534" i="10"/>
  <c r="AF535" i="10"/>
  <c r="AF536" i="10"/>
  <c r="AF537" i="10"/>
  <c r="AF538" i="10"/>
  <c r="AF539" i="10"/>
  <c r="AF540" i="10"/>
  <c r="AF541" i="10"/>
  <c r="AF542" i="10"/>
  <c r="AF543" i="10"/>
  <c r="AF544" i="10"/>
  <c r="AF545" i="10"/>
  <c r="AF546" i="10"/>
  <c r="AF547" i="10"/>
  <c r="AF548" i="10"/>
  <c r="AF549" i="10"/>
  <c r="AF550" i="10"/>
  <c r="AF551" i="10"/>
  <c r="AF552" i="10"/>
  <c r="AF553" i="10"/>
  <c r="AF554" i="10"/>
  <c r="AF555" i="10"/>
  <c r="AF556" i="10"/>
  <c r="AF557" i="10"/>
  <c r="AF558" i="10"/>
  <c r="AF559" i="10"/>
  <c r="AF560" i="10"/>
  <c r="AF561" i="10"/>
  <c r="AF562" i="10"/>
  <c r="AF563" i="10"/>
  <c r="AF564" i="10"/>
  <c r="AF565" i="10"/>
  <c r="AF566" i="10"/>
  <c r="AF567" i="10"/>
  <c r="AF568" i="10"/>
  <c r="AF569" i="10"/>
  <c r="AF570" i="10"/>
  <c r="AF571" i="10"/>
  <c r="AF572" i="10"/>
  <c r="AF573" i="10"/>
  <c r="AF574" i="10"/>
  <c r="AF575" i="10"/>
  <c r="AF576" i="10"/>
  <c r="AF577" i="10"/>
  <c r="AF578" i="10"/>
  <c r="AF579" i="10"/>
  <c r="AF580" i="10"/>
  <c r="AF581" i="10"/>
  <c r="AF582" i="10"/>
  <c r="AF583" i="10"/>
  <c r="AF584" i="10"/>
  <c r="AF585" i="10"/>
  <c r="AF586" i="10"/>
  <c r="AF587" i="10"/>
  <c r="AF588" i="10"/>
  <c r="AF589" i="10"/>
  <c r="AF590" i="10"/>
  <c r="AF591" i="10"/>
  <c r="AF592" i="10"/>
  <c r="AF593" i="10"/>
  <c r="AF594" i="10"/>
  <c r="AF595" i="10"/>
  <c r="AF596" i="10"/>
  <c r="AF597" i="10"/>
  <c r="AF598" i="10"/>
  <c r="AF599" i="10"/>
  <c r="AF600" i="10"/>
  <c r="AF601" i="10"/>
  <c r="AF602" i="10"/>
  <c r="AF603" i="10"/>
  <c r="AF604" i="10"/>
  <c r="AF605" i="10"/>
  <c r="AF606" i="10"/>
  <c r="AF607" i="10"/>
  <c r="AF608" i="10"/>
  <c r="AF609" i="10"/>
  <c r="AF610" i="10"/>
  <c r="AF611" i="10"/>
  <c r="AF612" i="10"/>
  <c r="AF613" i="10"/>
  <c r="AF614" i="10"/>
  <c r="AF615" i="10"/>
  <c r="AF616" i="10"/>
  <c r="AF617" i="10"/>
  <c r="AF618" i="10"/>
  <c r="AF619" i="10"/>
  <c r="AF620" i="10"/>
  <c r="AF621" i="10"/>
  <c r="AF622" i="10"/>
  <c r="AF623" i="10"/>
  <c r="AF624" i="10"/>
  <c r="AF625" i="10"/>
  <c r="AF626" i="10"/>
  <c r="AF627" i="10"/>
  <c r="AF628" i="10"/>
  <c r="AF629" i="10"/>
  <c r="AF630" i="10"/>
  <c r="AF631" i="10"/>
  <c r="AF632" i="10"/>
  <c r="AF633" i="10"/>
  <c r="AF634" i="10"/>
  <c r="AF635" i="10"/>
  <c r="AF636" i="10"/>
  <c r="AF637" i="10"/>
  <c r="AF638" i="10"/>
  <c r="AF639" i="10"/>
  <c r="AF640" i="10"/>
  <c r="AF641" i="10"/>
  <c r="AF642" i="10"/>
  <c r="AF643" i="10"/>
  <c r="AF644" i="10"/>
  <c r="AF645" i="10"/>
  <c r="AF646" i="10"/>
  <c r="AF647" i="10"/>
  <c r="AF648" i="10"/>
  <c r="AF649" i="10"/>
  <c r="AF650" i="10"/>
  <c r="AF651" i="10"/>
  <c r="AF652" i="10"/>
  <c r="AF653" i="10"/>
  <c r="AF654" i="10"/>
  <c r="AF655" i="10"/>
  <c r="AF656" i="10"/>
  <c r="AF657" i="10"/>
  <c r="AF658" i="10"/>
  <c r="AF659" i="10"/>
  <c r="AF660" i="10"/>
  <c r="AF661" i="10"/>
  <c r="AF662" i="10"/>
  <c r="AF663" i="10"/>
  <c r="AF664" i="10"/>
  <c r="AF665" i="10"/>
  <c r="AF666" i="10"/>
  <c r="AF667" i="10"/>
  <c r="AF668" i="10"/>
  <c r="AF669" i="10"/>
  <c r="AF670" i="10"/>
  <c r="AF671" i="10"/>
  <c r="AF672" i="10"/>
  <c r="AF673" i="10"/>
  <c r="AF674" i="10"/>
  <c r="AF675" i="10"/>
  <c r="AF676" i="10"/>
  <c r="AF677" i="10"/>
  <c r="AF678" i="10"/>
  <c r="AF679" i="10"/>
  <c r="AF680" i="10"/>
  <c r="AF681" i="10"/>
  <c r="AF682" i="10"/>
  <c r="AF683" i="10"/>
  <c r="AF684" i="10"/>
  <c r="AF685" i="10"/>
  <c r="AF686" i="10"/>
  <c r="AF687" i="10"/>
  <c r="AF688" i="10"/>
  <c r="AF689" i="10"/>
  <c r="AF690" i="10"/>
  <c r="AF691" i="10"/>
  <c r="AF692" i="10"/>
  <c r="AF693" i="10"/>
  <c r="AF694" i="10"/>
  <c r="AF695" i="10"/>
  <c r="AF696" i="10"/>
  <c r="AF697" i="10"/>
  <c r="AF698" i="10"/>
  <c r="AF699" i="10"/>
  <c r="AF700" i="10"/>
  <c r="AF701" i="10"/>
  <c r="AF702" i="10"/>
  <c r="AF703" i="10"/>
  <c r="AF704" i="10"/>
  <c r="AF705" i="10"/>
  <c r="AF706" i="10"/>
  <c r="AF707" i="10"/>
  <c r="AF708" i="10"/>
  <c r="AF709" i="10"/>
  <c r="AF710" i="10"/>
  <c r="AF711" i="10"/>
  <c r="AF712" i="10"/>
  <c r="AF713" i="10"/>
  <c r="AF714" i="10"/>
  <c r="AF715" i="10"/>
  <c r="AF716" i="10"/>
  <c r="AF717" i="10"/>
  <c r="AF718" i="10"/>
  <c r="AF719" i="10"/>
  <c r="AF720" i="10"/>
  <c r="AF721" i="10"/>
  <c r="AF722" i="10"/>
  <c r="AF723" i="10"/>
  <c r="AF724" i="10"/>
  <c r="AF725" i="10"/>
  <c r="AF726" i="10"/>
  <c r="AF727" i="10"/>
  <c r="AF728" i="10"/>
  <c r="AF729" i="10"/>
  <c r="AF730" i="10"/>
  <c r="AF731" i="10"/>
  <c r="AF732" i="10"/>
  <c r="AF733" i="10"/>
  <c r="AF734" i="10"/>
  <c r="AF735" i="10"/>
  <c r="AF736" i="10"/>
  <c r="AF737" i="10"/>
  <c r="AF738" i="10"/>
  <c r="AF739" i="10"/>
  <c r="AF740" i="10"/>
  <c r="AF741" i="10"/>
  <c r="AF742" i="10"/>
  <c r="AF743" i="10"/>
  <c r="AF744" i="10"/>
  <c r="AF745" i="10"/>
  <c r="AF746" i="10"/>
  <c r="AF747" i="10"/>
  <c r="AF748" i="10"/>
  <c r="AF749" i="10"/>
  <c r="AF750" i="10"/>
  <c r="AF751" i="10"/>
  <c r="AF752" i="10"/>
  <c r="AF753" i="10"/>
  <c r="AF754" i="10"/>
  <c r="AF755" i="10"/>
  <c r="AF756" i="10"/>
  <c r="AF757" i="10"/>
  <c r="AF758" i="10"/>
  <c r="AF759" i="10"/>
  <c r="AF760" i="10"/>
  <c r="AF761" i="10"/>
  <c r="AF762" i="10"/>
  <c r="AF763" i="10"/>
  <c r="AF764" i="10"/>
  <c r="AF765" i="10"/>
  <c r="AF766" i="10"/>
  <c r="AF767" i="10"/>
  <c r="AF768" i="10"/>
  <c r="AF769" i="10"/>
  <c r="AF770" i="10"/>
  <c r="AF771" i="10"/>
  <c r="AF772" i="10"/>
  <c r="AF773" i="10"/>
  <c r="AF774" i="10"/>
  <c r="AF775" i="10"/>
  <c r="AF776" i="10"/>
  <c r="AF777" i="10"/>
  <c r="AF778" i="10"/>
  <c r="AF779" i="10"/>
  <c r="AF780" i="10"/>
  <c r="AF781" i="10"/>
  <c r="AF782" i="10"/>
  <c r="AF783" i="10"/>
  <c r="AF784" i="10"/>
  <c r="AF785" i="10"/>
  <c r="AF786" i="10"/>
  <c r="AF787" i="10"/>
  <c r="AF788" i="10"/>
  <c r="AF789" i="10"/>
  <c r="AF790" i="10"/>
  <c r="AF791" i="10"/>
  <c r="AF792" i="10"/>
  <c r="AF793" i="10"/>
  <c r="AF794" i="10"/>
  <c r="AF795" i="10"/>
  <c r="AF796" i="10"/>
  <c r="AF797" i="10"/>
  <c r="AF798" i="10"/>
  <c r="AF799" i="10"/>
  <c r="AF800" i="10"/>
  <c r="AF801" i="10"/>
  <c r="AF802" i="10"/>
  <c r="AF803" i="10"/>
  <c r="AF804" i="10"/>
  <c r="AF805" i="10"/>
  <c r="AF806" i="10"/>
  <c r="AF807" i="10"/>
  <c r="AF808" i="10"/>
  <c r="AF809" i="10"/>
  <c r="AF810" i="10"/>
  <c r="AF811" i="10"/>
  <c r="AF812" i="10"/>
  <c r="AF813" i="10"/>
  <c r="AF814" i="10"/>
  <c r="AF815" i="10"/>
  <c r="AF816" i="10"/>
  <c r="AF817" i="10"/>
  <c r="AF818" i="10"/>
  <c r="AF819" i="10"/>
  <c r="AF820" i="10"/>
  <c r="AF821" i="10"/>
  <c r="AF822" i="10"/>
  <c r="AF823" i="10"/>
  <c r="AF824" i="10"/>
  <c r="AF825" i="10"/>
  <c r="AF826" i="10"/>
  <c r="AF827" i="10"/>
  <c r="AF828" i="10"/>
  <c r="AF829" i="10"/>
  <c r="AF830" i="10"/>
  <c r="AF831" i="10"/>
  <c r="AF832" i="10"/>
  <c r="AF833" i="10"/>
  <c r="AF834" i="10"/>
  <c r="AF835" i="10"/>
  <c r="AF836" i="10"/>
  <c r="AF837" i="10"/>
  <c r="AF838" i="10"/>
  <c r="AF839" i="10"/>
  <c r="AF840" i="10"/>
  <c r="AF841" i="10"/>
  <c r="AF842" i="10"/>
  <c r="AF843" i="10"/>
  <c r="AF844" i="10"/>
  <c r="AF845" i="10"/>
  <c r="AF846" i="10"/>
  <c r="AF847" i="10"/>
  <c r="AF848" i="10"/>
  <c r="AF849" i="10"/>
  <c r="AF850" i="10"/>
  <c r="AF851" i="10"/>
  <c r="AF852" i="10"/>
  <c r="AF853" i="10"/>
  <c r="AF854" i="10"/>
  <c r="AF855" i="10"/>
  <c r="AF856" i="10"/>
  <c r="AF857" i="10"/>
  <c r="AF858" i="10"/>
  <c r="AF859" i="10"/>
  <c r="AF860" i="10"/>
  <c r="AF861" i="10"/>
  <c r="AF862" i="10"/>
  <c r="AF863" i="10"/>
  <c r="AF864" i="10"/>
  <c r="AF865" i="10"/>
  <c r="AF866" i="10"/>
  <c r="AF867" i="10"/>
  <c r="AF868" i="10"/>
  <c r="AF869" i="10"/>
  <c r="AF870" i="10"/>
  <c r="AF871" i="10"/>
  <c r="AF872" i="10"/>
  <c r="AF873" i="10"/>
  <c r="AF874" i="10"/>
  <c r="AF875" i="10"/>
  <c r="AF876" i="10"/>
  <c r="AF877" i="10"/>
  <c r="AF878" i="10"/>
  <c r="AF879" i="10"/>
  <c r="AF880" i="10"/>
  <c r="AF881" i="10"/>
  <c r="AF882" i="10"/>
  <c r="AF883" i="10"/>
  <c r="AF884" i="10"/>
  <c r="AF885" i="10"/>
  <c r="AF886" i="10"/>
  <c r="AF887" i="10"/>
  <c r="AF888" i="10"/>
  <c r="AC6" i="10"/>
  <c r="AE6" i="10"/>
  <c r="AE7" i="10"/>
  <c r="AE8" i="10"/>
  <c r="AE9" i="10"/>
  <c r="AE10" i="10"/>
  <c r="AE11" i="10"/>
  <c r="AE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E42" i="10"/>
  <c r="AE43" i="10"/>
  <c r="AE44" i="10"/>
  <c r="AE45" i="10"/>
  <c r="AE46" i="10"/>
  <c r="AE47" i="10"/>
  <c r="AE48" i="10"/>
  <c r="AE49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AE73" i="10"/>
  <c r="AE74" i="10"/>
  <c r="AE75" i="10"/>
  <c r="AE76" i="10"/>
  <c r="AE77" i="10"/>
  <c r="AE78" i="10"/>
  <c r="AE79" i="10"/>
  <c r="AE80" i="10"/>
  <c r="AE81" i="10"/>
  <c r="AE82" i="10"/>
  <c r="AE83" i="10"/>
  <c r="AE84" i="10"/>
  <c r="AE85" i="10"/>
  <c r="AE86" i="10"/>
  <c r="AE87" i="10"/>
  <c r="AE88" i="10"/>
  <c r="AE89" i="10"/>
  <c r="AE90" i="10"/>
  <c r="AE91" i="10"/>
  <c r="AE92" i="10"/>
  <c r="AE93" i="10"/>
  <c r="AE94" i="10"/>
  <c r="AE95" i="10"/>
  <c r="AE96" i="10"/>
  <c r="AE97" i="10"/>
  <c r="AE98" i="10"/>
  <c r="AE99" i="10"/>
  <c r="AE100" i="10"/>
  <c r="AE101" i="10"/>
  <c r="AE102" i="10"/>
  <c r="AE103" i="10"/>
  <c r="AE104" i="10"/>
  <c r="AE105" i="10"/>
  <c r="AE106" i="10"/>
  <c r="AE107" i="10"/>
  <c r="AE108" i="10"/>
  <c r="AE109" i="10"/>
  <c r="AE110" i="10"/>
  <c r="AE111" i="10"/>
  <c r="AE112" i="10"/>
  <c r="AE113" i="10"/>
  <c r="AE114" i="10"/>
  <c r="AE115" i="10"/>
  <c r="AE116" i="10"/>
  <c r="AE117" i="10"/>
  <c r="AE118" i="10"/>
  <c r="AE119" i="10"/>
  <c r="AE120" i="10"/>
  <c r="AE121" i="10"/>
  <c r="AE122" i="10"/>
  <c r="AE123" i="10"/>
  <c r="AE124" i="10"/>
  <c r="AE125" i="10"/>
  <c r="AE126" i="10"/>
  <c r="AE127" i="10"/>
  <c r="AE128" i="10"/>
  <c r="AE129" i="10"/>
  <c r="AE130" i="10"/>
  <c r="AE131" i="10"/>
  <c r="AE132" i="10"/>
  <c r="AE133" i="10"/>
  <c r="AE134" i="10"/>
  <c r="AE135" i="10"/>
  <c r="AE136" i="10"/>
  <c r="AE137" i="10"/>
  <c r="AE138" i="10"/>
  <c r="AE139" i="10"/>
  <c r="AE140" i="10"/>
  <c r="AE141" i="10"/>
  <c r="AE142" i="10"/>
  <c r="AE143" i="10"/>
  <c r="AE144" i="10"/>
  <c r="AE145" i="10"/>
  <c r="AE146" i="10"/>
  <c r="AE147" i="10"/>
  <c r="AE148" i="10"/>
  <c r="AE149" i="10"/>
  <c r="AE150" i="10"/>
  <c r="AE151" i="10"/>
  <c r="AE152" i="10"/>
  <c r="AE153" i="10"/>
  <c r="AE154" i="10"/>
  <c r="AE155" i="10"/>
  <c r="AE156" i="10"/>
  <c r="AE157" i="10"/>
  <c r="AE158" i="10"/>
  <c r="AE159" i="10"/>
  <c r="AE160" i="10"/>
  <c r="AE161" i="10"/>
  <c r="AE162" i="10"/>
  <c r="AE163" i="10"/>
  <c r="AE164" i="10"/>
  <c r="AE165" i="10"/>
  <c r="AE166" i="10"/>
  <c r="AE167" i="10"/>
  <c r="AE168" i="10"/>
  <c r="AE169" i="10"/>
  <c r="AE170" i="10"/>
  <c r="AE171" i="10"/>
  <c r="AE172" i="10"/>
  <c r="AE173" i="10"/>
  <c r="AE174" i="10"/>
  <c r="AE175" i="10"/>
  <c r="AE176" i="10"/>
  <c r="AE177" i="10"/>
  <c r="AE178" i="10"/>
  <c r="AE179" i="10"/>
  <c r="AE180" i="10"/>
  <c r="AE181" i="10"/>
  <c r="AE182" i="10"/>
  <c r="AE183" i="10"/>
  <c r="AE184" i="10"/>
  <c r="AE185" i="10"/>
  <c r="AE186" i="10"/>
  <c r="AE187" i="10"/>
  <c r="AE188" i="10"/>
  <c r="AE189" i="10"/>
  <c r="AE190" i="10"/>
  <c r="AE191" i="10"/>
  <c r="AE192" i="10"/>
  <c r="AE193" i="10"/>
  <c r="AE194" i="10"/>
  <c r="AE195" i="10"/>
  <c r="AE196" i="10"/>
  <c r="AE197" i="10"/>
  <c r="AE198" i="10"/>
  <c r="AE199" i="10"/>
  <c r="AE200" i="10"/>
  <c r="AE201" i="10"/>
  <c r="AE202" i="10"/>
  <c r="AE203" i="10"/>
  <c r="AE204" i="10"/>
  <c r="AE205" i="10"/>
  <c r="AE206" i="10"/>
  <c r="AE207" i="10"/>
  <c r="AE208" i="10"/>
  <c r="AE209" i="10"/>
  <c r="AE210" i="10"/>
  <c r="AE211" i="10"/>
  <c r="AE212" i="10"/>
  <c r="AE213" i="10"/>
  <c r="AE214" i="10"/>
  <c r="AE215" i="10"/>
  <c r="AE216" i="10"/>
  <c r="AE217" i="10"/>
  <c r="AE218" i="10"/>
  <c r="AE219" i="10"/>
  <c r="AE220" i="10"/>
  <c r="AE221" i="10"/>
  <c r="AE222" i="10"/>
  <c r="AE223" i="10"/>
  <c r="AE224" i="10"/>
  <c r="AE225" i="10"/>
  <c r="AE226" i="10"/>
  <c r="AE227" i="10"/>
  <c r="AE228" i="10"/>
  <c r="AE229" i="10"/>
  <c r="AE230" i="10"/>
  <c r="AE231" i="10"/>
  <c r="AE232" i="10"/>
  <c r="AE233" i="10"/>
  <c r="AE234" i="10"/>
  <c r="AE235" i="10"/>
  <c r="AE236" i="10"/>
  <c r="AE237" i="10"/>
  <c r="AE238" i="10"/>
  <c r="AE239" i="10"/>
  <c r="AE240" i="10"/>
  <c r="AE241" i="10"/>
  <c r="AE242" i="10"/>
  <c r="AE243" i="10"/>
  <c r="AE244" i="10"/>
  <c r="AE245" i="10"/>
  <c r="AE246" i="10"/>
  <c r="AE247" i="10"/>
  <c r="AE248" i="10"/>
  <c r="AE249" i="10"/>
  <c r="AE250" i="10"/>
  <c r="AE251" i="10"/>
  <c r="AE252" i="10"/>
  <c r="AE253" i="10"/>
  <c r="AE254" i="10"/>
  <c r="AE255" i="10"/>
  <c r="AE256" i="10"/>
  <c r="AE257" i="10"/>
  <c r="AE258" i="10"/>
  <c r="AE259" i="10"/>
  <c r="AE260" i="10"/>
  <c r="AE261" i="10"/>
  <c r="AE262" i="10"/>
  <c r="AE263" i="10"/>
  <c r="AE264" i="10"/>
  <c r="AE265" i="10"/>
  <c r="AE266" i="10"/>
  <c r="AE267" i="10"/>
  <c r="AE268" i="10"/>
  <c r="AE269" i="10"/>
  <c r="AE270" i="10"/>
  <c r="AE271" i="10"/>
  <c r="AE272" i="10"/>
  <c r="AE273" i="10"/>
  <c r="AE274" i="10"/>
  <c r="AE275" i="10"/>
  <c r="AE276" i="10"/>
  <c r="AE277" i="10"/>
  <c r="AE278" i="10"/>
  <c r="AE279" i="10"/>
  <c r="AE280" i="10"/>
  <c r="AE281" i="10"/>
  <c r="AE282" i="10"/>
  <c r="AE283" i="10"/>
  <c r="AE284" i="10"/>
  <c r="AE285" i="10"/>
  <c r="AE286" i="10"/>
  <c r="AE287" i="10"/>
  <c r="AE288" i="10"/>
  <c r="AE289" i="10"/>
  <c r="AE290" i="10"/>
  <c r="AE291" i="10"/>
  <c r="AE292" i="10"/>
  <c r="AE293" i="10"/>
  <c r="AE294" i="10"/>
  <c r="AE295" i="10"/>
  <c r="AE296" i="10"/>
  <c r="AE297" i="10"/>
  <c r="AE298" i="10"/>
  <c r="AE299" i="10"/>
  <c r="AE300" i="10"/>
  <c r="AE301" i="10"/>
  <c r="AE302" i="10"/>
  <c r="AE303" i="10"/>
  <c r="AE304" i="10"/>
  <c r="AE305" i="10"/>
  <c r="AE306" i="10"/>
  <c r="AE307" i="10"/>
  <c r="AE308" i="10"/>
  <c r="AE309" i="10"/>
  <c r="AE310" i="10"/>
  <c r="AE311" i="10"/>
  <c r="AE312" i="10"/>
  <c r="AE313" i="10"/>
  <c r="AE314" i="10"/>
  <c r="AE315" i="10"/>
  <c r="AE316" i="10"/>
  <c r="AE317" i="10"/>
  <c r="AE318" i="10"/>
  <c r="AE319" i="10"/>
  <c r="AE320" i="10"/>
  <c r="AE321" i="10"/>
  <c r="AE322" i="10"/>
  <c r="AE323" i="10"/>
  <c r="AE324" i="10"/>
  <c r="AE325" i="10"/>
  <c r="AE326" i="10"/>
  <c r="AE327" i="10"/>
  <c r="AE328" i="10"/>
  <c r="AE329" i="10"/>
  <c r="AE330" i="10"/>
  <c r="AE331" i="10"/>
  <c r="AE332" i="10"/>
  <c r="AE333" i="10"/>
  <c r="AE334" i="10"/>
  <c r="AE335" i="10"/>
  <c r="AE336" i="10"/>
  <c r="AE337" i="10"/>
  <c r="AE338" i="10"/>
  <c r="AE339" i="10"/>
  <c r="AE340" i="10"/>
  <c r="AE341" i="10"/>
  <c r="AE342" i="10"/>
  <c r="AE343" i="10"/>
  <c r="AE344" i="10"/>
  <c r="AE345" i="10"/>
  <c r="AE346" i="10"/>
  <c r="AE347" i="10"/>
  <c r="AE348" i="10"/>
  <c r="AE349" i="10"/>
  <c r="AE350" i="10"/>
  <c r="AE351" i="10"/>
  <c r="AE352" i="10"/>
  <c r="AE353" i="10"/>
  <c r="AE354" i="10"/>
  <c r="AE355" i="10"/>
  <c r="AE356" i="10"/>
  <c r="AE357" i="10"/>
  <c r="AE358" i="10"/>
  <c r="AE359" i="10"/>
  <c r="AE360" i="10"/>
  <c r="AE361" i="10"/>
  <c r="AE362" i="10"/>
  <c r="AE363" i="10"/>
  <c r="AE364" i="10"/>
  <c r="AE365" i="10"/>
  <c r="AE366" i="10"/>
  <c r="AE367" i="10"/>
  <c r="AE368" i="10"/>
  <c r="AE369" i="10"/>
  <c r="AE370" i="10"/>
  <c r="AE371" i="10"/>
  <c r="AE372" i="10"/>
  <c r="AE373" i="10"/>
  <c r="AE374" i="10"/>
  <c r="AE375" i="10"/>
  <c r="AE376" i="10"/>
  <c r="AE377" i="10"/>
  <c r="AE378" i="10"/>
  <c r="AE379" i="10"/>
  <c r="AE380" i="10"/>
  <c r="AE381" i="10"/>
  <c r="AE382" i="10"/>
  <c r="AE383" i="10"/>
  <c r="AE384" i="10"/>
  <c r="AE385" i="10"/>
  <c r="AE386" i="10"/>
  <c r="AE387" i="10"/>
  <c r="AE388" i="10"/>
  <c r="AE389" i="10"/>
  <c r="AE390" i="10"/>
  <c r="AE391" i="10"/>
  <c r="AE392" i="10"/>
  <c r="AE393" i="10"/>
  <c r="AE394" i="10"/>
  <c r="AE395" i="10"/>
  <c r="AE396" i="10"/>
  <c r="AE397" i="10"/>
  <c r="AE398" i="10"/>
  <c r="AE399" i="10"/>
  <c r="AE400" i="10"/>
  <c r="AE401" i="10"/>
  <c r="AE402" i="10"/>
  <c r="AE403" i="10"/>
  <c r="AE404" i="10"/>
  <c r="AE405" i="10"/>
  <c r="AE406" i="10"/>
  <c r="AE407" i="10"/>
  <c r="AE408" i="10"/>
  <c r="AE409" i="10"/>
  <c r="AE410" i="10"/>
  <c r="AE411" i="10"/>
  <c r="AE412" i="10"/>
  <c r="AE413" i="10"/>
  <c r="AE414" i="10"/>
  <c r="AE415" i="10"/>
  <c r="AE416" i="10"/>
  <c r="AE417" i="10"/>
  <c r="AE418" i="10"/>
  <c r="AE419" i="10"/>
  <c r="AE420" i="10"/>
  <c r="AE421" i="10"/>
  <c r="AE422" i="10"/>
  <c r="AE423" i="10"/>
  <c r="AE424" i="10"/>
  <c r="AE425" i="10"/>
  <c r="AE426" i="10"/>
  <c r="AE427" i="10"/>
  <c r="AE428" i="10"/>
  <c r="AE429" i="10"/>
  <c r="AE430" i="10"/>
  <c r="AE431" i="10"/>
  <c r="AE432" i="10"/>
  <c r="AE433" i="10"/>
  <c r="AE434" i="10"/>
  <c r="AE435" i="10"/>
  <c r="AE436" i="10"/>
  <c r="AE437" i="10"/>
  <c r="AE438" i="10"/>
  <c r="AE439" i="10"/>
  <c r="AE440" i="10"/>
  <c r="AE441" i="10"/>
  <c r="AE442" i="10"/>
  <c r="AE443" i="10"/>
  <c r="AE444" i="10"/>
  <c r="AE445" i="10"/>
  <c r="AE446" i="10"/>
  <c r="AE447" i="10"/>
  <c r="AE448" i="10"/>
  <c r="AE449" i="10"/>
  <c r="AE450" i="10"/>
  <c r="AE451" i="10"/>
  <c r="AE452" i="10"/>
  <c r="AE453" i="10"/>
  <c r="AE454" i="10"/>
  <c r="AE455" i="10"/>
  <c r="AE456" i="10"/>
  <c r="AE457" i="10"/>
  <c r="AE458" i="10"/>
  <c r="AE459" i="10"/>
  <c r="AE460" i="10"/>
  <c r="AE461" i="10"/>
  <c r="AE462" i="10"/>
  <c r="AE463" i="10"/>
  <c r="AE464" i="10"/>
  <c r="AE465" i="10"/>
  <c r="AE466" i="10"/>
  <c r="AE467" i="10"/>
  <c r="AE468" i="10"/>
  <c r="AE469" i="10"/>
  <c r="AE470" i="10"/>
  <c r="AE471" i="10"/>
  <c r="AE472" i="10"/>
  <c r="AE473" i="10"/>
  <c r="AE474" i="10"/>
  <c r="AE475" i="10"/>
  <c r="AE476" i="10"/>
  <c r="AE477" i="10"/>
  <c r="AE478" i="10"/>
  <c r="AE479" i="10"/>
  <c r="AE480" i="10"/>
  <c r="AE481" i="10"/>
  <c r="AE482" i="10"/>
  <c r="AE483" i="10"/>
  <c r="AE484" i="10"/>
  <c r="AE485" i="10"/>
  <c r="AE486" i="10"/>
  <c r="AE487" i="10"/>
  <c r="AE488" i="10"/>
  <c r="AE489" i="10"/>
  <c r="AE490" i="10"/>
  <c r="AE491" i="10"/>
  <c r="AE492" i="10"/>
  <c r="AE493" i="10"/>
  <c r="AE494" i="10"/>
  <c r="AE495" i="10"/>
  <c r="AE496" i="10"/>
  <c r="AE497" i="10"/>
  <c r="AE498" i="10"/>
  <c r="AE499" i="10"/>
  <c r="AE500" i="10"/>
  <c r="AE501" i="10"/>
  <c r="AE502" i="10"/>
  <c r="AE503" i="10"/>
  <c r="AE504" i="10"/>
  <c r="AE505" i="10"/>
  <c r="AE506" i="10"/>
  <c r="AE507" i="10"/>
  <c r="AE508" i="10"/>
  <c r="AE509" i="10"/>
  <c r="AE510" i="10"/>
  <c r="AE511" i="10"/>
  <c r="AE512" i="10"/>
  <c r="AE513" i="10"/>
  <c r="AE514" i="10"/>
  <c r="AE515" i="10"/>
  <c r="AE516" i="10"/>
  <c r="AE517" i="10"/>
  <c r="AE518" i="10"/>
  <c r="AE519" i="10"/>
  <c r="AE520" i="10"/>
  <c r="AE521" i="10"/>
  <c r="AE522" i="10"/>
  <c r="AE523" i="10"/>
  <c r="AE524" i="10"/>
  <c r="AE525" i="10"/>
  <c r="AE526" i="10"/>
  <c r="AE527" i="10"/>
  <c r="AE528" i="10"/>
  <c r="AE529" i="10"/>
  <c r="AE530" i="10"/>
  <c r="AE531" i="10"/>
  <c r="AE532" i="10"/>
  <c r="AE533" i="10"/>
  <c r="AE534" i="10"/>
  <c r="AE535" i="10"/>
  <c r="AE536" i="10"/>
  <c r="AE537" i="10"/>
  <c r="AE538" i="10"/>
  <c r="AE539" i="10"/>
  <c r="AE540" i="10"/>
  <c r="AE541" i="10"/>
  <c r="AE542" i="10"/>
  <c r="AE543" i="10"/>
  <c r="AE544" i="10"/>
  <c r="AE545" i="10"/>
  <c r="AE546" i="10"/>
  <c r="AE547" i="10"/>
  <c r="AE548" i="10"/>
  <c r="AE549" i="10"/>
  <c r="AE550" i="10"/>
  <c r="AE551" i="10"/>
  <c r="AE552" i="10"/>
  <c r="AE553" i="10"/>
  <c r="AE554" i="10"/>
  <c r="AE555" i="10"/>
  <c r="AE556" i="10"/>
  <c r="AE557" i="10"/>
  <c r="AE558" i="10"/>
  <c r="AE559" i="10"/>
  <c r="AE560" i="10"/>
  <c r="AE561" i="10"/>
  <c r="AE562" i="10"/>
  <c r="AE563" i="10"/>
  <c r="AE564" i="10"/>
  <c r="AE565" i="10"/>
  <c r="AE566" i="10"/>
  <c r="AE567" i="10"/>
  <c r="AE568" i="10"/>
  <c r="AE569" i="10"/>
  <c r="AE570" i="10"/>
  <c r="AE571" i="10"/>
  <c r="AE572" i="10"/>
  <c r="AE573" i="10"/>
  <c r="AE574" i="10"/>
  <c r="AE575" i="10"/>
  <c r="AE576" i="10"/>
  <c r="AE577" i="10"/>
  <c r="AE578" i="10"/>
  <c r="AE579" i="10"/>
  <c r="AE580" i="10"/>
  <c r="AE581" i="10"/>
  <c r="AE582" i="10"/>
  <c r="AE583" i="10"/>
  <c r="AE584" i="10"/>
  <c r="AE585" i="10"/>
  <c r="AE586" i="10"/>
  <c r="AE587" i="10"/>
  <c r="AE588" i="10"/>
  <c r="AE589" i="10"/>
  <c r="AE590" i="10"/>
  <c r="AE591" i="10"/>
  <c r="AE592" i="10"/>
  <c r="AE593" i="10"/>
  <c r="AE594" i="10"/>
  <c r="AE595" i="10"/>
  <c r="AE596" i="10"/>
  <c r="AE597" i="10"/>
  <c r="AE598" i="10"/>
  <c r="AE599" i="10"/>
  <c r="AE600" i="10"/>
  <c r="AE601" i="10"/>
  <c r="AE602" i="10"/>
  <c r="AE603" i="10"/>
  <c r="AE604" i="10"/>
  <c r="AE605" i="10"/>
  <c r="AE606" i="10"/>
  <c r="AE607" i="10"/>
  <c r="AE608" i="10"/>
  <c r="AE609" i="10"/>
  <c r="AE610" i="10"/>
  <c r="AE611" i="10"/>
  <c r="AE612" i="10"/>
  <c r="AE613" i="10"/>
  <c r="AE614" i="10"/>
  <c r="AE615" i="10"/>
  <c r="AE616" i="10"/>
  <c r="AE617" i="10"/>
  <c r="AE618" i="10"/>
  <c r="AE619" i="10"/>
  <c r="AE620" i="10"/>
  <c r="AE621" i="10"/>
  <c r="AE622" i="10"/>
  <c r="AE623" i="10"/>
  <c r="AE624" i="10"/>
  <c r="AE625" i="10"/>
  <c r="AE626" i="10"/>
  <c r="AE627" i="10"/>
  <c r="AE628" i="10"/>
  <c r="AE629" i="10"/>
  <c r="AE630" i="10"/>
  <c r="AE631" i="10"/>
  <c r="AE632" i="10"/>
  <c r="AE633" i="10"/>
  <c r="AE634" i="10"/>
  <c r="AE635" i="10"/>
  <c r="AE636" i="10"/>
  <c r="AE637" i="10"/>
  <c r="AE638" i="10"/>
  <c r="AE639" i="10"/>
  <c r="AE640" i="10"/>
  <c r="AE641" i="10"/>
  <c r="AE642" i="10"/>
  <c r="AE643" i="10"/>
  <c r="AE644" i="10"/>
  <c r="AE645" i="10"/>
  <c r="AE646" i="10"/>
  <c r="AE647" i="10"/>
  <c r="AE648" i="10"/>
  <c r="AE649" i="10"/>
  <c r="AE650" i="10"/>
  <c r="AE651" i="10"/>
  <c r="AE652" i="10"/>
  <c r="AE653" i="10"/>
  <c r="AE654" i="10"/>
  <c r="AE655" i="10"/>
  <c r="AE656" i="10"/>
  <c r="AE657" i="10"/>
  <c r="AE658" i="10"/>
  <c r="AE659" i="10"/>
  <c r="AE660" i="10"/>
  <c r="AE661" i="10"/>
  <c r="AE662" i="10"/>
  <c r="AE663" i="10"/>
  <c r="AE664" i="10"/>
  <c r="AE665" i="10"/>
  <c r="AE666" i="10"/>
  <c r="AE667" i="10"/>
  <c r="AE668" i="10"/>
  <c r="AE669" i="10"/>
  <c r="AE670" i="10"/>
  <c r="AE671" i="10"/>
  <c r="AE672" i="10"/>
  <c r="AE673" i="10"/>
  <c r="AE674" i="10"/>
  <c r="AE675" i="10"/>
  <c r="AE676" i="10"/>
  <c r="AE677" i="10"/>
  <c r="AE678" i="10"/>
  <c r="AE679" i="10"/>
  <c r="AE680" i="10"/>
  <c r="AE681" i="10"/>
  <c r="AE682" i="10"/>
  <c r="AE683" i="10"/>
  <c r="AE684" i="10"/>
  <c r="AE685" i="10"/>
  <c r="AE686" i="10"/>
  <c r="AE687" i="10"/>
  <c r="AE688" i="10"/>
  <c r="AE689" i="10"/>
  <c r="AE690" i="10"/>
  <c r="AE691" i="10"/>
  <c r="AE692" i="10"/>
  <c r="AE693" i="10"/>
  <c r="AE694" i="10"/>
  <c r="AE695" i="10"/>
  <c r="AE696" i="10"/>
  <c r="AE697" i="10"/>
  <c r="AE698" i="10"/>
  <c r="AE699" i="10"/>
  <c r="AE700" i="10"/>
  <c r="AE701" i="10"/>
  <c r="AE702" i="10"/>
  <c r="AE703" i="10"/>
  <c r="AE704" i="10"/>
  <c r="AE705" i="10"/>
  <c r="AE706" i="10"/>
  <c r="AE707" i="10"/>
  <c r="AE708" i="10"/>
  <c r="AE709" i="10"/>
  <c r="AE710" i="10"/>
  <c r="AE711" i="10"/>
  <c r="AE712" i="10"/>
  <c r="AE713" i="10"/>
  <c r="AE714" i="10"/>
  <c r="AE715" i="10"/>
  <c r="AE716" i="10"/>
  <c r="AE717" i="10"/>
  <c r="AE718" i="10"/>
  <c r="AE719" i="10"/>
  <c r="AE720" i="10"/>
  <c r="AE721" i="10"/>
  <c r="AE722" i="10"/>
  <c r="AE723" i="10"/>
  <c r="AE724" i="10"/>
  <c r="AE725" i="10"/>
  <c r="AE726" i="10"/>
  <c r="AE727" i="10"/>
  <c r="AE728" i="10"/>
  <c r="AE729" i="10"/>
  <c r="AE730" i="10"/>
  <c r="AE731" i="10"/>
  <c r="AE732" i="10"/>
  <c r="AE733" i="10"/>
  <c r="AE734" i="10"/>
  <c r="AE735" i="10"/>
  <c r="AE736" i="10"/>
  <c r="AE737" i="10"/>
  <c r="AE738" i="10"/>
  <c r="AE739" i="10"/>
  <c r="AE740" i="10"/>
  <c r="AE741" i="10"/>
  <c r="AE742" i="10"/>
  <c r="AE743" i="10"/>
  <c r="AE744" i="10"/>
  <c r="AE745" i="10"/>
  <c r="AE746" i="10"/>
  <c r="AE747" i="10"/>
  <c r="AE748" i="10"/>
  <c r="AE749" i="10"/>
  <c r="AE750" i="10"/>
  <c r="AE751" i="10"/>
  <c r="AE752" i="10"/>
  <c r="AE753" i="10"/>
  <c r="AE754" i="10"/>
  <c r="AE755" i="10"/>
  <c r="AE756" i="10"/>
  <c r="AE757" i="10"/>
  <c r="AE758" i="10"/>
  <c r="AE759" i="10"/>
  <c r="AE760" i="10"/>
  <c r="AE761" i="10"/>
  <c r="AE762" i="10"/>
  <c r="AE763" i="10"/>
  <c r="AE764" i="10"/>
  <c r="AE765" i="10"/>
  <c r="AE766" i="10"/>
  <c r="AE767" i="10"/>
  <c r="AE768" i="10"/>
  <c r="AE769" i="10"/>
  <c r="AE770" i="10"/>
  <c r="AE771" i="10"/>
  <c r="AE772" i="10"/>
  <c r="AE773" i="10"/>
  <c r="AE774" i="10"/>
  <c r="AE775" i="10"/>
  <c r="AE776" i="10"/>
  <c r="AE777" i="10"/>
  <c r="AE778" i="10"/>
  <c r="AE779" i="10"/>
  <c r="AE780" i="10"/>
  <c r="AE781" i="10"/>
  <c r="AE782" i="10"/>
  <c r="AE783" i="10"/>
  <c r="AE784" i="10"/>
  <c r="AE785" i="10"/>
  <c r="AE786" i="10"/>
  <c r="AE787" i="10"/>
  <c r="AE788" i="10"/>
  <c r="AE789" i="10"/>
  <c r="AE790" i="10"/>
  <c r="AE791" i="10"/>
  <c r="AE792" i="10"/>
  <c r="AE793" i="10"/>
  <c r="AE794" i="10"/>
  <c r="AE795" i="10"/>
  <c r="AE796" i="10"/>
  <c r="AE797" i="10"/>
  <c r="AE798" i="10"/>
  <c r="AE799" i="10"/>
  <c r="AE800" i="10"/>
  <c r="AE801" i="10"/>
  <c r="AE802" i="10"/>
  <c r="AE803" i="10"/>
  <c r="AE804" i="10"/>
  <c r="AE805" i="10"/>
  <c r="AE806" i="10"/>
  <c r="AE807" i="10"/>
  <c r="AE808" i="10"/>
  <c r="AE809" i="10"/>
  <c r="AE810" i="10"/>
  <c r="AE811" i="10"/>
  <c r="AE812" i="10"/>
  <c r="AE813" i="10"/>
  <c r="AE814" i="10"/>
  <c r="AE815" i="10"/>
  <c r="AE816" i="10"/>
  <c r="AE817" i="10"/>
  <c r="AE818" i="10"/>
  <c r="AE819" i="10"/>
  <c r="AE820" i="10"/>
  <c r="AE821" i="10"/>
  <c r="AE822" i="10"/>
  <c r="AE823" i="10"/>
  <c r="AE824" i="10"/>
  <c r="AE825" i="10"/>
  <c r="AE826" i="10"/>
  <c r="AE827" i="10"/>
  <c r="AE828" i="10"/>
  <c r="AE829" i="10"/>
  <c r="AE830" i="10"/>
  <c r="AE831" i="10"/>
  <c r="AE832" i="10"/>
  <c r="AE833" i="10"/>
  <c r="AE834" i="10"/>
  <c r="AE835" i="10"/>
  <c r="AE836" i="10"/>
  <c r="AE837" i="10"/>
  <c r="AE838" i="10"/>
  <c r="AE839" i="10"/>
  <c r="AE840" i="10"/>
  <c r="AE841" i="10"/>
  <c r="AE842" i="10"/>
  <c r="AE843" i="10"/>
  <c r="AE844" i="10"/>
  <c r="AE845" i="10"/>
  <c r="AE846" i="10"/>
  <c r="AE847" i="10"/>
  <c r="AE848" i="10"/>
  <c r="AE849" i="10"/>
  <c r="AE850" i="10"/>
  <c r="AE851" i="10"/>
  <c r="AE852" i="10"/>
  <c r="AE853" i="10"/>
  <c r="AE854" i="10"/>
  <c r="AE855" i="10"/>
  <c r="AE856" i="10"/>
  <c r="AE857" i="10"/>
  <c r="AE858" i="10"/>
  <c r="AE859" i="10"/>
  <c r="AE860" i="10"/>
  <c r="AE861" i="10"/>
  <c r="AE862" i="10"/>
  <c r="AE863" i="10"/>
  <c r="AE864" i="10"/>
  <c r="AE865" i="10"/>
  <c r="AE866" i="10"/>
  <c r="AE867" i="10"/>
  <c r="AE868" i="10"/>
  <c r="AE869" i="10"/>
  <c r="AE870" i="10"/>
  <c r="AE871" i="10"/>
  <c r="AE872" i="10"/>
  <c r="AE873" i="10"/>
  <c r="AE874" i="10"/>
  <c r="AE875" i="10"/>
  <c r="AE876" i="10"/>
  <c r="AE877" i="10"/>
  <c r="AE878" i="10"/>
  <c r="AE879" i="10"/>
  <c r="AE880" i="10"/>
  <c r="AE881" i="10"/>
  <c r="AE882" i="10"/>
  <c r="AE883" i="10"/>
  <c r="AE884" i="10"/>
  <c r="AE885" i="10"/>
  <c r="AE886" i="10"/>
  <c r="AE887" i="10"/>
  <c r="AE888" i="10"/>
  <c r="AD6" i="10"/>
  <c r="AD7" i="10"/>
  <c r="AD8" i="10"/>
  <c r="AD9" i="10"/>
  <c r="AD10" i="10"/>
  <c r="AD11" i="10"/>
  <c r="AD12" i="10"/>
  <c r="AD13" i="10"/>
  <c r="AD14" i="10"/>
  <c r="AD15" i="10"/>
  <c r="AD16" i="10"/>
  <c r="AD17" i="10"/>
  <c r="AD18" i="10"/>
  <c r="AD19" i="10"/>
  <c r="AD20" i="10"/>
  <c r="AD21" i="10"/>
  <c r="AD22" i="10"/>
  <c r="AD23" i="10"/>
  <c r="AD24" i="10"/>
  <c r="AD25" i="10"/>
  <c r="AD26" i="10"/>
  <c r="AD27" i="10"/>
  <c r="AD28" i="10"/>
  <c r="AD29" i="10"/>
  <c r="AD30" i="10"/>
  <c r="AD31" i="10"/>
  <c r="AD32" i="10"/>
  <c r="AD33" i="10"/>
  <c r="AD34" i="10"/>
  <c r="AD35" i="10"/>
  <c r="AD36" i="10"/>
  <c r="AD37" i="10"/>
  <c r="AD38" i="10"/>
  <c r="AD39" i="10"/>
  <c r="AD40" i="10"/>
  <c r="AD41" i="10"/>
  <c r="AD42" i="10"/>
  <c r="AD43" i="10"/>
  <c r="AD44" i="10"/>
  <c r="AD45" i="10"/>
  <c r="AD46" i="10"/>
  <c r="AD47" i="10"/>
  <c r="AD48" i="10"/>
  <c r="AD49" i="10"/>
  <c r="AD50" i="10"/>
  <c r="AD51" i="10"/>
  <c r="AD52" i="10"/>
  <c r="AD53" i="10"/>
  <c r="AD54" i="10"/>
  <c r="AD55" i="10"/>
  <c r="AD56" i="10"/>
  <c r="AD57" i="10"/>
  <c r="AD58" i="10"/>
  <c r="AD59" i="10"/>
  <c r="AD60" i="10"/>
  <c r="AD61" i="10"/>
  <c r="AD62" i="10"/>
  <c r="AD63" i="10"/>
  <c r="AD64" i="10"/>
  <c r="AD65" i="10"/>
  <c r="AD66" i="10"/>
  <c r="AD67" i="10"/>
  <c r="AD68" i="10"/>
  <c r="AD69" i="10"/>
  <c r="AD70" i="10"/>
  <c r="AD71" i="10"/>
  <c r="AD72" i="10"/>
  <c r="AD73" i="10"/>
  <c r="AD74" i="10"/>
  <c r="AD75" i="10"/>
  <c r="AD76" i="10"/>
  <c r="AD77" i="10"/>
  <c r="AD78" i="10"/>
  <c r="AD79" i="10"/>
  <c r="AD80" i="10"/>
  <c r="AD81" i="10"/>
  <c r="AD82" i="10"/>
  <c r="AD83" i="10"/>
  <c r="AD84" i="10"/>
  <c r="AD85" i="10"/>
  <c r="AD86" i="10"/>
  <c r="AD87" i="10"/>
  <c r="AD88" i="10"/>
  <c r="AD89" i="10"/>
  <c r="AD90" i="10"/>
  <c r="AD91" i="10"/>
  <c r="AD92" i="10"/>
  <c r="AD93" i="10"/>
  <c r="AD94" i="10"/>
  <c r="AD95" i="10"/>
  <c r="AD96" i="10"/>
  <c r="AD97" i="10"/>
  <c r="AD98" i="10"/>
  <c r="AD99" i="10"/>
  <c r="AD100" i="10"/>
  <c r="AD101" i="10"/>
  <c r="AD102" i="10"/>
  <c r="AD103" i="10"/>
  <c r="AD104" i="10"/>
  <c r="AD105" i="10"/>
  <c r="AD106" i="10"/>
  <c r="AD107" i="10"/>
  <c r="AD108" i="10"/>
  <c r="AD109" i="10"/>
  <c r="AD110" i="10"/>
  <c r="AD111" i="10"/>
  <c r="AD112" i="10"/>
  <c r="AD113" i="10"/>
  <c r="AD114" i="10"/>
  <c r="AD115" i="10"/>
  <c r="AD116" i="10"/>
  <c r="AD117" i="10"/>
  <c r="AD118" i="10"/>
  <c r="AD119" i="10"/>
  <c r="AD120" i="10"/>
  <c r="AD121" i="10"/>
  <c r="AD122" i="10"/>
  <c r="AD123" i="10"/>
  <c r="AD124" i="10"/>
  <c r="AD125" i="10"/>
  <c r="AD126" i="10"/>
  <c r="AD127" i="10"/>
  <c r="AD128" i="10"/>
  <c r="AD129" i="10"/>
  <c r="AD130" i="10"/>
  <c r="AD131" i="10"/>
  <c r="AD132" i="10"/>
  <c r="AD133" i="10"/>
  <c r="AD134" i="10"/>
  <c r="AD135" i="10"/>
  <c r="AD136" i="10"/>
  <c r="AD137" i="10"/>
  <c r="AD138" i="10"/>
  <c r="AD139" i="10"/>
  <c r="AD140" i="10"/>
  <c r="AD141" i="10"/>
  <c r="AD142" i="10"/>
  <c r="AD143" i="10"/>
  <c r="AD144" i="10"/>
  <c r="AD145" i="10"/>
  <c r="AD146" i="10"/>
  <c r="AD147" i="10"/>
  <c r="AD148" i="10"/>
  <c r="AD149" i="10"/>
  <c r="AD150" i="10"/>
  <c r="AD151" i="10"/>
  <c r="AD152" i="10"/>
  <c r="AD153" i="10"/>
  <c r="AD154" i="10"/>
  <c r="AD155" i="10"/>
  <c r="AD156" i="10"/>
  <c r="AD157" i="10"/>
  <c r="AD158" i="10"/>
  <c r="AD159" i="10"/>
  <c r="AD160" i="10"/>
  <c r="AD161" i="10"/>
  <c r="AD162" i="10"/>
  <c r="AD163" i="10"/>
  <c r="AD164" i="10"/>
  <c r="AD165" i="10"/>
  <c r="AD166" i="10"/>
  <c r="AD167" i="10"/>
  <c r="AD168" i="10"/>
  <c r="AD169" i="10"/>
  <c r="AD170" i="10"/>
  <c r="AD171" i="10"/>
  <c r="AD172" i="10"/>
  <c r="AD173" i="10"/>
  <c r="AD174" i="10"/>
  <c r="AD175" i="10"/>
  <c r="AD176" i="10"/>
  <c r="AD177" i="10"/>
  <c r="AD178" i="10"/>
  <c r="AD179" i="10"/>
  <c r="AD180" i="10"/>
  <c r="AD181" i="10"/>
  <c r="AD182" i="10"/>
  <c r="AD183" i="10"/>
  <c r="AD184" i="10"/>
  <c r="AD185" i="10"/>
  <c r="AD186" i="10"/>
  <c r="AD187" i="10"/>
  <c r="AD188" i="10"/>
  <c r="AD189" i="10"/>
  <c r="AD190" i="10"/>
  <c r="AD191" i="10"/>
  <c r="AD192" i="10"/>
  <c r="AD193" i="10"/>
  <c r="AD194" i="10"/>
  <c r="AD195" i="10"/>
  <c r="AD196" i="10"/>
  <c r="AD197" i="10"/>
  <c r="AD198" i="10"/>
  <c r="AD199" i="10"/>
  <c r="AD200" i="10"/>
  <c r="AD201" i="10"/>
  <c r="AD202" i="10"/>
  <c r="AD203" i="10"/>
  <c r="AD204" i="10"/>
  <c r="AD205" i="10"/>
  <c r="AD206" i="10"/>
  <c r="AD207" i="10"/>
  <c r="AD208" i="10"/>
  <c r="AD209" i="10"/>
  <c r="AD210" i="10"/>
  <c r="AD211" i="10"/>
  <c r="AD212" i="10"/>
  <c r="AD213" i="10"/>
  <c r="AD214" i="10"/>
  <c r="AD215" i="10"/>
  <c r="AD216" i="10"/>
  <c r="AD217" i="10"/>
  <c r="AD218" i="10"/>
  <c r="AD219" i="10"/>
  <c r="AD220" i="10"/>
  <c r="AD221" i="10"/>
  <c r="AD222" i="10"/>
  <c r="AD223" i="10"/>
  <c r="AD224" i="10"/>
  <c r="AD225" i="10"/>
  <c r="AD226" i="10"/>
  <c r="AD227" i="10"/>
  <c r="AD228" i="10"/>
  <c r="AD229" i="10"/>
  <c r="AD230" i="10"/>
  <c r="AD231" i="10"/>
  <c r="AD232" i="10"/>
  <c r="AD233" i="10"/>
  <c r="AD234" i="10"/>
  <c r="AD235" i="10"/>
  <c r="AD236" i="10"/>
  <c r="AD237" i="10"/>
  <c r="AD238" i="10"/>
  <c r="AD239" i="10"/>
  <c r="AD240" i="10"/>
  <c r="AD241" i="10"/>
  <c r="AD242" i="10"/>
  <c r="AD243" i="10"/>
  <c r="AD244" i="10"/>
  <c r="AD245" i="10"/>
  <c r="AD246" i="10"/>
  <c r="AD247" i="10"/>
  <c r="AD248" i="10"/>
  <c r="AD249" i="10"/>
  <c r="AD250" i="10"/>
  <c r="AD251" i="10"/>
  <c r="AD252" i="10"/>
  <c r="AD253" i="10"/>
  <c r="AD254" i="10"/>
  <c r="AD255" i="10"/>
  <c r="AD256" i="10"/>
  <c r="AD257" i="10"/>
  <c r="AD258" i="10"/>
  <c r="AD259" i="10"/>
  <c r="AD260" i="10"/>
  <c r="AD261" i="10"/>
  <c r="AD262" i="10"/>
  <c r="AD263" i="10"/>
  <c r="AD264" i="10"/>
  <c r="AD265" i="10"/>
  <c r="AD266" i="10"/>
  <c r="AD267" i="10"/>
  <c r="AD268" i="10"/>
  <c r="AD269" i="10"/>
  <c r="AD270" i="10"/>
  <c r="AD271" i="10"/>
  <c r="AD272" i="10"/>
  <c r="AD273" i="10"/>
  <c r="AD274" i="10"/>
  <c r="AD275" i="10"/>
  <c r="AD276" i="10"/>
  <c r="AD277" i="10"/>
  <c r="AD278" i="10"/>
  <c r="AD279" i="10"/>
  <c r="AD280" i="10"/>
  <c r="AD281" i="10"/>
  <c r="AD282" i="10"/>
  <c r="AD283" i="10"/>
  <c r="AD284" i="10"/>
  <c r="AD285" i="10"/>
  <c r="AD286" i="10"/>
  <c r="AD287" i="10"/>
  <c r="AD288" i="10"/>
  <c r="AD289" i="10"/>
  <c r="AD290" i="10"/>
  <c r="AD291" i="10"/>
  <c r="AD292" i="10"/>
  <c r="AD293" i="10"/>
  <c r="AD294" i="10"/>
  <c r="AD295" i="10"/>
  <c r="AD296" i="10"/>
  <c r="AD297" i="10"/>
  <c r="AD298" i="10"/>
  <c r="AD299" i="10"/>
  <c r="AD300" i="10"/>
  <c r="AD301" i="10"/>
  <c r="AD302" i="10"/>
  <c r="AD303" i="10"/>
  <c r="AD304" i="10"/>
  <c r="AD305" i="10"/>
  <c r="AD306" i="10"/>
  <c r="AD307" i="10"/>
  <c r="AD308" i="10"/>
  <c r="AD309" i="10"/>
  <c r="AD310" i="10"/>
  <c r="AD311" i="10"/>
  <c r="AD312" i="10"/>
  <c r="AD313" i="10"/>
  <c r="AD314" i="10"/>
  <c r="AD315" i="10"/>
  <c r="AD316" i="10"/>
  <c r="AD317" i="10"/>
  <c r="AD318" i="10"/>
  <c r="AD319" i="10"/>
  <c r="AD320" i="10"/>
  <c r="AD321" i="10"/>
  <c r="AD322" i="10"/>
  <c r="AD323" i="10"/>
  <c r="AD324" i="10"/>
  <c r="AD325" i="10"/>
  <c r="AD326" i="10"/>
  <c r="AD327" i="10"/>
  <c r="AD328" i="10"/>
  <c r="AD329" i="10"/>
  <c r="AD330" i="10"/>
  <c r="AD331" i="10"/>
  <c r="AD332" i="10"/>
  <c r="AD333" i="10"/>
  <c r="AD334" i="10"/>
  <c r="AD335" i="10"/>
  <c r="AD336" i="10"/>
  <c r="AD337" i="10"/>
  <c r="AD338" i="10"/>
  <c r="AD339" i="10"/>
  <c r="AD340" i="10"/>
  <c r="AD341" i="10"/>
  <c r="AD342" i="10"/>
  <c r="AD343" i="10"/>
  <c r="AD344" i="10"/>
  <c r="AD345" i="10"/>
  <c r="AD346" i="10"/>
  <c r="AD347" i="10"/>
  <c r="AD348" i="10"/>
  <c r="AD349" i="10"/>
  <c r="AD350" i="10"/>
  <c r="AD351" i="10"/>
  <c r="AD352" i="10"/>
  <c r="AD353" i="10"/>
  <c r="AD354" i="10"/>
  <c r="AD355" i="10"/>
  <c r="AD356" i="10"/>
  <c r="AD357" i="10"/>
  <c r="AD358" i="10"/>
  <c r="AD359" i="10"/>
  <c r="AD360" i="10"/>
  <c r="AD361" i="10"/>
  <c r="AD362" i="10"/>
  <c r="AD363" i="10"/>
  <c r="AD364" i="10"/>
  <c r="AD365" i="10"/>
  <c r="AD366" i="10"/>
  <c r="AD367" i="10"/>
  <c r="AD368" i="10"/>
  <c r="AD369" i="10"/>
  <c r="AD370" i="10"/>
  <c r="AD371" i="10"/>
  <c r="AD372" i="10"/>
  <c r="AD373" i="10"/>
  <c r="AD374" i="10"/>
  <c r="AD375" i="10"/>
  <c r="AD376" i="10"/>
  <c r="AD377" i="10"/>
  <c r="AD378" i="10"/>
  <c r="AD379" i="10"/>
  <c r="AD380" i="10"/>
  <c r="AD381" i="10"/>
  <c r="AD382" i="10"/>
  <c r="AD383" i="10"/>
  <c r="AD384" i="10"/>
  <c r="AD385" i="10"/>
  <c r="AD386" i="10"/>
  <c r="AD387" i="10"/>
  <c r="AD388" i="10"/>
  <c r="AD389" i="10"/>
  <c r="AD390" i="10"/>
  <c r="AD391" i="10"/>
  <c r="AD392" i="10"/>
  <c r="AD393" i="10"/>
  <c r="AD394" i="10"/>
  <c r="AD395" i="10"/>
  <c r="AD396" i="10"/>
  <c r="AD397" i="10"/>
  <c r="AD398" i="10"/>
  <c r="AD399" i="10"/>
  <c r="AD400" i="10"/>
  <c r="AD401" i="10"/>
  <c r="AD402" i="10"/>
  <c r="AD403" i="10"/>
  <c r="AD404" i="10"/>
  <c r="AD405" i="10"/>
  <c r="AD406" i="10"/>
  <c r="AD407" i="10"/>
  <c r="AD408" i="10"/>
  <c r="AD409" i="10"/>
  <c r="AD410" i="10"/>
  <c r="AD411" i="10"/>
  <c r="AD412" i="10"/>
  <c r="AD413" i="10"/>
  <c r="AD414" i="10"/>
  <c r="AD415" i="10"/>
  <c r="AD416" i="10"/>
  <c r="AD417" i="10"/>
  <c r="AD418" i="10"/>
  <c r="AD419" i="10"/>
  <c r="AD420" i="10"/>
  <c r="AD421" i="10"/>
  <c r="AD422" i="10"/>
  <c r="AD423" i="10"/>
  <c r="AD424" i="10"/>
  <c r="AD425" i="10"/>
  <c r="AD426" i="10"/>
  <c r="AD427" i="10"/>
  <c r="AD428" i="10"/>
  <c r="AD429" i="10"/>
  <c r="AD430" i="10"/>
  <c r="AD431" i="10"/>
  <c r="AD432" i="10"/>
  <c r="AD433" i="10"/>
  <c r="AD434" i="10"/>
  <c r="AD435" i="10"/>
  <c r="AD436" i="10"/>
  <c r="AD437" i="10"/>
  <c r="AD438" i="10"/>
  <c r="AD439" i="10"/>
  <c r="AD440" i="10"/>
  <c r="AD441" i="10"/>
  <c r="AD442" i="10"/>
  <c r="AD443" i="10"/>
  <c r="AD444" i="10"/>
  <c r="AD445" i="10"/>
  <c r="AD446" i="10"/>
  <c r="AD447" i="10"/>
  <c r="AD448" i="10"/>
  <c r="AD449" i="10"/>
  <c r="AD450" i="10"/>
  <c r="AD451" i="10"/>
  <c r="AD452" i="10"/>
  <c r="AD453" i="10"/>
  <c r="AD454" i="10"/>
  <c r="AD455" i="10"/>
  <c r="AD456" i="10"/>
  <c r="AD457" i="10"/>
  <c r="AD458" i="10"/>
  <c r="AD459" i="10"/>
  <c r="AD460" i="10"/>
  <c r="AD461" i="10"/>
  <c r="AD462" i="10"/>
  <c r="AD463" i="10"/>
  <c r="AD464" i="10"/>
  <c r="AD465" i="10"/>
  <c r="AD466" i="10"/>
  <c r="AD467" i="10"/>
  <c r="AD468" i="10"/>
  <c r="AD469" i="10"/>
  <c r="AD470" i="10"/>
  <c r="AD471" i="10"/>
  <c r="AD472" i="10"/>
  <c r="AD473" i="10"/>
  <c r="AD474" i="10"/>
  <c r="AD475" i="10"/>
  <c r="AD476" i="10"/>
  <c r="AD477" i="10"/>
  <c r="AD478" i="10"/>
  <c r="AD479" i="10"/>
  <c r="AD480" i="10"/>
  <c r="AD481" i="10"/>
  <c r="AD482" i="10"/>
  <c r="AD483" i="10"/>
  <c r="AD484" i="10"/>
  <c r="AD485" i="10"/>
  <c r="AD486" i="10"/>
  <c r="AD487" i="10"/>
  <c r="AD488" i="10"/>
  <c r="AD489" i="10"/>
  <c r="AD490" i="10"/>
  <c r="AD491" i="10"/>
  <c r="AD492" i="10"/>
  <c r="AD493" i="10"/>
  <c r="AD494" i="10"/>
  <c r="AD495" i="10"/>
  <c r="AD496" i="10"/>
  <c r="AD497" i="10"/>
  <c r="AD498" i="10"/>
  <c r="AD499" i="10"/>
  <c r="AD500" i="10"/>
  <c r="AD501" i="10"/>
  <c r="AD502" i="10"/>
  <c r="AD503" i="10"/>
  <c r="AD504" i="10"/>
  <c r="AD505" i="10"/>
  <c r="AD506" i="10"/>
  <c r="AD507" i="10"/>
  <c r="AD508" i="10"/>
  <c r="AD509" i="10"/>
  <c r="AD510" i="10"/>
  <c r="AD511" i="10"/>
  <c r="AD512" i="10"/>
  <c r="AD513" i="10"/>
  <c r="AD514" i="10"/>
  <c r="AD515" i="10"/>
  <c r="AD516" i="10"/>
  <c r="AD517" i="10"/>
  <c r="AD518" i="10"/>
  <c r="AD519" i="10"/>
  <c r="AD520" i="10"/>
  <c r="AD521" i="10"/>
  <c r="AD522" i="10"/>
  <c r="AD523" i="10"/>
  <c r="AD524" i="10"/>
  <c r="AD525" i="10"/>
  <c r="AD526" i="10"/>
  <c r="AD527" i="10"/>
  <c r="AD528" i="10"/>
  <c r="AD529" i="10"/>
  <c r="AD530" i="10"/>
  <c r="AD531" i="10"/>
  <c r="AD532" i="10"/>
  <c r="AD533" i="10"/>
  <c r="AD534" i="10"/>
  <c r="AD535" i="10"/>
  <c r="AD536" i="10"/>
  <c r="AD537" i="10"/>
  <c r="AD538" i="10"/>
  <c r="AD539" i="10"/>
  <c r="AD540" i="10"/>
  <c r="AD541" i="10"/>
  <c r="AD542" i="10"/>
  <c r="AD543" i="10"/>
  <c r="AD544" i="10"/>
  <c r="AD545" i="10"/>
  <c r="AD546" i="10"/>
  <c r="AD547" i="10"/>
  <c r="AD548" i="10"/>
  <c r="AD549" i="10"/>
  <c r="AD550" i="10"/>
  <c r="AD551" i="10"/>
  <c r="AD552" i="10"/>
  <c r="AD553" i="10"/>
  <c r="AD554" i="10"/>
  <c r="AD555" i="10"/>
  <c r="AD556" i="10"/>
  <c r="AD557" i="10"/>
  <c r="AD558" i="10"/>
  <c r="AD559" i="10"/>
  <c r="AD560" i="10"/>
  <c r="AD561" i="10"/>
  <c r="AD562" i="10"/>
  <c r="AD563" i="10"/>
  <c r="AD564" i="10"/>
  <c r="AD565" i="10"/>
  <c r="AD566" i="10"/>
  <c r="AD567" i="10"/>
  <c r="AD568" i="10"/>
  <c r="AD569" i="10"/>
  <c r="AD570" i="10"/>
  <c r="AD571" i="10"/>
  <c r="AD572" i="10"/>
  <c r="AD573" i="10"/>
  <c r="AD574" i="10"/>
  <c r="AD575" i="10"/>
  <c r="AD576" i="10"/>
  <c r="AD577" i="10"/>
  <c r="AD578" i="10"/>
  <c r="AD579" i="10"/>
  <c r="AD580" i="10"/>
  <c r="AD581" i="10"/>
  <c r="AD582" i="10"/>
  <c r="AD583" i="10"/>
  <c r="AD584" i="10"/>
  <c r="AD585" i="10"/>
  <c r="AD586" i="10"/>
  <c r="AD587" i="10"/>
  <c r="AD588" i="10"/>
  <c r="AD589" i="10"/>
  <c r="AD590" i="10"/>
  <c r="AD591" i="10"/>
  <c r="AD592" i="10"/>
  <c r="AD593" i="10"/>
  <c r="AD594" i="10"/>
  <c r="AD595" i="10"/>
  <c r="AD596" i="10"/>
  <c r="AD597" i="10"/>
  <c r="AD598" i="10"/>
  <c r="AD599" i="10"/>
  <c r="AD600" i="10"/>
  <c r="AD601" i="10"/>
  <c r="AD602" i="10"/>
  <c r="AD603" i="10"/>
  <c r="AD604" i="10"/>
  <c r="AD605" i="10"/>
  <c r="AD606" i="10"/>
  <c r="AD607" i="10"/>
  <c r="AD608" i="10"/>
  <c r="AD609" i="10"/>
  <c r="AD610" i="10"/>
  <c r="AD611" i="10"/>
  <c r="AD612" i="10"/>
  <c r="AD613" i="10"/>
  <c r="AD614" i="10"/>
  <c r="AD615" i="10"/>
  <c r="AD616" i="10"/>
  <c r="AD617" i="10"/>
  <c r="AD618" i="10"/>
  <c r="AD619" i="10"/>
  <c r="AD620" i="10"/>
  <c r="AD621" i="10"/>
  <c r="AD622" i="10"/>
  <c r="AD623" i="10"/>
  <c r="AD624" i="10"/>
  <c r="AD625" i="10"/>
  <c r="AD626" i="10"/>
  <c r="AD627" i="10"/>
  <c r="AD628" i="10"/>
  <c r="AD629" i="10"/>
  <c r="AD630" i="10"/>
  <c r="AD631" i="10"/>
  <c r="AD632" i="10"/>
  <c r="AD633" i="10"/>
  <c r="AD634" i="10"/>
  <c r="AD635" i="10"/>
  <c r="AD636" i="10"/>
  <c r="AD637" i="10"/>
  <c r="AD638" i="10"/>
  <c r="AD639" i="10"/>
  <c r="AD640" i="10"/>
  <c r="AD641" i="10"/>
  <c r="AD642" i="10"/>
  <c r="AD643" i="10"/>
  <c r="AD644" i="10"/>
  <c r="AD645" i="10"/>
  <c r="AD646" i="10"/>
  <c r="AD647" i="10"/>
  <c r="AD648" i="10"/>
  <c r="AD649" i="10"/>
  <c r="AD650" i="10"/>
  <c r="AD651" i="10"/>
  <c r="AD652" i="10"/>
  <c r="AD653" i="10"/>
  <c r="AD654" i="10"/>
  <c r="AD655" i="10"/>
  <c r="AD656" i="10"/>
  <c r="AD657" i="10"/>
  <c r="AD658" i="10"/>
  <c r="AD659" i="10"/>
  <c r="AD660" i="10"/>
  <c r="AD661" i="10"/>
  <c r="AD662" i="10"/>
  <c r="AD663" i="10"/>
  <c r="AD664" i="10"/>
  <c r="AD665" i="10"/>
  <c r="AD666" i="10"/>
  <c r="AD667" i="10"/>
  <c r="AD668" i="10"/>
  <c r="AD669" i="10"/>
  <c r="AD670" i="10"/>
  <c r="AD671" i="10"/>
  <c r="AD672" i="10"/>
  <c r="AD673" i="10"/>
  <c r="AD674" i="10"/>
  <c r="AD675" i="10"/>
  <c r="AD676" i="10"/>
  <c r="AD677" i="10"/>
  <c r="AD678" i="10"/>
  <c r="AD679" i="10"/>
  <c r="AD680" i="10"/>
  <c r="AD681" i="10"/>
  <c r="AD682" i="10"/>
  <c r="AD683" i="10"/>
  <c r="AD684" i="10"/>
  <c r="AD685" i="10"/>
  <c r="AD686" i="10"/>
  <c r="AD687" i="10"/>
  <c r="AD688" i="10"/>
  <c r="AD689" i="10"/>
  <c r="AD690" i="10"/>
  <c r="AD691" i="10"/>
  <c r="AD692" i="10"/>
  <c r="AD693" i="10"/>
  <c r="AD694" i="10"/>
  <c r="AD695" i="10"/>
  <c r="AD696" i="10"/>
  <c r="AD697" i="10"/>
  <c r="AD698" i="10"/>
  <c r="AD699" i="10"/>
  <c r="AD700" i="10"/>
  <c r="AD701" i="10"/>
  <c r="AD702" i="10"/>
  <c r="AD703" i="10"/>
  <c r="AD704" i="10"/>
  <c r="AD705" i="10"/>
  <c r="AD706" i="10"/>
  <c r="AD707" i="10"/>
  <c r="AD708" i="10"/>
  <c r="AD709" i="10"/>
  <c r="AD710" i="10"/>
  <c r="AD711" i="10"/>
  <c r="AD712" i="10"/>
  <c r="AD713" i="10"/>
  <c r="AD714" i="10"/>
  <c r="AD715" i="10"/>
  <c r="AD716" i="10"/>
  <c r="AD717" i="10"/>
  <c r="AD718" i="10"/>
  <c r="AD719" i="10"/>
  <c r="AD720" i="10"/>
  <c r="AD721" i="10"/>
  <c r="AD722" i="10"/>
  <c r="AD723" i="10"/>
  <c r="AD724" i="10"/>
  <c r="AD725" i="10"/>
  <c r="AD726" i="10"/>
  <c r="AD727" i="10"/>
  <c r="AD728" i="10"/>
  <c r="AD729" i="10"/>
  <c r="AD730" i="10"/>
  <c r="AD731" i="10"/>
  <c r="AD732" i="10"/>
  <c r="AD733" i="10"/>
  <c r="AD734" i="10"/>
  <c r="AD735" i="10"/>
  <c r="AD736" i="10"/>
  <c r="AD737" i="10"/>
  <c r="AD738" i="10"/>
  <c r="AD739" i="10"/>
  <c r="AD740" i="10"/>
  <c r="AD741" i="10"/>
  <c r="AD742" i="10"/>
  <c r="AD743" i="10"/>
  <c r="AD744" i="10"/>
  <c r="AD745" i="10"/>
  <c r="AD746" i="10"/>
  <c r="AD747" i="10"/>
  <c r="AD748" i="10"/>
  <c r="AD749" i="10"/>
  <c r="AD750" i="10"/>
  <c r="AD751" i="10"/>
  <c r="AD752" i="10"/>
  <c r="AD753" i="10"/>
  <c r="AD754" i="10"/>
  <c r="AD755" i="10"/>
  <c r="AD756" i="10"/>
  <c r="AD757" i="10"/>
  <c r="AD758" i="10"/>
  <c r="AD759" i="10"/>
  <c r="AD760" i="10"/>
  <c r="AD761" i="10"/>
  <c r="AD762" i="10"/>
  <c r="AD763" i="10"/>
  <c r="AD764" i="10"/>
  <c r="AD765" i="10"/>
  <c r="AD766" i="10"/>
  <c r="AD767" i="10"/>
  <c r="AD768" i="10"/>
  <c r="AD769" i="10"/>
  <c r="AD770" i="10"/>
  <c r="AD771" i="10"/>
  <c r="AD772" i="10"/>
  <c r="AD773" i="10"/>
  <c r="AD774" i="10"/>
  <c r="AD775" i="10"/>
  <c r="AD776" i="10"/>
  <c r="AD777" i="10"/>
  <c r="AD778" i="10"/>
  <c r="AD779" i="10"/>
  <c r="AD780" i="10"/>
  <c r="AD781" i="10"/>
  <c r="AD782" i="10"/>
  <c r="AD783" i="10"/>
  <c r="AD784" i="10"/>
  <c r="AD785" i="10"/>
  <c r="AD786" i="10"/>
  <c r="AD787" i="10"/>
  <c r="AD788" i="10"/>
  <c r="AD789" i="10"/>
  <c r="AD790" i="10"/>
  <c r="AD791" i="10"/>
  <c r="AD792" i="10"/>
  <c r="AD793" i="10"/>
  <c r="AD794" i="10"/>
  <c r="AD795" i="10"/>
  <c r="AD796" i="10"/>
  <c r="AD797" i="10"/>
  <c r="AD798" i="10"/>
  <c r="AD799" i="10"/>
  <c r="AD800" i="10"/>
  <c r="AD801" i="10"/>
  <c r="AD802" i="10"/>
  <c r="AD803" i="10"/>
  <c r="AD804" i="10"/>
  <c r="AD805" i="10"/>
  <c r="AD806" i="10"/>
  <c r="AD807" i="10"/>
  <c r="AD808" i="10"/>
  <c r="AD809" i="10"/>
  <c r="AD810" i="10"/>
  <c r="AD811" i="10"/>
  <c r="AD812" i="10"/>
  <c r="AD813" i="10"/>
  <c r="AD814" i="10"/>
  <c r="AD815" i="10"/>
  <c r="AD816" i="10"/>
  <c r="AD817" i="10"/>
  <c r="AD818" i="10"/>
  <c r="AD819" i="10"/>
  <c r="AD820" i="10"/>
  <c r="AD821" i="10"/>
  <c r="AD822" i="10"/>
  <c r="AD823" i="10"/>
  <c r="AD824" i="10"/>
  <c r="AD825" i="10"/>
  <c r="AD826" i="10"/>
  <c r="AD827" i="10"/>
  <c r="AD828" i="10"/>
  <c r="AD829" i="10"/>
  <c r="AD830" i="10"/>
  <c r="AD831" i="10"/>
  <c r="AD832" i="10"/>
  <c r="AD833" i="10"/>
  <c r="AD834" i="10"/>
  <c r="AD835" i="10"/>
  <c r="AD836" i="10"/>
  <c r="AD837" i="10"/>
  <c r="AD838" i="10"/>
  <c r="AD839" i="10"/>
  <c r="AD840" i="10"/>
  <c r="AD841" i="10"/>
  <c r="AD842" i="10"/>
  <c r="AD843" i="10"/>
  <c r="AD844" i="10"/>
  <c r="AD845" i="10"/>
  <c r="AD846" i="10"/>
  <c r="AD847" i="10"/>
  <c r="AD848" i="10"/>
  <c r="AD849" i="10"/>
  <c r="AD850" i="10"/>
  <c r="AD851" i="10"/>
  <c r="AD852" i="10"/>
  <c r="AD853" i="10"/>
  <c r="AD854" i="10"/>
  <c r="AD855" i="10"/>
  <c r="AD856" i="10"/>
  <c r="AD857" i="10"/>
  <c r="AD858" i="10"/>
  <c r="AD859" i="10"/>
  <c r="AD860" i="10"/>
  <c r="AD861" i="10"/>
  <c r="AD862" i="10"/>
  <c r="AD863" i="10"/>
  <c r="AD864" i="10"/>
  <c r="AD865" i="10"/>
  <c r="AD866" i="10"/>
  <c r="AD867" i="10"/>
  <c r="AD868" i="10"/>
  <c r="AD869" i="10"/>
  <c r="AD870" i="10"/>
  <c r="AD871" i="10"/>
  <c r="AD872" i="10"/>
  <c r="AD873" i="10"/>
  <c r="AD874" i="10"/>
  <c r="AD875" i="10"/>
  <c r="AD876" i="10"/>
  <c r="AD877" i="10"/>
  <c r="AD878" i="10"/>
  <c r="AD879" i="10"/>
  <c r="AD880" i="10"/>
  <c r="AD881" i="10"/>
  <c r="AD882" i="10"/>
  <c r="AD883" i="10"/>
  <c r="AD884" i="10"/>
  <c r="AD885" i="10"/>
  <c r="AD886" i="10"/>
  <c r="AD887" i="10"/>
  <c r="AD888" i="10"/>
  <c r="AC7" i="10"/>
  <c r="AC8" i="10"/>
  <c r="AC9" i="10"/>
  <c r="AC10" i="10"/>
  <c r="AC11" i="10"/>
  <c r="AC12" i="10"/>
  <c r="AC13" i="10"/>
  <c r="AC14" i="10"/>
  <c r="AC15" i="10"/>
  <c r="AC16" i="10"/>
  <c r="AC17" i="10"/>
  <c r="AC18" i="10"/>
  <c r="AC19" i="10"/>
  <c r="AC20" i="10"/>
  <c r="AC21" i="10"/>
  <c r="AC22" i="10"/>
  <c r="AC23" i="10"/>
  <c r="AC24" i="10"/>
  <c r="AC25" i="10"/>
  <c r="AC26" i="10"/>
  <c r="AC27" i="10"/>
  <c r="AC28" i="10"/>
  <c r="AC29" i="10"/>
  <c r="AC30" i="10"/>
  <c r="AC31" i="10"/>
  <c r="AC32" i="10"/>
  <c r="AC33" i="10"/>
  <c r="AC34" i="10"/>
  <c r="AC35" i="10"/>
  <c r="AC36" i="10"/>
  <c r="AC37" i="10"/>
  <c r="AC38" i="10"/>
  <c r="AC39" i="10"/>
  <c r="AC40" i="10"/>
  <c r="AC41" i="10"/>
  <c r="AC42" i="10"/>
  <c r="AC43" i="10"/>
  <c r="AC44" i="10"/>
  <c r="AC45" i="10"/>
  <c r="AC46" i="10"/>
  <c r="AC47" i="10"/>
  <c r="AC48" i="10"/>
  <c r="AC49" i="10"/>
  <c r="AC50" i="10"/>
  <c r="AC51" i="10"/>
  <c r="AC52" i="10"/>
  <c r="AC53" i="10"/>
  <c r="AC54" i="10"/>
  <c r="AC55" i="10"/>
  <c r="AC56" i="10"/>
  <c r="AC57" i="10"/>
  <c r="AC58" i="10"/>
  <c r="AC59" i="10"/>
  <c r="AC60" i="10"/>
  <c r="AC61" i="10"/>
  <c r="AC62" i="10"/>
  <c r="AC63" i="10"/>
  <c r="AC64" i="10"/>
  <c r="AC65" i="10"/>
  <c r="AC66" i="10"/>
  <c r="AC67" i="10"/>
  <c r="AC68" i="10"/>
  <c r="AC69" i="10"/>
  <c r="AC70" i="10"/>
  <c r="AC71" i="10"/>
  <c r="AC72" i="10"/>
  <c r="AC73" i="10"/>
  <c r="AC74" i="10"/>
  <c r="AC75" i="10"/>
  <c r="AC76" i="10"/>
  <c r="AC77" i="10"/>
  <c r="AC78" i="10"/>
  <c r="AC79" i="10"/>
  <c r="AC80" i="10"/>
  <c r="AC81" i="10"/>
  <c r="AC82" i="10"/>
  <c r="AC83" i="10"/>
  <c r="AC84" i="10"/>
  <c r="AC85" i="10"/>
  <c r="AC86" i="10"/>
  <c r="AC87" i="10"/>
  <c r="AC88" i="10"/>
  <c r="AC89" i="10"/>
  <c r="AC90" i="10"/>
  <c r="AC91" i="10"/>
  <c r="AC92" i="10"/>
  <c r="AC93" i="10"/>
  <c r="AC94" i="10"/>
  <c r="AC95" i="10"/>
  <c r="AC96" i="10"/>
  <c r="AC97" i="10"/>
  <c r="AC98" i="10"/>
  <c r="AC99" i="10"/>
  <c r="AC100" i="10"/>
  <c r="AC101" i="10"/>
  <c r="AC102" i="10"/>
  <c r="AC103" i="10"/>
  <c r="AC104" i="10"/>
  <c r="AC105" i="10"/>
  <c r="AC106" i="10"/>
  <c r="AC107" i="10"/>
  <c r="AC108" i="10"/>
  <c r="AC109" i="10"/>
  <c r="AC110" i="10"/>
  <c r="AC111" i="10"/>
  <c r="AC112" i="10"/>
  <c r="AC113" i="10"/>
  <c r="AC114" i="10"/>
  <c r="AC115" i="10"/>
  <c r="AC116" i="10"/>
  <c r="AC117" i="10"/>
  <c r="AC118" i="10"/>
  <c r="AC119" i="10"/>
  <c r="AC120" i="10"/>
  <c r="AC121" i="10"/>
  <c r="AC122" i="10"/>
  <c r="AC123" i="10"/>
  <c r="AC124" i="10"/>
  <c r="AC125" i="10"/>
  <c r="AC126" i="10"/>
  <c r="AC127" i="10"/>
  <c r="AC128" i="10"/>
  <c r="AC129" i="10"/>
  <c r="AC130" i="10"/>
  <c r="AC131" i="10"/>
  <c r="AC132" i="10"/>
  <c r="AC133" i="10"/>
  <c r="AC134" i="10"/>
  <c r="AC135" i="10"/>
  <c r="AC136" i="10"/>
  <c r="AC137" i="10"/>
  <c r="AC138" i="10"/>
  <c r="AC139" i="10"/>
  <c r="AC140" i="10"/>
  <c r="AC141" i="10"/>
  <c r="AC142" i="10"/>
  <c r="AC143" i="10"/>
  <c r="AC144" i="10"/>
  <c r="AC145" i="10"/>
  <c r="AC146" i="10"/>
  <c r="AC147" i="10"/>
  <c r="AC148" i="10"/>
  <c r="AC149" i="10"/>
  <c r="AC150" i="10"/>
  <c r="AC151" i="10"/>
  <c r="AC152" i="10"/>
  <c r="AC153" i="10"/>
  <c r="AC154" i="10"/>
  <c r="AC155" i="10"/>
  <c r="AC156" i="10"/>
  <c r="AC157" i="10"/>
  <c r="AC158" i="10"/>
  <c r="AC159" i="10"/>
  <c r="AC160" i="10"/>
  <c r="AC161" i="10"/>
  <c r="AC162" i="10"/>
  <c r="AC163" i="10"/>
  <c r="AC164" i="10"/>
  <c r="AC165" i="10"/>
  <c r="AC166" i="10"/>
  <c r="AC167" i="10"/>
  <c r="AC168" i="10"/>
  <c r="AC169" i="10"/>
  <c r="AC170" i="10"/>
  <c r="AC171" i="10"/>
  <c r="AC172" i="10"/>
  <c r="AC173" i="10"/>
  <c r="AC174" i="10"/>
  <c r="AC175" i="10"/>
  <c r="AC176" i="10"/>
  <c r="AC177" i="10"/>
  <c r="AC178" i="10"/>
  <c r="AC179" i="10"/>
  <c r="AC180" i="10"/>
  <c r="AC181" i="10"/>
  <c r="AC182" i="10"/>
  <c r="AC183" i="10"/>
  <c r="AC184" i="10"/>
  <c r="AC185" i="10"/>
  <c r="AC186" i="10"/>
  <c r="AC187" i="10"/>
  <c r="AC188" i="10"/>
  <c r="AC189" i="10"/>
  <c r="AC190" i="10"/>
  <c r="AC191" i="10"/>
  <c r="AC192" i="10"/>
  <c r="AC193" i="10"/>
  <c r="AC194" i="10"/>
  <c r="AC195" i="10"/>
  <c r="AC196" i="10"/>
  <c r="AC197" i="10"/>
  <c r="AC198" i="10"/>
  <c r="AC199" i="10"/>
  <c r="AC200" i="10"/>
  <c r="AC201" i="10"/>
  <c r="AC202" i="10"/>
  <c r="AC203" i="10"/>
  <c r="AC204" i="10"/>
  <c r="AC205" i="10"/>
  <c r="AC206" i="10"/>
  <c r="AC207" i="10"/>
  <c r="AC208" i="10"/>
  <c r="AC209" i="10"/>
  <c r="AC210" i="10"/>
  <c r="AC211" i="10"/>
  <c r="AC212" i="10"/>
  <c r="AC213" i="10"/>
  <c r="AC214" i="10"/>
  <c r="AC215" i="10"/>
  <c r="AC216" i="10"/>
  <c r="AC217" i="10"/>
  <c r="AC218" i="10"/>
  <c r="AC219" i="10"/>
  <c r="AC220" i="10"/>
  <c r="AC221" i="10"/>
  <c r="AC222" i="10"/>
  <c r="AC223" i="10"/>
  <c r="AC224" i="10"/>
  <c r="AC225" i="10"/>
  <c r="AC226" i="10"/>
  <c r="AC227" i="10"/>
  <c r="AC228" i="10"/>
  <c r="AC229" i="10"/>
  <c r="AC230" i="10"/>
  <c r="AC231" i="10"/>
  <c r="AC232" i="10"/>
  <c r="AC233" i="10"/>
  <c r="AC234" i="10"/>
  <c r="AC235" i="10"/>
  <c r="AC236" i="10"/>
  <c r="AC237" i="10"/>
  <c r="AC238" i="10"/>
  <c r="AC239" i="10"/>
  <c r="AC240" i="10"/>
  <c r="AC241" i="10"/>
  <c r="AC242" i="10"/>
  <c r="AC243" i="10"/>
  <c r="AC244" i="10"/>
  <c r="AC245" i="10"/>
  <c r="AC246" i="10"/>
  <c r="AC247" i="10"/>
  <c r="AC248" i="10"/>
  <c r="AC249" i="10"/>
  <c r="AC250" i="10"/>
  <c r="AC251" i="10"/>
  <c r="AC252" i="10"/>
  <c r="AC253" i="10"/>
  <c r="AC254" i="10"/>
  <c r="AC255" i="10"/>
  <c r="AC256" i="10"/>
  <c r="AC257" i="10"/>
  <c r="AC258" i="10"/>
  <c r="AC259" i="10"/>
  <c r="AC260" i="10"/>
  <c r="AC261" i="10"/>
  <c r="AC262" i="10"/>
  <c r="AC263" i="10"/>
  <c r="AC264" i="10"/>
  <c r="AC265" i="10"/>
  <c r="AC266" i="10"/>
  <c r="AC267" i="10"/>
  <c r="AC268" i="10"/>
  <c r="AC269" i="10"/>
  <c r="AC270" i="10"/>
  <c r="AC271" i="10"/>
  <c r="AC272" i="10"/>
  <c r="AC273" i="10"/>
  <c r="AC274" i="10"/>
  <c r="AC275" i="10"/>
  <c r="AC276" i="10"/>
  <c r="AC277" i="10"/>
  <c r="AC278" i="10"/>
  <c r="AC279" i="10"/>
  <c r="AC280" i="10"/>
  <c r="AC281" i="10"/>
  <c r="AC282" i="10"/>
  <c r="AC283" i="10"/>
  <c r="AC284" i="10"/>
  <c r="AC285" i="10"/>
  <c r="AC286" i="10"/>
  <c r="AC287" i="10"/>
  <c r="AC288" i="10"/>
  <c r="AC289" i="10"/>
  <c r="AC290" i="10"/>
  <c r="AC291" i="10"/>
  <c r="AC292" i="10"/>
  <c r="AC293" i="10"/>
  <c r="AC294" i="10"/>
  <c r="AC295" i="10"/>
  <c r="AC296" i="10"/>
  <c r="AC297" i="10"/>
  <c r="AC298" i="10"/>
  <c r="AC299" i="10"/>
  <c r="AC300" i="10"/>
  <c r="AC301" i="10"/>
  <c r="AC302" i="10"/>
  <c r="AC303" i="10"/>
  <c r="AC304" i="10"/>
  <c r="AC305" i="10"/>
  <c r="AC306" i="10"/>
  <c r="AC307" i="10"/>
  <c r="AC308" i="10"/>
  <c r="AC309" i="10"/>
  <c r="AC310" i="10"/>
  <c r="AC311" i="10"/>
  <c r="AC312" i="10"/>
  <c r="AC313" i="10"/>
  <c r="AC314" i="10"/>
  <c r="AC315" i="10"/>
  <c r="AC316" i="10"/>
  <c r="AC317" i="10"/>
  <c r="AC318" i="10"/>
  <c r="AC319" i="10"/>
  <c r="AC320" i="10"/>
  <c r="AC321" i="10"/>
  <c r="AC322" i="10"/>
  <c r="AC323" i="10"/>
  <c r="AC324" i="10"/>
  <c r="AC325" i="10"/>
  <c r="AC326" i="10"/>
  <c r="AC327" i="10"/>
  <c r="AC328" i="10"/>
  <c r="AC329" i="10"/>
  <c r="AC330" i="10"/>
  <c r="AC331" i="10"/>
  <c r="AC332" i="10"/>
  <c r="AC333" i="10"/>
  <c r="AC334" i="10"/>
  <c r="AC335" i="10"/>
  <c r="AC336" i="10"/>
  <c r="AC337" i="10"/>
  <c r="AC338" i="10"/>
  <c r="AC339" i="10"/>
  <c r="AC340" i="10"/>
  <c r="AC341" i="10"/>
  <c r="AC342" i="10"/>
  <c r="AC343" i="10"/>
  <c r="AC344" i="10"/>
  <c r="AC345" i="10"/>
  <c r="AC346" i="10"/>
  <c r="AC347" i="10"/>
  <c r="AC348" i="10"/>
  <c r="AC349" i="10"/>
  <c r="AC350" i="10"/>
  <c r="AC351" i="10"/>
  <c r="AC352" i="10"/>
  <c r="AC353" i="10"/>
  <c r="AC354" i="10"/>
  <c r="AC355" i="10"/>
  <c r="AC356" i="10"/>
  <c r="AC357" i="10"/>
  <c r="AC358" i="10"/>
  <c r="AC359" i="10"/>
  <c r="AC360" i="10"/>
  <c r="AC361" i="10"/>
  <c r="AC362" i="10"/>
  <c r="AC363" i="10"/>
  <c r="AC364" i="10"/>
  <c r="AC365" i="10"/>
  <c r="AC366" i="10"/>
  <c r="AC367" i="10"/>
  <c r="AC368" i="10"/>
  <c r="AC369" i="10"/>
  <c r="AC370" i="10"/>
  <c r="AC371" i="10"/>
  <c r="AC372" i="10"/>
  <c r="AC373" i="10"/>
  <c r="AC374" i="10"/>
  <c r="AC375" i="10"/>
  <c r="AC376" i="10"/>
  <c r="AC377" i="10"/>
  <c r="AC378" i="10"/>
  <c r="AC379" i="10"/>
  <c r="AC380" i="10"/>
  <c r="AC381" i="10"/>
  <c r="AC382" i="10"/>
  <c r="AC383" i="10"/>
  <c r="AC384" i="10"/>
  <c r="AC385" i="10"/>
  <c r="AC386" i="10"/>
  <c r="AC387" i="10"/>
  <c r="AC388" i="10"/>
  <c r="AC389" i="10"/>
  <c r="AC390" i="10"/>
  <c r="AC391" i="10"/>
  <c r="AC392" i="10"/>
  <c r="AC393" i="10"/>
  <c r="AC394" i="10"/>
  <c r="AC395" i="10"/>
  <c r="AC396" i="10"/>
  <c r="AC397" i="10"/>
  <c r="AC398" i="10"/>
  <c r="AC399" i="10"/>
  <c r="AC400" i="10"/>
  <c r="AC401" i="10"/>
  <c r="AC402" i="10"/>
  <c r="AC403" i="10"/>
  <c r="AC404" i="10"/>
  <c r="AC405" i="10"/>
  <c r="AC406" i="10"/>
  <c r="AC407" i="10"/>
  <c r="AC408" i="10"/>
  <c r="AC409" i="10"/>
  <c r="AC410" i="10"/>
  <c r="AC411" i="10"/>
  <c r="AC412" i="10"/>
  <c r="AC413" i="10"/>
  <c r="AC414" i="10"/>
  <c r="AC415" i="10"/>
  <c r="AC416" i="10"/>
  <c r="AC417" i="10"/>
  <c r="AC418" i="10"/>
  <c r="AC419" i="10"/>
  <c r="AC420" i="10"/>
  <c r="AC421" i="10"/>
  <c r="AC422" i="10"/>
  <c r="AC423" i="10"/>
  <c r="AC424" i="10"/>
  <c r="AC425" i="10"/>
  <c r="AC426" i="10"/>
  <c r="AC427" i="10"/>
  <c r="AC428" i="10"/>
  <c r="AC429" i="10"/>
  <c r="AC430" i="10"/>
  <c r="AC431" i="10"/>
  <c r="AC432" i="10"/>
  <c r="AC433" i="10"/>
  <c r="AC434" i="10"/>
  <c r="AC435" i="10"/>
  <c r="AC436" i="10"/>
  <c r="AC437" i="10"/>
  <c r="AC438" i="10"/>
  <c r="AC439" i="10"/>
  <c r="AC440" i="10"/>
  <c r="AC441" i="10"/>
  <c r="AC442" i="10"/>
  <c r="AC443" i="10"/>
  <c r="AC444" i="10"/>
  <c r="AC445" i="10"/>
  <c r="AC446" i="10"/>
  <c r="AC447" i="10"/>
  <c r="AC448" i="10"/>
  <c r="AC449" i="10"/>
  <c r="AC450" i="10"/>
  <c r="AC451" i="10"/>
  <c r="AC452" i="10"/>
  <c r="AC453" i="10"/>
  <c r="AC454" i="10"/>
  <c r="AC455" i="10"/>
  <c r="AC456" i="10"/>
  <c r="AC457" i="10"/>
  <c r="AC458" i="10"/>
  <c r="AC459" i="10"/>
  <c r="AC460" i="10"/>
  <c r="AC461" i="10"/>
  <c r="AC462" i="10"/>
  <c r="AC463" i="10"/>
  <c r="AC464" i="10"/>
  <c r="AC465" i="10"/>
  <c r="AC466" i="10"/>
  <c r="AC467" i="10"/>
  <c r="AC468" i="10"/>
  <c r="AC469" i="10"/>
  <c r="AC470" i="10"/>
  <c r="AC471" i="10"/>
  <c r="AC472" i="10"/>
  <c r="AC473" i="10"/>
  <c r="AC474" i="10"/>
  <c r="AC475" i="10"/>
  <c r="AC476" i="10"/>
  <c r="AC477" i="10"/>
  <c r="AC478" i="10"/>
  <c r="AC479" i="10"/>
  <c r="AC480" i="10"/>
  <c r="AC481" i="10"/>
  <c r="AC482" i="10"/>
  <c r="AC483" i="10"/>
  <c r="AC484" i="10"/>
  <c r="AC485" i="10"/>
  <c r="AC486" i="10"/>
  <c r="AC487" i="10"/>
  <c r="AC488" i="10"/>
  <c r="AC489" i="10"/>
  <c r="AC490" i="10"/>
  <c r="AC491" i="10"/>
  <c r="AC492" i="10"/>
  <c r="AC493" i="10"/>
  <c r="AC494" i="10"/>
  <c r="AC495" i="10"/>
  <c r="AC496" i="10"/>
  <c r="AC497" i="10"/>
  <c r="AC498" i="10"/>
  <c r="AC499" i="10"/>
  <c r="AC500" i="10"/>
  <c r="AC501" i="10"/>
  <c r="AC502" i="10"/>
  <c r="AC503" i="10"/>
  <c r="AC504" i="10"/>
  <c r="AC505" i="10"/>
  <c r="AC506" i="10"/>
  <c r="AC507" i="10"/>
  <c r="AC508" i="10"/>
  <c r="AC509" i="10"/>
  <c r="AC510" i="10"/>
  <c r="AC511" i="10"/>
  <c r="AC512" i="10"/>
  <c r="AC513" i="10"/>
  <c r="AC514" i="10"/>
  <c r="AC515" i="10"/>
  <c r="AC516" i="10"/>
  <c r="AC517" i="10"/>
  <c r="AC518" i="10"/>
  <c r="AC519" i="10"/>
  <c r="AC520" i="10"/>
  <c r="AC521" i="10"/>
  <c r="AC522" i="10"/>
  <c r="AC523" i="10"/>
  <c r="AC524" i="10"/>
  <c r="AC525" i="10"/>
  <c r="AC526" i="10"/>
  <c r="AC527" i="10"/>
  <c r="AC528" i="10"/>
  <c r="AC529" i="10"/>
  <c r="AC530" i="10"/>
  <c r="AC531" i="10"/>
  <c r="AC532" i="10"/>
  <c r="AC533" i="10"/>
  <c r="AC534" i="10"/>
  <c r="AC535" i="10"/>
  <c r="AC536" i="10"/>
  <c r="AC537" i="10"/>
  <c r="AC538" i="10"/>
  <c r="AC539" i="10"/>
  <c r="AC540" i="10"/>
  <c r="AC541" i="10"/>
  <c r="AC542" i="10"/>
  <c r="AC543" i="10"/>
  <c r="AC544" i="10"/>
  <c r="AC545" i="10"/>
  <c r="AC546" i="10"/>
  <c r="AC547" i="10"/>
  <c r="AC548" i="10"/>
  <c r="AC549" i="10"/>
  <c r="AC550" i="10"/>
  <c r="AC551" i="10"/>
  <c r="AC552" i="10"/>
  <c r="AC553" i="10"/>
  <c r="AC554" i="10"/>
  <c r="AC555" i="10"/>
  <c r="AC556" i="10"/>
  <c r="AC557" i="10"/>
  <c r="AC558" i="10"/>
  <c r="AC559" i="10"/>
  <c r="AC560" i="10"/>
  <c r="AC561" i="10"/>
  <c r="AC562" i="10"/>
  <c r="AC563" i="10"/>
  <c r="AC564" i="10"/>
  <c r="AC565" i="10"/>
  <c r="AC566" i="10"/>
  <c r="AC567" i="10"/>
  <c r="AC568" i="10"/>
  <c r="AC569" i="10"/>
  <c r="AC570" i="10"/>
  <c r="AC571" i="10"/>
  <c r="AC572" i="10"/>
  <c r="AC573" i="10"/>
  <c r="AC574" i="10"/>
  <c r="AC575" i="10"/>
  <c r="AC576" i="10"/>
  <c r="AC577" i="10"/>
  <c r="AC578" i="10"/>
  <c r="AC579" i="10"/>
  <c r="AC580" i="10"/>
  <c r="AC581" i="10"/>
  <c r="AC582" i="10"/>
  <c r="AC583" i="10"/>
  <c r="AC584" i="10"/>
  <c r="AC585" i="10"/>
  <c r="AC586" i="10"/>
  <c r="AC587" i="10"/>
  <c r="AC588" i="10"/>
  <c r="AC589" i="10"/>
  <c r="AC590" i="10"/>
  <c r="AC591" i="10"/>
  <c r="AC592" i="10"/>
  <c r="AC593" i="10"/>
  <c r="AC594" i="10"/>
  <c r="AC595" i="10"/>
  <c r="AC596" i="10"/>
  <c r="AC597" i="10"/>
  <c r="AC598" i="10"/>
  <c r="AC599" i="10"/>
  <c r="AC600" i="10"/>
  <c r="AC601" i="10"/>
  <c r="AC602" i="10"/>
  <c r="AC603" i="10"/>
  <c r="AC604" i="10"/>
  <c r="AC605" i="10"/>
  <c r="AC606" i="10"/>
  <c r="AC607" i="10"/>
  <c r="AC608" i="10"/>
  <c r="AC609" i="10"/>
  <c r="AC610" i="10"/>
  <c r="AC611" i="10"/>
  <c r="AC612" i="10"/>
  <c r="AC613" i="10"/>
  <c r="AC614" i="10"/>
  <c r="AC615" i="10"/>
  <c r="AC616" i="10"/>
  <c r="AC617" i="10"/>
  <c r="AC618" i="10"/>
  <c r="AC619" i="10"/>
  <c r="AC620" i="10"/>
  <c r="AC621" i="10"/>
  <c r="AC622" i="10"/>
  <c r="AC623" i="10"/>
  <c r="AC624" i="10"/>
  <c r="AC625" i="10"/>
  <c r="AC626" i="10"/>
  <c r="AC627" i="10"/>
  <c r="AC628" i="10"/>
  <c r="AC629" i="10"/>
  <c r="AC630" i="10"/>
  <c r="AC631" i="10"/>
  <c r="AC632" i="10"/>
  <c r="AC633" i="10"/>
  <c r="AC634" i="10"/>
  <c r="AC635" i="10"/>
  <c r="AC636" i="10"/>
  <c r="AC637" i="10"/>
  <c r="AC638" i="10"/>
  <c r="AC639" i="10"/>
  <c r="AC640" i="10"/>
  <c r="AC641" i="10"/>
  <c r="AC642" i="10"/>
  <c r="AC643" i="10"/>
  <c r="AC644" i="10"/>
  <c r="AC645" i="10"/>
  <c r="AC646" i="10"/>
  <c r="AC647" i="10"/>
  <c r="AC648" i="10"/>
  <c r="AC649" i="10"/>
  <c r="AC650" i="10"/>
  <c r="AC651" i="10"/>
  <c r="AC652" i="10"/>
  <c r="AC653" i="10"/>
  <c r="AC654" i="10"/>
  <c r="AC655" i="10"/>
  <c r="AC656" i="10"/>
  <c r="AC657" i="10"/>
  <c r="AC658" i="10"/>
  <c r="AC659" i="10"/>
  <c r="AC660" i="10"/>
  <c r="AC661" i="10"/>
  <c r="AC662" i="10"/>
  <c r="AC663" i="10"/>
  <c r="AC664" i="10"/>
  <c r="AC665" i="10"/>
  <c r="AC666" i="10"/>
  <c r="AC667" i="10"/>
  <c r="AC668" i="10"/>
  <c r="AC669" i="10"/>
  <c r="AC670" i="10"/>
  <c r="AC671" i="10"/>
  <c r="AC672" i="10"/>
  <c r="AC673" i="10"/>
  <c r="AC674" i="10"/>
  <c r="AC675" i="10"/>
  <c r="AC676" i="10"/>
  <c r="AC677" i="10"/>
  <c r="AC678" i="10"/>
  <c r="AC679" i="10"/>
  <c r="AC680" i="10"/>
  <c r="AC681" i="10"/>
  <c r="AC682" i="10"/>
  <c r="AC683" i="10"/>
  <c r="AC684" i="10"/>
  <c r="AC685" i="10"/>
  <c r="AC686" i="10"/>
  <c r="AC687" i="10"/>
  <c r="AC688" i="10"/>
  <c r="AC689" i="10"/>
  <c r="AC690" i="10"/>
  <c r="AC691" i="10"/>
  <c r="AC692" i="10"/>
  <c r="AC693" i="10"/>
  <c r="AC694" i="10"/>
  <c r="AC695" i="10"/>
  <c r="AC696" i="10"/>
  <c r="AC697" i="10"/>
  <c r="AC698" i="10"/>
  <c r="AC699" i="10"/>
  <c r="AC700" i="10"/>
  <c r="AC701" i="10"/>
  <c r="AC702" i="10"/>
  <c r="AC703" i="10"/>
  <c r="AC704" i="10"/>
  <c r="AC705" i="10"/>
  <c r="AC706" i="10"/>
  <c r="AC707" i="10"/>
  <c r="AC708" i="10"/>
  <c r="AC709" i="10"/>
  <c r="AC710" i="10"/>
  <c r="AC711" i="10"/>
  <c r="AC712" i="10"/>
  <c r="AC713" i="10"/>
  <c r="AC714" i="10"/>
  <c r="AC715" i="10"/>
  <c r="AC716" i="10"/>
  <c r="AC717" i="10"/>
  <c r="AC718" i="10"/>
  <c r="AC719" i="10"/>
  <c r="AC720" i="10"/>
  <c r="AC721" i="10"/>
  <c r="AC722" i="10"/>
  <c r="AC723" i="10"/>
  <c r="AC724" i="10"/>
  <c r="AC725" i="10"/>
  <c r="AC726" i="10"/>
  <c r="AC727" i="10"/>
  <c r="AC728" i="10"/>
  <c r="AC729" i="10"/>
  <c r="AC730" i="10"/>
  <c r="AC731" i="10"/>
  <c r="AC732" i="10"/>
  <c r="AC733" i="10"/>
  <c r="AC734" i="10"/>
  <c r="AC735" i="10"/>
  <c r="AC736" i="10"/>
  <c r="AC737" i="10"/>
  <c r="AC738" i="10"/>
  <c r="AC739" i="10"/>
  <c r="AC740" i="10"/>
  <c r="AC741" i="10"/>
  <c r="AC742" i="10"/>
  <c r="AC743" i="10"/>
  <c r="AC744" i="10"/>
  <c r="AC745" i="10"/>
  <c r="AC746" i="10"/>
  <c r="AC747" i="10"/>
  <c r="AC748" i="10"/>
  <c r="AC749" i="10"/>
  <c r="AC750" i="10"/>
  <c r="AC751" i="10"/>
  <c r="AC752" i="10"/>
  <c r="AC753" i="10"/>
  <c r="AC754" i="10"/>
  <c r="AC755" i="10"/>
  <c r="AC756" i="10"/>
  <c r="AC757" i="10"/>
  <c r="AC758" i="10"/>
  <c r="AC759" i="10"/>
  <c r="AC760" i="10"/>
  <c r="AC761" i="10"/>
  <c r="AC762" i="10"/>
  <c r="AC763" i="10"/>
  <c r="AC764" i="10"/>
  <c r="AC765" i="10"/>
  <c r="AC766" i="10"/>
  <c r="AC767" i="10"/>
  <c r="AC768" i="10"/>
  <c r="AC769" i="10"/>
  <c r="AC770" i="10"/>
  <c r="AC771" i="10"/>
  <c r="AC772" i="10"/>
  <c r="AC773" i="10"/>
  <c r="AC774" i="10"/>
  <c r="AC775" i="10"/>
  <c r="AC776" i="10"/>
  <c r="AC777" i="10"/>
  <c r="AC778" i="10"/>
  <c r="AC779" i="10"/>
  <c r="AC780" i="10"/>
  <c r="AC781" i="10"/>
  <c r="AC782" i="10"/>
  <c r="AC783" i="10"/>
  <c r="AC784" i="10"/>
  <c r="AC785" i="10"/>
  <c r="AC786" i="10"/>
  <c r="AC787" i="10"/>
  <c r="AC788" i="10"/>
  <c r="AC789" i="10"/>
  <c r="AC790" i="10"/>
  <c r="AC791" i="10"/>
  <c r="AC792" i="10"/>
  <c r="AC793" i="10"/>
  <c r="AC794" i="10"/>
  <c r="AC795" i="10"/>
  <c r="AC796" i="10"/>
  <c r="AC797" i="10"/>
  <c r="AC798" i="10"/>
  <c r="AC799" i="10"/>
  <c r="AC800" i="10"/>
  <c r="AC801" i="10"/>
  <c r="AC802" i="10"/>
  <c r="AC803" i="10"/>
  <c r="AC804" i="10"/>
  <c r="AC805" i="10"/>
  <c r="AC806" i="10"/>
  <c r="AC807" i="10"/>
  <c r="AC808" i="10"/>
  <c r="AC809" i="10"/>
  <c r="AC810" i="10"/>
  <c r="AC811" i="10"/>
  <c r="AC812" i="10"/>
  <c r="AC813" i="10"/>
  <c r="AC814" i="10"/>
  <c r="AC815" i="10"/>
  <c r="AC816" i="10"/>
  <c r="AC817" i="10"/>
  <c r="AC818" i="10"/>
  <c r="AC819" i="10"/>
  <c r="AC820" i="10"/>
  <c r="AC821" i="10"/>
  <c r="AC822" i="10"/>
  <c r="AC823" i="10"/>
  <c r="AC824" i="10"/>
  <c r="AC825" i="10"/>
  <c r="AC826" i="10"/>
  <c r="AC827" i="10"/>
  <c r="AC828" i="10"/>
  <c r="AC829" i="10"/>
  <c r="AC830" i="10"/>
  <c r="AC831" i="10"/>
  <c r="AC832" i="10"/>
  <c r="AC833" i="10"/>
  <c r="AC834" i="10"/>
  <c r="AC835" i="10"/>
  <c r="AC836" i="10"/>
  <c r="AC837" i="10"/>
  <c r="AC838" i="10"/>
  <c r="AC839" i="10"/>
  <c r="AC840" i="10"/>
  <c r="AC841" i="10"/>
  <c r="AC842" i="10"/>
  <c r="AC843" i="10"/>
  <c r="AC844" i="10"/>
  <c r="AC845" i="10"/>
  <c r="AC846" i="10"/>
  <c r="AC847" i="10"/>
  <c r="AC848" i="10"/>
  <c r="AC849" i="10"/>
  <c r="AC850" i="10"/>
  <c r="AC851" i="10"/>
  <c r="AC852" i="10"/>
  <c r="AC853" i="10"/>
  <c r="AC854" i="10"/>
  <c r="AC855" i="10"/>
  <c r="AC856" i="10"/>
  <c r="AC857" i="10"/>
  <c r="AC858" i="10"/>
  <c r="AC859" i="10"/>
  <c r="AC860" i="10"/>
  <c r="AC861" i="10"/>
  <c r="AC862" i="10"/>
  <c r="AC863" i="10"/>
  <c r="AC864" i="10"/>
  <c r="AC865" i="10"/>
  <c r="AC866" i="10"/>
  <c r="AC867" i="10"/>
  <c r="AC868" i="10"/>
  <c r="AC869" i="10"/>
  <c r="AC870" i="10"/>
  <c r="AC871" i="10"/>
  <c r="AC872" i="10"/>
  <c r="AC873" i="10"/>
  <c r="AC874" i="10"/>
  <c r="AC875" i="10"/>
  <c r="AC876" i="10"/>
  <c r="AC877" i="10"/>
  <c r="AC878" i="10"/>
  <c r="AC879" i="10"/>
  <c r="AC880" i="10"/>
  <c r="AC881" i="10"/>
  <c r="AC882" i="10"/>
  <c r="AC883" i="10"/>
  <c r="AC884" i="10"/>
  <c r="AC885" i="10"/>
  <c r="AC886" i="10"/>
  <c r="AC887" i="10"/>
  <c r="AC888" i="10"/>
  <c r="W866" i="10" l="1"/>
  <c r="X866" i="10" s="1"/>
  <c r="W6" i="10"/>
  <c r="W7" i="10"/>
  <c r="W8" i="10"/>
  <c r="W9" i="10"/>
  <c r="W10" i="10"/>
  <c r="W11" i="10"/>
  <c r="W12" i="10"/>
  <c r="W13" i="10"/>
  <c r="W14" i="10"/>
  <c r="W15" i="10"/>
  <c r="W16" i="10"/>
  <c r="W17" i="10"/>
  <c r="W18" i="10"/>
  <c r="W19" i="10"/>
  <c r="W20" i="10"/>
  <c r="W21" i="10"/>
  <c r="W22" i="10"/>
  <c r="W23" i="10"/>
  <c r="W24" i="10"/>
  <c r="W25" i="10"/>
  <c r="W26" i="10"/>
  <c r="W27" i="10"/>
  <c r="W28" i="10"/>
  <c r="W29" i="10"/>
  <c r="W30" i="10"/>
  <c r="W31" i="10"/>
  <c r="W32" i="10"/>
  <c r="W33" i="10"/>
  <c r="W34" i="10"/>
  <c r="W35" i="10"/>
  <c r="W36" i="10"/>
  <c r="W37" i="10"/>
  <c r="W38" i="10"/>
  <c r="W39" i="10"/>
  <c r="W40" i="10"/>
  <c r="W41" i="10"/>
  <c r="W42" i="10"/>
  <c r="W43" i="10"/>
  <c r="W44" i="10"/>
  <c r="W45" i="10"/>
  <c r="X45" i="10" s="1"/>
  <c r="W46" i="10"/>
  <c r="W47" i="10"/>
  <c r="W48" i="10"/>
  <c r="W49" i="10"/>
  <c r="W50" i="10"/>
  <c r="W51" i="10"/>
  <c r="W52" i="10"/>
  <c r="W53" i="10"/>
  <c r="W54" i="10"/>
  <c r="W55" i="10"/>
  <c r="W56" i="10"/>
  <c r="W57" i="10"/>
  <c r="W58" i="10"/>
  <c r="W59" i="10"/>
  <c r="W60" i="10"/>
  <c r="W61" i="10"/>
  <c r="W62" i="10"/>
  <c r="W63" i="10"/>
  <c r="W64" i="10"/>
  <c r="W65" i="10"/>
  <c r="W66" i="10"/>
  <c r="W67" i="10"/>
  <c r="X67" i="10" s="1"/>
  <c r="W68" i="10"/>
  <c r="X68" i="10" s="1"/>
  <c r="W69" i="10"/>
  <c r="X69" i="10" s="1"/>
  <c r="W70" i="10"/>
  <c r="W71" i="10"/>
  <c r="W72" i="10"/>
  <c r="W73" i="10"/>
  <c r="W74" i="10"/>
  <c r="W75" i="10"/>
  <c r="W76" i="10"/>
  <c r="W77" i="10"/>
  <c r="X77" i="10" s="1"/>
  <c r="W78" i="10"/>
  <c r="W79" i="10"/>
  <c r="W80" i="10"/>
  <c r="W81" i="10"/>
  <c r="W82" i="10"/>
  <c r="W83" i="10"/>
  <c r="W84" i="10"/>
  <c r="W85" i="10"/>
  <c r="W86" i="10"/>
  <c r="W87" i="10"/>
  <c r="W88" i="10"/>
  <c r="W89" i="10"/>
  <c r="W90" i="10"/>
  <c r="W91" i="10"/>
  <c r="W92" i="10"/>
  <c r="W93" i="10"/>
  <c r="W94" i="10"/>
  <c r="W95" i="10"/>
  <c r="W96" i="10"/>
  <c r="W97" i="10"/>
  <c r="W98" i="10"/>
  <c r="W99" i="10"/>
  <c r="W100" i="10"/>
  <c r="W101" i="10"/>
  <c r="W102" i="10"/>
  <c r="W103" i="10"/>
  <c r="W104" i="10"/>
  <c r="W105" i="10"/>
  <c r="W106" i="10"/>
  <c r="W107" i="10"/>
  <c r="W108" i="10"/>
  <c r="W109" i="10"/>
  <c r="W110" i="10"/>
  <c r="W111" i="10"/>
  <c r="W112" i="10"/>
  <c r="W113" i="10"/>
  <c r="W114" i="10"/>
  <c r="W115" i="10"/>
  <c r="W116" i="10"/>
  <c r="W117" i="10"/>
  <c r="X117" i="10" s="1"/>
  <c r="W118" i="10"/>
  <c r="W119" i="10"/>
  <c r="W120" i="10"/>
  <c r="W121" i="10"/>
  <c r="W122" i="10"/>
  <c r="W123" i="10"/>
  <c r="W124" i="10"/>
  <c r="W125" i="10"/>
  <c r="W126" i="10"/>
  <c r="W127" i="10"/>
  <c r="W128" i="10"/>
  <c r="W129" i="10"/>
  <c r="W130" i="10"/>
  <c r="W131" i="10"/>
  <c r="X131" i="10" s="1"/>
  <c r="W132" i="10"/>
  <c r="W133" i="10"/>
  <c r="W134" i="10"/>
  <c r="W135" i="10"/>
  <c r="W136" i="10"/>
  <c r="W137" i="10"/>
  <c r="W138" i="10"/>
  <c r="W139" i="10"/>
  <c r="W140" i="10"/>
  <c r="W141" i="10"/>
  <c r="W142" i="10"/>
  <c r="W143" i="10"/>
  <c r="W144" i="10"/>
  <c r="W145" i="10"/>
  <c r="W146" i="10"/>
  <c r="W147" i="10"/>
  <c r="W148" i="10"/>
  <c r="X148" i="10" s="1"/>
  <c r="W149" i="10"/>
  <c r="W150" i="10"/>
  <c r="W151" i="10"/>
  <c r="W152" i="10"/>
  <c r="W153" i="10"/>
  <c r="W154" i="10"/>
  <c r="W155" i="10"/>
  <c r="W156" i="10"/>
  <c r="W157" i="10"/>
  <c r="W158" i="10"/>
  <c r="W159" i="10"/>
  <c r="W160" i="10"/>
  <c r="W161" i="10"/>
  <c r="W162" i="10"/>
  <c r="W163" i="10"/>
  <c r="W164" i="10"/>
  <c r="W165" i="10"/>
  <c r="W166" i="10"/>
  <c r="W167" i="10"/>
  <c r="W168" i="10"/>
  <c r="W169" i="10"/>
  <c r="W170" i="10"/>
  <c r="W171" i="10"/>
  <c r="W172" i="10"/>
  <c r="W173" i="10"/>
  <c r="W174" i="10"/>
  <c r="W175" i="10"/>
  <c r="W176" i="10"/>
  <c r="W177" i="10"/>
  <c r="W178" i="10"/>
  <c r="W179" i="10"/>
  <c r="W180" i="10"/>
  <c r="X180" i="10" s="1"/>
  <c r="W181" i="10"/>
  <c r="W182" i="10"/>
  <c r="W183" i="10"/>
  <c r="W184" i="10"/>
  <c r="W185" i="10"/>
  <c r="W186" i="10"/>
  <c r="W187" i="10"/>
  <c r="X187" i="10" s="1"/>
  <c r="W188" i="10"/>
  <c r="W189" i="10"/>
  <c r="W190" i="10"/>
  <c r="W191" i="10"/>
  <c r="W192" i="10"/>
  <c r="W193" i="10"/>
  <c r="W194" i="10"/>
  <c r="W195" i="10"/>
  <c r="W196" i="10"/>
  <c r="W197" i="10"/>
  <c r="W198" i="10"/>
  <c r="W199" i="10"/>
  <c r="W200" i="10"/>
  <c r="W201" i="10"/>
  <c r="W202" i="10"/>
  <c r="W203" i="10"/>
  <c r="W204" i="10"/>
  <c r="W205" i="10"/>
  <c r="X205" i="10" s="1"/>
  <c r="W206" i="10"/>
  <c r="W207" i="10"/>
  <c r="W208" i="10"/>
  <c r="W209" i="10"/>
  <c r="W210" i="10"/>
  <c r="X210" i="10" s="1"/>
  <c r="W211" i="10"/>
  <c r="W212" i="10"/>
  <c r="W213" i="10"/>
  <c r="W214" i="10"/>
  <c r="W215" i="10"/>
  <c r="W216" i="10"/>
  <c r="W217" i="10"/>
  <c r="W218" i="10"/>
  <c r="W219" i="10"/>
  <c r="W220" i="10"/>
  <c r="W221" i="10"/>
  <c r="X221" i="10" s="1"/>
  <c r="W222" i="10"/>
  <c r="W223" i="10"/>
  <c r="W224" i="10"/>
  <c r="W225" i="10"/>
  <c r="W226" i="10"/>
  <c r="W227" i="10"/>
  <c r="W228" i="10"/>
  <c r="W229" i="10"/>
  <c r="W230" i="10"/>
  <c r="W231" i="10"/>
  <c r="X231" i="10" s="1"/>
  <c r="W232" i="10"/>
  <c r="W233" i="10"/>
  <c r="W234" i="10"/>
  <c r="W235" i="10"/>
  <c r="W236" i="10"/>
  <c r="W237" i="10"/>
  <c r="W238" i="10"/>
  <c r="W239" i="10"/>
  <c r="W240" i="10"/>
  <c r="W241" i="10"/>
  <c r="W242" i="10"/>
  <c r="W243" i="10"/>
  <c r="W244" i="10"/>
  <c r="W245" i="10"/>
  <c r="W246" i="10"/>
  <c r="W247" i="10"/>
  <c r="W248" i="10"/>
  <c r="W249" i="10"/>
  <c r="W250" i="10"/>
  <c r="W251" i="10"/>
  <c r="X251" i="10" s="1"/>
  <c r="W252" i="10"/>
  <c r="W253" i="10"/>
  <c r="W254" i="10"/>
  <c r="W255" i="10"/>
  <c r="W256" i="10"/>
  <c r="W257" i="10"/>
  <c r="W258" i="10"/>
  <c r="W259" i="10"/>
  <c r="W260" i="10"/>
  <c r="W261" i="10"/>
  <c r="W262" i="10"/>
  <c r="W263" i="10"/>
  <c r="W264" i="10"/>
  <c r="W265" i="10"/>
  <c r="W266" i="10"/>
  <c r="W267" i="10"/>
  <c r="W268" i="10"/>
  <c r="W269" i="10"/>
  <c r="W270" i="10"/>
  <c r="W271" i="10"/>
  <c r="W272" i="10"/>
  <c r="W273" i="10"/>
  <c r="W274" i="10"/>
  <c r="X274" i="10" s="1"/>
  <c r="W275" i="10"/>
  <c r="W276" i="10"/>
  <c r="X276" i="10" s="1"/>
  <c r="W277" i="10"/>
  <c r="W278" i="10"/>
  <c r="W279" i="10"/>
  <c r="W280" i="10"/>
  <c r="W281" i="10"/>
  <c r="W282" i="10"/>
  <c r="W283" i="10"/>
  <c r="W284" i="10"/>
  <c r="W285" i="10"/>
  <c r="W286" i="10"/>
  <c r="W287" i="10"/>
  <c r="W288" i="10"/>
  <c r="W289" i="10"/>
  <c r="W290" i="10"/>
  <c r="W291" i="10"/>
  <c r="W292" i="10"/>
  <c r="W293" i="10"/>
  <c r="W294" i="10"/>
  <c r="W295" i="10"/>
  <c r="X295" i="10" s="1"/>
  <c r="W296" i="10"/>
  <c r="W297" i="10"/>
  <c r="W298" i="10"/>
  <c r="W299" i="10"/>
  <c r="W300" i="10"/>
  <c r="W301" i="10"/>
  <c r="W302" i="10"/>
  <c r="W303" i="10"/>
  <c r="W304" i="10"/>
  <c r="W305" i="10"/>
  <c r="W306" i="10"/>
  <c r="W307" i="10"/>
  <c r="W308" i="10"/>
  <c r="W309" i="10"/>
  <c r="W310" i="10"/>
  <c r="W311" i="10"/>
  <c r="W312" i="10"/>
  <c r="W313" i="10"/>
  <c r="W314" i="10"/>
  <c r="W315" i="10"/>
  <c r="X315" i="10" s="1"/>
  <c r="W316" i="10"/>
  <c r="W317" i="10"/>
  <c r="W318" i="10"/>
  <c r="W319" i="10"/>
  <c r="W320" i="10"/>
  <c r="W321" i="10"/>
  <c r="W322" i="10"/>
  <c r="W323" i="10"/>
  <c r="W324" i="10"/>
  <c r="X324" i="10" s="1"/>
  <c r="W325" i="10"/>
  <c r="W326" i="10"/>
  <c r="W327" i="10"/>
  <c r="W328" i="10"/>
  <c r="W329" i="10"/>
  <c r="W330" i="10"/>
  <c r="W331" i="10"/>
  <c r="W332" i="10"/>
  <c r="W333" i="10"/>
  <c r="W334" i="10"/>
  <c r="W335" i="10"/>
  <c r="W336" i="10"/>
  <c r="W337" i="10"/>
  <c r="W338" i="10"/>
  <c r="X338" i="10" s="1"/>
  <c r="W339" i="10"/>
  <c r="W340" i="10"/>
  <c r="W341" i="10"/>
  <c r="W342" i="10"/>
  <c r="W343" i="10"/>
  <c r="W344" i="10"/>
  <c r="W345" i="10"/>
  <c r="W346" i="10"/>
  <c r="W347" i="10"/>
  <c r="W348" i="10"/>
  <c r="W349" i="10"/>
  <c r="W350" i="10"/>
  <c r="W351" i="10"/>
  <c r="W352" i="10"/>
  <c r="W353" i="10"/>
  <c r="W354" i="10"/>
  <c r="W355" i="10"/>
  <c r="W356" i="10"/>
  <c r="W357" i="10"/>
  <c r="W358" i="10"/>
  <c r="W359" i="10"/>
  <c r="X359" i="10" s="1"/>
  <c r="W360" i="10"/>
  <c r="W361" i="10"/>
  <c r="W362" i="10"/>
  <c r="W363" i="10"/>
  <c r="W364" i="10"/>
  <c r="W365" i="10"/>
  <c r="W366" i="10"/>
  <c r="W367" i="10"/>
  <c r="W368" i="10"/>
  <c r="W369" i="10"/>
  <c r="W370" i="10"/>
  <c r="W371" i="10"/>
  <c r="W372" i="10"/>
  <c r="W373" i="10"/>
  <c r="W374" i="10"/>
  <c r="W375" i="10"/>
  <c r="W376" i="10"/>
  <c r="W377" i="10"/>
  <c r="W378" i="10"/>
  <c r="W379" i="10"/>
  <c r="X379" i="10" s="1"/>
  <c r="W380" i="10"/>
  <c r="W381" i="10"/>
  <c r="W382" i="10"/>
  <c r="W383" i="10"/>
  <c r="W384" i="10"/>
  <c r="W385" i="10"/>
  <c r="W386" i="10"/>
  <c r="W387" i="10"/>
  <c r="W388" i="10"/>
  <c r="W389" i="10"/>
  <c r="W390" i="10"/>
  <c r="W391" i="10"/>
  <c r="W392" i="10"/>
  <c r="W393" i="10"/>
  <c r="W394" i="10"/>
  <c r="W395" i="10"/>
  <c r="W396" i="10"/>
  <c r="W397" i="10"/>
  <c r="X397" i="10" s="1"/>
  <c r="W398" i="10"/>
  <c r="W399" i="10"/>
  <c r="W400" i="10"/>
  <c r="W401" i="10"/>
  <c r="W402" i="10"/>
  <c r="X402" i="10" s="1"/>
  <c r="W403" i="10"/>
  <c r="W404" i="10"/>
  <c r="W405" i="10"/>
  <c r="W406" i="10"/>
  <c r="W407" i="10"/>
  <c r="W408" i="10"/>
  <c r="W409" i="10"/>
  <c r="W410" i="10"/>
  <c r="W411" i="10"/>
  <c r="W412" i="10"/>
  <c r="W413" i="10"/>
  <c r="W414" i="10"/>
  <c r="W415" i="10"/>
  <c r="X415" i="10" s="1"/>
  <c r="W416" i="10"/>
  <c r="W417" i="10"/>
  <c r="W418" i="10"/>
  <c r="W419" i="10"/>
  <c r="W420" i="10"/>
  <c r="W421" i="10"/>
  <c r="W422" i="10"/>
  <c r="W423" i="10"/>
  <c r="X423" i="10" s="1"/>
  <c r="W424" i="10"/>
  <c r="W425" i="10"/>
  <c r="W426" i="10"/>
  <c r="W427" i="10"/>
  <c r="W428" i="10"/>
  <c r="W429" i="10"/>
  <c r="X429" i="10" s="1"/>
  <c r="W430" i="10"/>
  <c r="W431" i="10"/>
  <c r="W432" i="10"/>
  <c r="W433" i="10"/>
  <c r="W434" i="10"/>
  <c r="W435" i="10"/>
  <c r="W436" i="10"/>
  <c r="W437" i="10"/>
  <c r="W438" i="10"/>
  <c r="W439" i="10"/>
  <c r="W440" i="10"/>
  <c r="W441" i="10"/>
  <c r="W442" i="10"/>
  <c r="W443" i="10"/>
  <c r="X443" i="10" s="1"/>
  <c r="W444" i="10"/>
  <c r="W445" i="10"/>
  <c r="W446" i="10"/>
  <c r="W447" i="10"/>
  <c r="W448" i="10"/>
  <c r="W449" i="10"/>
  <c r="W450" i="10"/>
  <c r="W451" i="10"/>
  <c r="W452" i="10"/>
  <c r="W453" i="10"/>
  <c r="X453" i="10" s="1"/>
  <c r="W454" i="10"/>
  <c r="W455" i="10"/>
  <c r="W456" i="10"/>
  <c r="W457" i="10"/>
  <c r="W458" i="10"/>
  <c r="W459" i="10"/>
  <c r="W460" i="10"/>
  <c r="W461" i="10"/>
  <c r="W462" i="10"/>
  <c r="W463" i="10"/>
  <c r="W464" i="10"/>
  <c r="W465" i="10"/>
  <c r="W466" i="10"/>
  <c r="X466" i="10" s="1"/>
  <c r="W467" i="10"/>
  <c r="W468" i="10"/>
  <c r="W469" i="10"/>
  <c r="W470" i="10"/>
  <c r="W471" i="10"/>
  <c r="W472" i="10"/>
  <c r="W473" i="10"/>
  <c r="W474" i="10"/>
  <c r="W475" i="10"/>
  <c r="W476" i="10"/>
  <c r="W477" i="10"/>
  <c r="W478" i="10"/>
  <c r="W479" i="10"/>
  <c r="X479" i="10" s="1"/>
  <c r="W480" i="10"/>
  <c r="W481" i="10"/>
  <c r="W482" i="10"/>
  <c r="W483" i="10"/>
  <c r="W484" i="10"/>
  <c r="W485" i="10"/>
  <c r="W486" i="10"/>
  <c r="W487" i="10"/>
  <c r="X487" i="10" s="1"/>
  <c r="W488" i="10"/>
  <c r="W489" i="10"/>
  <c r="W490" i="10"/>
  <c r="W491" i="10"/>
  <c r="W492" i="10"/>
  <c r="W493" i="10"/>
  <c r="W494" i="10"/>
  <c r="W495" i="10"/>
  <c r="W496" i="10"/>
  <c r="W497" i="10"/>
  <c r="W498" i="10"/>
  <c r="W499" i="10"/>
  <c r="W500" i="10"/>
  <c r="W501" i="10"/>
  <c r="W502" i="10"/>
  <c r="W503" i="10"/>
  <c r="W504" i="10"/>
  <c r="W505" i="10"/>
  <c r="W506" i="10"/>
  <c r="W507" i="10"/>
  <c r="X507" i="10" s="1"/>
  <c r="W508" i="10"/>
  <c r="W509" i="10"/>
  <c r="W510" i="10"/>
  <c r="W511" i="10"/>
  <c r="W512" i="10"/>
  <c r="W513" i="10"/>
  <c r="W514" i="10"/>
  <c r="W515" i="10"/>
  <c r="W516" i="10"/>
  <c r="X516" i="10" s="1"/>
  <c r="W517" i="10"/>
  <c r="X517" i="10" s="1"/>
  <c r="W518" i="10"/>
  <c r="W519" i="10"/>
  <c r="W520" i="10"/>
  <c r="W521" i="10"/>
  <c r="W522" i="10"/>
  <c r="W523" i="10"/>
  <c r="W524" i="10"/>
  <c r="W525" i="10"/>
  <c r="W526" i="10"/>
  <c r="W527" i="10"/>
  <c r="W528" i="10"/>
  <c r="W529" i="10"/>
  <c r="W530" i="10"/>
  <c r="X530" i="10" s="1"/>
  <c r="W531" i="10"/>
  <c r="W532" i="10"/>
  <c r="W533" i="10"/>
  <c r="W534" i="10"/>
  <c r="W535" i="10"/>
  <c r="W536" i="10"/>
  <c r="W537" i="10"/>
  <c r="W538" i="10"/>
  <c r="W539" i="10"/>
  <c r="W540" i="10"/>
  <c r="W541" i="10"/>
  <c r="W542" i="10"/>
  <c r="W543" i="10"/>
  <c r="W544" i="10"/>
  <c r="W545" i="10"/>
  <c r="W546" i="10"/>
  <c r="W547" i="10"/>
  <c r="W548" i="10"/>
  <c r="W549" i="10"/>
  <c r="W550" i="10"/>
  <c r="W551" i="10"/>
  <c r="X551" i="10" s="1"/>
  <c r="W552" i="10"/>
  <c r="X552" i="10" s="1"/>
  <c r="W553" i="10"/>
  <c r="W554" i="10"/>
  <c r="W555" i="10"/>
  <c r="W556" i="10"/>
  <c r="W557" i="10"/>
  <c r="W558" i="10"/>
  <c r="W559" i="10"/>
  <c r="W560" i="10"/>
  <c r="W561" i="10"/>
  <c r="W562" i="10"/>
  <c r="W563" i="10"/>
  <c r="W564" i="10"/>
  <c r="W565" i="10"/>
  <c r="W566" i="10"/>
  <c r="W567" i="10"/>
  <c r="W568" i="10"/>
  <c r="X568" i="10" s="1"/>
  <c r="W569" i="10"/>
  <c r="W570" i="10"/>
  <c r="W571" i="10"/>
  <c r="X571" i="10" s="1"/>
  <c r="W572" i="10"/>
  <c r="W573" i="10"/>
  <c r="W574" i="10"/>
  <c r="W575" i="10"/>
  <c r="W576" i="10"/>
  <c r="W577" i="10"/>
  <c r="W578" i="10"/>
  <c r="W579" i="10"/>
  <c r="W580" i="10"/>
  <c r="W581" i="10"/>
  <c r="W582" i="10"/>
  <c r="W583" i="10"/>
  <c r="W584" i="10"/>
  <c r="W585" i="10"/>
  <c r="W586" i="10"/>
  <c r="W587" i="10"/>
  <c r="W588" i="10"/>
  <c r="W589" i="10"/>
  <c r="W590" i="10"/>
  <c r="W591" i="10"/>
  <c r="W592" i="10"/>
  <c r="W593" i="10"/>
  <c r="W594" i="10"/>
  <c r="X594" i="10" s="1"/>
  <c r="W595" i="10"/>
  <c r="W596" i="10"/>
  <c r="X596" i="10" s="1"/>
  <c r="W597" i="10"/>
  <c r="W598" i="10"/>
  <c r="W599" i="10"/>
  <c r="W600" i="10"/>
  <c r="W601" i="10"/>
  <c r="W602" i="10"/>
  <c r="W603" i="10"/>
  <c r="W604" i="10"/>
  <c r="W605" i="10"/>
  <c r="W606" i="10"/>
  <c r="W607" i="10"/>
  <c r="W608" i="10"/>
  <c r="W609" i="10"/>
  <c r="W610" i="10"/>
  <c r="W611" i="10"/>
  <c r="W612" i="10"/>
  <c r="W613" i="10"/>
  <c r="W614" i="10"/>
  <c r="W615" i="10"/>
  <c r="X615" i="10" s="1"/>
  <c r="W616" i="10"/>
  <c r="W617" i="10"/>
  <c r="W618" i="10"/>
  <c r="W619" i="10"/>
  <c r="W620" i="10"/>
  <c r="W621" i="10"/>
  <c r="W622" i="10"/>
  <c r="W623" i="10"/>
  <c r="X623" i="10" s="1"/>
  <c r="W624" i="10"/>
  <c r="W625" i="10"/>
  <c r="W626" i="10"/>
  <c r="W627" i="10"/>
  <c r="W628" i="10"/>
  <c r="W629" i="10"/>
  <c r="W630" i="10"/>
  <c r="W631" i="10"/>
  <c r="W632" i="10"/>
  <c r="X632" i="10" s="1"/>
  <c r="W633" i="10"/>
  <c r="W634" i="10"/>
  <c r="W635" i="10"/>
  <c r="X635" i="10" s="1"/>
  <c r="W636" i="10"/>
  <c r="W637" i="10"/>
  <c r="W638" i="10"/>
  <c r="W639" i="10"/>
  <c r="W640" i="10"/>
  <c r="W641" i="10"/>
  <c r="W642" i="10"/>
  <c r="W643" i="10"/>
  <c r="W644" i="10"/>
  <c r="W645" i="10"/>
  <c r="W646" i="10"/>
  <c r="W647" i="10"/>
  <c r="W648" i="10"/>
  <c r="W649" i="10"/>
  <c r="W650" i="10"/>
  <c r="W651" i="10"/>
  <c r="W652" i="10"/>
  <c r="W653" i="10"/>
  <c r="W654" i="10"/>
  <c r="W655" i="10"/>
  <c r="X655" i="10" s="1"/>
  <c r="W656" i="10"/>
  <c r="W657" i="10"/>
  <c r="W658" i="10"/>
  <c r="X658" i="10" s="1"/>
  <c r="W659" i="10"/>
  <c r="W660" i="10"/>
  <c r="W661" i="10"/>
  <c r="X661" i="10" s="1"/>
  <c r="W662" i="10"/>
  <c r="W663" i="10"/>
  <c r="W664" i="10"/>
  <c r="W665" i="10"/>
  <c r="W666" i="10"/>
  <c r="W667" i="10"/>
  <c r="W668" i="10"/>
  <c r="W669" i="10"/>
  <c r="W670" i="10"/>
  <c r="W671" i="10"/>
  <c r="W672" i="10"/>
  <c r="W673" i="10"/>
  <c r="W674" i="10"/>
  <c r="W675" i="10"/>
  <c r="W676" i="10"/>
  <c r="W677" i="10"/>
  <c r="W678" i="10"/>
  <c r="W679" i="10"/>
  <c r="X679" i="10" s="1"/>
  <c r="W680" i="10"/>
  <c r="W681" i="10"/>
  <c r="W682" i="10"/>
  <c r="W683" i="10"/>
  <c r="W684" i="10"/>
  <c r="W685" i="10"/>
  <c r="W686" i="10"/>
  <c r="W687" i="10"/>
  <c r="W688" i="10"/>
  <c r="W689" i="10"/>
  <c r="W690" i="10"/>
  <c r="X690" i="10" s="1"/>
  <c r="W691" i="10"/>
  <c r="W692" i="10"/>
  <c r="W693" i="10"/>
  <c r="W694" i="10"/>
  <c r="W695" i="10"/>
  <c r="W696" i="10"/>
  <c r="W697" i="10"/>
  <c r="W698" i="10"/>
  <c r="X698" i="10" s="1"/>
  <c r="W699" i="10"/>
  <c r="W700" i="10"/>
  <c r="W701" i="10"/>
  <c r="W702" i="10"/>
  <c r="W703" i="10"/>
  <c r="X703" i="10" s="1"/>
  <c r="W704" i="10"/>
  <c r="W705" i="10"/>
  <c r="W706" i="10"/>
  <c r="X706" i="10" s="1"/>
  <c r="W707" i="10"/>
  <c r="W708" i="10"/>
  <c r="W709" i="10"/>
  <c r="W710" i="10"/>
  <c r="W711" i="10"/>
  <c r="X711" i="10" s="1"/>
  <c r="W712" i="10"/>
  <c r="W713" i="10"/>
  <c r="W714" i="10"/>
  <c r="X714" i="10" s="1"/>
  <c r="W715" i="10"/>
  <c r="W716" i="10"/>
  <c r="W717" i="10"/>
  <c r="W718" i="10"/>
  <c r="W719" i="10"/>
  <c r="W720" i="10"/>
  <c r="W721" i="10"/>
  <c r="W722" i="10"/>
  <c r="X722" i="10" s="1"/>
  <c r="W723" i="10"/>
  <c r="W724" i="10"/>
  <c r="W725" i="10"/>
  <c r="W726" i="10"/>
  <c r="W727" i="10"/>
  <c r="X727" i="10" s="1"/>
  <c r="W728" i="10"/>
  <c r="W729" i="10"/>
  <c r="W730" i="10"/>
  <c r="X730" i="10" s="1"/>
  <c r="W731" i="10"/>
  <c r="W732" i="10"/>
  <c r="W733" i="10"/>
  <c r="W734" i="10"/>
  <c r="W735" i="10"/>
  <c r="W736" i="10"/>
  <c r="W737" i="10"/>
  <c r="W738" i="10"/>
  <c r="X738" i="10" s="1"/>
  <c r="W739" i="10"/>
  <c r="W740" i="10"/>
  <c r="W741" i="10"/>
  <c r="W742" i="10"/>
  <c r="W743" i="10"/>
  <c r="W744" i="10"/>
  <c r="W745" i="10"/>
  <c r="W746" i="10"/>
  <c r="X746" i="10" s="1"/>
  <c r="W747" i="10"/>
  <c r="W748" i="10"/>
  <c r="W749" i="10"/>
  <c r="W750" i="10"/>
  <c r="W751" i="10"/>
  <c r="W752" i="10"/>
  <c r="W753" i="10"/>
  <c r="W754" i="10"/>
  <c r="X754" i="10" s="1"/>
  <c r="W755" i="10"/>
  <c r="W756" i="10"/>
  <c r="W757" i="10"/>
  <c r="W758" i="10"/>
  <c r="W759" i="10"/>
  <c r="W760" i="10"/>
  <c r="W761" i="10"/>
  <c r="W762" i="10"/>
  <c r="X762" i="10" s="1"/>
  <c r="W763" i="10"/>
  <c r="W764" i="10"/>
  <c r="W765" i="10"/>
  <c r="W766" i="10"/>
  <c r="W767" i="10"/>
  <c r="X767" i="10" s="1"/>
  <c r="W768" i="10"/>
  <c r="W769" i="10"/>
  <c r="W770" i="10"/>
  <c r="X770" i="10" s="1"/>
  <c r="W771" i="10"/>
  <c r="X771" i="10" s="1"/>
  <c r="W772" i="10"/>
  <c r="W773" i="10"/>
  <c r="W774" i="10"/>
  <c r="W775" i="10"/>
  <c r="X775" i="10" s="1"/>
  <c r="W776" i="10"/>
  <c r="W777" i="10"/>
  <c r="W778" i="10"/>
  <c r="X778" i="10" s="1"/>
  <c r="W779" i="10"/>
  <c r="X779" i="10" s="1"/>
  <c r="W780" i="10"/>
  <c r="W781" i="10"/>
  <c r="X781" i="10" s="1"/>
  <c r="W782" i="10"/>
  <c r="W783" i="10"/>
  <c r="W784" i="10"/>
  <c r="W785" i="10"/>
  <c r="W786" i="10"/>
  <c r="X786" i="10" s="1"/>
  <c r="W787" i="10"/>
  <c r="X787" i="10" s="1"/>
  <c r="W788" i="10"/>
  <c r="W789" i="10"/>
  <c r="W790" i="10"/>
  <c r="W791" i="10"/>
  <c r="X791" i="10" s="1"/>
  <c r="W792" i="10"/>
  <c r="W793" i="10"/>
  <c r="W794" i="10"/>
  <c r="X794" i="10" s="1"/>
  <c r="W795" i="10"/>
  <c r="X795" i="10" s="1"/>
  <c r="W796" i="10"/>
  <c r="W797" i="10"/>
  <c r="X797" i="10" s="1"/>
  <c r="W798" i="10"/>
  <c r="W799" i="10"/>
  <c r="W800" i="10"/>
  <c r="W801" i="10"/>
  <c r="W802" i="10"/>
  <c r="X802" i="10" s="1"/>
  <c r="W803" i="10"/>
  <c r="X803" i="10" s="1"/>
  <c r="W804" i="10"/>
  <c r="W805" i="10"/>
  <c r="X805" i="10" s="1"/>
  <c r="W806" i="10"/>
  <c r="W807" i="10"/>
  <c r="X807" i="10" s="1"/>
  <c r="W808" i="10"/>
  <c r="W809" i="10"/>
  <c r="W810" i="10"/>
  <c r="X810" i="10" s="1"/>
  <c r="W811" i="10"/>
  <c r="X811" i="10" s="1"/>
  <c r="W812" i="10"/>
  <c r="W813" i="10"/>
  <c r="W814" i="10"/>
  <c r="W815" i="10"/>
  <c r="W816" i="10"/>
  <c r="W817" i="10"/>
  <c r="W818" i="10"/>
  <c r="X818" i="10" s="1"/>
  <c r="W819" i="10"/>
  <c r="X819" i="10" s="1"/>
  <c r="W820" i="10"/>
  <c r="W821" i="10"/>
  <c r="X821" i="10" s="1"/>
  <c r="Y821" i="10" s="1"/>
  <c r="W822" i="10"/>
  <c r="W823" i="10"/>
  <c r="W824" i="10"/>
  <c r="W825" i="10"/>
  <c r="W826" i="10"/>
  <c r="X826" i="10" s="1"/>
  <c r="W827" i="10"/>
  <c r="X827" i="10" s="1"/>
  <c r="W828" i="10"/>
  <c r="W829" i="10"/>
  <c r="X829" i="10" s="1"/>
  <c r="W830" i="10"/>
  <c r="W831" i="10"/>
  <c r="W832" i="10"/>
  <c r="W833" i="10"/>
  <c r="W834" i="10"/>
  <c r="X834" i="10" s="1"/>
  <c r="W835" i="10"/>
  <c r="X835" i="10" s="1"/>
  <c r="W836" i="10"/>
  <c r="W837" i="10"/>
  <c r="X837" i="10" s="1"/>
  <c r="W838" i="10"/>
  <c r="W839" i="10"/>
  <c r="X839" i="10" s="1"/>
  <c r="W840" i="10"/>
  <c r="W841" i="10"/>
  <c r="W842" i="10"/>
  <c r="X842" i="10" s="1"/>
  <c r="W843" i="10"/>
  <c r="X843" i="10" s="1"/>
  <c r="W844" i="10"/>
  <c r="W845" i="10"/>
  <c r="X845" i="10" s="1"/>
  <c r="W846" i="10"/>
  <c r="W847" i="10"/>
  <c r="W848" i="10"/>
  <c r="W849" i="10"/>
  <c r="W850" i="10"/>
  <c r="X850" i="10" s="1"/>
  <c r="W851" i="10"/>
  <c r="X851" i="10" s="1"/>
  <c r="W852" i="10"/>
  <c r="W853" i="10"/>
  <c r="W854" i="10"/>
  <c r="W855" i="10"/>
  <c r="X855" i="10" s="1"/>
  <c r="W856" i="10"/>
  <c r="W857" i="10"/>
  <c r="W858" i="10"/>
  <c r="X858" i="10" s="1"/>
  <c r="W859" i="10"/>
  <c r="X859" i="10" s="1"/>
  <c r="W860" i="10"/>
  <c r="W861" i="10"/>
  <c r="X861" i="10" s="1"/>
  <c r="W862" i="10"/>
  <c r="W863" i="10"/>
  <c r="W864" i="10"/>
  <c r="W865" i="10"/>
  <c r="W867" i="10"/>
  <c r="X867" i="10" s="1"/>
  <c r="W868" i="10"/>
  <c r="W869" i="10"/>
  <c r="X869" i="10" s="1"/>
  <c r="W870" i="10"/>
  <c r="X870" i="10" s="1"/>
  <c r="W871" i="10"/>
  <c r="W872" i="10"/>
  <c r="W873" i="10"/>
  <c r="W874" i="10"/>
  <c r="X874" i="10" s="1"/>
  <c r="W875" i="10"/>
  <c r="X875" i="10" s="1"/>
  <c r="W876" i="10"/>
  <c r="W877" i="10"/>
  <c r="X877" i="10" s="1"/>
  <c r="W878" i="10"/>
  <c r="W879" i="10"/>
  <c r="W880" i="10"/>
  <c r="W881" i="10"/>
  <c r="W882" i="10"/>
  <c r="X882" i="10" s="1"/>
  <c r="W883" i="10"/>
  <c r="X883" i="10" s="1"/>
  <c r="W884" i="10"/>
  <c r="W885" i="10"/>
  <c r="X885" i="10" s="1"/>
  <c r="W886" i="10"/>
  <c r="W887" i="10"/>
  <c r="W888" i="10"/>
  <c r="V6" i="10"/>
  <c r="V7" i="10"/>
  <c r="V8" i="10"/>
  <c r="V9" i="10"/>
  <c r="V10" i="10"/>
  <c r="V11" i="10"/>
  <c r="V12" i="10"/>
  <c r="V13" i="10"/>
  <c r="V14" i="10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32" i="10"/>
  <c r="V33" i="10"/>
  <c r="V34" i="10"/>
  <c r="V35" i="10"/>
  <c r="V36" i="10"/>
  <c r="V37" i="10"/>
  <c r="V38" i="10"/>
  <c r="V39" i="10"/>
  <c r="V40" i="10"/>
  <c r="V41" i="10"/>
  <c r="V42" i="10"/>
  <c r="V43" i="10"/>
  <c r="V44" i="10"/>
  <c r="V45" i="10"/>
  <c r="V46" i="10"/>
  <c r="V47" i="10"/>
  <c r="V48" i="10"/>
  <c r="V49" i="10"/>
  <c r="V50" i="10"/>
  <c r="V51" i="10"/>
  <c r="V52" i="10"/>
  <c r="V53" i="10"/>
  <c r="V54" i="10"/>
  <c r="V55" i="10"/>
  <c r="V56" i="10"/>
  <c r="V57" i="10"/>
  <c r="V58" i="10"/>
  <c r="V59" i="10"/>
  <c r="V60" i="10"/>
  <c r="V61" i="10"/>
  <c r="V62" i="10"/>
  <c r="V63" i="10"/>
  <c r="V64" i="10"/>
  <c r="V65" i="10"/>
  <c r="V66" i="10"/>
  <c r="V67" i="10"/>
  <c r="V68" i="10"/>
  <c r="V69" i="10"/>
  <c r="V70" i="10"/>
  <c r="V71" i="10"/>
  <c r="V72" i="10"/>
  <c r="V73" i="10"/>
  <c r="V74" i="10"/>
  <c r="V75" i="10"/>
  <c r="V76" i="10"/>
  <c r="V77" i="10"/>
  <c r="V78" i="10"/>
  <c r="V79" i="10"/>
  <c r="V80" i="10"/>
  <c r="V81" i="10"/>
  <c r="V82" i="10"/>
  <c r="V83" i="10"/>
  <c r="V84" i="10"/>
  <c r="V85" i="10"/>
  <c r="V86" i="10"/>
  <c r="V87" i="10"/>
  <c r="V88" i="10"/>
  <c r="V89" i="10"/>
  <c r="V90" i="10"/>
  <c r="V91" i="10"/>
  <c r="V92" i="10"/>
  <c r="V93" i="10"/>
  <c r="V94" i="10"/>
  <c r="V95" i="10"/>
  <c r="V96" i="10"/>
  <c r="V97" i="10"/>
  <c r="V98" i="10"/>
  <c r="V99" i="10"/>
  <c r="V100" i="10"/>
  <c r="V101" i="10"/>
  <c r="V102" i="10"/>
  <c r="V103" i="10"/>
  <c r="V104" i="10"/>
  <c r="V105" i="10"/>
  <c r="V106" i="10"/>
  <c r="V107" i="10"/>
  <c r="V108" i="10"/>
  <c r="V109" i="10"/>
  <c r="V110" i="10"/>
  <c r="V111" i="10"/>
  <c r="V112" i="10"/>
  <c r="V113" i="10"/>
  <c r="V114" i="10"/>
  <c r="V115" i="10"/>
  <c r="V116" i="10"/>
  <c r="V117" i="10"/>
  <c r="V118" i="10"/>
  <c r="V119" i="10"/>
  <c r="V120" i="10"/>
  <c r="V121" i="10"/>
  <c r="V122" i="10"/>
  <c r="V123" i="10"/>
  <c r="V124" i="10"/>
  <c r="V125" i="10"/>
  <c r="V126" i="10"/>
  <c r="V127" i="10"/>
  <c r="V128" i="10"/>
  <c r="V129" i="10"/>
  <c r="V130" i="10"/>
  <c r="V131" i="10"/>
  <c r="V132" i="10"/>
  <c r="V133" i="10"/>
  <c r="V134" i="10"/>
  <c r="V135" i="10"/>
  <c r="V136" i="10"/>
  <c r="V137" i="10"/>
  <c r="V138" i="10"/>
  <c r="V139" i="10"/>
  <c r="V140" i="10"/>
  <c r="V141" i="10"/>
  <c r="V142" i="10"/>
  <c r="V143" i="10"/>
  <c r="V144" i="10"/>
  <c r="V145" i="10"/>
  <c r="V146" i="10"/>
  <c r="V147" i="10"/>
  <c r="V148" i="10"/>
  <c r="V149" i="10"/>
  <c r="V150" i="10"/>
  <c r="V151" i="10"/>
  <c r="V152" i="10"/>
  <c r="V153" i="10"/>
  <c r="V154" i="10"/>
  <c r="V155" i="10"/>
  <c r="V156" i="10"/>
  <c r="V157" i="10"/>
  <c r="V158" i="10"/>
  <c r="V159" i="10"/>
  <c r="V160" i="10"/>
  <c r="V161" i="10"/>
  <c r="V162" i="10"/>
  <c r="V163" i="10"/>
  <c r="V164" i="10"/>
  <c r="V165" i="10"/>
  <c r="V166" i="10"/>
  <c r="V167" i="10"/>
  <c r="V168" i="10"/>
  <c r="V169" i="10"/>
  <c r="V170" i="10"/>
  <c r="V171" i="10"/>
  <c r="V172" i="10"/>
  <c r="V173" i="10"/>
  <c r="V174" i="10"/>
  <c r="V175" i="10"/>
  <c r="V176" i="10"/>
  <c r="V177" i="10"/>
  <c r="V178" i="10"/>
  <c r="V179" i="10"/>
  <c r="V180" i="10"/>
  <c r="V181" i="10"/>
  <c r="V182" i="10"/>
  <c r="V183" i="10"/>
  <c r="V184" i="10"/>
  <c r="V185" i="10"/>
  <c r="V186" i="10"/>
  <c r="V187" i="10"/>
  <c r="V188" i="10"/>
  <c r="V189" i="10"/>
  <c r="V190" i="10"/>
  <c r="V191" i="10"/>
  <c r="V192" i="10"/>
  <c r="V193" i="10"/>
  <c r="V194" i="10"/>
  <c r="V195" i="10"/>
  <c r="V196" i="10"/>
  <c r="V197" i="10"/>
  <c r="V198" i="10"/>
  <c r="V199" i="10"/>
  <c r="V200" i="10"/>
  <c r="V201" i="10"/>
  <c r="V202" i="10"/>
  <c r="V203" i="10"/>
  <c r="V204" i="10"/>
  <c r="V205" i="10"/>
  <c r="V206" i="10"/>
  <c r="V207" i="10"/>
  <c r="V208" i="10"/>
  <c r="V209" i="10"/>
  <c r="V210" i="10"/>
  <c r="V211" i="10"/>
  <c r="V212" i="10"/>
  <c r="V213" i="10"/>
  <c r="V214" i="10"/>
  <c r="V215" i="10"/>
  <c r="V216" i="10"/>
  <c r="V217" i="10"/>
  <c r="V218" i="10"/>
  <c r="V219" i="10"/>
  <c r="V220" i="10"/>
  <c r="V221" i="10"/>
  <c r="V222" i="10"/>
  <c r="V223" i="10"/>
  <c r="V224" i="10"/>
  <c r="V225" i="10"/>
  <c r="V226" i="10"/>
  <c r="V227" i="10"/>
  <c r="V228" i="10"/>
  <c r="V229" i="10"/>
  <c r="V230" i="10"/>
  <c r="V231" i="10"/>
  <c r="V232" i="10"/>
  <c r="V233" i="10"/>
  <c r="V234" i="10"/>
  <c r="V235" i="10"/>
  <c r="V236" i="10"/>
  <c r="V237" i="10"/>
  <c r="V238" i="10"/>
  <c r="V239" i="10"/>
  <c r="V240" i="10"/>
  <c r="V241" i="10"/>
  <c r="V242" i="10"/>
  <c r="V243" i="10"/>
  <c r="V244" i="10"/>
  <c r="V245" i="10"/>
  <c r="V246" i="10"/>
  <c r="V247" i="10"/>
  <c r="V248" i="10"/>
  <c r="V249" i="10"/>
  <c r="V250" i="10"/>
  <c r="V251" i="10"/>
  <c r="V252" i="10"/>
  <c r="V253" i="10"/>
  <c r="V254" i="10"/>
  <c r="V255" i="10"/>
  <c r="V256" i="10"/>
  <c r="V257" i="10"/>
  <c r="V258" i="10"/>
  <c r="V259" i="10"/>
  <c r="V260" i="10"/>
  <c r="V261" i="10"/>
  <c r="V262" i="10"/>
  <c r="V263" i="10"/>
  <c r="V264" i="10"/>
  <c r="V265" i="10"/>
  <c r="V266" i="10"/>
  <c r="V267" i="10"/>
  <c r="V268" i="10"/>
  <c r="V269" i="10"/>
  <c r="V270" i="10"/>
  <c r="V271" i="10"/>
  <c r="V272" i="10"/>
  <c r="V273" i="10"/>
  <c r="V274" i="10"/>
  <c r="V275" i="10"/>
  <c r="V276" i="10"/>
  <c r="V277" i="10"/>
  <c r="V278" i="10"/>
  <c r="V279" i="10"/>
  <c r="V280" i="10"/>
  <c r="V281" i="10"/>
  <c r="V282" i="10"/>
  <c r="V283" i="10"/>
  <c r="V284" i="10"/>
  <c r="V285" i="10"/>
  <c r="V286" i="10"/>
  <c r="V287" i="10"/>
  <c r="V288" i="10"/>
  <c r="V289" i="10"/>
  <c r="V290" i="10"/>
  <c r="V291" i="10"/>
  <c r="V292" i="10"/>
  <c r="V293" i="10"/>
  <c r="V294" i="10"/>
  <c r="V295" i="10"/>
  <c r="V296" i="10"/>
  <c r="V297" i="10"/>
  <c r="V298" i="10"/>
  <c r="V299" i="10"/>
  <c r="V300" i="10"/>
  <c r="V301" i="10"/>
  <c r="V302" i="10"/>
  <c r="V303" i="10"/>
  <c r="V304" i="10"/>
  <c r="V305" i="10"/>
  <c r="V306" i="10"/>
  <c r="V307" i="10"/>
  <c r="V308" i="10"/>
  <c r="V309" i="10"/>
  <c r="V310" i="10"/>
  <c r="V311" i="10"/>
  <c r="V312" i="10"/>
  <c r="V313" i="10"/>
  <c r="V314" i="10"/>
  <c r="V315" i="10"/>
  <c r="V316" i="10"/>
  <c r="V317" i="10"/>
  <c r="V318" i="10"/>
  <c r="V319" i="10"/>
  <c r="V320" i="10"/>
  <c r="V321" i="10"/>
  <c r="V322" i="10"/>
  <c r="V323" i="10"/>
  <c r="V324" i="10"/>
  <c r="V325" i="10"/>
  <c r="V326" i="10"/>
  <c r="V327" i="10"/>
  <c r="V328" i="10"/>
  <c r="V329" i="10"/>
  <c r="V330" i="10"/>
  <c r="V331" i="10"/>
  <c r="V332" i="10"/>
  <c r="V333" i="10"/>
  <c r="V334" i="10"/>
  <c r="V335" i="10"/>
  <c r="V336" i="10"/>
  <c r="V337" i="10"/>
  <c r="V338" i="10"/>
  <c r="V339" i="10"/>
  <c r="V340" i="10"/>
  <c r="V341" i="10"/>
  <c r="V342" i="10"/>
  <c r="V343" i="10"/>
  <c r="V344" i="10"/>
  <c r="V345" i="10"/>
  <c r="V346" i="10"/>
  <c r="V347" i="10"/>
  <c r="V348" i="10"/>
  <c r="V349" i="10"/>
  <c r="V350" i="10"/>
  <c r="V351" i="10"/>
  <c r="V352" i="10"/>
  <c r="V353" i="10"/>
  <c r="V354" i="10"/>
  <c r="V355" i="10"/>
  <c r="V356" i="10"/>
  <c r="V357" i="10"/>
  <c r="V358" i="10"/>
  <c r="V359" i="10"/>
  <c r="V360" i="10"/>
  <c r="V361" i="10"/>
  <c r="V362" i="10"/>
  <c r="V363" i="10"/>
  <c r="V364" i="10"/>
  <c r="V365" i="10"/>
  <c r="V366" i="10"/>
  <c r="V367" i="10"/>
  <c r="V368" i="10"/>
  <c r="V369" i="10"/>
  <c r="V370" i="10"/>
  <c r="V371" i="10"/>
  <c r="V372" i="10"/>
  <c r="V373" i="10"/>
  <c r="V374" i="10"/>
  <c r="V375" i="10"/>
  <c r="V376" i="10"/>
  <c r="V377" i="10"/>
  <c r="V378" i="10"/>
  <c r="V379" i="10"/>
  <c r="V380" i="10"/>
  <c r="V381" i="10"/>
  <c r="V382" i="10"/>
  <c r="V383" i="10"/>
  <c r="V384" i="10"/>
  <c r="V385" i="10"/>
  <c r="V386" i="10"/>
  <c r="V387" i="10"/>
  <c r="V388" i="10"/>
  <c r="V389" i="10"/>
  <c r="V390" i="10"/>
  <c r="V391" i="10"/>
  <c r="V392" i="10"/>
  <c r="V393" i="10"/>
  <c r="V394" i="10"/>
  <c r="V395" i="10"/>
  <c r="V396" i="10"/>
  <c r="V397" i="10"/>
  <c r="V398" i="10"/>
  <c r="V399" i="10"/>
  <c r="V400" i="10"/>
  <c r="V401" i="10"/>
  <c r="V402" i="10"/>
  <c r="V403" i="10"/>
  <c r="V404" i="10"/>
  <c r="V405" i="10"/>
  <c r="V406" i="10"/>
  <c r="V407" i="10"/>
  <c r="V408" i="10"/>
  <c r="V409" i="10"/>
  <c r="V410" i="10"/>
  <c r="V411" i="10"/>
  <c r="V412" i="10"/>
  <c r="V413" i="10"/>
  <c r="V414" i="10"/>
  <c r="V415" i="10"/>
  <c r="V416" i="10"/>
  <c r="V417" i="10"/>
  <c r="V418" i="10"/>
  <c r="V419" i="10"/>
  <c r="V420" i="10"/>
  <c r="V421" i="10"/>
  <c r="V422" i="10"/>
  <c r="V423" i="10"/>
  <c r="V424" i="10"/>
  <c r="V425" i="10"/>
  <c r="V426" i="10"/>
  <c r="V427" i="10"/>
  <c r="V428" i="10"/>
  <c r="V429" i="10"/>
  <c r="V430" i="10"/>
  <c r="V431" i="10"/>
  <c r="V432" i="10"/>
  <c r="V433" i="10"/>
  <c r="V434" i="10"/>
  <c r="V435" i="10"/>
  <c r="V436" i="10"/>
  <c r="V437" i="10"/>
  <c r="V438" i="10"/>
  <c r="V439" i="10"/>
  <c r="V440" i="10"/>
  <c r="V441" i="10"/>
  <c r="V442" i="10"/>
  <c r="V443" i="10"/>
  <c r="V444" i="10"/>
  <c r="V445" i="10"/>
  <c r="V446" i="10"/>
  <c r="V447" i="10"/>
  <c r="V448" i="10"/>
  <c r="V449" i="10"/>
  <c r="V450" i="10"/>
  <c r="V451" i="10"/>
  <c r="V452" i="10"/>
  <c r="V453" i="10"/>
  <c r="V454" i="10"/>
  <c r="V455" i="10"/>
  <c r="V456" i="10"/>
  <c r="V457" i="10"/>
  <c r="V458" i="10"/>
  <c r="V459" i="10"/>
  <c r="V460" i="10"/>
  <c r="V461" i="10"/>
  <c r="V462" i="10"/>
  <c r="V463" i="10"/>
  <c r="V464" i="10"/>
  <c r="V465" i="10"/>
  <c r="V466" i="10"/>
  <c r="V467" i="10"/>
  <c r="V468" i="10"/>
  <c r="V469" i="10"/>
  <c r="V470" i="10"/>
  <c r="V471" i="10"/>
  <c r="V472" i="10"/>
  <c r="V473" i="10"/>
  <c r="V474" i="10"/>
  <c r="V475" i="10"/>
  <c r="V476" i="10"/>
  <c r="V477" i="10"/>
  <c r="V478" i="10"/>
  <c r="V479" i="10"/>
  <c r="V480" i="10"/>
  <c r="V481" i="10"/>
  <c r="V482" i="10"/>
  <c r="V483" i="10"/>
  <c r="V484" i="10"/>
  <c r="V485" i="10"/>
  <c r="V486" i="10"/>
  <c r="V487" i="10"/>
  <c r="V488" i="10"/>
  <c r="V489" i="10"/>
  <c r="V490" i="10"/>
  <c r="V491" i="10"/>
  <c r="V492" i="10"/>
  <c r="V493" i="10"/>
  <c r="V494" i="10"/>
  <c r="V495" i="10"/>
  <c r="V496" i="10"/>
  <c r="V497" i="10"/>
  <c r="V498" i="10"/>
  <c r="V499" i="10"/>
  <c r="V500" i="10"/>
  <c r="V501" i="10"/>
  <c r="V502" i="10"/>
  <c r="V503" i="10"/>
  <c r="V504" i="10"/>
  <c r="V505" i="10"/>
  <c r="V506" i="10"/>
  <c r="V507" i="10"/>
  <c r="V508" i="10"/>
  <c r="V509" i="10"/>
  <c r="V510" i="10"/>
  <c r="V511" i="10"/>
  <c r="V512" i="10"/>
  <c r="V513" i="10"/>
  <c r="V514" i="10"/>
  <c r="V515" i="10"/>
  <c r="V516" i="10"/>
  <c r="V517" i="10"/>
  <c r="V518" i="10"/>
  <c r="V519" i="10"/>
  <c r="V520" i="10"/>
  <c r="V521" i="10"/>
  <c r="V522" i="10"/>
  <c r="V523" i="10"/>
  <c r="V524" i="10"/>
  <c r="V525" i="10"/>
  <c r="V526" i="10"/>
  <c r="V527" i="10"/>
  <c r="V528" i="10"/>
  <c r="V529" i="10"/>
  <c r="V530" i="10"/>
  <c r="V531" i="10"/>
  <c r="V532" i="10"/>
  <c r="V533" i="10"/>
  <c r="V534" i="10"/>
  <c r="V535" i="10"/>
  <c r="V536" i="10"/>
  <c r="V537" i="10"/>
  <c r="V538" i="10"/>
  <c r="V539" i="10"/>
  <c r="V540" i="10"/>
  <c r="V541" i="10"/>
  <c r="V542" i="10"/>
  <c r="V543" i="10"/>
  <c r="V544" i="10"/>
  <c r="V545" i="10"/>
  <c r="V546" i="10"/>
  <c r="V547" i="10"/>
  <c r="V548" i="10"/>
  <c r="V549" i="10"/>
  <c r="V550" i="10"/>
  <c r="V551" i="10"/>
  <c r="V552" i="10"/>
  <c r="V553" i="10"/>
  <c r="V554" i="10"/>
  <c r="V555" i="10"/>
  <c r="V556" i="10"/>
  <c r="V557" i="10"/>
  <c r="V558" i="10"/>
  <c r="V559" i="10"/>
  <c r="V560" i="10"/>
  <c r="V561" i="10"/>
  <c r="V562" i="10"/>
  <c r="V563" i="10"/>
  <c r="V564" i="10"/>
  <c r="V565" i="10"/>
  <c r="V566" i="10"/>
  <c r="V567" i="10"/>
  <c r="V568" i="10"/>
  <c r="V569" i="10"/>
  <c r="V570" i="10"/>
  <c r="V571" i="10"/>
  <c r="V572" i="10"/>
  <c r="V573" i="10"/>
  <c r="V574" i="10"/>
  <c r="V575" i="10"/>
  <c r="V576" i="10"/>
  <c r="V577" i="10"/>
  <c r="V578" i="10"/>
  <c r="V579" i="10"/>
  <c r="V580" i="10"/>
  <c r="V581" i="10"/>
  <c r="V582" i="10"/>
  <c r="V583" i="10"/>
  <c r="V584" i="10"/>
  <c r="V585" i="10"/>
  <c r="V586" i="10"/>
  <c r="V587" i="10"/>
  <c r="V588" i="10"/>
  <c r="V589" i="10"/>
  <c r="V590" i="10"/>
  <c r="V591" i="10"/>
  <c r="V592" i="10"/>
  <c r="V593" i="10"/>
  <c r="V594" i="10"/>
  <c r="V595" i="10"/>
  <c r="V596" i="10"/>
  <c r="V597" i="10"/>
  <c r="V598" i="10"/>
  <c r="V599" i="10"/>
  <c r="V600" i="10"/>
  <c r="V601" i="10"/>
  <c r="V602" i="10"/>
  <c r="V603" i="10"/>
  <c r="V604" i="10"/>
  <c r="V605" i="10"/>
  <c r="V606" i="10"/>
  <c r="V607" i="10"/>
  <c r="V608" i="10"/>
  <c r="V609" i="10"/>
  <c r="V610" i="10"/>
  <c r="V611" i="10"/>
  <c r="V612" i="10"/>
  <c r="V613" i="10"/>
  <c r="V614" i="10"/>
  <c r="V615" i="10"/>
  <c r="V616" i="10"/>
  <c r="V617" i="10"/>
  <c r="V618" i="10"/>
  <c r="V619" i="10"/>
  <c r="V620" i="10"/>
  <c r="V621" i="10"/>
  <c r="V622" i="10"/>
  <c r="V623" i="10"/>
  <c r="V624" i="10"/>
  <c r="V625" i="10"/>
  <c r="V626" i="10"/>
  <c r="V627" i="10"/>
  <c r="V628" i="10"/>
  <c r="V629" i="10"/>
  <c r="V630" i="10"/>
  <c r="V631" i="10"/>
  <c r="V632" i="10"/>
  <c r="V633" i="10"/>
  <c r="V634" i="10"/>
  <c r="V635" i="10"/>
  <c r="V636" i="10"/>
  <c r="V637" i="10"/>
  <c r="V638" i="10"/>
  <c r="V639" i="10"/>
  <c r="V640" i="10"/>
  <c r="V641" i="10"/>
  <c r="V642" i="10"/>
  <c r="V643" i="10"/>
  <c r="V644" i="10"/>
  <c r="V645" i="10"/>
  <c r="V646" i="10"/>
  <c r="V647" i="10"/>
  <c r="V648" i="10"/>
  <c r="V649" i="10"/>
  <c r="V650" i="10"/>
  <c r="V651" i="10"/>
  <c r="V652" i="10"/>
  <c r="V653" i="10"/>
  <c r="V654" i="10"/>
  <c r="V655" i="10"/>
  <c r="V656" i="10"/>
  <c r="V657" i="10"/>
  <c r="V658" i="10"/>
  <c r="V659" i="10"/>
  <c r="V660" i="10"/>
  <c r="V661" i="10"/>
  <c r="V662" i="10"/>
  <c r="V663" i="10"/>
  <c r="V664" i="10"/>
  <c r="V665" i="10"/>
  <c r="V666" i="10"/>
  <c r="V667" i="10"/>
  <c r="V668" i="10"/>
  <c r="V669" i="10"/>
  <c r="V670" i="10"/>
  <c r="V671" i="10"/>
  <c r="V672" i="10"/>
  <c r="V673" i="10"/>
  <c r="V674" i="10"/>
  <c r="V675" i="10"/>
  <c r="V676" i="10"/>
  <c r="V677" i="10"/>
  <c r="V678" i="10"/>
  <c r="V679" i="10"/>
  <c r="V680" i="10"/>
  <c r="V681" i="10"/>
  <c r="V682" i="10"/>
  <c r="V683" i="10"/>
  <c r="V684" i="10"/>
  <c r="V685" i="10"/>
  <c r="V686" i="10"/>
  <c r="V687" i="10"/>
  <c r="V688" i="10"/>
  <c r="V689" i="10"/>
  <c r="V690" i="10"/>
  <c r="V691" i="10"/>
  <c r="V692" i="10"/>
  <c r="V693" i="10"/>
  <c r="V694" i="10"/>
  <c r="V695" i="10"/>
  <c r="V696" i="10"/>
  <c r="V697" i="10"/>
  <c r="V698" i="10"/>
  <c r="V699" i="10"/>
  <c r="V700" i="10"/>
  <c r="V701" i="10"/>
  <c r="V702" i="10"/>
  <c r="V703" i="10"/>
  <c r="V704" i="10"/>
  <c r="V705" i="10"/>
  <c r="V706" i="10"/>
  <c r="V707" i="10"/>
  <c r="V708" i="10"/>
  <c r="V709" i="10"/>
  <c r="V710" i="10"/>
  <c r="V711" i="10"/>
  <c r="V712" i="10"/>
  <c r="V713" i="10"/>
  <c r="V714" i="10"/>
  <c r="V715" i="10"/>
  <c r="V716" i="10"/>
  <c r="V717" i="10"/>
  <c r="V718" i="10"/>
  <c r="V719" i="10"/>
  <c r="V720" i="10"/>
  <c r="V721" i="10"/>
  <c r="V722" i="10"/>
  <c r="V723" i="10"/>
  <c r="V724" i="10"/>
  <c r="V725" i="10"/>
  <c r="V726" i="10"/>
  <c r="V727" i="10"/>
  <c r="V728" i="10"/>
  <c r="V729" i="10"/>
  <c r="V730" i="10"/>
  <c r="V731" i="10"/>
  <c r="V732" i="10"/>
  <c r="V733" i="10"/>
  <c r="V734" i="10"/>
  <c r="V735" i="10"/>
  <c r="V736" i="10"/>
  <c r="V737" i="10"/>
  <c r="V738" i="10"/>
  <c r="V739" i="10"/>
  <c r="V740" i="10"/>
  <c r="V741" i="10"/>
  <c r="V742" i="10"/>
  <c r="V743" i="10"/>
  <c r="V744" i="10"/>
  <c r="V745" i="10"/>
  <c r="V746" i="10"/>
  <c r="V747" i="10"/>
  <c r="V748" i="10"/>
  <c r="V749" i="10"/>
  <c r="V750" i="10"/>
  <c r="V751" i="10"/>
  <c r="V752" i="10"/>
  <c r="V753" i="10"/>
  <c r="V754" i="10"/>
  <c r="V755" i="10"/>
  <c r="V756" i="10"/>
  <c r="V757" i="10"/>
  <c r="V758" i="10"/>
  <c r="V759" i="10"/>
  <c r="V760" i="10"/>
  <c r="V761" i="10"/>
  <c r="V762" i="10"/>
  <c r="V763" i="10"/>
  <c r="V764" i="10"/>
  <c r="V765" i="10"/>
  <c r="V766" i="10"/>
  <c r="V767" i="10"/>
  <c r="V768" i="10"/>
  <c r="V769" i="10"/>
  <c r="V770" i="10"/>
  <c r="V771" i="10"/>
  <c r="V772" i="10"/>
  <c r="V773" i="10"/>
  <c r="V774" i="10"/>
  <c r="V775" i="10"/>
  <c r="V776" i="10"/>
  <c r="V777" i="10"/>
  <c r="V778" i="10"/>
  <c r="V779" i="10"/>
  <c r="V780" i="10"/>
  <c r="V781" i="10"/>
  <c r="V782" i="10"/>
  <c r="V783" i="10"/>
  <c r="V784" i="10"/>
  <c r="V785" i="10"/>
  <c r="V786" i="10"/>
  <c r="V787" i="10"/>
  <c r="V788" i="10"/>
  <c r="V789" i="10"/>
  <c r="V790" i="10"/>
  <c r="V791" i="10"/>
  <c r="V792" i="10"/>
  <c r="V793" i="10"/>
  <c r="V794" i="10"/>
  <c r="V795" i="10"/>
  <c r="V796" i="10"/>
  <c r="V797" i="10"/>
  <c r="V798" i="10"/>
  <c r="V799" i="10"/>
  <c r="V800" i="10"/>
  <c r="V801" i="10"/>
  <c r="V802" i="10"/>
  <c r="V803" i="10"/>
  <c r="V804" i="10"/>
  <c r="V805" i="10"/>
  <c r="V806" i="10"/>
  <c r="V807" i="10"/>
  <c r="V808" i="10"/>
  <c r="V809" i="10"/>
  <c r="V810" i="10"/>
  <c r="V811" i="10"/>
  <c r="V812" i="10"/>
  <c r="V813" i="10"/>
  <c r="V814" i="10"/>
  <c r="V815" i="10"/>
  <c r="V816" i="10"/>
  <c r="V817" i="10"/>
  <c r="V818" i="10"/>
  <c r="V819" i="10"/>
  <c r="V820" i="10"/>
  <c r="V821" i="10"/>
  <c r="V822" i="10"/>
  <c r="V823" i="10"/>
  <c r="V824" i="10"/>
  <c r="V825" i="10"/>
  <c r="V826" i="10"/>
  <c r="V827" i="10"/>
  <c r="V828" i="10"/>
  <c r="V829" i="10"/>
  <c r="V830" i="10"/>
  <c r="V831" i="10"/>
  <c r="V832" i="10"/>
  <c r="V833" i="10"/>
  <c r="V834" i="10"/>
  <c r="V835" i="10"/>
  <c r="V836" i="10"/>
  <c r="V837" i="10"/>
  <c r="V838" i="10"/>
  <c r="V839" i="10"/>
  <c r="V840" i="10"/>
  <c r="V841" i="10"/>
  <c r="V842" i="10"/>
  <c r="V843" i="10"/>
  <c r="V844" i="10"/>
  <c r="V845" i="10"/>
  <c r="V846" i="10"/>
  <c r="V847" i="10"/>
  <c r="V848" i="10"/>
  <c r="V849" i="10"/>
  <c r="V850" i="10"/>
  <c r="V851" i="10"/>
  <c r="V852" i="10"/>
  <c r="V853" i="10"/>
  <c r="V854" i="10"/>
  <c r="V855" i="10"/>
  <c r="V856" i="10"/>
  <c r="V857" i="10"/>
  <c r="V858" i="10"/>
  <c r="V859" i="10"/>
  <c r="V860" i="10"/>
  <c r="V861" i="10"/>
  <c r="V862" i="10"/>
  <c r="V863" i="10"/>
  <c r="V864" i="10"/>
  <c r="V865" i="10"/>
  <c r="V866" i="10"/>
  <c r="V867" i="10"/>
  <c r="V868" i="10"/>
  <c r="V869" i="10"/>
  <c r="V870" i="10"/>
  <c r="V871" i="10"/>
  <c r="V872" i="10"/>
  <c r="V873" i="10"/>
  <c r="V874" i="10"/>
  <c r="V875" i="10"/>
  <c r="V876" i="10"/>
  <c r="V877" i="10"/>
  <c r="V878" i="10"/>
  <c r="V879" i="10"/>
  <c r="V880" i="10"/>
  <c r="V881" i="10"/>
  <c r="V882" i="10"/>
  <c r="V883" i="10"/>
  <c r="V884" i="10"/>
  <c r="V885" i="10"/>
  <c r="V886" i="10"/>
  <c r="V887" i="10"/>
  <c r="V888" i="10"/>
  <c r="U6" i="10"/>
  <c r="Z6" i="10" s="1"/>
  <c r="U7" i="10"/>
  <c r="Z7" i="10" s="1"/>
  <c r="U8" i="10"/>
  <c r="Z8" i="10" s="1"/>
  <c r="U9" i="10"/>
  <c r="Z9" i="10" s="1"/>
  <c r="U10" i="10"/>
  <c r="Z10" i="10" s="1"/>
  <c r="U11" i="10"/>
  <c r="Z11" i="10" s="1"/>
  <c r="U12" i="10"/>
  <c r="Z12" i="10" s="1"/>
  <c r="U13" i="10"/>
  <c r="Z13" i="10" s="1"/>
  <c r="U14" i="10"/>
  <c r="Z14" i="10" s="1"/>
  <c r="U15" i="10"/>
  <c r="Z15" i="10" s="1"/>
  <c r="U16" i="10"/>
  <c r="Z16" i="10" s="1"/>
  <c r="U17" i="10"/>
  <c r="Z17" i="10" s="1"/>
  <c r="U18" i="10"/>
  <c r="Z18" i="10" s="1"/>
  <c r="U19" i="10"/>
  <c r="Z19" i="10" s="1"/>
  <c r="U20" i="10"/>
  <c r="Z20" i="10" s="1"/>
  <c r="U21" i="10"/>
  <c r="Z21" i="10" s="1"/>
  <c r="U22" i="10"/>
  <c r="Z22" i="10" s="1"/>
  <c r="U23" i="10"/>
  <c r="Z23" i="10" s="1"/>
  <c r="U24" i="10"/>
  <c r="Z24" i="10" s="1"/>
  <c r="U25" i="10"/>
  <c r="Z25" i="10" s="1"/>
  <c r="U26" i="10"/>
  <c r="Z26" i="10" s="1"/>
  <c r="U27" i="10"/>
  <c r="Z27" i="10" s="1"/>
  <c r="U28" i="10"/>
  <c r="Z28" i="10" s="1"/>
  <c r="U29" i="10"/>
  <c r="Z29" i="10" s="1"/>
  <c r="U30" i="10"/>
  <c r="Z30" i="10" s="1"/>
  <c r="U31" i="10"/>
  <c r="Z31" i="10" s="1"/>
  <c r="U32" i="10"/>
  <c r="Z32" i="10" s="1"/>
  <c r="U33" i="10"/>
  <c r="Z33" i="10" s="1"/>
  <c r="U34" i="10"/>
  <c r="Z34" i="10" s="1"/>
  <c r="U35" i="10"/>
  <c r="Z35" i="10" s="1"/>
  <c r="U36" i="10"/>
  <c r="Z36" i="10" s="1"/>
  <c r="U37" i="10"/>
  <c r="Z37" i="10" s="1"/>
  <c r="U38" i="10"/>
  <c r="Z38" i="10" s="1"/>
  <c r="U39" i="10"/>
  <c r="Z39" i="10" s="1"/>
  <c r="U40" i="10"/>
  <c r="Z40" i="10" s="1"/>
  <c r="U41" i="10"/>
  <c r="Z41" i="10" s="1"/>
  <c r="U42" i="10"/>
  <c r="Z42" i="10" s="1"/>
  <c r="U43" i="10"/>
  <c r="Z43" i="10" s="1"/>
  <c r="U44" i="10"/>
  <c r="Z44" i="10" s="1"/>
  <c r="U45" i="10"/>
  <c r="Z45" i="10" s="1"/>
  <c r="U46" i="10"/>
  <c r="Z46" i="10" s="1"/>
  <c r="U47" i="10"/>
  <c r="Z47" i="10" s="1"/>
  <c r="U48" i="10"/>
  <c r="Z48" i="10" s="1"/>
  <c r="U49" i="10"/>
  <c r="Z49" i="10" s="1"/>
  <c r="U50" i="10"/>
  <c r="Z50" i="10" s="1"/>
  <c r="U51" i="10"/>
  <c r="Z51" i="10" s="1"/>
  <c r="U52" i="10"/>
  <c r="Z52" i="10" s="1"/>
  <c r="U53" i="10"/>
  <c r="Z53" i="10" s="1"/>
  <c r="U54" i="10"/>
  <c r="Z54" i="10" s="1"/>
  <c r="U55" i="10"/>
  <c r="Z55" i="10" s="1"/>
  <c r="U56" i="10"/>
  <c r="Z56" i="10" s="1"/>
  <c r="U57" i="10"/>
  <c r="Z57" i="10" s="1"/>
  <c r="U58" i="10"/>
  <c r="Z58" i="10" s="1"/>
  <c r="U59" i="10"/>
  <c r="Z59" i="10" s="1"/>
  <c r="U60" i="10"/>
  <c r="Z60" i="10" s="1"/>
  <c r="U61" i="10"/>
  <c r="Z61" i="10" s="1"/>
  <c r="U62" i="10"/>
  <c r="Z62" i="10" s="1"/>
  <c r="U63" i="10"/>
  <c r="Z63" i="10" s="1"/>
  <c r="U64" i="10"/>
  <c r="Z64" i="10" s="1"/>
  <c r="U65" i="10"/>
  <c r="Z65" i="10" s="1"/>
  <c r="U66" i="10"/>
  <c r="Z66" i="10" s="1"/>
  <c r="U67" i="10"/>
  <c r="Z67" i="10" s="1"/>
  <c r="U68" i="10"/>
  <c r="Z68" i="10" s="1"/>
  <c r="U69" i="10"/>
  <c r="Z69" i="10" s="1"/>
  <c r="U70" i="10"/>
  <c r="Z70" i="10" s="1"/>
  <c r="U71" i="10"/>
  <c r="Z71" i="10" s="1"/>
  <c r="U72" i="10"/>
  <c r="Z72" i="10" s="1"/>
  <c r="U73" i="10"/>
  <c r="Z73" i="10" s="1"/>
  <c r="U74" i="10"/>
  <c r="Z74" i="10" s="1"/>
  <c r="U75" i="10"/>
  <c r="Z75" i="10" s="1"/>
  <c r="U76" i="10"/>
  <c r="Z76" i="10" s="1"/>
  <c r="U77" i="10"/>
  <c r="Z77" i="10" s="1"/>
  <c r="U78" i="10"/>
  <c r="Z78" i="10" s="1"/>
  <c r="U79" i="10"/>
  <c r="Z79" i="10" s="1"/>
  <c r="U80" i="10"/>
  <c r="Z80" i="10" s="1"/>
  <c r="U81" i="10"/>
  <c r="Z81" i="10" s="1"/>
  <c r="U82" i="10"/>
  <c r="Z82" i="10" s="1"/>
  <c r="U83" i="10"/>
  <c r="Z83" i="10" s="1"/>
  <c r="U84" i="10"/>
  <c r="Z84" i="10" s="1"/>
  <c r="U85" i="10"/>
  <c r="Z85" i="10" s="1"/>
  <c r="U86" i="10"/>
  <c r="Z86" i="10" s="1"/>
  <c r="U87" i="10"/>
  <c r="Z87" i="10" s="1"/>
  <c r="U88" i="10"/>
  <c r="Z88" i="10" s="1"/>
  <c r="U89" i="10"/>
  <c r="Z89" i="10" s="1"/>
  <c r="U90" i="10"/>
  <c r="Z90" i="10" s="1"/>
  <c r="U91" i="10"/>
  <c r="Z91" i="10" s="1"/>
  <c r="U92" i="10"/>
  <c r="Z92" i="10" s="1"/>
  <c r="U93" i="10"/>
  <c r="Z93" i="10" s="1"/>
  <c r="U94" i="10"/>
  <c r="Z94" i="10" s="1"/>
  <c r="U95" i="10"/>
  <c r="Z95" i="10" s="1"/>
  <c r="U96" i="10"/>
  <c r="Z96" i="10" s="1"/>
  <c r="U97" i="10"/>
  <c r="Z97" i="10" s="1"/>
  <c r="U98" i="10"/>
  <c r="Z98" i="10" s="1"/>
  <c r="U99" i="10"/>
  <c r="Z99" i="10" s="1"/>
  <c r="U100" i="10"/>
  <c r="Z100" i="10" s="1"/>
  <c r="U101" i="10"/>
  <c r="Z101" i="10" s="1"/>
  <c r="U102" i="10"/>
  <c r="Z102" i="10" s="1"/>
  <c r="U103" i="10"/>
  <c r="Z103" i="10" s="1"/>
  <c r="U104" i="10"/>
  <c r="Z104" i="10" s="1"/>
  <c r="U105" i="10"/>
  <c r="Z105" i="10" s="1"/>
  <c r="U106" i="10"/>
  <c r="Z106" i="10" s="1"/>
  <c r="U107" i="10"/>
  <c r="Z107" i="10" s="1"/>
  <c r="U108" i="10"/>
  <c r="Z108" i="10" s="1"/>
  <c r="U109" i="10"/>
  <c r="Z109" i="10" s="1"/>
  <c r="U110" i="10"/>
  <c r="Z110" i="10" s="1"/>
  <c r="U111" i="10"/>
  <c r="Z111" i="10" s="1"/>
  <c r="U112" i="10"/>
  <c r="Z112" i="10" s="1"/>
  <c r="U113" i="10"/>
  <c r="Z113" i="10" s="1"/>
  <c r="U114" i="10"/>
  <c r="Z114" i="10" s="1"/>
  <c r="U115" i="10"/>
  <c r="Z115" i="10" s="1"/>
  <c r="U116" i="10"/>
  <c r="Z116" i="10" s="1"/>
  <c r="U117" i="10"/>
  <c r="Z117" i="10" s="1"/>
  <c r="U118" i="10"/>
  <c r="Z118" i="10" s="1"/>
  <c r="U119" i="10"/>
  <c r="Z119" i="10" s="1"/>
  <c r="U120" i="10"/>
  <c r="Z120" i="10" s="1"/>
  <c r="U121" i="10"/>
  <c r="Z121" i="10" s="1"/>
  <c r="U122" i="10"/>
  <c r="Z122" i="10" s="1"/>
  <c r="U123" i="10"/>
  <c r="Z123" i="10" s="1"/>
  <c r="U124" i="10"/>
  <c r="Z124" i="10" s="1"/>
  <c r="U125" i="10"/>
  <c r="Z125" i="10" s="1"/>
  <c r="U126" i="10"/>
  <c r="Z126" i="10" s="1"/>
  <c r="U127" i="10"/>
  <c r="Z127" i="10" s="1"/>
  <c r="U128" i="10"/>
  <c r="Z128" i="10" s="1"/>
  <c r="U129" i="10"/>
  <c r="Z129" i="10" s="1"/>
  <c r="U130" i="10"/>
  <c r="Z130" i="10" s="1"/>
  <c r="U131" i="10"/>
  <c r="Z131" i="10" s="1"/>
  <c r="U132" i="10"/>
  <c r="Z132" i="10" s="1"/>
  <c r="U133" i="10"/>
  <c r="Z133" i="10" s="1"/>
  <c r="U134" i="10"/>
  <c r="Z134" i="10" s="1"/>
  <c r="U135" i="10"/>
  <c r="Z135" i="10" s="1"/>
  <c r="U136" i="10"/>
  <c r="Z136" i="10" s="1"/>
  <c r="U137" i="10"/>
  <c r="Z137" i="10" s="1"/>
  <c r="U138" i="10"/>
  <c r="Z138" i="10" s="1"/>
  <c r="U139" i="10"/>
  <c r="Z139" i="10" s="1"/>
  <c r="U140" i="10"/>
  <c r="Z140" i="10" s="1"/>
  <c r="U141" i="10"/>
  <c r="Z141" i="10" s="1"/>
  <c r="U142" i="10"/>
  <c r="Z142" i="10" s="1"/>
  <c r="U143" i="10"/>
  <c r="Z143" i="10" s="1"/>
  <c r="U144" i="10"/>
  <c r="Z144" i="10" s="1"/>
  <c r="U145" i="10"/>
  <c r="Z145" i="10" s="1"/>
  <c r="U146" i="10"/>
  <c r="Z146" i="10" s="1"/>
  <c r="U147" i="10"/>
  <c r="Z147" i="10" s="1"/>
  <c r="U148" i="10"/>
  <c r="Z148" i="10" s="1"/>
  <c r="U149" i="10"/>
  <c r="Z149" i="10" s="1"/>
  <c r="U150" i="10"/>
  <c r="Z150" i="10" s="1"/>
  <c r="U151" i="10"/>
  <c r="Z151" i="10" s="1"/>
  <c r="U152" i="10"/>
  <c r="Z152" i="10" s="1"/>
  <c r="U153" i="10"/>
  <c r="Z153" i="10" s="1"/>
  <c r="U154" i="10"/>
  <c r="Z154" i="10" s="1"/>
  <c r="U155" i="10"/>
  <c r="Z155" i="10" s="1"/>
  <c r="U156" i="10"/>
  <c r="Z156" i="10" s="1"/>
  <c r="U157" i="10"/>
  <c r="Z157" i="10" s="1"/>
  <c r="U158" i="10"/>
  <c r="Z158" i="10" s="1"/>
  <c r="U159" i="10"/>
  <c r="Z159" i="10" s="1"/>
  <c r="U160" i="10"/>
  <c r="Z160" i="10" s="1"/>
  <c r="U161" i="10"/>
  <c r="Z161" i="10" s="1"/>
  <c r="U162" i="10"/>
  <c r="Z162" i="10" s="1"/>
  <c r="U163" i="10"/>
  <c r="Z163" i="10" s="1"/>
  <c r="U164" i="10"/>
  <c r="Z164" i="10" s="1"/>
  <c r="U165" i="10"/>
  <c r="Z165" i="10" s="1"/>
  <c r="U166" i="10"/>
  <c r="Z166" i="10" s="1"/>
  <c r="U167" i="10"/>
  <c r="Z167" i="10" s="1"/>
  <c r="U168" i="10"/>
  <c r="Z168" i="10" s="1"/>
  <c r="U169" i="10"/>
  <c r="Z169" i="10" s="1"/>
  <c r="U170" i="10"/>
  <c r="Z170" i="10" s="1"/>
  <c r="U171" i="10"/>
  <c r="Z171" i="10" s="1"/>
  <c r="U172" i="10"/>
  <c r="Z172" i="10" s="1"/>
  <c r="U173" i="10"/>
  <c r="Z173" i="10" s="1"/>
  <c r="U174" i="10"/>
  <c r="Z174" i="10" s="1"/>
  <c r="U175" i="10"/>
  <c r="Z175" i="10" s="1"/>
  <c r="U176" i="10"/>
  <c r="Z176" i="10" s="1"/>
  <c r="U177" i="10"/>
  <c r="Z177" i="10" s="1"/>
  <c r="U178" i="10"/>
  <c r="Z178" i="10" s="1"/>
  <c r="U179" i="10"/>
  <c r="Z179" i="10" s="1"/>
  <c r="U180" i="10"/>
  <c r="Z180" i="10" s="1"/>
  <c r="U181" i="10"/>
  <c r="Z181" i="10" s="1"/>
  <c r="U182" i="10"/>
  <c r="Z182" i="10" s="1"/>
  <c r="U183" i="10"/>
  <c r="Z183" i="10" s="1"/>
  <c r="U184" i="10"/>
  <c r="Z184" i="10" s="1"/>
  <c r="U185" i="10"/>
  <c r="Z185" i="10" s="1"/>
  <c r="U186" i="10"/>
  <c r="Z186" i="10" s="1"/>
  <c r="U187" i="10"/>
  <c r="Z187" i="10" s="1"/>
  <c r="U188" i="10"/>
  <c r="Z188" i="10" s="1"/>
  <c r="U189" i="10"/>
  <c r="Z189" i="10" s="1"/>
  <c r="U190" i="10"/>
  <c r="Z190" i="10" s="1"/>
  <c r="U191" i="10"/>
  <c r="Z191" i="10" s="1"/>
  <c r="U192" i="10"/>
  <c r="Z192" i="10" s="1"/>
  <c r="U193" i="10"/>
  <c r="Z193" i="10" s="1"/>
  <c r="U194" i="10"/>
  <c r="Z194" i="10" s="1"/>
  <c r="U195" i="10"/>
  <c r="Z195" i="10" s="1"/>
  <c r="U196" i="10"/>
  <c r="Z196" i="10" s="1"/>
  <c r="U197" i="10"/>
  <c r="Z197" i="10" s="1"/>
  <c r="U198" i="10"/>
  <c r="Z198" i="10" s="1"/>
  <c r="U199" i="10"/>
  <c r="Z199" i="10" s="1"/>
  <c r="U200" i="10"/>
  <c r="Z200" i="10" s="1"/>
  <c r="U201" i="10"/>
  <c r="Z201" i="10" s="1"/>
  <c r="U202" i="10"/>
  <c r="Z202" i="10" s="1"/>
  <c r="U203" i="10"/>
  <c r="Z203" i="10" s="1"/>
  <c r="U204" i="10"/>
  <c r="Z204" i="10" s="1"/>
  <c r="U205" i="10"/>
  <c r="Z205" i="10" s="1"/>
  <c r="U206" i="10"/>
  <c r="Z206" i="10" s="1"/>
  <c r="U207" i="10"/>
  <c r="Z207" i="10" s="1"/>
  <c r="U208" i="10"/>
  <c r="Z208" i="10" s="1"/>
  <c r="U209" i="10"/>
  <c r="Z209" i="10" s="1"/>
  <c r="U210" i="10"/>
  <c r="Z210" i="10" s="1"/>
  <c r="U211" i="10"/>
  <c r="Z211" i="10" s="1"/>
  <c r="U212" i="10"/>
  <c r="Z212" i="10" s="1"/>
  <c r="U213" i="10"/>
  <c r="Z213" i="10" s="1"/>
  <c r="U214" i="10"/>
  <c r="Z214" i="10" s="1"/>
  <c r="U215" i="10"/>
  <c r="Z215" i="10" s="1"/>
  <c r="U216" i="10"/>
  <c r="Z216" i="10" s="1"/>
  <c r="U217" i="10"/>
  <c r="Z217" i="10" s="1"/>
  <c r="U218" i="10"/>
  <c r="Z218" i="10" s="1"/>
  <c r="U219" i="10"/>
  <c r="Z219" i="10" s="1"/>
  <c r="U220" i="10"/>
  <c r="Z220" i="10" s="1"/>
  <c r="U221" i="10"/>
  <c r="Z221" i="10" s="1"/>
  <c r="U222" i="10"/>
  <c r="Z222" i="10" s="1"/>
  <c r="U223" i="10"/>
  <c r="Z223" i="10" s="1"/>
  <c r="U224" i="10"/>
  <c r="Z224" i="10" s="1"/>
  <c r="U225" i="10"/>
  <c r="Z225" i="10" s="1"/>
  <c r="U226" i="10"/>
  <c r="Z226" i="10" s="1"/>
  <c r="U227" i="10"/>
  <c r="Z227" i="10" s="1"/>
  <c r="U228" i="10"/>
  <c r="Z228" i="10" s="1"/>
  <c r="U229" i="10"/>
  <c r="Z229" i="10" s="1"/>
  <c r="U230" i="10"/>
  <c r="Z230" i="10" s="1"/>
  <c r="U231" i="10"/>
  <c r="Z231" i="10" s="1"/>
  <c r="U232" i="10"/>
  <c r="Z232" i="10" s="1"/>
  <c r="U233" i="10"/>
  <c r="Z233" i="10" s="1"/>
  <c r="U234" i="10"/>
  <c r="Z234" i="10" s="1"/>
  <c r="U235" i="10"/>
  <c r="Z235" i="10" s="1"/>
  <c r="U236" i="10"/>
  <c r="Z236" i="10" s="1"/>
  <c r="U237" i="10"/>
  <c r="Z237" i="10" s="1"/>
  <c r="U238" i="10"/>
  <c r="Z238" i="10" s="1"/>
  <c r="U239" i="10"/>
  <c r="Z239" i="10" s="1"/>
  <c r="U240" i="10"/>
  <c r="Z240" i="10" s="1"/>
  <c r="U241" i="10"/>
  <c r="Z241" i="10" s="1"/>
  <c r="U242" i="10"/>
  <c r="Z242" i="10" s="1"/>
  <c r="U243" i="10"/>
  <c r="Z243" i="10" s="1"/>
  <c r="U244" i="10"/>
  <c r="Z244" i="10" s="1"/>
  <c r="U245" i="10"/>
  <c r="Z245" i="10" s="1"/>
  <c r="U246" i="10"/>
  <c r="Z246" i="10" s="1"/>
  <c r="U247" i="10"/>
  <c r="Z247" i="10" s="1"/>
  <c r="U248" i="10"/>
  <c r="Z248" i="10" s="1"/>
  <c r="U249" i="10"/>
  <c r="Z249" i="10" s="1"/>
  <c r="U250" i="10"/>
  <c r="Z250" i="10" s="1"/>
  <c r="U251" i="10"/>
  <c r="Z251" i="10" s="1"/>
  <c r="U252" i="10"/>
  <c r="Z252" i="10" s="1"/>
  <c r="U253" i="10"/>
  <c r="Z253" i="10" s="1"/>
  <c r="U254" i="10"/>
  <c r="Z254" i="10" s="1"/>
  <c r="U255" i="10"/>
  <c r="Z255" i="10" s="1"/>
  <c r="U256" i="10"/>
  <c r="Z256" i="10" s="1"/>
  <c r="U257" i="10"/>
  <c r="Z257" i="10" s="1"/>
  <c r="U258" i="10"/>
  <c r="Z258" i="10" s="1"/>
  <c r="U259" i="10"/>
  <c r="Z259" i="10" s="1"/>
  <c r="U260" i="10"/>
  <c r="Z260" i="10" s="1"/>
  <c r="U261" i="10"/>
  <c r="Z261" i="10" s="1"/>
  <c r="U262" i="10"/>
  <c r="Z262" i="10" s="1"/>
  <c r="U263" i="10"/>
  <c r="Z263" i="10" s="1"/>
  <c r="U264" i="10"/>
  <c r="Z264" i="10" s="1"/>
  <c r="U265" i="10"/>
  <c r="Z265" i="10" s="1"/>
  <c r="U266" i="10"/>
  <c r="Z266" i="10" s="1"/>
  <c r="U267" i="10"/>
  <c r="Z267" i="10" s="1"/>
  <c r="U268" i="10"/>
  <c r="Z268" i="10" s="1"/>
  <c r="U269" i="10"/>
  <c r="Z269" i="10" s="1"/>
  <c r="U270" i="10"/>
  <c r="Z270" i="10" s="1"/>
  <c r="U271" i="10"/>
  <c r="Z271" i="10" s="1"/>
  <c r="U272" i="10"/>
  <c r="Z272" i="10" s="1"/>
  <c r="U273" i="10"/>
  <c r="Z273" i="10" s="1"/>
  <c r="U274" i="10"/>
  <c r="Z274" i="10" s="1"/>
  <c r="U275" i="10"/>
  <c r="Z275" i="10" s="1"/>
  <c r="U276" i="10"/>
  <c r="Z276" i="10" s="1"/>
  <c r="U277" i="10"/>
  <c r="Z277" i="10" s="1"/>
  <c r="U278" i="10"/>
  <c r="Z278" i="10" s="1"/>
  <c r="U279" i="10"/>
  <c r="Z279" i="10" s="1"/>
  <c r="U280" i="10"/>
  <c r="Z280" i="10" s="1"/>
  <c r="U281" i="10"/>
  <c r="Z281" i="10" s="1"/>
  <c r="U282" i="10"/>
  <c r="Z282" i="10" s="1"/>
  <c r="U283" i="10"/>
  <c r="Z283" i="10" s="1"/>
  <c r="U284" i="10"/>
  <c r="Z284" i="10" s="1"/>
  <c r="U285" i="10"/>
  <c r="Z285" i="10" s="1"/>
  <c r="U286" i="10"/>
  <c r="Z286" i="10" s="1"/>
  <c r="U287" i="10"/>
  <c r="Z287" i="10" s="1"/>
  <c r="U288" i="10"/>
  <c r="Z288" i="10" s="1"/>
  <c r="U289" i="10"/>
  <c r="Z289" i="10" s="1"/>
  <c r="U290" i="10"/>
  <c r="Z290" i="10" s="1"/>
  <c r="U291" i="10"/>
  <c r="Z291" i="10" s="1"/>
  <c r="U292" i="10"/>
  <c r="Z292" i="10" s="1"/>
  <c r="U293" i="10"/>
  <c r="Z293" i="10" s="1"/>
  <c r="U294" i="10"/>
  <c r="Z294" i="10" s="1"/>
  <c r="U295" i="10"/>
  <c r="Z295" i="10" s="1"/>
  <c r="U296" i="10"/>
  <c r="Z296" i="10" s="1"/>
  <c r="U297" i="10"/>
  <c r="Z297" i="10" s="1"/>
  <c r="U298" i="10"/>
  <c r="Z298" i="10" s="1"/>
  <c r="U299" i="10"/>
  <c r="Z299" i="10" s="1"/>
  <c r="U300" i="10"/>
  <c r="Z300" i="10" s="1"/>
  <c r="U301" i="10"/>
  <c r="Z301" i="10" s="1"/>
  <c r="U302" i="10"/>
  <c r="Z302" i="10" s="1"/>
  <c r="U303" i="10"/>
  <c r="Z303" i="10" s="1"/>
  <c r="U304" i="10"/>
  <c r="Z304" i="10" s="1"/>
  <c r="U305" i="10"/>
  <c r="Z305" i="10" s="1"/>
  <c r="U306" i="10"/>
  <c r="Z306" i="10" s="1"/>
  <c r="U307" i="10"/>
  <c r="Z307" i="10" s="1"/>
  <c r="U308" i="10"/>
  <c r="Z308" i="10" s="1"/>
  <c r="U309" i="10"/>
  <c r="Z309" i="10" s="1"/>
  <c r="U310" i="10"/>
  <c r="Z310" i="10" s="1"/>
  <c r="U311" i="10"/>
  <c r="Z311" i="10" s="1"/>
  <c r="U312" i="10"/>
  <c r="Z312" i="10" s="1"/>
  <c r="U313" i="10"/>
  <c r="Z313" i="10" s="1"/>
  <c r="U314" i="10"/>
  <c r="Z314" i="10" s="1"/>
  <c r="U315" i="10"/>
  <c r="Z315" i="10" s="1"/>
  <c r="U316" i="10"/>
  <c r="Z316" i="10" s="1"/>
  <c r="U317" i="10"/>
  <c r="Z317" i="10" s="1"/>
  <c r="U318" i="10"/>
  <c r="Z318" i="10" s="1"/>
  <c r="U319" i="10"/>
  <c r="Z319" i="10" s="1"/>
  <c r="U320" i="10"/>
  <c r="Z320" i="10" s="1"/>
  <c r="U321" i="10"/>
  <c r="Z321" i="10" s="1"/>
  <c r="U322" i="10"/>
  <c r="Z322" i="10" s="1"/>
  <c r="U323" i="10"/>
  <c r="Z323" i="10" s="1"/>
  <c r="U324" i="10"/>
  <c r="Z324" i="10" s="1"/>
  <c r="U325" i="10"/>
  <c r="Z325" i="10" s="1"/>
  <c r="U326" i="10"/>
  <c r="Z326" i="10" s="1"/>
  <c r="U327" i="10"/>
  <c r="Z327" i="10" s="1"/>
  <c r="U328" i="10"/>
  <c r="Z328" i="10" s="1"/>
  <c r="U329" i="10"/>
  <c r="Z329" i="10" s="1"/>
  <c r="U330" i="10"/>
  <c r="Z330" i="10" s="1"/>
  <c r="U331" i="10"/>
  <c r="Z331" i="10" s="1"/>
  <c r="U332" i="10"/>
  <c r="Z332" i="10" s="1"/>
  <c r="U333" i="10"/>
  <c r="Z333" i="10" s="1"/>
  <c r="U334" i="10"/>
  <c r="Z334" i="10" s="1"/>
  <c r="U335" i="10"/>
  <c r="Z335" i="10" s="1"/>
  <c r="U336" i="10"/>
  <c r="Z336" i="10" s="1"/>
  <c r="U337" i="10"/>
  <c r="Z337" i="10" s="1"/>
  <c r="U338" i="10"/>
  <c r="Z338" i="10" s="1"/>
  <c r="U339" i="10"/>
  <c r="Z339" i="10" s="1"/>
  <c r="U340" i="10"/>
  <c r="Z340" i="10" s="1"/>
  <c r="U341" i="10"/>
  <c r="Z341" i="10" s="1"/>
  <c r="U342" i="10"/>
  <c r="Z342" i="10" s="1"/>
  <c r="U343" i="10"/>
  <c r="Z343" i="10" s="1"/>
  <c r="U344" i="10"/>
  <c r="Z344" i="10" s="1"/>
  <c r="U345" i="10"/>
  <c r="Z345" i="10" s="1"/>
  <c r="U346" i="10"/>
  <c r="Z346" i="10" s="1"/>
  <c r="U347" i="10"/>
  <c r="Z347" i="10" s="1"/>
  <c r="U348" i="10"/>
  <c r="Z348" i="10" s="1"/>
  <c r="U349" i="10"/>
  <c r="Z349" i="10" s="1"/>
  <c r="U350" i="10"/>
  <c r="Z350" i="10" s="1"/>
  <c r="U351" i="10"/>
  <c r="Z351" i="10" s="1"/>
  <c r="U352" i="10"/>
  <c r="Z352" i="10" s="1"/>
  <c r="U353" i="10"/>
  <c r="Z353" i="10" s="1"/>
  <c r="U354" i="10"/>
  <c r="Z354" i="10" s="1"/>
  <c r="U355" i="10"/>
  <c r="Z355" i="10" s="1"/>
  <c r="U356" i="10"/>
  <c r="Z356" i="10" s="1"/>
  <c r="U357" i="10"/>
  <c r="Z357" i="10" s="1"/>
  <c r="U358" i="10"/>
  <c r="Z358" i="10" s="1"/>
  <c r="U359" i="10"/>
  <c r="Z359" i="10" s="1"/>
  <c r="U360" i="10"/>
  <c r="Z360" i="10" s="1"/>
  <c r="U361" i="10"/>
  <c r="Z361" i="10" s="1"/>
  <c r="U362" i="10"/>
  <c r="Z362" i="10" s="1"/>
  <c r="U363" i="10"/>
  <c r="Z363" i="10" s="1"/>
  <c r="U364" i="10"/>
  <c r="Z364" i="10" s="1"/>
  <c r="U365" i="10"/>
  <c r="Z365" i="10" s="1"/>
  <c r="U366" i="10"/>
  <c r="Z366" i="10" s="1"/>
  <c r="U367" i="10"/>
  <c r="Z367" i="10" s="1"/>
  <c r="U368" i="10"/>
  <c r="Z368" i="10" s="1"/>
  <c r="U369" i="10"/>
  <c r="Z369" i="10" s="1"/>
  <c r="U370" i="10"/>
  <c r="Z370" i="10" s="1"/>
  <c r="U371" i="10"/>
  <c r="Z371" i="10" s="1"/>
  <c r="U372" i="10"/>
  <c r="Z372" i="10" s="1"/>
  <c r="U373" i="10"/>
  <c r="Z373" i="10" s="1"/>
  <c r="U374" i="10"/>
  <c r="Z374" i="10" s="1"/>
  <c r="U375" i="10"/>
  <c r="Z375" i="10" s="1"/>
  <c r="U376" i="10"/>
  <c r="Z376" i="10" s="1"/>
  <c r="U377" i="10"/>
  <c r="Z377" i="10" s="1"/>
  <c r="U378" i="10"/>
  <c r="Z378" i="10" s="1"/>
  <c r="U379" i="10"/>
  <c r="Z379" i="10" s="1"/>
  <c r="U380" i="10"/>
  <c r="Z380" i="10" s="1"/>
  <c r="U381" i="10"/>
  <c r="Z381" i="10" s="1"/>
  <c r="U382" i="10"/>
  <c r="Z382" i="10" s="1"/>
  <c r="U383" i="10"/>
  <c r="Z383" i="10" s="1"/>
  <c r="U384" i="10"/>
  <c r="Z384" i="10" s="1"/>
  <c r="U385" i="10"/>
  <c r="Z385" i="10" s="1"/>
  <c r="U386" i="10"/>
  <c r="Z386" i="10" s="1"/>
  <c r="U387" i="10"/>
  <c r="Z387" i="10" s="1"/>
  <c r="U388" i="10"/>
  <c r="Z388" i="10" s="1"/>
  <c r="U389" i="10"/>
  <c r="Z389" i="10" s="1"/>
  <c r="U390" i="10"/>
  <c r="Z390" i="10" s="1"/>
  <c r="U391" i="10"/>
  <c r="Z391" i="10" s="1"/>
  <c r="U392" i="10"/>
  <c r="Z392" i="10" s="1"/>
  <c r="U393" i="10"/>
  <c r="Z393" i="10" s="1"/>
  <c r="U394" i="10"/>
  <c r="Z394" i="10" s="1"/>
  <c r="U395" i="10"/>
  <c r="Z395" i="10" s="1"/>
  <c r="U396" i="10"/>
  <c r="Z396" i="10" s="1"/>
  <c r="U397" i="10"/>
  <c r="Z397" i="10" s="1"/>
  <c r="U398" i="10"/>
  <c r="Z398" i="10" s="1"/>
  <c r="U399" i="10"/>
  <c r="Z399" i="10" s="1"/>
  <c r="U400" i="10"/>
  <c r="Z400" i="10" s="1"/>
  <c r="U401" i="10"/>
  <c r="Z401" i="10" s="1"/>
  <c r="U402" i="10"/>
  <c r="Z402" i="10" s="1"/>
  <c r="U403" i="10"/>
  <c r="Z403" i="10" s="1"/>
  <c r="U404" i="10"/>
  <c r="Z404" i="10" s="1"/>
  <c r="U405" i="10"/>
  <c r="Z405" i="10" s="1"/>
  <c r="U406" i="10"/>
  <c r="Z406" i="10" s="1"/>
  <c r="U407" i="10"/>
  <c r="Z407" i="10" s="1"/>
  <c r="U408" i="10"/>
  <c r="Z408" i="10" s="1"/>
  <c r="U409" i="10"/>
  <c r="Z409" i="10" s="1"/>
  <c r="U410" i="10"/>
  <c r="Z410" i="10" s="1"/>
  <c r="U411" i="10"/>
  <c r="Z411" i="10" s="1"/>
  <c r="U412" i="10"/>
  <c r="Z412" i="10" s="1"/>
  <c r="U413" i="10"/>
  <c r="Z413" i="10" s="1"/>
  <c r="U414" i="10"/>
  <c r="Z414" i="10" s="1"/>
  <c r="U415" i="10"/>
  <c r="Z415" i="10" s="1"/>
  <c r="U416" i="10"/>
  <c r="Z416" i="10" s="1"/>
  <c r="U417" i="10"/>
  <c r="Z417" i="10" s="1"/>
  <c r="U418" i="10"/>
  <c r="Z418" i="10" s="1"/>
  <c r="U419" i="10"/>
  <c r="Z419" i="10" s="1"/>
  <c r="U420" i="10"/>
  <c r="Z420" i="10" s="1"/>
  <c r="U421" i="10"/>
  <c r="Z421" i="10" s="1"/>
  <c r="U422" i="10"/>
  <c r="Z422" i="10" s="1"/>
  <c r="U423" i="10"/>
  <c r="Z423" i="10" s="1"/>
  <c r="U424" i="10"/>
  <c r="Z424" i="10" s="1"/>
  <c r="U425" i="10"/>
  <c r="Z425" i="10" s="1"/>
  <c r="U426" i="10"/>
  <c r="Z426" i="10" s="1"/>
  <c r="U427" i="10"/>
  <c r="Z427" i="10" s="1"/>
  <c r="U428" i="10"/>
  <c r="Z428" i="10" s="1"/>
  <c r="U429" i="10"/>
  <c r="Z429" i="10" s="1"/>
  <c r="U430" i="10"/>
  <c r="Z430" i="10" s="1"/>
  <c r="U431" i="10"/>
  <c r="Z431" i="10" s="1"/>
  <c r="U432" i="10"/>
  <c r="Z432" i="10" s="1"/>
  <c r="U433" i="10"/>
  <c r="Z433" i="10" s="1"/>
  <c r="U434" i="10"/>
  <c r="Z434" i="10" s="1"/>
  <c r="U435" i="10"/>
  <c r="Z435" i="10" s="1"/>
  <c r="U436" i="10"/>
  <c r="Z436" i="10" s="1"/>
  <c r="U437" i="10"/>
  <c r="Z437" i="10" s="1"/>
  <c r="U438" i="10"/>
  <c r="Z438" i="10" s="1"/>
  <c r="U439" i="10"/>
  <c r="Z439" i="10" s="1"/>
  <c r="U440" i="10"/>
  <c r="Z440" i="10" s="1"/>
  <c r="U441" i="10"/>
  <c r="Z441" i="10" s="1"/>
  <c r="U442" i="10"/>
  <c r="Z442" i="10" s="1"/>
  <c r="U443" i="10"/>
  <c r="Z443" i="10" s="1"/>
  <c r="U444" i="10"/>
  <c r="Z444" i="10" s="1"/>
  <c r="U445" i="10"/>
  <c r="Z445" i="10" s="1"/>
  <c r="U446" i="10"/>
  <c r="Z446" i="10" s="1"/>
  <c r="U447" i="10"/>
  <c r="Z447" i="10" s="1"/>
  <c r="U448" i="10"/>
  <c r="Z448" i="10" s="1"/>
  <c r="U449" i="10"/>
  <c r="Z449" i="10" s="1"/>
  <c r="U450" i="10"/>
  <c r="Z450" i="10" s="1"/>
  <c r="U451" i="10"/>
  <c r="Z451" i="10" s="1"/>
  <c r="U452" i="10"/>
  <c r="Z452" i="10" s="1"/>
  <c r="U453" i="10"/>
  <c r="Z453" i="10" s="1"/>
  <c r="U454" i="10"/>
  <c r="Z454" i="10" s="1"/>
  <c r="U455" i="10"/>
  <c r="Z455" i="10" s="1"/>
  <c r="U456" i="10"/>
  <c r="Z456" i="10" s="1"/>
  <c r="U457" i="10"/>
  <c r="Z457" i="10" s="1"/>
  <c r="U458" i="10"/>
  <c r="Z458" i="10" s="1"/>
  <c r="U459" i="10"/>
  <c r="Z459" i="10" s="1"/>
  <c r="U460" i="10"/>
  <c r="Z460" i="10" s="1"/>
  <c r="U461" i="10"/>
  <c r="Z461" i="10" s="1"/>
  <c r="U462" i="10"/>
  <c r="Z462" i="10" s="1"/>
  <c r="U463" i="10"/>
  <c r="Z463" i="10" s="1"/>
  <c r="U464" i="10"/>
  <c r="Z464" i="10" s="1"/>
  <c r="U465" i="10"/>
  <c r="Z465" i="10" s="1"/>
  <c r="U466" i="10"/>
  <c r="Z466" i="10" s="1"/>
  <c r="U467" i="10"/>
  <c r="Z467" i="10" s="1"/>
  <c r="U468" i="10"/>
  <c r="Z468" i="10" s="1"/>
  <c r="U469" i="10"/>
  <c r="Z469" i="10" s="1"/>
  <c r="U470" i="10"/>
  <c r="Z470" i="10" s="1"/>
  <c r="U471" i="10"/>
  <c r="Z471" i="10" s="1"/>
  <c r="U472" i="10"/>
  <c r="Z472" i="10" s="1"/>
  <c r="U473" i="10"/>
  <c r="Z473" i="10" s="1"/>
  <c r="U474" i="10"/>
  <c r="Z474" i="10" s="1"/>
  <c r="U475" i="10"/>
  <c r="Z475" i="10" s="1"/>
  <c r="U476" i="10"/>
  <c r="Z476" i="10" s="1"/>
  <c r="U477" i="10"/>
  <c r="Z477" i="10" s="1"/>
  <c r="U478" i="10"/>
  <c r="Z478" i="10" s="1"/>
  <c r="U479" i="10"/>
  <c r="Z479" i="10" s="1"/>
  <c r="U480" i="10"/>
  <c r="Z480" i="10" s="1"/>
  <c r="U481" i="10"/>
  <c r="Z481" i="10" s="1"/>
  <c r="U482" i="10"/>
  <c r="Z482" i="10" s="1"/>
  <c r="U483" i="10"/>
  <c r="Z483" i="10" s="1"/>
  <c r="U484" i="10"/>
  <c r="Z484" i="10" s="1"/>
  <c r="U485" i="10"/>
  <c r="Z485" i="10" s="1"/>
  <c r="U486" i="10"/>
  <c r="Z486" i="10" s="1"/>
  <c r="U487" i="10"/>
  <c r="Z487" i="10" s="1"/>
  <c r="U488" i="10"/>
  <c r="Z488" i="10" s="1"/>
  <c r="U489" i="10"/>
  <c r="Z489" i="10" s="1"/>
  <c r="U490" i="10"/>
  <c r="Z490" i="10" s="1"/>
  <c r="U491" i="10"/>
  <c r="Z491" i="10" s="1"/>
  <c r="U492" i="10"/>
  <c r="Z492" i="10" s="1"/>
  <c r="U493" i="10"/>
  <c r="Z493" i="10" s="1"/>
  <c r="U494" i="10"/>
  <c r="Z494" i="10" s="1"/>
  <c r="U495" i="10"/>
  <c r="Z495" i="10" s="1"/>
  <c r="U496" i="10"/>
  <c r="Z496" i="10" s="1"/>
  <c r="U497" i="10"/>
  <c r="Z497" i="10" s="1"/>
  <c r="U498" i="10"/>
  <c r="Z498" i="10" s="1"/>
  <c r="U499" i="10"/>
  <c r="Z499" i="10" s="1"/>
  <c r="U500" i="10"/>
  <c r="Z500" i="10" s="1"/>
  <c r="U501" i="10"/>
  <c r="Z501" i="10" s="1"/>
  <c r="U502" i="10"/>
  <c r="Z502" i="10" s="1"/>
  <c r="U503" i="10"/>
  <c r="Z503" i="10" s="1"/>
  <c r="U504" i="10"/>
  <c r="Z504" i="10" s="1"/>
  <c r="U505" i="10"/>
  <c r="Z505" i="10" s="1"/>
  <c r="U506" i="10"/>
  <c r="Z506" i="10" s="1"/>
  <c r="U507" i="10"/>
  <c r="Z507" i="10" s="1"/>
  <c r="U508" i="10"/>
  <c r="Z508" i="10" s="1"/>
  <c r="U509" i="10"/>
  <c r="Z509" i="10" s="1"/>
  <c r="U510" i="10"/>
  <c r="Z510" i="10" s="1"/>
  <c r="U511" i="10"/>
  <c r="Z511" i="10" s="1"/>
  <c r="U512" i="10"/>
  <c r="Z512" i="10" s="1"/>
  <c r="U513" i="10"/>
  <c r="Z513" i="10" s="1"/>
  <c r="U514" i="10"/>
  <c r="Z514" i="10" s="1"/>
  <c r="U515" i="10"/>
  <c r="Z515" i="10" s="1"/>
  <c r="U516" i="10"/>
  <c r="Z516" i="10" s="1"/>
  <c r="U517" i="10"/>
  <c r="Z517" i="10" s="1"/>
  <c r="U518" i="10"/>
  <c r="Z518" i="10" s="1"/>
  <c r="U519" i="10"/>
  <c r="Z519" i="10" s="1"/>
  <c r="U520" i="10"/>
  <c r="Z520" i="10" s="1"/>
  <c r="U521" i="10"/>
  <c r="Z521" i="10" s="1"/>
  <c r="U522" i="10"/>
  <c r="Z522" i="10" s="1"/>
  <c r="U523" i="10"/>
  <c r="Z523" i="10" s="1"/>
  <c r="U524" i="10"/>
  <c r="Z524" i="10" s="1"/>
  <c r="U525" i="10"/>
  <c r="Z525" i="10" s="1"/>
  <c r="U526" i="10"/>
  <c r="Z526" i="10" s="1"/>
  <c r="U527" i="10"/>
  <c r="Z527" i="10" s="1"/>
  <c r="U528" i="10"/>
  <c r="Z528" i="10" s="1"/>
  <c r="U529" i="10"/>
  <c r="Z529" i="10" s="1"/>
  <c r="U530" i="10"/>
  <c r="Z530" i="10" s="1"/>
  <c r="U531" i="10"/>
  <c r="Z531" i="10" s="1"/>
  <c r="U532" i="10"/>
  <c r="Z532" i="10" s="1"/>
  <c r="U533" i="10"/>
  <c r="Z533" i="10" s="1"/>
  <c r="U534" i="10"/>
  <c r="Z534" i="10" s="1"/>
  <c r="U535" i="10"/>
  <c r="Z535" i="10" s="1"/>
  <c r="U536" i="10"/>
  <c r="Z536" i="10" s="1"/>
  <c r="U537" i="10"/>
  <c r="Z537" i="10" s="1"/>
  <c r="U538" i="10"/>
  <c r="Z538" i="10" s="1"/>
  <c r="U539" i="10"/>
  <c r="Z539" i="10" s="1"/>
  <c r="U540" i="10"/>
  <c r="Z540" i="10" s="1"/>
  <c r="U541" i="10"/>
  <c r="Z541" i="10" s="1"/>
  <c r="U542" i="10"/>
  <c r="Z542" i="10" s="1"/>
  <c r="U543" i="10"/>
  <c r="Z543" i="10" s="1"/>
  <c r="U544" i="10"/>
  <c r="Z544" i="10" s="1"/>
  <c r="U545" i="10"/>
  <c r="Z545" i="10" s="1"/>
  <c r="U546" i="10"/>
  <c r="Z546" i="10" s="1"/>
  <c r="U547" i="10"/>
  <c r="Z547" i="10" s="1"/>
  <c r="U548" i="10"/>
  <c r="Z548" i="10" s="1"/>
  <c r="U549" i="10"/>
  <c r="Z549" i="10" s="1"/>
  <c r="U550" i="10"/>
  <c r="Z550" i="10" s="1"/>
  <c r="U551" i="10"/>
  <c r="Z551" i="10" s="1"/>
  <c r="U552" i="10"/>
  <c r="Z552" i="10" s="1"/>
  <c r="U553" i="10"/>
  <c r="Z553" i="10" s="1"/>
  <c r="U554" i="10"/>
  <c r="Z554" i="10" s="1"/>
  <c r="U555" i="10"/>
  <c r="Z555" i="10" s="1"/>
  <c r="U556" i="10"/>
  <c r="Z556" i="10" s="1"/>
  <c r="U557" i="10"/>
  <c r="Z557" i="10" s="1"/>
  <c r="U558" i="10"/>
  <c r="Z558" i="10" s="1"/>
  <c r="U559" i="10"/>
  <c r="Z559" i="10" s="1"/>
  <c r="U560" i="10"/>
  <c r="Z560" i="10" s="1"/>
  <c r="U561" i="10"/>
  <c r="Z561" i="10" s="1"/>
  <c r="U562" i="10"/>
  <c r="Z562" i="10" s="1"/>
  <c r="U563" i="10"/>
  <c r="Z563" i="10" s="1"/>
  <c r="U564" i="10"/>
  <c r="Z564" i="10" s="1"/>
  <c r="U565" i="10"/>
  <c r="Z565" i="10" s="1"/>
  <c r="U566" i="10"/>
  <c r="Z566" i="10" s="1"/>
  <c r="U567" i="10"/>
  <c r="Z567" i="10" s="1"/>
  <c r="U568" i="10"/>
  <c r="Z568" i="10" s="1"/>
  <c r="U569" i="10"/>
  <c r="Z569" i="10" s="1"/>
  <c r="U570" i="10"/>
  <c r="Z570" i="10" s="1"/>
  <c r="U571" i="10"/>
  <c r="Z571" i="10" s="1"/>
  <c r="U572" i="10"/>
  <c r="Z572" i="10" s="1"/>
  <c r="U573" i="10"/>
  <c r="Z573" i="10" s="1"/>
  <c r="U574" i="10"/>
  <c r="Z574" i="10" s="1"/>
  <c r="U575" i="10"/>
  <c r="Z575" i="10" s="1"/>
  <c r="U576" i="10"/>
  <c r="Z576" i="10" s="1"/>
  <c r="U577" i="10"/>
  <c r="Z577" i="10" s="1"/>
  <c r="U578" i="10"/>
  <c r="Z578" i="10" s="1"/>
  <c r="U579" i="10"/>
  <c r="Z579" i="10" s="1"/>
  <c r="U580" i="10"/>
  <c r="Z580" i="10" s="1"/>
  <c r="U581" i="10"/>
  <c r="Z581" i="10" s="1"/>
  <c r="U582" i="10"/>
  <c r="Z582" i="10" s="1"/>
  <c r="U583" i="10"/>
  <c r="Z583" i="10" s="1"/>
  <c r="U584" i="10"/>
  <c r="Z584" i="10" s="1"/>
  <c r="U585" i="10"/>
  <c r="Z585" i="10" s="1"/>
  <c r="U586" i="10"/>
  <c r="Z586" i="10" s="1"/>
  <c r="U587" i="10"/>
  <c r="Z587" i="10" s="1"/>
  <c r="U588" i="10"/>
  <c r="Z588" i="10" s="1"/>
  <c r="U589" i="10"/>
  <c r="Z589" i="10" s="1"/>
  <c r="U590" i="10"/>
  <c r="Z590" i="10" s="1"/>
  <c r="U591" i="10"/>
  <c r="Z591" i="10" s="1"/>
  <c r="U592" i="10"/>
  <c r="Z592" i="10" s="1"/>
  <c r="U593" i="10"/>
  <c r="Z593" i="10" s="1"/>
  <c r="U594" i="10"/>
  <c r="Z594" i="10" s="1"/>
  <c r="U595" i="10"/>
  <c r="Z595" i="10" s="1"/>
  <c r="U596" i="10"/>
  <c r="Z596" i="10" s="1"/>
  <c r="U597" i="10"/>
  <c r="Z597" i="10" s="1"/>
  <c r="U598" i="10"/>
  <c r="Z598" i="10" s="1"/>
  <c r="U599" i="10"/>
  <c r="Z599" i="10" s="1"/>
  <c r="U600" i="10"/>
  <c r="Z600" i="10" s="1"/>
  <c r="U601" i="10"/>
  <c r="Z601" i="10" s="1"/>
  <c r="U602" i="10"/>
  <c r="Z602" i="10" s="1"/>
  <c r="U603" i="10"/>
  <c r="Z603" i="10" s="1"/>
  <c r="U604" i="10"/>
  <c r="Z604" i="10" s="1"/>
  <c r="U605" i="10"/>
  <c r="Z605" i="10" s="1"/>
  <c r="U606" i="10"/>
  <c r="Z606" i="10" s="1"/>
  <c r="U607" i="10"/>
  <c r="Z607" i="10" s="1"/>
  <c r="U608" i="10"/>
  <c r="Z608" i="10" s="1"/>
  <c r="U609" i="10"/>
  <c r="Z609" i="10" s="1"/>
  <c r="U610" i="10"/>
  <c r="Z610" i="10" s="1"/>
  <c r="U611" i="10"/>
  <c r="Z611" i="10" s="1"/>
  <c r="U612" i="10"/>
  <c r="Z612" i="10" s="1"/>
  <c r="U613" i="10"/>
  <c r="Z613" i="10" s="1"/>
  <c r="U614" i="10"/>
  <c r="Z614" i="10" s="1"/>
  <c r="U615" i="10"/>
  <c r="Z615" i="10" s="1"/>
  <c r="U616" i="10"/>
  <c r="Z616" i="10" s="1"/>
  <c r="U617" i="10"/>
  <c r="Z617" i="10" s="1"/>
  <c r="U618" i="10"/>
  <c r="Z618" i="10" s="1"/>
  <c r="U619" i="10"/>
  <c r="Z619" i="10" s="1"/>
  <c r="U620" i="10"/>
  <c r="Z620" i="10" s="1"/>
  <c r="U621" i="10"/>
  <c r="Z621" i="10" s="1"/>
  <c r="U622" i="10"/>
  <c r="Z622" i="10" s="1"/>
  <c r="U623" i="10"/>
  <c r="Z623" i="10" s="1"/>
  <c r="U624" i="10"/>
  <c r="Z624" i="10" s="1"/>
  <c r="U625" i="10"/>
  <c r="Z625" i="10" s="1"/>
  <c r="U626" i="10"/>
  <c r="Z626" i="10" s="1"/>
  <c r="U627" i="10"/>
  <c r="Z627" i="10" s="1"/>
  <c r="U628" i="10"/>
  <c r="Z628" i="10" s="1"/>
  <c r="U629" i="10"/>
  <c r="Z629" i="10" s="1"/>
  <c r="U630" i="10"/>
  <c r="Z630" i="10" s="1"/>
  <c r="U631" i="10"/>
  <c r="Z631" i="10" s="1"/>
  <c r="U632" i="10"/>
  <c r="Z632" i="10" s="1"/>
  <c r="U633" i="10"/>
  <c r="Z633" i="10" s="1"/>
  <c r="U634" i="10"/>
  <c r="Z634" i="10" s="1"/>
  <c r="U635" i="10"/>
  <c r="Z635" i="10" s="1"/>
  <c r="U636" i="10"/>
  <c r="Z636" i="10" s="1"/>
  <c r="U637" i="10"/>
  <c r="Z637" i="10" s="1"/>
  <c r="U638" i="10"/>
  <c r="Z638" i="10" s="1"/>
  <c r="U639" i="10"/>
  <c r="Z639" i="10" s="1"/>
  <c r="U640" i="10"/>
  <c r="Z640" i="10" s="1"/>
  <c r="U641" i="10"/>
  <c r="Z641" i="10" s="1"/>
  <c r="U642" i="10"/>
  <c r="Z642" i="10" s="1"/>
  <c r="U643" i="10"/>
  <c r="Z643" i="10" s="1"/>
  <c r="U644" i="10"/>
  <c r="Z644" i="10" s="1"/>
  <c r="U645" i="10"/>
  <c r="Z645" i="10" s="1"/>
  <c r="U646" i="10"/>
  <c r="Z646" i="10" s="1"/>
  <c r="U647" i="10"/>
  <c r="Z647" i="10" s="1"/>
  <c r="U648" i="10"/>
  <c r="Z648" i="10" s="1"/>
  <c r="U649" i="10"/>
  <c r="Z649" i="10" s="1"/>
  <c r="U650" i="10"/>
  <c r="Z650" i="10" s="1"/>
  <c r="U651" i="10"/>
  <c r="Z651" i="10" s="1"/>
  <c r="U652" i="10"/>
  <c r="Z652" i="10" s="1"/>
  <c r="U653" i="10"/>
  <c r="Z653" i="10" s="1"/>
  <c r="U654" i="10"/>
  <c r="Z654" i="10" s="1"/>
  <c r="U655" i="10"/>
  <c r="Z655" i="10" s="1"/>
  <c r="U656" i="10"/>
  <c r="Z656" i="10" s="1"/>
  <c r="U657" i="10"/>
  <c r="Z657" i="10" s="1"/>
  <c r="U658" i="10"/>
  <c r="Z658" i="10" s="1"/>
  <c r="U659" i="10"/>
  <c r="Z659" i="10" s="1"/>
  <c r="U660" i="10"/>
  <c r="Z660" i="10" s="1"/>
  <c r="U661" i="10"/>
  <c r="Z661" i="10" s="1"/>
  <c r="U662" i="10"/>
  <c r="Z662" i="10" s="1"/>
  <c r="U663" i="10"/>
  <c r="Z663" i="10" s="1"/>
  <c r="U664" i="10"/>
  <c r="Z664" i="10" s="1"/>
  <c r="U665" i="10"/>
  <c r="Z665" i="10" s="1"/>
  <c r="U666" i="10"/>
  <c r="Z666" i="10" s="1"/>
  <c r="U667" i="10"/>
  <c r="Z667" i="10" s="1"/>
  <c r="U668" i="10"/>
  <c r="Z668" i="10" s="1"/>
  <c r="U669" i="10"/>
  <c r="Z669" i="10" s="1"/>
  <c r="U670" i="10"/>
  <c r="Z670" i="10" s="1"/>
  <c r="U671" i="10"/>
  <c r="Z671" i="10" s="1"/>
  <c r="U672" i="10"/>
  <c r="Z672" i="10" s="1"/>
  <c r="U673" i="10"/>
  <c r="Z673" i="10" s="1"/>
  <c r="U674" i="10"/>
  <c r="Z674" i="10" s="1"/>
  <c r="U675" i="10"/>
  <c r="Z675" i="10" s="1"/>
  <c r="U676" i="10"/>
  <c r="Z676" i="10" s="1"/>
  <c r="U677" i="10"/>
  <c r="Z677" i="10" s="1"/>
  <c r="U678" i="10"/>
  <c r="Z678" i="10" s="1"/>
  <c r="U679" i="10"/>
  <c r="Z679" i="10" s="1"/>
  <c r="U680" i="10"/>
  <c r="Z680" i="10" s="1"/>
  <c r="U681" i="10"/>
  <c r="Z681" i="10" s="1"/>
  <c r="U682" i="10"/>
  <c r="Z682" i="10" s="1"/>
  <c r="U683" i="10"/>
  <c r="Z683" i="10" s="1"/>
  <c r="U684" i="10"/>
  <c r="Z684" i="10" s="1"/>
  <c r="U685" i="10"/>
  <c r="Z685" i="10" s="1"/>
  <c r="U686" i="10"/>
  <c r="Z686" i="10" s="1"/>
  <c r="U687" i="10"/>
  <c r="Z687" i="10" s="1"/>
  <c r="U688" i="10"/>
  <c r="Z688" i="10" s="1"/>
  <c r="U689" i="10"/>
  <c r="Z689" i="10" s="1"/>
  <c r="U690" i="10"/>
  <c r="Z690" i="10" s="1"/>
  <c r="U691" i="10"/>
  <c r="Z691" i="10" s="1"/>
  <c r="U692" i="10"/>
  <c r="Z692" i="10" s="1"/>
  <c r="U693" i="10"/>
  <c r="Z693" i="10" s="1"/>
  <c r="U694" i="10"/>
  <c r="Z694" i="10" s="1"/>
  <c r="U695" i="10"/>
  <c r="Z695" i="10" s="1"/>
  <c r="U696" i="10"/>
  <c r="Z696" i="10" s="1"/>
  <c r="U697" i="10"/>
  <c r="Z697" i="10" s="1"/>
  <c r="U698" i="10"/>
  <c r="Z698" i="10" s="1"/>
  <c r="U699" i="10"/>
  <c r="Z699" i="10" s="1"/>
  <c r="U700" i="10"/>
  <c r="Z700" i="10" s="1"/>
  <c r="U701" i="10"/>
  <c r="Z701" i="10" s="1"/>
  <c r="U702" i="10"/>
  <c r="Z702" i="10" s="1"/>
  <c r="U703" i="10"/>
  <c r="Z703" i="10" s="1"/>
  <c r="U704" i="10"/>
  <c r="Z704" i="10" s="1"/>
  <c r="U705" i="10"/>
  <c r="Z705" i="10" s="1"/>
  <c r="U706" i="10"/>
  <c r="Z706" i="10" s="1"/>
  <c r="U707" i="10"/>
  <c r="Z707" i="10" s="1"/>
  <c r="U708" i="10"/>
  <c r="Z708" i="10" s="1"/>
  <c r="U709" i="10"/>
  <c r="Z709" i="10" s="1"/>
  <c r="U710" i="10"/>
  <c r="Z710" i="10" s="1"/>
  <c r="U711" i="10"/>
  <c r="Z711" i="10" s="1"/>
  <c r="U712" i="10"/>
  <c r="Z712" i="10" s="1"/>
  <c r="U713" i="10"/>
  <c r="Z713" i="10" s="1"/>
  <c r="U714" i="10"/>
  <c r="Z714" i="10" s="1"/>
  <c r="U715" i="10"/>
  <c r="Z715" i="10" s="1"/>
  <c r="U716" i="10"/>
  <c r="Z716" i="10" s="1"/>
  <c r="U717" i="10"/>
  <c r="Z717" i="10" s="1"/>
  <c r="U718" i="10"/>
  <c r="Z718" i="10" s="1"/>
  <c r="U719" i="10"/>
  <c r="Z719" i="10" s="1"/>
  <c r="U720" i="10"/>
  <c r="Z720" i="10" s="1"/>
  <c r="U721" i="10"/>
  <c r="Z721" i="10" s="1"/>
  <c r="U722" i="10"/>
  <c r="Z722" i="10" s="1"/>
  <c r="U723" i="10"/>
  <c r="Z723" i="10" s="1"/>
  <c r="U724" i="10"/>
  <c r="Z724" i="10" s="1"/>
  <c r="U725" i="10"/>
  <c r="Z725" i="10" s="1"/>
  <c r="U726" i="10"/>
  <c r="Z726" i="10" s="1"/>
  <c r="U727" i="10"/>
  <c r="Z727" i="10" s="1"/>
  <c r="U728" i="10"/>
  <c r="Z728" i="10" s="1"/>
  <c r="U729" i="10"/>
  <c r="Z729" i="10" s="1"/>
  <c r="U730" i="10"/>
  <c r="Z730" i="10" s="1"/>
  <c r="U731" i="10"/>
  <c r="Z731" i="10" s="1"/>
  <c r="U732" i="10"/>
  <c r="Z732" i="10" s="1"/>
  <c r="U733" i="10"/>
  <c r="Z733" i="10" s="1"/>
  <c r="U734" i="10"/>
  <c r="Z734" i="10" s="1"/>
  <c r="U735" i="10"/>
  <c r="Z735" i="10" s="1"/>
  <c r="U736" i="10"/>
  <c r="Z736" i="10" s="1"/>
  <c r="U737" i="10"/>
  <c r="Z737" i="10" s="1"/>
  <c r="U738" i="10"/>
  <c r="Z738" i="10" s="1"/>
  <c r="U739" i="10"/>
  <c r="Z739" i="10" s="1"/>
  <c r="U740" i="10"/>
  <c r="Z740" i="10" s="1"/>
  <c r="U741" i="10"/>
  <c r="Z741" i="10" s="1"/>
  <c r="U742" i="10"/>
  <c r="Z742" i="10" s="1"/>
  <c r="U743" i="10"/>
  <c r="Z743" i="10" s="1"/>
  <c r="U744" i="10"/>
  <c r="Z744" i="10" s="1"/>
  <c r="U745" i="10"/>
  <c r="Z745" i="10" s="1"/>
  <c r="U746" i="10"/>
  <c r="Z746" i="10" s="1"/>
  <c r="U747" i="10"/>
  <c r="Z747" i="10" s="1"/>
  <c r="U748" i="10"/>
  <c r="Z748" i="10" s="1"/>
  <c r="U749" i="10"/>
  <c r="Z749" i="10" s="1"/>
  <c r="U750" i="10"/>
  <c r="Z750" i="10" s="1"/>
  <c r="U751" i="10"/>
  <c r="Z751" i="10" s="1"/>
  <c r="U752" i="10"/>
  <c r="Z752" i="10" s="1"/>
  <c r="U753" i="10"/>
  <c r="Z753" i="10" s="1"/>
  <c r="U754" i="10"/>
  <c r="Z754" i="10" s="1"/>
  <c r="U755" i="10"/>
  <c r="Z755" i="10" s="1"/>
  <c r="U756" i="10"/>
  <c r="Z756" i="10" s="1"/>
  <c r="U757" i="10"/>
  <c r="Z757" i="10" s="1"/>
  <c r="U758" i="10"/>
  <c r="Z758" i="10" s="1"/>
  <c r="U759" i="10"/>
  <c r="Z759" i="10" s="1"/>
  <c r="U760" i="10"/>
  <c r="Z760" i="10" s="1"/>
  <c r="U761" i="10"/>
  <c r="Z761" i="10" s="1"/>
  <c r="U762" i="10"/>
  <c r="Z762" i="10" s="1"/>
  <c r="U763" i="10"/>
  <c r="Z763" i="10" s="1"/>
  <c r="U764" i="10"/>
  <c r="Z764" i="10" s="1"/>
  <c r="U765" i="10"/>
  <c r="Z765" i="10" s="1"/>
  <c r="U766" i="10"/>
  <c r="Z766" i="10" s="1"/>
  <c r="U767" i="10"/>
  <c r="Z767" i="10" s="1"/>
  <c r="U768" i="10"/>
  <c r="Z768" i="10" s="1"/>
  <c r="U769" i="10"/>
  <c r="Z769" i="10" s="1"/>
  <c r="U770" i="10"/>
  <c r="Z770" i="10" s="1"/>
  <c r="U771" i="10"/>
  <c r="Z771" i="10" s="1"/>
  <c r="U772" i="10"/>
  <c r="Z772" i="10" s="1"/>
  <c r="U773" i="10"/>
  <c r="Z773" i="10" s="1"/>
  <c r="U774" i="10"/>
  <c r="Z774" i="10" s="1"/>
  <c r="U775" i="10"/>
  <c r="Z775" i="10" s="1"/>
  <c r="U776" i="10"/>
  <c r="Z776" i="10" s="1"/>
  <c r="U777" i="10"/>
  <c r="Z777" i="10" s="1"/>
  <c r="U778" i="10"/>
  <c r="Z778" i="10" s="1"/>
  <c r="U779" i="10"/>
  <c r="Z779" i="10" s="1"/>
  <c r="U780" i="10"/>
  <c r="Z780" i="10" s="1"/>
  <c r="U781" i="10"/>
  <c r="Z781" i="10" s="1"/>
  <c r="U782" i="10"/>
  <c r="Z782" i="10" s="1"/>
  <c r="U783" i="10"/>
  <c r="Z783" i="10" s="1"/>
  <c r="U784" i="10"/>
  <c r="Z784" i="10" s="1"/>
  <c r="U785" i="10"/>
  <c r="Z785" i="10" s="1"/>
  <c r="U786" i="10"/>
  <c r="Z786" i="10" s="1"/>
  <c r="U787" i="10"/>
  <c r="Z787" i="10" s="1"/>
  <c r="U788" i="10"/>
  <c r="Z788" i="10" s="1"/>
  <c r="U789" i="10"/>
  <c r="Z789" i="10" s="1"/>
  <c r="U790" i="10"/>
  <c r="Z790" i="10" s="1"/>
  <c r="U791" i="10"/>
  <c r="Z791" i="10" s="1"/>
  <c r="U792" i="10"/>
  <c r="Z792" i="10" s="1"/>
  <c r="U793" i="10"/>
  <c r="Z793" i="10" s="1"/>
  <c r="U794" i="10"/>
  <c r="Z794" i="10" s="1"/>
  <c r="U795" i="10"/>
  <c r="Z795" i="10" s="1"/>
  <c r="U796" i="10"/>
  <c r="Z796" i="10" s="1"/>
  <c r="U797" i="10"/>
  <c r="Z797" i="10" s="1"/>
  <c r="U798" i="10"/>
  <c r="Z798" i="10" s="1"/>
  <c r="U799" i="10"/>
  <c r="Z799" i="10" s="1"/>
  <c r="U800" i="10"/>
  <c r="Z800" i="10" s="1"/>
  <c r="U801" i="10"/>
  <c r="Z801" i="10" s="1"/>
  <c r="U802" i="10"/>
  <c r="Z802" i="10" s="1"/>
  <c r="U803" i="10"/>
  <c r="Z803" i="10" s="1"/>
  <c r="U804" i="10"/>
  <c r="Z804" i="10" s="1"/>
  <c r="U805" i="10"/>
  <c r="Z805" i="10" s="1"/>
  <c r="U806" i="10"/>
  <c r="Z806" i="10" s="1"/>
  <c r="U807" i="10"/>
  <c r="Z807" i="10" s="1"/>
  <c r="U808" i="10"/>
  <c r="Z808" i="10" s="1"/>
  <c r="U809" i="10"/>
  <c r="Z809" i="10" s="1"/>
  <c r="U810" i="10"/>
  <c r="Z810" i="10" s="1"/>
  <c r="U811" i="10"/>
  <c r="Z811" i="10" s="1"/>
  <c r="U812" i="10"/>
  <c r="Z812" i="10" s="1"/>
  <c r="U813" i="10"/>
  <c r="Z813" i="10" s="1"/>
  <c r="U814" i="10"/>
  <c r="Z814" i="10" s="1"/>
  <c r="U815" i="10"/>
  <c r="Z815" i="10" s="1"/>
  <c r="U816" i="10"/>
  <c r="Z816" i="10" s="1"/>
  <c r="U817" i="10"/>
  <c r="Z817" i="10" s="1"/>
  <c r="U818" i="10"/>
  <c r="Z818" i="10" s="1"/>
  <c r="U819" i="10"/>
  <c r="Z819" i="10" s="1"/>
  <c r="U820" i="10"/>
  <c r="Z820" i="10" s="1"/>
  <c r="U821" i="10"/>
  <c r="Z821" i="10" s="1"/>
  <c r="U822" i="10"/>
  <c r="Z822" i="10" s="1"/>
  <c r="U823" i="10"/>
  <c r="Z823" i="10" s="1"/>
  <c r="U824" i="10"/>
  <c r="Z824" i="10" s="1"/>
  <c r="U825" i="10"/>
  <c r="Z825" i="10" s="1"/>
  <c r="U826" i="10"/>
  <c r="Z826" i="10" s="1"/>
  <c r="U827" i="10"/>
  <c r="Z827" i="10" s="1"/>
  <c r="U828" i="10"/>
  <c r="Z828" i="10" s="1"/>
  <c r="U829" i="10"/>
  <c r="Z829" i="10" s="1"/>
  <c r="U830" i="10"/>
  <c r="Z830" i="10" s="1"/>
  <c r="U831" i="10"/>
  <c r="Z831" i="10" s="1"/>
  <c r="U832" i="10"/>
  <c r="Z832" i="10" s="1"/>
  <c r="U833" i="10"/>
  <c r="Z833" i="10" s="1"/>
  <c r="U834" i="10"/>
  <c r="Z834" i="10" s="1"/>
  <c r="U835" i="10"/>
  <c r="Z835" i="10" s="1"/>
  <c r="U836" i="10"/>
  <c r="Z836" i="10" s="1"/>
  <c r="U837" i="10"/>
  <c r="Z837" i="10" s="1"/>
  <c r="U838" i="10"/>
  <c r="Z838" i="10" s="1"/>
  <c r="U839" i="10"/>
  <c r="Z839" i="10" s="1"/>
  <c r="U840" i="10"/>
  <c r="Z840" i="10" s="1"/>
  <c r="U841" i="10"/>
  <c r="Z841" i="10" s="1"/>
  <c r="U842" i="10"/>
  <c r="Z842" i="10" s="1"/>
  <c r="U843" i="10"/>
  <c r="Z843" i="10" s="1"/>
  <c r="U844" i="10"/>
  <c r="Z844" i="10" s="1"/>
  <c r="U845" i="10"/>
  <c r="Z845" i="10" s="1"/>
  <c r="U846" i="10"/>
  <c r="Z846" i="10" s="1"/>
  <c r="U847" i="10"/>
  <c r="Z847" i="10" s="1"/>
  <c r="U848" i="10"/>
  <c r="Z848" i="10" s="1"/>
  <c r="U849" i="10"/>
  <c r="Z849" i="10" s="1"/>
  <c r="U850" i="10"/>
  <c r="Z850" i="10" s="1"/>
  <c r="U851" i="10"/>
  <c r="Z851" i="10" s="1"/>
  <c r="U852" i="10"/>
  <c r="Z852" i="10" s="1"/>
  <c r="U853" i="10"/>
  <c r="Z853" i="10" s="1"/>
  <c r="U854" i="10"/>
  <c r="Z854" i="10" s="1"/>
  <c r="U855" i="10"/>
  <c r="Z855" i="10" s="1"/>
  <c r="U856" i="10"/>
  <c r="Z856" i="10" s="1"/>
  <c r="U857" i="10"/>
  <c r="Z857" i="10" s="1"/>
  <c r="U858" i="10"/>
  <c r="Z858" i="10" s="1"/>
  <c r="U859" i="10"/>
  <c r="Z859" i="10" s="1"/>
  <c r="U860" i="10"/>
  <c r="Z860" i="10" s="1"/>
  <c r="U861" i="10"/>
  <c r="Z861" i="10" s="1"/>
  <c r="U862" i="10"/>
  <c r="Z862" i="10" s="1"/>
  <c r="U863" i="10"/>
  <c r="Z863" i="10" s="1"/>
  <c r="U864" i="10"/>
  <c r="Z864" i="10" s="1"/>
  <c r="U865" i="10"/>
  <c r="Z865" i="10" s="1"/>
  <c r="U866" i="10"/>
  <c r="Z866" i="10" s="1"/>
  <c r="U867" i="10"/>
  <c r="Z867" i="10" s="1"/>
  <c r="U868" i="10"/>
  <c r="Z868" i="10" s="1"/>
  <c r="U869" i="10"/>
  <c r="Z869" i="10" s="1"/>
  <c r="U870" i="10"/>
  <c r="Z870" i="10" s="1"/>
  <c r="U871" i="10"/>
  <c r="Z871" i="10" s="1"/>
  <c r="U872" i="10"/>
  <c r="Z872" i="10" s="1"/>
  <c r="U873" i="10"/>
  <c r="Z873" i="10" s="1"/>
  <c r="U874" i="10"/>
  <c r="Z874" i="10" s="1"/>
  <c r="U875" i="10"/>
  <c r="Z875" i="10" s="1"/>
  <c r="U876" i="10"/>
  <c r="Z876" i="10" s="1"/>
  <c r="U877" i="10"/>
  <c r="Z877" i="10" s="1"/>
  <c r="U878" i="10"/>
  <c r="Z878" i="10" s="1"/>
  <c r="U879" i="10"/>
  <c r="Z879" i="10" s="1"/>
  <c r="U880" i="10"/>
  <c r="Z880" i="10" s="1"/>
  <c r="U881" i="10"/>
  <c r="Z881" i="10" s="1"/>
  <c r="U882" i="10"/>
  <c r="Z882" i="10" s="1"/>
  <c r="U883" i="10"/>
  <c r="Z883" i="10" s="1"/>
  <c r="U884" i="10"/>
  <c r="Z884" i="10" s="1"/>
  <c r="U885" i="10"/>
  <c r="Z885" i="10" s="1"/>
  <c r="U886" i="10"/>
  <c r="Z886" i="10" s="1"/>
  <c r="U887" i="10"/>
  <c r="Z887" i="10" s="1"/>
  <c r="U888" i="10"/>
  <c r="Z888" i="10" s="1"/>
  <c r="T6" i="10"/>
  <c r="T7" i="10"/>
  <c r="T8" i="10"/>
  <c r="T9" i="10"/>
  <c r="T10" i="10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48" i="10"/>
  <c r="T49" i="10"/>
  <c r="T50" i="10"/>
  <c r="T51" i="10"/>
  <c r="T52" i="10"/>
  <c r="T53" i="10"/>
  <c r="T54" i="10"/>
  <c r="T55" i="10"/>
  <c r="T56" i="10"/>
  <c r="T57" i="10"/>
  <c r="T58" i="10"/>
  <c r="T59" i="10"/>
  <c r="T60" i="10"/>
  <c r="T61" i="10"/>
  <c r="T62" i="10"/>
  <c r="T63" i="10"/>
  <c r="T64" i="10"/>
  <c r="T65" i="10"/>
  <c r="T66" i="10"/>
  <c r="T67" i="10"/>
  <c r="T68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105" i="10"/>
  <c r="T106" i="10"/>
  <c r="T107" i="10"/>
  <c r="T108" i="10"/>
  <c r="T109" i="10"/>
  <c r="T110" i="10"/>
  <c r="T111" i="10"/>
  <c r="T112" i="10"/>
  <c r="T113" i="10"/>
  <c r="T114" i="10"/>
  <c r="T115" i="10"/>
  <c r="T116" i="10"/>
  <c r="T117" i="10"/>
  <c r="T118" i="10"/>
  <c r="T119" i="10"/>
  <c r="T120" i="10"/>
  <c r="T121" i="10"/>
  <c r="T122" i="10"/>
  <c r="T123" i="10"/>
  <c r="T124" i="10"/>
  <c r="T125" i="10"/>
  <c r="T126" i="10"/>
  <c r="T127" i="10"/>
  <c r="T128" i="10"/>
  <c r="T129" i="10"/>
  <c r="T130" i="10"/>
  <c r="T131" i="10"/>
  <c r="T132" i="10"/>
  <c r="T133" i="10"/>
  <c r="T134" i="10"/>
  <c r="T135" i="10"/>
  <c r="T136" i="10"/>
  <c r="T137" i="10"/>
  <c r="T138" i="10"/>
  <c r="T139" i="10"/>
  <c r="T140" i="10"/>
  <c r="T141" i="10"/>
  <c r="T142" i="10"/>
  <c r="T143" i="10"/>
  <c r="T144" i="10"/>
  <c r="T145" i="10"/>
  <c r="T146" i="10"/>
  <c r="T147" i="10"/>
  <c r="T148" i="10"/>
  <c r="T149" i="10"/>
  <c r="T150" i="10"/>
  <c r="T151" i="10"/>
  <c r="T152" i="10"/>
  <c r="T153" i="10"/>
  <c r="T154" i="10"/>
  <c r="T155" i="10"/>
  <c r="T156" i="10"/>
  <c r="T157" i="10"/>
  <c r="T158" i="10"/>
  <c r="T159" i="10"/>
  <c r="T160" i="10"/>
  <c r="T161" i="10"/>
  <c r="T162" i="10"/>
  <c r="T163" i="10"/>
  <c r="T164" i="10"/>
  <c r="T165" i="10"/>
  <c r="T166" i="10"/>
  <c r="T167" i="10"/>
  <c r="T168" i="10"/>
  <c r="T169" i="10"/>
  <c r="T170" i="10"/>
  <c r="T171" i="10"/>
  <c r="T172" i="10"/>
  <c r="T173" i="10"/>
  <c r="T174" i="10"/>
  <c r="T175" i="10"/>
  <c r="T176" i="10"/>
  <c r="T177" i="10"/>
  <c r="T178" i="10"/>
  <c r="T179" i="10"/>
  <c r="T180" i="10"/>
  <c r="T181" i="10"/>
  <c r="T182" i="10"/>
  <c r="T183" i="10"/>
  <c r="T184" i="10"/>
  <c r="T185" i="10"/>
  <c r="T186" i="10"/>
  <c r="T187" i="10"/>
  <c r="T188" i="10"/>
  <c r="T189" i="10"/>
  <c r="T190" i="10"/>
  <c r="T191" i="10"/>
  <c r="T192" i="10"/>
  <c r="T193" i="10"/>
  <c r="T194" i="10"/>
  <c r="T195" i="10"/>
  <c r="T196" i="10"/>
  <c r="T197" i="10"/>
  <c r="T198" i="10"/>
  <c r="T199" i="10"/>
  <c r="T200" i="10"/>
  <c r="T201" i="10"/>
  <c r="T202" i="10"/>
  <c r="T203" i="10"/>
  <c r="T204" i="10"/>
  <c r="T205" i="10"/>
  <c r="T206" i="10"/>
  <c r="T207" i="10"/>
  <c r="T208" i="10"/>
  <c r="T209" i="10"/>
  <c r="T210" i="10"/>
  <c r="T211" i="10"/>
  <c r="T212" i="10"/>
  <c r="T213" i="10"/>
  <c r="T214" i="10"/>
  <c r="T215" i="10"/>
  <c r="T216" i="10"/>
  <c r="T217" i="10"/>
  <c r="T218" i="10"/>
  <c r="T219" i="10"/>
  <c r="T220" i="10"/>
  <c r="T221" i="10"/>
  <c r="T222" i="10"/>
  <c r="T223" i="10"/>
  <c r="T224" i="10"/>
  <c r="T225" i="10"/>
  <c r="T226" i="10"/>
  <c r="T227" i="10"/>
  <c r="T228" i="10"/>
  <c r="T229" i="10"/>
  <c r="T230" i="10"/>
  <c r="T231" i="10"/>
  <c r="T232" i="10"/>
  <c r="T233" i="10"/>
  <c r="T234" i="10"/>
  <c r="T235" i="10"/>
  <c r="T236" i="10"/>
  <c r="T237" i="10"/>
  <c r="T238" i="10"/>
  <c r="T239" i="10"/>
  <c r="T240" i="10"/>
  <c r="T241" i="10"/>
  <c r="T242" i="10"/>
  <c r="T243" i="10"/>
  <c r="T244" i="10"/>
  <c r="T245" i="10"/>
  <c r="T246" i="10"/>
  <c r="T247" i="10"/>
  <c r="T248" i="10"/>
  <c r="T249" i="10"/>
  <c r="T250" i="10"/>
  <c r="T251" i="10"/>
  <c r="T252" i="10"/>
  <c r="T253" i="10"/>
  <c r="T254" i="10"/>
  <c r="T255" i="10"/>
  <c r="T256" i="10"/>
  <c r="T257" i="10"/>
  <c r="T258" i="10"/>
  <c r="T259" i="10"/>
  <c r="T260" i="10"/>
  <c r="T261" i="10"/>
  <c r="T262" i="10"/>
  <c r="T263" i="10"/>
  <c r="T264" i="10"/>
  <c r="T265" i="10"/>
  <c r="T266" i="10"/>
  <c r="T267" i="10"/>
  <c r="T268" i="10"/>
  <c r="T269" i="10"/>
  <c r="T270" i="10"/>
  <c r="T271" i="10"/>
  <c r="T272" i="10"/>
  <c r="T273" i="10"/>
  <c r="T274" i="10"/>
  <c r="T275" i="10"/>
  <c r="T276" i="10"/>
  <c r="T277" i="10"/>
  <c r="T278" i="10"/>
  <c r="T279" i="10"/>
  <c r="T280" i="10"/>
  <c r="T281" i="10"/>
  <c r="T282" i="10"/>
  <c r="T283" i="10"/>
  <c r="T284" i="10"/>
  <c r="T285" i="10"/>
  <c r="T286" i="10"/>
  <c r="T287" i="10"/>
  <c r="T288" i="10"/>
  <c r="T289" i="10"/>
  <c r="T290" i="10"/>
  <c r="T291" i="10"/>
  <c r="T292" i="10"/>
  <c r="T293" i="10"/>
  <c r="T294" i="10"/>
  <c r="T295" i="10"/>
  <c r="T296" i="10"/>
  <c r="T297" i="10"/>
  <c r="T298" i="10"/>
  <c r="T299" i="10"/>
  <c r="T300" i="10"/>
  <c r="T301" i="10"/>
  <c r="T302" i="10"/>
  <c r="T303" i="10"/>
  <c r="T304" i="10"/>
  <c r="T305" i="10"/>
  <c r="T306" i="10"/>
  <c r="T307" i="10"/>
  <c r="T308" i="10"/>
  <c r="T309" i="10"/>
  <c r="T310" i="10"/>
  <c r="T311" i="10"/>
  <c r="T312" i="10"/>
  <c r="T313" i="10"/>
  <c r="T314" i="10"/>
  <c r="T315" i="10"/>
  <c r="T316" i="10"/>
  <c r="T317" i="10"/>
  <c r="T318" i="10"/>
  <c r="T319" i="10"/>
  <c r="T320" i="10"/>
  <c r="T321" i="10"/>
  <c r="T322" i="10"/>
  <c r="T323" i="10"/>
  <c r="T324" i="10"/>
  <c r="T325" i="10"/>
  <c r="T326" i="10"/>
  <c r="T327" i="10"/>
  <c r="T328" i="10"/>
  <c r="T329" i="10"/>
  <c r="T330" i="10"/>
  <c r="T331" i="10"/>
  <c r="T332" i="10"/>
  <c r="T333" i="10"/>
  <c r="T334" i="10"/>
  <c r="T335" i="10"/>
  <c r="T336" i="10"/>
  <c r="T337" i="10"/>
  <c r="T338" i="10"/>
  <c r="T339" i="10"/>
  <c r="T340" i="10"/>
  <c r="T341" i="10"/>
  <c r="T342" i="10"/>
  <c r="T343" i="10"/>
  <c r="T344" i="10"/>
  <c r="T345" i="10"/>
  <c r="T346" i="10"/>
  <c r="T347" i="10"/>
  <c r="T348" i="10"/>
  <c r="T349" i="10"/>
  <c r="T350" i="10"/>
  <c r="T351" i="10"/>
  <c r="T352" i="10"/>
  <c r="T353" i="10"/>
  <c r="T354" i="10"/>
  <c r="T355" i="10"/>
  <c r="T356" i="10"/>
  <c r="T357" i="10"/>
  <c r="T358" i="10"/>
  <c r="T359" i="10"/>
  <c r="T360" i="10"/>
  <c r="T361" i="10"/>
  <c r="T362" i="10"/>
  <c r="T363" i="10"/>
  <c r="T364" i="10"/>
  <c r="T365" i="10"/>
  <c r="T366" i="10"/>
  <c r="T367" i="10"/>
  <c r="T368" i="10"/>
  <c r="T369" i="10"/>
  <c r="T370" i="10"/>
  <c r="T371" i="10"/>
  <c r="T372" i="10"/>
  <c r="T373" i="10"/>
  <c r="T374" i="10"/>
  <c r="T375" i="10"/>
  <c r="T376" i="10"/>
  <c r="T377" i="10"/>
  <c r="T378" i="10"/>
  <c r="T379" i="10"/>
  <c r="T380" i="10"/>
  <c r="T381" i="10"/>
  <c r="T382" i="10"/>
  <c r="T383" i="10"/>
  <c r="T384" i="10"/>
  <c r="T385" i="10"/>
  <c r="T386" i="10"/>
  <c r="T387" i="10"/>
  <c r="T388" i="10"/>
  <c r="T389" i="10"/>
  <c r="T390" i="10"/>
  <c r="T391" i="10"/>
  <c r="T392" i="10"/>
  <c r="T393" i="10"/>
  <c r="T394" i="10"/>
  <c r="T395" i="10"/>
  <c r="T396" i="10"/>
  <c r="T397" i="10"/>
  <c r="T398" i="10"/>
  <c r="T399" i="10"/>
  <c r="T400" i="10"/>
  <c r="T401" i="10"/>
  <c r="T402" i="10"/>
  <c r="T403" i="10"/>
  <c r="T404" i="10"/>
  <c r="T405" i="10"/>
  <c r="T406" i="10"/>
  <c r="T407" i="10"/>
  <c r="T408" i="10"/>
  <c r="T409" i="10"/>
  <c r="T410" i="10"/>
  <c r="T411" i="10"/>
  <c r="T412" i="10"/>
  <c r="T413" i="10"/>
  <c r="T414" i="10"/>
  <c r="T415" i="10"/>
  <c r="T416" i="10"/>
  <c r="T417" i="10"/>
  <c r="T418" i="10"/>
  <c r="T419" i="10"/>
  <c r="T420" i="10"/>
  <c r="T421" i="10"/>
  <c r="T422" i="10"/>
  <c r="T423" i="10"/>
  <c r="T424" i="10"/>
  <c r="T425" i="10"/>
  <c r="T426" i="10"/>
  <c r="T427" i="10"/>
  <c r="T428" i="10"/>
  <c r="T429" i="10"/>
  <c r="T430" i="10"/>
  <c r="T431" i="10"/>
  <c r="T432" i="10"/>
  <c r="T433" i="10"/>
  <c r="T434" i="10"/>
  <c r="T435" i="10"/>
  <c r="T436" i="10"/>
  <c r="T437" i="10"/>
  <c r="T438" i="10"/>
  <c r="T439" i="10"/>
  <c r="T440" i="10"/>
  <c r="T441" i="10"/>
  <c r="T442" i="10"/>
  <c r="T443" i="10"/>
  <c r="T444" i="10"/>
  <c r="T445" i="10"/>
  <c r="T446" i="10"/>
  <c r="T447" i="10"/>
  <c r="T448" i="10"/>
  <c r="T449" i="10"/>
  <c r="T450" i="10"/>
  <c r="T451" i="10"/>
  <c r="T452" i="10"/>
  <c r="T453" i="10"/>
  <c r="T454" i="10"/>
  <c r="T455" i="10"/>
  <c r="T456" i="10"/>
  <c r="T457" i="10"/>
  <c r="T458" i="10"/>
  <c r="T459" i="10"/>
  <c r="T460" i="10"/>
  <c r="T461" i="10"/>
  <c r="T462" i="10"/>
  <c r="T463" i="10"/>
  <c r="T464" i="10"/>
  <c r="T465" i="10"/>
  <c r="T466" i="10"/>
  <c r="T467" i="10"/>
  <c r="T468" i="10"/>
  <c r="T469" i="10"/>
  <c r="T470" i="10"/>
  <c r="T471" i="10"/>
  <c r="T472" i="10"/>
  <c r="T473" i="10"/>
  <c r="T474" i="10"/>
  <c r="T475" i="10"/>
  <c r="T476" i="10"/>
  <c r="T477" i="10"/>
  <c r="T478" i="10"/>
  <c r="T479" i="10"/>
  <c r="T480" i="10"/>
  <c r="T481" i="10"/>
  <c r="T482" i="10"/>
  <c r="T483" i="10"/>
  <c r="T484" i="10"/>
  <c r="T485" i="10"/>
  <c r="T486" i="10"/>
  <c r="T487" i="10"/>
  <c r="T488" i="10"/>
  <c r="T489" i="10"/>
  <c r="T490" i="10"/>
  <c r="T491" i="10"/>
  <c r="T492" i="10"/>
  <c r="T493" i="10"/>
  <c r="T494" i="10"/>
  <c r="T495" i="10"/>
  <c r="T496" i="10"/>
  <c r="T497" i="10"/>
  <c r="T498" i="10"/>
  <c r="T499" i="10"/>
  <c r="T500" i="10"/>
  <c r="T501" i="10"/>
  <c r="T502" i="10"/>
  <c r="T503" i="10"/>
  <c r="T504" i="10"/>
  <c r="T505" i="10"/>
  <c r="T506" i="10"/>
  <c r="T507" i="10"/>
  <c r="T508" i="10"/>
  <c r="T509" i="10"/>
  <c r="T510" i="10"/>
  <c r="T511" i="10"/>
  <c r="T512" i="10"/>
  <c r="T513" i="10"/>
  <c r="T514" i="10"/>
  <c r="T515" i="10"/>
  <c r="T516" i="10"/>
  <c r="T517" i="10"/>
  <c r="T518" i="10"/>
  <c r="T519" i="10"/>
  <c r="T520" i="10"/>
  <c r="T521" i="10"/>
  <c r="T522" i="10"/>
  <c r="T523" i="10"/>
  <c r="T524" i="10"/>
  <c r="T525" i="10"/>
  <c r="T526" i="10"/>
  <c r="T527" i="10"/>
  <c r="T528" i="10"/>
  <c r="T529" i="10"/>
  <c r="T530" i="10"/>
  <c r="T531" i="10"/>
  <c r="T532" i="10"/>
  <c r="T533" i="10"/>
  <c r="T534" i="10"/>
  <c r="T535" i="10"/>
  <c r="T536" i="10"/>
  <c r="T537" i="10"/>
  <c r="T538" i="10"/>
  <c r="T539" i="10"/>
  <c r="T540" i="10"/>
  <c r="T541" i="10"/>
  <c r="T542" i="10"/>
  <c r="T543" i="10"/>
  <c r="T544" i="10"/>
  <c r="T545" i="10"/>
  <c r="T546" i="10"/>
  <c r="T547" i="10"/>
  <c r="T548" i="10"/>
  <c r="T549" i="10"/>
  <c r="T550" i="10"/>
  <c r="T551" i="10"/>
  <c r="T552" i="10"/>
  <c r="T553" i="10"/>
  <c r="T554" i="10"/>
  <c r="T555" i="10"/>
  <c r="T556" i="10"/>
  <c r="T557" i="10"/>
  <c r="T558" i="10"/>
  <c r="T559" i="10"/>
  <c r="T560" i="10"/>
  <c r="T561" i="10"/>
  <c r="T562" i="10"/>
  <c r="T563" i="10"/>
  <c r="T564" i="10"/>
  <c r="T565" i="10"/>
  <c r="T566" i="10"/>
  <c r="T567" i="10"/>
  <c r="T568" i="10"/>
  <c r="T569" i="10"/>
  <c r="T570" i="10"/>
  <c r="T571" i="10"/>
  <c r="T572" i="10"/>
  <c r="T573" i="10"/>
  <c r="T574" i="10"/>
  <c r="T575" i="10"/>
  <c r="T576" i="10"/>
  <c r="T577" i="10"/>
  <c r="T578" i="10"/>
  <c r="T579" i="10"/>
  <c r="T580" i="10"/>
  <c r="T581" i="10"/>
  <c r="T582" i="10"/>
  <c r="T583" i="10"/>
  <c r="T584" i="10"/>
  <c r="T585" i="10"/>
  <c r="T586" i="10"/>
  <c r="T587" i="10"/>
  <c r="T588" i="10"/>
  <c r="T589" i="10"/>
  <c r="T590" i="10"/>
  <c r="T591" i="10"/>
  <c r="T592" i="10"/>
  <c r="T593" i="10"/>
  <c r="T594" i="10"/>
  <c r="T595" i="10"/>
  <c r="T596" i="10"/>
  <c r="T597" i="10"/>
  <c r="T598" i="10"/>
  <c r="T599" i="10"/>
  <c r="T600" i="10"/>
  <c r="T601" i="10"/>
  <c r="T602" i="10"/>
  <c r="T603" i="10"/>
  <c r="T604" i="10"/>
  <c r="T605" i="10"/>
  <c r="T606" i="10"/>
  <c r="T607" i="10"/>
  <c r="T608" i="10"/>
  <c r="T609" i="10"/>
  <c r="T610" i="10"/>
  <c r="T611" i="10"/>
  <c r="T612" i="10"/>
  <c r="T613" i="10"/>
  <c r="T614" i="10"/>
  <c r="T615" i="10"/>
  <c r="T616" i="10"/>
  <c r="T617" i="10"/>
  <c r="T618" i="10"/>
  <c r="T619" i="10"/>
  <c r="T620" i="10"/>
  <c r="T621" i="10"/>
  <c r="T622" i="10"/>
  <c r="T623" i="10"/>
  <c r="T624" i="10"/>
  <c r="T625" i="10"/>
  <c r="T626" i="10"/>
  <c r="T627" i="10"/>
  <c r="T628" i="10"/>
  <c r="T629" i="10"/>
  <c r="T630" i="10"/>
  <c r="T631" i="10"/>
  <c r="T632" i="10"/>
  <c r="T633" i="10"/>
  <c r="T634" i="10"/>
  <c r="T635" i="10"/>
  <c r="T636" i="10"/>
  <c r="T637" i="10"/>
  <c r="T638" i="10"/>
  <c r="T639" i="10"/>
  <c r="T640" i="10"/>
  <c r="T641" i="10"/>
  <c r="T642" i="10"/>
  <c r="T643" i="10"/>
  <c r="T644" i="10"/>
  <c r="T645" i="10"/>
  <c r="T646" i="10"/>
  <c r="T647" i="10"/>
  <c r="T648" i="10"/>
  <c r="T649" i="10"/>
  <c r="T650" i="10"/>
  <c r="T651" i="10"/>
  <c r="T652" i="10"/>
  <c r="T653" i="10"/>
  <c r="T654" i="10"/>
  <c r="T655" i="10"/>
  <c r="T656" i="10"/>
  <c r="T657" i="10"/>
  <c r="T658" i="10"/>
  <c r="T659" i="10"/>
  <c r="T660" i="10"/>
  <c r="T661" i="10"/>
  <c r="T662" i="10"/>
  <c r="T663" i="10"/>
  <c r="T664" i="10"/>
  <c r="T665" i="10"/>
  <c r="T666" i="10"/>
  <c r="T667" i="10"/>
  <c r="T668" i="10"/>
  <c r="T669" i="10"/>
  <c r="T670" i="10"/>
  <c r="T671" i="10"/>
  <c r="T672" i="10"/>
  <c r="T673" i="10"/>
  <c r="T674" i="10"/>
  <c r="T675" i="10"/>
  <c r="T676" i="10"/>
  <c r="T677" i="10"/>
  <c r="T678" i="10"/>
  <c r="T679" i="10"/>
  <c r="T680" i="10"/>
  <c r="T681" i="10"/>
  <c r="T682" i="10"/>
  <c r="T683" i="10"/>
  <c r="T684" i="10"/>
  <c r="T685" i="10"/>
  <c r="T686" i="10"/>
  <c r="T687" i="10"/>
  <c r="T688" i="10"/>
  <c r="T689" i="10"/>
  <c r="T690" i="10"/>
  <c r="T691" i="10"/>
  <c r="T692" i="10"/>
  <c r="T693" i="10"/>
  <c r="T694" i="10"/>
  <c r="T695" i="10"/>
  <c r="T696" i="10"/>
  <c r="T697" i="10"/>
  <c r="T698" i="10"/>
  <c r="T699" i="10"/>
  <c r="T700" i="10"/>
  <c r="T701" i="10"/>
  <c r="T702" i="10"/>
  <c r="T703" i="10"/>
  <c r="T704" i="10"/>
  <c r="T705" i="10"/>
  <c r="T706" i="10"/>
  <c r="T707" i="10"/>
  <c r="T708" i="10"/>
  <c r="T709" i="10"/>
  <c r="T710" i="10"/>
  <c r="T711" i="10"/>
  <c r="T712" i="10"/>
  <c r="T713" i="10"/>
  <c r="T714" i="10"/>
  <c r="T715" i="10"/>
  <c r="T716" i="10"/>
  <c r="T717" i="10"/>
  <c r="T718" i="10"/>
  <c r="T719" i="10"/>
  <c r="T720" i="10"/>
  <c r="T721" i="10"/>
  <c r="T722" i="10"/>
  <c r="T723" i="10"/>
  <c r="T724" i="10"/>
  <c r="T725" i="10"/>
  <c r="T726" i="10"/>
  <c r="T727" i="10"/>
  <c r="T728" i="10"/>
  <c r="T729" i="10"/>
  <c r="T730" i="10"/>
  <c r="T731" i="10"/>
  <c r="T732" i="10"/>
  <c r="T733" i="10"/>
  <c r="T734" i="10"/>
  <c r="T735" i="10"/>
  <c r="T736" i="10"/>
  <c r="T737" i="10"/>
  <c r="T738" i="10"/>
  <c r="T739" i="10"/>
  <c r="T740" i="10"/>
  <c r="T741" i="10"/>
  <c r="T742" i="10"/>
  <c r="T743" i="10"/>
  <c r="T744" i="10"/>
  <c r="T745" i="10"/>
  <c r="T746" i="10"/>
  <c r="T747" i="10"/>
  <c r="T748" i="10"/>
  <c r="T749" i="10"/>
  <c r="T750" i="10"/>
  <c r="T751" i="10"/>
  <c r="T752" i="10"/>
  <c r="T753" i="10"/>
  <c r="T754" i="10"/>
  <c r="T755" i="10"/>
  <c r="T756" i="10"/>
  <c r="T757" i="10"/>
  <c r="T758" i="10"/>
  <c r="T759" i="10"/>
  <c r="T760" i="10"/>
  <c r="T761" i="10"/>
  <c r="T762" i="10"/>
  <c r="T763" i="10"/>
  <c r="T764" i="10"/>
  <c r="T765" i="10"/>
  <c r="T766" i="10"/>
  <c r="T767" i="10"/>
  <c r="T768" i="10"/>
  <c r="T769" i="10"/>
  <c r="T770" i="10"/>
  <c r="T771" i="10"/>
  <c r="T772" i="10"/>
  <c r="T773" i="10"/>
  <c r="T774" i="10"/>
  <c r="T775" i="10"/>
  <c r="T776" i="10"/>
  <c r="T777" i="10"/>
  <c r="T778" i="10"/>
  <c r="T779" i="10"/>
  <c r="T780" i="10"/>
  <c r="T781" i="10"/>
  <c r="T782" i="10"/>
  <c r="T783" i="10"/>
  <c r="T784" i="10"/>
  <c r="T785" i="10"/>
  <c r="T786" i="10"/>
  <c r="T787" i="10"/>
  <c r="T788" i="10"/>
  <c r="T789" i="10"/>
  <c r="T790" i="10"/>
  <c r="T791" i="10"/>
  <c r="T792" i="10"/>
  <c r="T793" i="10"/>
  <c r="T794" i="10"/>
  <c r="T795" i="10"/>
  <c r="T796" i="10"/>
  <c r="T797" i="10"/>
  <c r="T798" i="10"/>
  <c r="T799" i="10"/>
  <c r="T800" i="10"/>
  <c r="T801" i="10"/>
  <c r="T802" i="10"/>
  <c r="T803" i="10"/>
  <c r="T804" i="10"/>
  <c r="T805" i="10"/>
  <c r="T806" i="10"/>
  <c r="T807" i="10"/>
  <c r="T808" i="10"/>
  <c r="T809" i="10"/>
  <c r="T810" i="10"/>
  <c r="T811" i="10"/>
  <c r="T812" i="10"/>
  <c r="T813" i="10"/>
  <c r="T814" i="10"/>
  <c r="T815" i="10"/>
  <c r="T816" i="10"/>
  <c r="T817" i="10"/>
  <c r="T818" i="10"/>
  <c r="T819" i="10"/>
  <c r="T820" i="10"/>
  <c r="T821" i="10"/>
  <c r="T822" i="10"/>
  <c r="T823" i="10"/>
  <c r="T824" i="10"/>
  <c r="T825" i="10"/>
  <c r="T826" i="10"/>
  <c r="T827" i="10"/>
  <c r="T828" i="10"/>
  <c r="T829" i="10"/>
  <c r="T830" i="10"/>
  <c r="T831" i="10"/>
  <c r="T832" i="10"/>
  <c r="T833" i="10"/>
  <c r="T834" i="10"/>
  <c r="T835" i="10"/>
  <c r="T836" i="10"/>
  <c r="T837" i="10"/>
  <c r="T838" i="10"/>
  <c r="T839" i="10"/>
  <c r="T840" i="10"/>
  <c r="T841" i="10"/>
  <c r="T842" i="10"/>
  <c r="T843" i="10"/>
  <c r="T844" i="10"/>
  <c r="T845" i="10"/>
  <c r="T846" i="10"/>
  <c r="T847" i="10"/>
  <c r="T848" i="10"/>
  <c r="T849" i="10"/>
  <c r="T850" i="10"/>
  <c r="T851" i="10"/>
  <c r="T852" i="10"/>
  <c r="T853" i="10"/>
  <c r="T854" i="10"/>
  <c r="T855" i="10"/>
  <c r="T856" i="10"/>
  <c r="T857" i="10"/>
  <c r="T858" i="10"/>
  <c r="T859" i="10"/>
  <c r="T860" i="10"/>
  <c r="T861" i="10"/>
  <c r="T862" i="10"/>
  <c r="T863" i="10"/>
  <c r="T864" i="10"/>
  <c r="T865" i="10"/>
  <c r="T866" i="10"/>
  <c r="T867" i="10"/>
  <c r="T868" i="10"/>
  <c r="T869" i="10"/>
  <c r="T870" i="10"/>
  <c r="T871" i="10"/>
  <c r="T872" i="10"/>
  <c r="T873" i="10"/>
  <c r="T874" i="10"/>
  <c r="T875" i="10"/>
  <c r="T876" i="10"/>
  <c r="T877" i="10"/>
  <c r="T878" i="10"/>
  <c r="T879" i="10"/>
  <c r="T880" i="10"/>
  <c r="T881" i="10"/>
  <c r="T882" i="10"/>
  <c r="T883" i="10"/>
  <c r="T884" i="10"/>
  <c r="T885" i="10"/>
  <c r="T886" i="10"/>
  <c r="T887" i="10"/>
  <c r="T888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74" i="10"/>
  <c r="S75" i="10"/>
  <c r="S76" i="10"/>
  <c r="S77" i="10"/>
  <c r="S78" i="10"/>
  <c r="S79" i="10"/>
  <c r="S80" i="10"/>
  <c r="S81" i="10"/>
  <c r="S82" i="10"/>
  <c r="S83" i="10"/>
  <c r="S84" i="10"/>
  <c r="S85" i="10"/>
  <c r="S86" i="10"/>
  <c r="S87" i="10"/>
  <c r="S88" i="10"/>
  <c r="S89" i="10"/>
  <c r="S90" i="10"/>
  <c r="S91" i="10"/>
  <c r="S92" i="10"/>
  <c r="S93" i="10"/>
  <c r="S94" i="10"/>
  <c r="S95" i="10"/>
  <c r="S96" i="10"/>
  <c r="S97" i="10"/>
  <c r="S98" i="10"/>
  <c r="S99" i="10"/>
  <c r="S100" i="10"/>
  <c r="S101" i="10"/>
  <c r="S102" i="10"/>
  <c r="S103" i="10"/>
  <c r="S104" i="10"/>
  <c r="S105" i="10"/>
  <c r="S106" i="10"/>
  <c r="S107" i="10"/>
  <c r="S108" i="10"/>
  <c r="S109" i="10"/>
  <c r="S110" i="10"/>
  <c r="S111" i="10"/>
  <c r="S112" i="10"/>
  <c r="S113" i="10"/>
  <c r="S114" i="10"/>
  <c r="S115" i="10"/>
  <c r="S116" i="10"/>
  <c r="S117" i="10"/>
  <c r="S118" i="10"/>
  <c r="S119" i="10"/>
  <c r="S120" i="10"/>
  <c r="S121" i="10"/>
  <c r="S122" i="10"/>
  <c r="S123" i="10"/>
  <c r="S124" i="10"/>
  <c r="S125" i="10"/>
  <c r="S126" i="10"/>
  <c r="S127" i="10"/>
  <c r="S128" i="10"/>
  <c r="S129" i="10"/>
  <c r="S130" i="10"/>
  <c r="S131" i="10"/>
  <c r="S132" i="10"/>
  <c r="S133" i="10"/>
  <c r="S134" i="10"/>
  <c r="S135" i="10"/>
  <c r="S136" i="10"/>
  <c r="S137" i="10"/>
  <c r="S138" i="10"/>
  <c r="S139" i="10"/>
  <c r="S140" i="10"/>
  <c r="S141" i="10"/>
  <c r="S142" i="10"/>
  <c r="S143" i="10"/>
  <c r="S144" i="10"/>
  <c r="S145" i="10"/>
  <c r="S146" i="10"/>
  <c r="S147" i="10"/>
  <c r="S148" i="10"/>
  <c r="S149" i="10"/>
  <c r="S150" i="10"/>
  <c r="S151" i="10"/>
  <c r="S152" i="10"/>
  <c r="S153" i="10"/>
  <c r="S154" i="10"/>
  <c r="S155" i="10"/>
  <c r="S156" i="10"/>
  <c r="S157" i="10"/>
  <c r="S158" i="10"/>
  <c r="S159" i="10"/>
  <c r="S160" i="10"/>
  <c r="S161" i="10"/>
  <c r="S162" i="10"/>
  <c r="S163" i="10"/>
  <c r="S164" i="10"/>
  <c r="S165" i="10"/>
  <c r="S166" i="10"/>
  <c r="S167" i="10"/>
  <c r="S168" i="10"/>
  <c r="S169" i="10"/>
  <c r="S170" i="10"/>
  <c r="S171" i="10"/>
  <c r="S172" i="10"/>
  <c r="S173" i="10"/>
  <c r="S174" i="10"/>
  <c r="S175" i="10"/>
  <c r="S176" i="10"/>
  <c r="S177" i="10"/>
  <c r="S178" i="10"/>
  <c r="S179" i="10"/>
  <c r="S180" i="10"/>
  <c r="S181" i="10"/>
  <c r="S182" i="10"/>
  <c r="S183" i="10"/>
  <c r="S184" i="10"/>
  <c r="S185" i="10"/>
  <c r="S186" i="10"/>
  <c r="S187" i="10"/>
  <c r="S188" i="10"/>
  <c r="S189" i="10"/>
  <c r="S190" i="10"/>
  <c r="S191" i="10"/>
  <c r="S192" i="10"/>
  <c r="S193" i="10"/>
  <c r="S194" i="10"/>
  <c r="S195" i="10"/>
  <c r="S196" i="10"/>
  <c r="S197" i="10"/>
  <c r="S198" i="10"/>
  <c r="S199" i="10"/>
  <c r="S200" i="10"/>
  <c r="S201" i="10"/>
  <c r="S202" i="10"/>
  <c r="S203" i="10"/>
  <c r="S204" i="10"/>
  <c r="S205" i="10"/>
  <c r="S206" i="10"/>
  <c r="S207" i="10"/>
  <c r="S208" i="10"/>
  <c r="S209" i="10"/>
  <c r="S210" i="10"/>
  <c r="S211" i="10"/>
  <c r="S212" i="10"/>
  <c r="S213" i="10"/>
  <c r="S214" i="10"/>
  <c r="S215" i="10"/>
  <c r="S216" i="10"/>
  <c r="S217" i="10"/>
  <c r="S218" i="10"/>
  <c r="S219" i="10"/>
  <c r="S220" i="10"/>
  <c r="S221" i="10"/>
  <c r="S222" i="10"/>
  <c r="S223" i="10"/>
  <c r="S224" i="10"/>
  <c r="S225" i="10"/>
  <c r="S226" i="10"/>
  <c r="S227" i="10"/>
  <c r="S228" i="10"/>
  <c r="S229" i="10"/>
  <c r="S230" i="10"/>
  <c r="S231" i="10"/>
  <c r="S232" i="10"/>
  <c r="S233" i="10"/>
  <c r="S234" i="10"/>
  <c r="S235" i="10"/>
  <c r="S236" i="10"/>
  <c r="S237" i="10"/>
  <c r="S238" i="10"/>
  <c r="S239" i="10"/>
  <c r="S240" i="10"/>
  <c r="S241" i="10"/>
  <c r="S242" i="10"/>
  <c r="S243" i="10"/>
  <c r="S244" i="10"/>
  <c r="S245" i="10"/>
  <c r="S246" i="10"/>
  <c r="S247" i="10"/>
  <c r="S248" i="10"/>
  <c r="S249" i="10"/>
  <c r="S250" i="10"/>
  <c r="S251" i="10"/>
  <c r="S252" i="10"/>
  <c r="S253" i="10"/>
  <c r="S254" i="10"/>
  <c r="S255" i="10"/>
  <c r="S256" i="10"/>
  <c r="S257" i="10"/>
  <c r="S258" i="10"/>
  <c r="S259" i="10"/>
  <c r="S260" i="10"/>
  <c r="S261" i="10"/>
  <c r="S262" i="10"/>
  <c r="S263" i="10"/>
  <c r="S264" i="10"/>
  <c r="S265" i="10"/>
  <c r="S266" i="10"/>
  <c r="S267" i="10"/>
  <c r="S268" i="10"/>
  <c r="S269" i="10"/>
  <c r="S270" i="10"/>
  <c r="S271" i="10"/>
  <c r="S272" i="10"/>
  <c r="S273" i="10"/>
  <c r="S274" i="10"/>
  <c r="S275" i="10"/>
  <c r="S276" i="10"/>
  <c r="S277" i="10"/>
  <c r="S278" i="10"/>
  <c r="S279" i="10"/>
  <c r="S280" i="10"/>
  <c r="S281" i="10"/>
  <c r="S282" i="10"/>
  <c r="S283" i="10"/>
  <c r="S284" i="10"/>
  <c r="S285" i="10"/>
  <c r="S286" i="10"/>
  <c r="S287" i="10"/>
  <c r="S288" i="10"/>
  <c r="S289" i="10"/>
  <c r="S290" i="10"/>
  <c r="S291" i="10"/>
  <c r="S292" i="10"/>
  <c r="S293" i="10"/>
  <c r="S294" i="10"/>
  <c r="S295" i="10"/>
  <c r="S296" i="10"/>
  <c r="S297" i="10"/>
  <c r="S298" i="10"/>
  <c r="S299" i="10"/>
  <c r="S300" i="10"/>
  <c r="S301" i="10"/>
  <c r="S302" i="10"/>
  <c r="S303" i="10"/>
  <c r="S304" i="10"/>
  <c r="S305" i="10"/>
  <c r="S306" i="10"/>
  <c r="S307" i="10"/>
  <c r="S308" i="10"/>
  <c r="S309" i="10"/>
  <c r="S310" i="10"/>
  <c r="S311" i="10"/>
  <c r="S312" i="10"/>
  <c r="S313" i="10"/>
  <c r="S314" i="10"/>
  <c r="S315" i="10"/>
  <c r="S316" i="10"/>
  <c r="S317" i="10"/>
  <c r="S318" i="10"/>
  <c r="S319" i="10"/>
  <c r="S320" i="10"/>
  <c r="S321" i="10"/>
  <c r="S322" i="10"/>
  <c r="S323" i="10"/>
  <c r="S324" i="10"/>
  <c r="S325" i="10"/>
  <c r="S326" i="10"/>
  <c r="S327" i="10"/>
  <c r="S328" i="10"/>
  <c r="S329" i="10"/>
  <c r="S330" i="10"/>
  <c r="S331" i="10"/>
  <c r="S332" i="10"/>
  <c r="S333" i="10"/>
  <c r="S334" i="10"/>
  <c r="S335" i="10"/>
  <c r="S336" i="10"/>
  <c r="S337" i="10"/>
  <c r="S338" i="10"/>
  <c r="S339" i="10"/>
  <c r="S340" i="10"/>
  <c r="S341" i="10"/>
  <c r="S342" i="10"/>
  <c r="S343" i="10"/>
  <c r="S344" i="10"/>
  <c r="S345" i="10"/>
  <c r="S346" i="10"/>
  <c r="S347" i="10"/>
  <c r="S348" i="10"/>
  <c r="S349" i="10"/>
  <c r="S350" i="10"/>
  <c r="S351" i="10"/>
  <c r="S352" i="10"/>
  <c r="S353" i="10"/>
  <c r="S354" i="10"/>
  <c r="S355" i="10"/>
  <c r="S356" i="10"/>
  <c r="S357" i="10"/>
  <c r="S358" i="10"/>
  <c r="S359" i="10"/>
  <c r="S360" i="10"/>
  <c r="S361" i="10"/>
  <c r="S362" i="10"/>
  <c r="S363" i="10"/>
  <c r="S364" i="10"/>
  <c r="S365" i="10"/>
  <c r="S366" i="10"/>
  <c r="S367" i="10"/>
  <c r="S368" i="10"/>
  <c r="S369" i="10"/>
  <c r="S370" i="10"/>
  <c r="S371" i="10"/>
  <c r="S372" i="10"/>
  <c r="S373" i="10"/>
  <c r="S374" i="10"/>
  <c r="S375" i="10"/>
  <c r="S376" i="10"/>
  <c r="S377" i="10"/>
  <c r="S378" i="10"/>
  <c r="S379" i="10"/>
  <c r="S380" i="10"/>
  <c r="S381" i="10"/>
  <c r="S382" i="10"/>
  <c r="S383" i="10"/>
  <c r="S384" i="10"/>
  <c r="S385" i="10"/>
  <c r="S386" i="10"/>
  <c r="S387" i="10"/>
  <c r="S388" i="10"/>
  <c r="S389" i="10"/>
  <c r="S390" i="10"/>
  <c r="S391" i="10"/>
  <c r="S392" i="10"/>
  <c r="S393" i="10"/>
  <c r="S394" i="10"/>
  <c r="S395" i="10"/>
  <c r="S396" i="10"/>
  <c r="S397" i="10"/>
  <c r="S398" i="10"/>
  <c r="S399" i="10"/>
  <c r="S400" i="10"/>
  <c r="S401" i="10"/>
  <c r="S402" i="10"/>
  <c r="S403" i="10"/>
  <c r="S404" i="10"/>
  <c r="S405" i="10"/>
  <c r="S406" i="10"/>
  <c r="S407" i="10"/>
  <c r="S408" i="10"/>
  <c r="S409" i="10"/>
  <c r="S410" i="10"/>
  <c r="S411" i="10"/>
  <c r="S412" i="10"/>
  <c r="S413" i="10"/>
  <c r="S414" i="10"/>
  <c r="S415" i="10"/>
  <c r="S416" i="10"/>
  <c r="S417" i="10"/>
  <c r="S418" i="10"/>
  <c r="S419" i="10"/>
  <c r="S420" i="10"/>
  <c r="S421" i="10"/>
  <c r="S422" i="10"/>
  <c r="S423" i="10"/>
  <c r="S424" i="10"/>
  <c r="S425" i="10"/>
  <c r="S426" i="10"/>
  <c r="S427" i="10"/>
  <c r="S428" i="10"/>
  <c r="S429" i="10"/>
  <c r="S430" i="10"/>
  <c r="S431" i="10"/>
  <c r="S432" i="10"/>
  <c r="S433" i="10"/>
  <c r="S434" i="10"/>
  <c r="S435" i="10"/>
  <c r="S436" i="10"/>
  <c r="S437" i="10"/>
  <c r="S438" i="10"/>
  <c r="S439" i="10"/>
  <c r="S440" i="10"/>
  <c r="S441" i="10"/>
  <c r="S442" i="10"/>
  <c r="S443" i="10"/>
  <c r="S444" i="10"/>
  <c r="S445" i="10"/>
  <c r="S446" i="10"/>
  <c r="S447" i="10"/>
  <c r="S448" i="10"/>
  <c r="S449" i="10"/>
  <c r="S450" i="10"/>
  <c r="S451" i="10"/>
  <c r="S452" i="10"/>
  <c r="S453" i="10"/>
  <c r="S454" i="10"/>
  <c r="S455" i="10"/>
  <c r="S456" i="10"/>
  <c r="S457" i="10"/>
  <c r="S458" i="10"/>
  <c r="S459" i="10"/>
  <c r="S460" i="10"/>
  <c r="S461" i="10"/>
  <c r="S462" i="10"/>
  <c r="S463" i="10"/>
  <c r="S464" i="10"/>
  <c r="S465" i="10"/>
  <c r="S466" i="10"/>
  <c r="S467" i="10"/>
  <c r="S468" i="10"/>
  <c r="S469" i="10"/>
  <c r="S470" i="10"/>
  <c r="S471" i="10"/>
  <c r="S472" i="10"/>
  <c r="S473" i="10"/>
  <c r="S474" i="10"/>
  <c r="S475" i="10"/>
  <c r="S476" i="10"/>
  <c r="S477" i="10"/>
  <c r="S478" i="10"/>
  <c r="S479" i="10"/>
  <c r="S480" i="10"/>
  <c r="S481" i="10"/>
  <c r="S482" i="10"/>
  <c r="S483" i="10"/>
  <c r="S484" i="10"/>
  <c r="S485" i="10"/>
  <c r="S486" i="10"/>
  <c r="S487" i="10"/>
  <c r="S488" i="10"/>
  <c r="S489" i="10"/>
  <c r="S490" i="10"/>
  <c r="S491" i="10"/>
  <c r="S492" i="10"/>
  <c r="S493" i="10"/>
  <c r="S494" i="10"/>
  <c r="S495" i="10"/>
  <c r="S496" i="10"/>
  <c r="S497" i="10"/>
  <c r="S498" i="10"/>
  <c r="S499" i="10"/>
  <c r="S500" i="10"/>
  <c r="S501" i="10"/>
  <c r="S502" i="10"/>
  <c r="S503" i="10"/>
  <c r="S504" i="10"/>
  <c r="S505" i="10"/>
  <c r="S506" i="10"/>
  <c r="S507" i="10"/>
  <c r="S508" i="10"/>
  <c r="S509" i="10"/>
  <c r="S510" i="10"/>
  <c r="S511" i="10"/>
  <c r="S512" i="10"/>
  <c r="S513" i="10"/>
  <c r="S514" i="10"/>
  <c r="S515" i="10"/>
  <c r="S516" i="10"/>
  <c r="S517" i="10"/>
  <c r="S518" i="10"/>
  <c r="S519" i="10"/>
  <c r="S520" i="10"/>
  <c r="S521" i="10"/>
  <c r="S522" i="10"/>
  <c r="S523" i="10"/>
  <c r="S524" i="10"/>
  <c r="S525" i="10"/>
  <c r="S526" i="10"/>
  <c r="S527" i="10"/>
  <c r="S528" i="10"/>
  <c r="S529" i="10"/>
  <c r="S530" i="10"/>
  <c r="S531" i="10"/>
  <c r="S532" i="10"/>
  <c r="S533" i="10"/>
  <c r="S534" i="10"/>
  <c r="S535" i="10"/>
  <c r="S536" i="10"/>
  <c r="S537" i="10"/>
  <c r="S538" i="10"/>
  <c r="S539" i="10"/>
  <c r="S540" i="10"/>
  <c r="S541" i="10"/>
  <c r="S542" i="10"/>
  <c r="S543" i="10"/>
  <c r="S544" i="10"/>
  <c r="S545" i="10"/>
  <c r="S546" i="10"/>
  <c r="S547" i="10"/>
  <c r="S548" i="10"/>
  <c r="S549" i="10"/>
  <c r="S550" i="10"/>
  <c r="S551" i="10"/>
  <c r="S552" i="10"/>
  <c r="S553" i="10"/>
  <c r="S554" i="10"/>
  <c r="S555" i="10"/>
  <c r="S556" i="10"/>
  <c r="S557" i="10"/>
  <c r="S558" i="10"/>
  <c r="S559" i="10"/>
  <c r="S560" i="10"/>
  <c r="S561" i="10"/>
  <c r="S562" i="10"/>
  <c r="S563" i="10"/>
  <c r="S564" i="10"/>
  <c r="S565" i="10"/>
  <c r="S566" i="10"/>
  <c r="S567" i="10"/>
  <c r="S568" i="10"/>
  <c r="S569" i="10"/>
  <c r="S570" i="10"/>
  <c r="S571" i="10"/>
  <c r="S572" i="10"/>
  <c r="S573" i="10"/>
  <c r="S574" i="10"/>
  <c r="S575" i="10"/>
  <c r="S576" i="10"/>
  <c r="S577" i="10"/>
  <c r="S578" i="10"/>
  <c r="S579" i="10"/>
  <c r="S580" i="10"/>
  <c r="S581" i="10"/>
  <c r="S582" i="10"/>
  <c r="S583" i="10"/>
  <c r="S584" i="10"/>
  <c r="S585" i="10"/>
  <c r="S586" i="10"/>
  <c r="S587" i="10"/>
  <c r="S588" i="10"/>
  <c r="S589" i="10"/>
  <c r="S590" i="10"/>
  <c r="S591" i="10"/>
  <c r="S592" i="10"/>
  <c r="S593" i="10"/>
  <c r="S594" i="10"/>
  <c r="S595" i="10"/>
  <c r="S596" i="10"/>
  <c r="S597" i="10"/>
  <c r="S598" i="10"/>
  <c r="S599" i="10"/>
  <c r="S600" i="10"/>
  <c r="S601" i="10"/>
  <c r="S602" i="10"/>
  <c r="S603" i="10"/>
  <c r="S604" i="10"/>
  <c r="S605" i="10"/>
  <c r="S606" i="10"/>
  <c r="S607" i="10"/>
  <c r="S608" i="10"/>
  <c r="S609" i="10"/>
  <c r="S610" i="10"/>
  <c r="S611" i="10"/>
  <c r="S612" i="10"/>
  <c r="S613" i="10"/>
  <c r="S614" i="10"/>
  <c r="S615" i="10"/>
  <c r="S616" i="10"/>
  <c r="S617" i="10"/>
  <c r="S618" i="10"/>
  <c r="S619" i="10"/>
  <c r="S620" i="10"/>
  <c r="S621" i="10"/>
  <c r="S622" i="10"/>
  <c r="S623" i="10"/>
  <c r="S624" i="10"/>
  <c r="S625" i="10"/>
  <c r="S626" i="10"/>
  <c r="S627" i="10"/>
  <c r="S628" i="10"/>
  <c r="S629" i="10"/>
  <c r="S630" i="10"/>
  <c r="S631" i="10"/>
  <c r="S632" i="10"/>
  <c r="S633" i="10"/>
  <c r="S634" i="10"/>
  <c r="S635" i="10"/>
  <c r="S636" i="10"/>
  <c r="S637" i="10"/>
  <c r="S638" i="10"/>
  <c r="S639" i="10"/>
  <c r="S640" i="10"/>
  <c r="S641" i="10"/>
  <c r="S642" i="10"/>
  <c r="S643" i="10"/>
  <c r="S644" i="10"/>
  <c r="S645" i="10"/>
  <c r="S646" i="10"/>
  <c r="S647" i="10"/>
  <c r="S648" i="10"/>
  <c r="S649" i="10"/>
  <c r="S650" i="10"/>
  <c r="S651" i="10"/>
  <c r="S652" i="10"/>
  <c r="S653" i="10"/>
  <c r="S654" i="10"/>
  <c r="S655" i="10"/>
  <c r="S656" i="10"/>
  <c r="S657" i="10"/>
  <c r="S658" i="10"/>
  <c r="S659" i="10"/>
  <c r="S660" i="10"/>
  <c r="S661" i="10"/>
  <c r="S662" i="10"/>
  <c r="S663" i="10"/>
  <c r="S664" i="10"/>
  <c r="S665" i="10"/>
  <c r="S666" i="10"/>
  <c r="S667" i="10"/>
  <c r="S668" i="10"/>
  <c r="S669" i="10"/>
  <c r="S670" i="10"/>
  <c r="S671" i="10"/>
  <c r="S672" i="10"/>
  <c r="S673" i="10"/>
  <c r="S674" i="10"/>
  <c r="S675" i="10"/>
  <c r="S676" i="10"/>
  <c r="S677" i="10"/>
  <c r="S678" i="10"/>
  <c r="S679" i="10"/>
  <c r="S680" i="10"/>
  <c r="S681" i="10"/>
  <c r="S682" i="10"/>
  <c r="S683" i="10"/>
  <c r="S684" i="10"/>
  <c r="S685" i="10"/>
  <c r="S686" i="10"/>
  <c r="S687" i="10"/>
  <c r="S688" i="10"/>
  <c r="S689" i="10"/>
  <c r="S690" i="10"/>
  <c r="S691" i="10"/>
  <c r="S692" i="10"/>
  <c r="S693" i="10"/>
  <c r="S694" i="10"/>
  <c r="S695" i="10"/>
  <c r="S696" i="10"/>
  <c r="S697" i="10"/>
  <c r="S698" i="10"/>
  <c r="S699" i="10"/>
  <c r="S700" i="10"/>
  <c r="S701" i="10"/>
  <c r="S702" i="10"/>
  <c r="S703" i="10"/>
  <c r="S704" i="10"/>
  <c r="S705" i="10"/>
  <c r="S706" i="10"/>
  <c r="S707" i="10"/>
  <c r="S708" i="10"/>
  <c r="S709" i="10"/>
  <c r="S710" i="10"/>
  <c r="S711" i="10"/>
  <c r="S712" i="10"/>
  <c r="S713" i="10"/>
  <c r="S714" i="10"/>
  <c r="S715" i="10"/>
  <c r="S716" i="10"/>
  <c r="S717" i="10"/>
  <c r="S718" i="10"/>
  <c r="S719" i="10"/>
  <c r="S720" i="10"/>
  <c r="S721" i="10"/>
  <c r="S722" i="10"/>
  <c r="S723" i="10"/>
  <c r="S724" i="10"/>
  <c r="S725" i="10"/>
  <c r="S726" i="10"/>
  <c r="S727" i="10"/>
  <c r="S728" i="10"/>
  <c r="S729" i="10"/>
  <c r="S730" i="10"/>
  <c r="S731" i="10"/>
  <c r="S732" i="10"/>
  <c r="S733" i="10"/>
  <c r="S734" i="10"/>
  <c r="S735" i="10"/>
  <c r="S736" i="10"/>
  <c r="S737" i="10"/>
  <c r="S738" i="10"/>
  <c r="S739" i="10"/>
  <c r="S740" i="10"/>
  <c r="S741" i="10"/>
  <c r="S742" i="10"/>
  <c r="S743" i="10"/>
  <c r="S744" i="10"/>
  <c r="S745" i="10"/>
  <c r="S746" i="10"/>
  <c r="S747" i="10"/>
  <c r="S748" i="10"/>
  <c r="S749" i="10"/>
  <c r="S750" i="10"/>
  <c r="S751" i="10"/>
  <c r="S752" i="10"/>
  <c r="S753" i="10"/>
  <c r="S754" i="10"/>
  <c r="S755" i="10"/>
  <c r="S756" i="10"/>
  <c r="S757" i="10"/>
  <c r="S758" i="10"/>
  <c r="S759" i="10"/>
  <c r="S760" i="10"/>
  <c r="S761" i="10"/>
  <c r="S762" i="10"/>
  <c r="S763" i="10"/>
  <c r="S764" i="10"/>
  <c r="S765" i="10"/>
  <c r="S766" i="10"/>
  <c r="S767" i="10"/>
  <c r="S768" i="10"/>
  <c r="S769" i="10"/>
  <c r="S770" i="10"/>
  <c r="S771" i="10"/>
  <c r="S772" i="10"/>
  <c r="S773" i="10"/>
  <c r="S774" i="10"/>
  <c r="S775" i="10"/>
  <c r="S776" i="10"/>
  <c r="S777" i="10"/>
  <c r="S778" i="10"/>
  <c r="S779" i="10"/>
  <c r="S780" i="10"/>
  <c r="S781" i="10"/>
  <c r="S782" i="10"/>
  <c r="S783" i="10"/>
  <c r="S784" i="10"/>
  <c r="S785" i="10"/>
  <c r="S786" i="10"/>
  <c r="S787" i="10"/>
  <c r="S788" i="10"/>
  <c r="S789" i="10"/>
  <c r="S790" i="10"/>
  <c r="S791" i="10"/>
  <c r="S792" i="10"/>
  <c r="S793" i="10"/>
  <c r="S794" i="10"/>
  <c r="S795" i="10"/>
  <c r="S796" i="10"/>
  <c r="S797" i="10"/>
  <c r="S798" i="10"/>
  <c r="S799" i="10"/>
  <c r="S800" i="10"/>
  <c r="S801" i="10"/>
  <c r="S802" i="10"/>
  <c r="S803" i="10"/>
  <c r="S804" i="10"/>
  <c r="S805" i="10"/>
  <c r="S806" i="10"/>
  <c r="S807" i="10"/>
  <c r="S808" i="10"/>
  <c r="S809" i="10"/>
  <c r="S810" i="10"/>
  <c r="S811" i="10"/>
  <c r="S812" i="10"/>
  <c r="S813" i="10"/>
  <c r="S814" i="10"/>
  <c r="S815" i="10"/>
  <c r="S816" i="10"/>
  <c r="S817" i="10"/>
  <c r="S818" i="10"/>
  <c r="S819" i="10"/>
  <c r="S820" i="10"/>
  <c r="S821" i="10"/>
  <c r="S822" i="10"/>
  <c r="S823" i="10"/>
  <c r="S824" i="10"/>
  <c r="S825" i="10"/>
  <c r="S826" i="10"/>
  <c r="S827" i="10"/>
  <c r="S828" i="10"/>
  <c r="S829" i="10"/>
  <c r="S830" i="10"/>
  <c r="S831" i="10"/>
  <c r="S832" i="10"/>
  <c r="S833" i="10"/>
  <c r="S834" i="10"/>
  <c r="S835" i="10"/>
  <c r="S836" i="10"/>
  <c r="S837" i="10"/>
  <c r="S838" i="10"/>
  <c r="S839" i="10"/>
  <c r="S840" i="10"/>
  <c r="S841" i="10"/>
  <c r="S842" i="10"/>
  <c r="S843" i="10"/>
  <c r="S844" i="10"/>
  <c r="S845" i="10"/>
  <c r="S846" i="10"/>
  <c r="S847" i="10"/>
  <c r="S848" i="10"/>
  <c r="S849" i="10"/>
  <c r="S850" i="10"/>
  <c r="S851" i="10"/>
  <c r="S852" i="10"/>
  <c r="S853" i="10"/>
  <c r="S854" i="10"/>
  <c r="S855" i="10"/>
  <c r="S856" i="10"/>
  <c r="S857" i="10"/>
  <c r="S858" i="10"/>
  <c r="S859" i="10"/>
  <c r="S860" i="10"/>
  <c r="S861" i="10"/>
  <c r="S862" i="10"/>
  <c r="S863" i="10"/>
  <c r="S864" i="10"/>
  <c r="S865" i="10"/>
  <c r="S866" i="10"/>
  <c r="S867" i="10"/>
  <c r="S868" i="10"/>
  <c r="S869" i="10"/>
  <c r="S870" i="10"/>
  <c r="S871" i="10"/>
  <c r="S872" i="10"/>
  <c r="S873" i="10"/>
  <c r="S874" i="10"/>
  <c r="S875" i="10"/>
  <c r="S876" i="10"/>
  <c r="S877" i="10"/>
  <c r="S878" i="10"/>
  <c r="S879" i="10"/>
  <c r="S880" i="10"/>
  <c r="S881" i="10"/>
  <c r="S882" i="10"/>
  <c r="S883" i="10"/>
  <c r="S884" i="10"/>
  <c r="S885" i="10"/>
  <c r="S886" i="10"/>
  <c r="S887" i="10"/>
  <c r="S888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I370" i="10"/>
  <c r="I371" i="10"/>
  <c r="I372" i="10"/>
  <c r="I373" i="10"/>
  <c r="I374" i="10"/>
  <c r="I375" i="10"/>
  <c r="I376" i="10"/>
  <c r="I377" i="10"/>
  <c r="I378" i="10"/>
  <c r="I379" i="10"/>
  <c r="I380" i="10"/>
  <c r="I381" i="10"/>
  <c r="I382" i="10"/>
  <c r="I383" i="10"/>
  <c r="I384" i="10"/>
  <c r="I385" i="10"/>
  <c r="I386" i="10"/>
  <c r="I387" i="10"/>
  <c r="I388" i="10"/>
  <c r="I389" i="10"/>
  <c r="I390" i="10"/>
  <c r="I391" i="10"/>
  <c r="I392" i="10"/>
  <c r="I393" i="10"/>
  <c r="I394" i="10"/>
  <c r="I395" i="10"/>
  <c r="I396" i="10"/>
  <c r="I397" i="10"/>
  <c r="I398" i="10"/>
  <c r="I399" i="10"/>
  <c r="I400" i="10"/>
  <c r="I401" i="10"/>
  <c r="I402" i="10"/>
  <c r="I403" i="10"/>
  <c r="I404" i="10"/>
  <c r="I405" i="10"/>
  <c r="I406" i="10"/>
  <c r="I407" i="10"/>
  <c r="I408" i="10"/>
  <c r="I409" i="10"/>
  <c r="I410" i="10"/>
  <c r="I411" i="10"/>
  <c r="I412" i="10"/>
  <c r="I413" i="10"/>
  <c r="I414" i="10"/>
  <c r="I415" i="10"/>
  <c r="I416" i="10"/>
  <c r="I417" i="10"/>
  <c r="I418" i="10"/>
  <c r="I419" i="10"/>
  <c r="I420" i="10"/>
  <c r="I421" i="10"/>
  <c r="I422" i="10"/>
  <c r="I423" i="10"/>
  <c r="I424" i="10"/>
  <c r="I425" i="10"/>
  <c r="I426" i="10"/>
  <c r="I427" i="10"/>
  <c r="I428" i="10"/>
  <c r="I429" i="10"/>
  <c r="I430" i="10"/>
  <c r="I431" i="10"/>
  <c r="I432" i="10"/>
  <c r="I433" i="10"/>
  <c r="I434" i="10"/>
  <c r="I435" i="10"/>
  <c r="I436" i="10"/>
  <c r="I437" i="10"/>
  <c r="I438" i="10"/>
  <c r="I439" i="10"/>
  <c r="I440" i="10"/>
  <c r="I441" i="10"/>
  <c r="I442" i="10"/>
  <c r="I443" i="10"/>
  <c r="I444" i="10"/>
  <c r="I445" i="10"/>
  <c r="I446" i="10"/>
  <c r="I447" i="10"/>
  <c r="I448" i="10"/>
  <c r="I449" i="10"/>
  <c r="I450" i="10"/>
  <c r="I451" i="10"/>
  <c r="I452" i="10"/>
  <c r="I453" i="10"/>
  <c r="I454" i="10"/>
  <c r="I455" i="10"/>
  <c r="I456" i="10"/>
  <c r="I457" i="10"/>
  <c r="I458" i="10"/>
  <c r="I459" i="10"/>
  <c r="I460" i="10"/>
  <c r="I461" i="10"/>
  <c r="I462" i="10"/>
  <c r="I463" i="10"/>
  <c r="I464" i="10"/>
  <c r="I465" i="10"/>
  <c r="I466" i="10"/>
  <c r="I467" i="10"/>
  <c r="I468" i="10"/>
  <c r="I469" i="10"/>
  <c r="I470" i="10"/>
  <c r="I471" i="10"/>
  <c r="I472" i="10"/>
  <c r="I473" i="10"/>
  <c r="I474" i="10"/>
  <c r="I475" i="10"/>
  <c r="I476" i="10"/>
  <c r="I477" i="10"/>
  <c r="I478" i="10"/>
  <c r="I479" i="10"/>
  <c r="I480" i="10"/>
  <c r="I481" i="10"/>
  <c r="I482" i="10"/>
  <c r="I483" i="10"/>
  <c r="I484" i="10"/>
  <c r="I485" i="10"/>
  <c r="I486" i="10"/>
  <c r="I487" i="10"/>
  <c r="I488" i="10"/>
  <c r="I489" i="10"/>
  <c r="I490" i="10"/>
  <c r="I491" i="10"/>
  <c r="I492" i="10"/>
  <c r="I493" i="10"/>
  <c r="I494" i="10"/>
  <c r="I495" i="10"/>
  <c r="I496" i="10"/>
  <c r="I497" i="10"/>
  <c r="I498" i="10"/>
  <c r="I499" i="10"/>
  <c r="I500" i="10"/>
  <c r="I501" i="10"/>
  <c r="I502" i="10"/>
  <c r="I503" i="10"/>
  <c r="I504" i="10"/>
  <c r="I505" i="10"/>
  <c r="I506" i="10"/>
  <c r="I507" i="10"/>
  <c r="I508" i="10"/>
  <c r="I509" i="10"/>
  <c r="I510" i="10"/>
  <c r="I511" i="10"/>
  <c r="I512" i="10"/>
  <c r="I513" i="10"/>
  <c r="I514" i="10"/>
  <c r="I515" i="10"/>
  <c r="I516" i="10"/>
  <c r="I517" i="10"/>
  <c r="I518" i="10"/>
  <c r="I519" i="10"/>
  <c r="I520" i="10"/>
  <c r="I521" i="10"/>
  <c r="I522" i="10"/>
  <c r="I523" i="10"/>
  <c r="I524" i="10"/>
  <c r="I525" i="10"/>
  <c r="I526" i="10"/>
  <c r="I527" i="10"/>
  <c r="I528" i="10"/>
  <c r="I529" i="10"/>
  <c r="I530" i="10"/>
  <c r="I531" i="10"/>
  <c r="I532" i="10"/>
  <c r="I533" i="10"/>
  <c r="I534" i="10"/>
  <c r="I535" i="10"/>
  <c r="I536" i="10"/>
  <c r="I537" i="10"/>
  <c r="I538" i="10"/>
  <c r="I539" i="10"/>
  <c r="I540" i="10"/>
  <c r="I541" i="10"/>
  <c r="I542" i="10"/>
  <c r="I543" i="10"/>
  <c r="I544" i="10"/>
  <c r="I545" i="10"/>
  <c r="I546" i="10"/>
  <c r="I547" i="10"/>
  <c r="I548" i="10"/>
  <c r="I549" i="10"/>
  <c r="I550" i="10"/>
  <c r="I551" i="10"/>
  <c r="I552" i="10"/>
  <c r="I553" i="10"/>
  <c r="I554" i="10"/>
  <c r="I555" i="10"/>
  <c r="I556" i="10"/>
  <c r="I557" i="10"/>
  <c r="I558" i="10"/>
  <c r="I559" i="10"/>
  <c r="I560" i="10"/>
  <c r="I561" i="10"/>
  <c r="I562" i="10"/>
  <c r="I563" i="10"/>
  <c r="I564" i="10"/>
  <c r="I565" i="10"/>
  <c r="I566" i="10"/>
  <c r="I567" i="10"/>
  <c r="I568" i="10"/>
  <c r="I569" i="10"/>
  <c r="I570" i="10"/>
  <c r="I571" i="10"/>
  <c r="I572" i="10"/>
  <c r="I573" i="10"/>
  <c r="I574" i="10"/>
  <c r="I575" i="10"/>
  <c r="I576" i="10"/>
  <c r="I577" i="10"/>
  <c r="I578" i="10"/>
  <c r="I579" i="10"/>
  <c r="I580" i="10"/>
  <c r="I581" i="10"/>
  <c r="I582" i="10"/>
  <c r="I583" i="10"/>
  <c r="I584" i="10"/>
  <c r="I585" i="10"/>
  <c r="I586" i="10"/>
  <c r="I587" i="10"/>
  <c r="I588" i="10"/>
  <c r="I589" i="10"/>
  <c r="I590" i="10"/>
  <c r="I591" i="10"/>
  <c r="I592" i="10"/>
  <c r="I593" i="10"/>
  <c r="I594" i="10"/>
  <c r="I595" i="10"/>
  <c r="I596" i="10"/>
  <c r="I597" i="10"/>
  <c r="I598" i="10"/>
  <c r="I599" i="10"/>
  <c r="I600" i="10"/>
  <c r="I601" i="10"/>
  <c r="I602" i="10"/>
  <c r="I603" i="10"/>
  <c r="I604" i="10"/>
  <c r="I605" i="10"/>
  <c r="I606" i="10"/>
  <c r="I607" i="10"/>
  <c r="I608" i="10"/>
  <c r="I609" i="10"/>
  <c r="I610" i="10"/>
  <c r="I611" i="10"/>
  <c r="I612" i="10"/>
  <c r="I613" i="10"/>
  <c r="I614" i="10"/>
  <c r="I615" i="10"/>
  <c r="I616" i="10"/>
  <c r="I617" i="10"/>
  <c r="I618" i="10"/>
  <c r="I619" i="10"/>
  <c r="I620" i="10"/>
  <c r="I621" i="10"/>
  <c r="I622" i="10"/>
  <c r="I623" i="10"/>
  <c r="I624" i="10"/>
  <c r="I625" i="10"/>
  <c r="I626" i="10"/>
  <c r="I627" i="10"/>
  <c r="I628" i="10"/>
  <c r="I629" i="10"/>
  <c r="I630" i="10"/>
  <c r="I631" i="10"/>
  <c r="I632" i="10"/>
  <c r="I633" i="10"/>
  <c r="I634" i="10"/>
  <c r="I635" i="10"/>
  <c r="I636" i="10"/>
  <c r="I637" i="10"/>
  <c r="I638" i="10"/>
  <c r="I639" i="10"/>
  <c r="I640" i="10"/>
  <c r="I641" i="10"/>
  <c r="I642" i="10"/>
  <c r="I643" i="10"/>
  <c r="I644" i="10"/>
  <c r="I645" i="10"/>
  <c r="I646" i="10"/>
  <c r="I647" i="10"/>
  <c r="I648" i="10"/>
  <c r="I649" i="10"/>
  <c r="I650" i="10"/>
  <c r="I651" i="10"/>
  <c r="I652" i="10"/>
  <c r="I653" i="10"/>
  <c r="I654" i="10"/>
  <c r="I655" i="10"/>
  <c r="I656" i="10"/>
  <c r="I657" i="10"/>
  <c r="I658" i="10"/>
  <c r="I659" i="10"/>
  <c r="I660" i="10"/>
  <c r="I661" i="10"/>
  <c r="I662" i="10"/>
  <c r="I663" i="10"/>
  <c r="I664" i="10"/>
  <c r="I665" i="10"/>
  <c r="I666" i="10"/>
  <c r="I667" i="10"/>
  <c r="I668" i="10"/>
  <c r="I669" i="10"/>
  <c r="I670" i="10"/>
  <c r="I671" i="10"/>
  <c r="I672" i="10"/>
  <c r="I673" i="10"/>
  <c r="I674" i="10"/>
  <c r="I675" i="10"/>
  <c r="I676" i="10"/>
  <c r="I677" i="10"/>
  <c r="I678" i="10"/>
  <c r="I679" i="10"/>
  <c r="I680" i="10"/>
  <c r="I681" i="10"/>
  <c r="I682" i="10"/>
  <c r="I683" i="10"/>
  <c r="I684" i="10"/>
  <c r="I685" i="10"/>
  <c r="I686" i="10"/>
  <c r="I687" i="10"/>
  <c r="I688" i="10"/>
  <c r="I689" i="10"/>
  <c r="I690" i="10"/>
  <c r="I691" i="10"/>
  <c r="I692" i="10"/>
  <c r="I693" i="10"/>
  <c r="I694" i="10"/>
  <c r="I695" i="10"/>
  <c r="I696" i="10"/>
  <c r="I697" i="10"/>
  <c r="I698" i="10"/>
  <c r="I699" i="10"/>
  <c r="I700" i="10"/>
  <c r="I701" i="10"/>
  <c r="I702" i="10"/>
  <c r="I703" i="10"/>
  <c r="I704" i="10"/>
  <c r="I705" i="10"/>
  <c r="I706" i="10"/>
  <c r="I707" i="10"/>
  <c r="I708" i="10"/>
  <c r="I709" i="10"/>
  <c r="I710" i="10"/>
  <c r="I711" i="10"/>
  <c r="I712" i="10"/>
  <c r="I713" i="10"/>
  <c r="I714" i="10"/>
  <c r="I715" i="10"/>
  <c r="I716" i="10"/>
  <c r="I717" i="10"/>
  <c r="I718" i="10"/>
  <c r="I719" i="10"/>
  <c r="I720" i="10"/>
  <c r="I721" i="10"/>
  <c r="I722" i="10"/>
  <c r="I723" i="10"/>
  <c r="I724" i="10"/>
  <c r="I725" i="10"/>
  <c r="I726" i="10"/>
  <c r="I727" i="10"/>
  <c r="I728" i="10"/>
  <c r="I729" i="10"/>
  <c r="I730" i="10"/>
  <c r="I731" i="10"/>
  <c r="I732" i="10"/>
  <c r="I733" i="10"/>
  <c r="I734" i="10"/>
  <c r="I735" i="10"/>
  <c r="I736" i="10"/>
  <c r="I737" i="10"/>
  <c r="I738" i="10"/>
  <c r="I739" i="10"/>
  <c r="I740" i="10"/>
  <c r="I741" i="10"/>
  <c r="I742" i="10"/>
  <c r="I743" i="10"/>
  <c r="I744" i="10"/>
  <c r="I745" i="10"/>
  <c r="I746" i="10"/>
  <c r="I747" i="10"/>
  <c r="I748" i="10"/>
  <c r="I749" i="10"/>
  <c r="I750" i="10"/>
  <c r="I751" i="10"/>
  <c r="I752" i="10"/>
  <c r="I753" i="10"/>
  <c r="I754" i="10"/>
  <c r="I755" i="10"/>
  <c r="I756" i="10"/>
  <c r="I757" i="10"/>
  <c r="I758" i="10"/>
  <c r="I759" i="10"/>
  <c r="I760" i="10"/>
  <c r="I761" i="10"/>
  <c r="I762" i="10"/>
  <c r="I763" i="10"/>
  <c r="I764" i="10"/>
  <c r="I765" i="10"/>
  <c r="I766" i="10"/>
  <c r="I767" i="10"/>
  <c r="I768" i="10"/>
  <c r="I769" i="10"/>
  <c r="I770" i="10"/>
  <c r="I771" i="10"/>
  <c r="I772" i="10"/>
  <c r="I773" i="10"/>
  <c r="I774" i="10"/>
  <c r="I775" i="10"/>
  <c r="I776" i="10"/>
  <c r="I777" i="10"/>
  <c r="I778" i="10"/>
  <c r="I779" i="10"/>
  <c r="I780" i="10"/>
  <c r="I781" i="10"/>
  <c r="I782" i="10"/>
  <c r="I783" i="10"/>
  <c r="I784" i="10"/>
  <c r="I785" i="10"/>
  <c r="I786" i="10"/>
  <c r="I787" i="10"/>
  <c r="I788" i="10"/>
  <c r="I789" i="10"/>
  <c r="I790" i="10"/>
  <c r="I791" i="10"/>
  <c r="I792" i="10"/>
  <c r="I793" i="10"/>
  <c r="I794" i="10"/>
  <c r="I795" i="10"/>
  <c r="I796" i="10"/>
  <c r="I797" i="10"/>
  <c r="I798" i="10"/>
  <c r="I799" i="10"/>
  <c r="I800" i="10"/>
  <c r="I801" i="10"/>
  <c r="I802" i="10"/>
  <c r="I803" i="10"/>
  <c r="I804" i="10"/>
  <c r="I805" i="10"/>
  <c r="I806" i="10"/>
  <c r="I807" i="10"/>
  <c r="I808" i="10"/>
  <c r="I809" i="10"/>
  <c r="I810" i="10"/>
  <c r="I811" i="10"/>
  <c r="I812" i="10"/>
  <c r="I813" i="10"/>
  <c r="I814" i="10"/>
  <c r="I815" i="10"/>
  <c r="I816" i="10"/>
  <c r="I817" i="10"/>
  <c r="I818" i="10"/>
  <c r="I819" i="10"/>
  <c r="I820" i="10"/>
  <c r="I821" i="10"/>
  <c r="I822" i="10"/>
  <c r="I823" i="10"/>
  <c r="I824" i="10"/>
  <c r="I825" i="10"/>
  <c r="I826" i="10"/>
  <c r="I827" i="10"/>
  <c r="I828" i="10"/>
  <c r="I829" i="10"/>
  <c r="I830" i="10"/>
  <c r="I831" i="10"/>
  <c r="I832" i="10"/>
  <c r="I833" i="10"/>
  <c r="I834" i="10"/>
  <c r="I835" i="10"/>
  <c r="I836" i="10"/>
  <c r="I837" i="10"/>
  <c r="I838" i="10"/>
  <c r="I839" i="10"/>
  <c r="I840" i="10"/>
  <c r="I841" i="10"/>
  <c r="I842" i="10"/>
  <c r="I843" i="10"/>
  <c r="I844" i="10"/>
  <c r="I845" i="10"/>
  <c r="I846" i="10"/>
  <c r="I847" i="10"/>
  <c r="I848" i="10"/>
  <c r="I849" i="10"/>
  <c r="I850" i="10"/>
  <c r="I851" i="10"/>
  <c r="I852" i="10"/>
  <c r="I853" i="10"/>
  <c r="I854" i="10"/>
  <c r="I855" i="10"/>
  <c r="I856" i="10"/>
  <c r="I857" i="10"/>
  <c r="I858" i="10"/>
  <c r="I859" i="10"/>
  <c r="I860" i="10"/>
  <c r="I861" i="10"/>
  <c r="I862" i="10"/>
  <c r="I863" i="10"/>
  <c r="I864" i="10"/>
  <c r="I865" i="10"/>
  <c r="I866" i="10"/>
  <c r="I867" i="10"/>
  <c r="I868" i="10"/>
  <c r="I869" i="10"/>
  <c r="I870" i="10"/>
  <c r="I871" i="10"/>
  <c r="I872" i="10"/>
  <c r="I873" i="10"/>
  <c r="I874" i="10"/>
  <c r="I875" i="10"/>
  <c r="I876" i="10"/>
  <c r="I877" i="10"/>
  <c r="I878" i="10"/>
  <c r="I879" i="10"/>
  <c r="I880" i="10"/>
  <c r="I881" i="10"/>
  <c r="I882" i="10"/>
  <c r="I883" i="10"/>
  <c r="I884" i="10"/>
  <c r="I885" i="10"/>
  <c r="I886" i="10"/>
  <c r="I887" i="10"/>
  <c r="I888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H757" i="10"/>
  <c r="H758" i="10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H821" i="10"/>
  <c r="H822" i="10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837" i="10"/>
  <c r="H838" i="10"/>
  <c r="H839" i="10"/>
  <c r="H840" i="10"/>
  <c r="H841" i="10"/>
  <c r="H842" i="10"/>
  <c r="H843" i="10"/>
  <c r="H844" i="10"/>
  <c r="H845" i="10"/>
  <c r="H846" i="10"/>
  <c r="H847" i="10"/>
  <c r="H848" i="10"/>
  <c r="H849" i="10"/>
  <c r="H850" i="10"/>
  <c r="H851" i="10"/>
  <c r="H852" i="10"/>
  <c r="H853" i="10"/>
  <c r="H854" i="10"/>
  <c r="H855" i="10"/>
  <c r="H856" i="10"/>
  <c r="H857" i="10"/>
  <c r="H858" i="10"/>
  <c r="H859" i="10"/>
  <c r="H860" i="10"/>
  <c r="H861" i="10"/>
  <c r="H862" i="10"/>
  <c r="H863" i="10"/>
  <c r="H864" i="10"/>
  <c r="H865" i="10"/>
  <c r="H866" i="10"/>
  <c r="H867" i="10"/>
  <c r="H868" i="10"/>
  <c r="H869" i="10"/>
  <c r="H870" i="10"/>
  <c r="H871" i="10"/>
  <c r="H872" i="10"/>
  <c r="H873" i="10"/>
  <c r="H874" i="10"/>
  <c r="H875" i="10"/>
  <c r="H876" i="10"/>
  <c r="H877" i="10"/>
  <c r="H878" i="10"/>
  <c r="H879" i="10"/>
  <c r="H880" i="10"/>
  <c r="H881" i="10"/>
  <c r="H882" i="10"/>
  <c r="H883" i="10"/>
  <c r="H884" i="10"/>
  <c r="H885" i="10"/>
  <c r="H886" i="10"/>
  <c r="H887" i="10"/>
  <c r="H888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7" i="10"/>
  <c r="Q78" i="10"/>
  <c r="Q79" i="10"/>
  <c r="Q80" i="10"/>
  <c r="Q81" i="10"/>
  <c r="Q82" i="10"/>
  <c r="Q83" i="10"/>
  <c r="Q84" i="10"/>
  <c r="Q85" i="10"/>
  <c r="Q86" i="10"/>
  <c r="Q87" i="10"/>
  <c r="Q88" i="10"/>
  <c r="Q89" i="10"/>
  <c r="Q90" i="10"/>
  <c r="Q91" i="10"/>
  <c r="Q92" i="10"/>
  <c r="Q93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08" i="10"/>
  <c r="Q109" i="10"/>
  <c r="Q110" i="10"/>
  <c r="Q111" i="10"/>
  <c r="Q112" i="10"/>
  <c r="Q113" i="10"/>
  <c r="Q114" i="10"/>
  <c r="Q115" i="10"/>
  <c r="Q116" i="10"/>
  <c r="Q117" i="10"/>
  <c r="Q118" i="10"/>
  <c r="Q119" i="10"/>
  <c r="Q120" i="10"/>
  <c r="Q121" i="10"/>
  <c r="Q122" i="10"/>
  <c r="Q123" i="10"/>
  <c r="Q124" i="10"/>
  <c r="Q125" i="10"/>
  <c r="Q126" i="10"/>
  <c r="Q127" i="10"/>
  <c r="Q128" i="10"/>
  <c r="Q129" i="10"/>
  <c r="Q130" i="10"/>
  <c r="Q131" i="10"/>
  <c r="Q132" i="10"/>
  <c r="Q133" i="10"/>
  <c r="Q134" i="10"/>
  <c r="Q135" i="10"/>
  <c r="Q136" i="10"/>
  <c r="Q137" i="10"/>
  <c r="Q138" i="10"/>
  <c r="Q139" i="10"/>
  <c r="Q140" i="10"/>
  <c r="Q141" i="10"/>
  <c r="Q142" i="10"/>
  <c r="Q143" i="10"/>
  <c r="Q144" i="10"/>
  <c r="Q145" i="10"/>
  <c r="Q146" i="10"/>
  <c r="Q147" i="10"/>
  <c r="Q148" i="10"/>
  <c r="Q149" i="10"/>
  <c r="Q150" i="10"/>
  <c r="Q151" i="10"/>
  <c r="Q152" i="10"/>
  <c r="Q153" i="10"/>
  <c r="Q154" i="10"/>
  <c r="Q155" i="10"/>
  <c r="Q156" i="10"/>
  <c r="Q157" i="10"/>
  <c r="Q158" i="10"/>
  <c r="Q159" i="10"/>
  <c r="Q160" i="10"/>
  <c r="Q161" i="10"/>
  <c r="Q162" i="10"/>
  <c r="Q163" i="10"/>
  <c r="Q164" i="10"/>
  <c r="Q165" i="10"/>
  <c r="Q166" i="10"/>
  <c r="Q167" i="10"/>
  <c r="Q168" i="10"/>
  <c r="Q169" i="10"/>
  <c r="Q170" i="10"/>
  <c r="Q171" i="10"/>
  <c r="Q172" i="10"/>
  <c r="Q173" i="10"/>
  <c r="Q174" i="10"/>
  <c r="Q175" i="10"/>
  <c r="Q176" i="10"/>
  <c r="Q177" i="10"/>
  <c r="Q178" i="10"/>
  <c r="Q179" i="10"/>
  <c r="Q180" i="10"/>
  <c r="Q181" i="10"/>
  <c r="Q182" i="10"/>
  <c r="Q183" i="10"/>
  <c r="Q184" i="10"/>
  <c r="Q185" i="10"/>
  <c r="Q186" i="10"/>
  <c r="Q187" i="10"/>
  <c r="Q188" i="10"/>
  <c r="Q189" i="10"/>
  <c r="Q190" i="10"/>
  <c r="Q191" i="10"/>
  <c r="Q192" i="10"/>
  <c r="Q193" i="10"/>
  <c r="Q194" i="10"/>
  <c r="Q195" i="10"/>
  <c r="Q196" i="10"/>
  <c r="Q197" i="10"/>
  <c r="Q198" i="10"/>
  <c r="Q199" i="10"/>
  <c r="Q200" i="10"/>
  <c r="Q201" i="10"/>
  <c r="Q202" i="10"/>
  <c r="Q203" i="10"/>
  <c r="Q204" i="10"/>
  <c r="Q205" i="10"/>
  <c r="Q206" i="10"/>
  <c r="Q207" i="10"/>
  <c r="Q208" i="10"/>
  <c r="Q209" i="10"/>
  <c r="Q210" i="10"/>
  <c r="Q211" i="10"/>
  <c r="Q212" i="10"/>
  <c r="Q213" i="10"/>
  <c r="Q214" i="10"/>
  <c r="Q215" i="10"/>
  <c r="Q216" i="10"/>
  <c r="Q217" i="10"/>
  <c r="Q218" i="10"/>
  <c r="Q219" i="10"/>
  <c r="Q220" i="10"/>
  <c r="Q221" i="10"/>
  <c r="Q222" i="10"/>
  <c r="Q223" i="10"/>
  <c r="Q224" i="10"/>
  <c r="Q225" i="10"/>
  <c r="Q226" i="10"/>
  <c r="Q227" i="10"/>
  <c r="Q228" i="10"/>
  <c r="Q229" i="10"/>
  <c r="Q230" i="10"/>
  <c r="Q231" i="10"/>
  <c r="Q232" i="10"/>
  <c r="Q233" i="10"/>
  <c r="Q234" i="10"/>
  <c r="Q235" i="10"/>
  <c r="Q236" i="10"/>
  <c r="Q237" i="10"/>
  <c r="Q238" i="10"/>
  <c r="Q239" i="10"/>
  <c r="Q240" i="10"/>
  <c r="Q241" i="10"/>
  <c r="Q242" i="10"/>
  <c r="Q243" i="10"/>
  <c r="Q244" i="10"/>
  <c r="Q245" i="10"/>
  <c r="Q246" i="10"/>
  <c r="Q247" i="10"/>
  <c r="Q248" i="10"/>
  <c r="Q249" i="10"/>
  <c r="Q250" i="10"/>
  <c r="Q251" i="10"/>
  <c r="Q252" i="10"/>
  <c r="Q253" i="10"/>
  <c r="Q254" i="10"/>
  <c r="Q255" i="10"/>
  <c r="Q256" i="10"/>
  <c r="Q257" i="10"/>
  <c r="Q258" i="10"/>
  <c r="Q259" i="10"/>
  <c r="Q260" i="10"/>
  <c r="Q261" i="10"/>
  <c r="Q262" i="10"/>
  <c r="Q263" i="10"/>
  <c r="Q264" i="10"/>
  <c r="Q265" i="10"/>
  <c r="Q266" i="10"/>
  <c r="Q267" i="10"/>
  <c r="Q268" i="10"/>
  <c r="Q269" i="10"/>
  <c r="Q270" i="10"/>
  <c r="Q271" i="10"/>
  <c r="Q272" i="10"/>
  <c r="Q273" i="10"/>
  <c r="Q274" i="10"/>
  <c r="Q275" i="10"/>
  <c r="Q276" i="10"/>
  <c r="Q277" i="10"/>
  <c r="Q278" i="10"/>
  <c r="Q279" i="10"/>
  <c r="Q280" i="10"/>
  <c r="Q281" i="10"/>
  <c r="Q282" i="10"/>
  <c r="Q283" i="10"/>
  <c r="Q284" i="10"/>
  <c r="Q285" i="10"/>
  <c r="Q286" i="10"/>
  <c r="Q287" i="10"/>
  <c r="Q288" i="10"/>
  <c r="Q289" i="10"/>
  <c r="Q290" i="10"/>
  <c r="Q291" i="10"/>
  <c r="Q292" i="10"/>
  <c r="Q293" i="10"/>
  <c r="Q294" i="10"/>
  <c r="Q295" i="10"/>
  <c r="Q296" i="10"/>
  <c r="Q297" i="10"/>
  <c r="Q298" i="10"/>
  <c r="Q299" i="10"/>
  <c r="Q300" i="10"/>
  <c r="Q301" i="10"/>
  <c r="Q302" i="10"/>
  <c r="Q303" i="10"/>
  <c r="Q304" i="10"/>
  <c r="Q305" i="10"/>
  <c r="Q306" i="10"/>
  <c r="Q307" i="10"/>
  <c r="Q308" i="10"/>
  <c r="Q309" i="10"/>
  <c r="Q310" i="10"/>
  <c r="Q311" i="10"/>
  <c r="Q312" i="10"/>
  <c r="Q313" i="10"/>
  <c r="Q314" i="10"/>
  <c r="Q315" i="10"/>
  <c r="Q316" i="10"/>
  <c r="Q317" i="10"/>
  <c r="Q318" i="10"/>
  <c r="Q319" i="10"/>
  <c r="Q320" i="10"/>
  <c r="Q321" i="10"/>
  <c r="Q322" i="10"/>
  <c r="Q323" i="10"/>
  <c r="Q324" i="10"/>
  <c r="Q325" i="10"/>
  <c r="Q326" i="10"/>
  <c r="Q327" i="10"/>
  <c r="Q328" i="10"/>
  <c r="Q329" i="10"/>
  <c r="Q330" i="10"/>
  <c r="Q331" i="10"/>
  <c r="Q332" i="10"/>
  <c r="Q333" i="10"/>
  <c r="Q334" i="10"/>
  <c r="Q335" i="10"/>
  <c r="Q336" i="10"/>
  <c r="Q337" i="10"/>
  <c r="Q338" i="10"/>
  <c r="Q339" i="10"/>
  <c r="Q340" i="10"/>
  <c r="Q341" i="10"/>
  <c r="Q342" i="10"/>
  <c r="Q343" i="10"/>
  <c r="Q344" i="10"/>
  <c r="Q345" i="10"/>
  <c r="Q346" i="10"/>
  <c r="Q347" i="10"/>
  <c r="Q348" i="10"/>
  <c r="Q349" i="10"/>
  <c r="Q350" i="10"/>
  <c r="Q351" i="10"/>
  <c r="Q352" i="10"/>
  <c r="Q353" i="10"/>
  <c r="Q354" i="10"/>
  <c r="Q355" i="10"/>
  <c r="Q356" i="10"/>
  <c r="Q357" i="10"/>
  <c r="Q358" i="10"/>
  <c r="Q359" i="10"/>
  <c r="Q360" i="10"/>
  <c r="Q361" i="10"/>
  <c r="Q362" i="10"/>
  <c r="Q363" i="10"/>
  <c r="Q364" i="10"/>
  <c r="Q365" i="10"/>
  <c r="Q366" i="10"/>
  <c r="Q367" i="10"/>
  <c r="Q368" i="10"/>
  <c r="Q369" i="10"/>
  <c r="Q370" i="10"/>
  <c r="Q371" i="10"/>
  <c r="Q372" i="10"/>
  <c r="Q373" i="10"/>
  <c r="Q374" i="10"/>
  <c r="Q375" i="10"/>
  <c r="Q376" i="10"/>
  <c r="Q377" i="10"/>
  <c r="Q378" i="10"/>
  <c r="Q379" i="10"/>
  <c r="Q380" i="10"/>
  <c r="Q381" i="10"/>
  <c r="Q382" i="10"/>
  <c r="Q383" i="10"/>
  <c r="Q384" i="10"/>
  <c r="Q385" i="10"/>
  <c r="Q386" i="10"/>
  <c r="Q387" i="10"/>
  <c r="Q388" i="10"/>
  <c r="Q389" i="10"/>
  <c r="Q390" i="10"/>
  <c r="Q391" i="10"/>
  <c r="Q392" i="10"/>
  <c r="Q393" i="10"/>
  <c r="Q394" i="10"/>
  <c r="Q395" i="10"/>
  <c r="Q396" i="10"/>
  <c r="Q397" i="10"/>
  <c r="Q398" i="10"/>
  <c r="Q399" i="10"/>
  <c r="Q400" i="10"/>
  <c r="Q401" i="10"/>
  <c r="Q402" i="10"/>
  <c r="Q403" i="10"/>
  <c r="Q404" i="10"/>
  <c r="Q405" i="10"/>
  <c r="Q406" i="10"/>
  <c r="Q407" i="10"/>
  <c r="Q408" i="10"/>
  <c r="Q409" i="10"/>
  <c r="Q410" i="10"/>
  <c r="Q411" i="10"/>
  <c r="Q412" i="10"/>
  <c r="Q413" i="10"/>
  <c r="Q414" i="10"/>
  <c r="Q415" i="10"/>
  <c r="Q416" i="10"/>
  <c r="Q417" i="10"/>
  <c r="Q418" i="10"/>
  <c r="Q419" i="10"/>
  <c r="Q420" i="10"/>
  <c r="Q421" i="10"/>
  <c r="Q422" i="10"/>
  <c r="Q423" i="10"/>
  <c r="Q424" i="10"/>
  <c r="Q425" i="10"/>
  <c r="Q426" i="10"/>
  <c r="Q427" i="10"/>
  <c r="Q428" i="10"/>
  <c r="Q429" i="10"/>
  <c r="Q430" i="10"/>
  <c r="Q431" i="10"/>
  <c r="Q432" i="10"/>
  <c r="Q433" i="10"/>
  <c r="Q434" i="10"/>
  <c r="Q435" i="10"/>
  <c r="Q436" i="10"/>
  <c r="Q437" i="10"/>
  <c r="Q438" i="10"/>
  <c r="Q439" i="10"/>
  <c r="Q440" i="10"/>
  <c r="Q441" i="10"/>
  <c r="Q442" i="10"/>
  <c r="Q443" i="10"/>
  <c r="Q444" i="10"/>
  <c r="Q445" i="10"/>
  <c r="Q446" i="10"/>
  <c r="Q447" i="10"/>
  <c r="Q448" i="10"/>
  <c r="Q449" i="10"/>
  <c r="Q450" i="10"/>
  <c r="Q451" i="10"/>
  <c r="Q452" i="10"/>
  <c r="Q453" i="10"/>
  <c r="Q454" i="10"/>
  <c r="Q455" i="10"/>
  <c r="Q456" i="10"/>
  <c r="Q457" i="10"/>
  <c r="Q458" i="10"/>
  <c r="Q459" i="10"/>
  <c r="Q460" i="10"/>
  <c r="Q461" i="10"/>
  <c r="Q462" i="10"/>
  <c r="Q463" i="10"/>
  <c r="Q464" i="10"/>
  <c r="Q465" i="10"/>
  <c r="Q466" i="10"/>
  <c r="Q467" i="10"/>
  <c r="Q468" i="10"/>
  <c r="Q469" i="10"/>
  <c r="Q470" i="10"/>
  <c r="Q471" i="10"/>
  <c r="Q472" i="10"/>
  <c r="Q473" i="10"/>
  <c r="Q474" i="10"/>
  <c r="Q475" i="10"/>
  <c r="Q476" i="10"/>
  <c r="Q477" i="10"/>
  <c r="Q478" i="10"/>
  <c r="Q479" i="10"/>
  <c r="Q480" i="10"/>
  <c r="Q481" i="10"/>
  <c r="Q482" i="10"/>
  <c r="Q483" i="10"/>
  <c r="Q484" i="10"/>
  <c r="Q485" i="10"/>
  <c r="Q486" i="10"/>
  <c r="Q487" i="10"/>
  <c r="Q488" i="10"/>
  <c r="Q489" i="10"/>
  <c r="Q490" i="10"/>
  <c r="Q491" i="10"/>
  <c r="Q492" i="10"/>
  <c r="Q493" i="10"/>
  <c r="Q494" i="10"/>
  <c r="Q495" i="10"/>
  <c r="Q496" i="10"/>
  <c r="Q497" i="10"/>
  <c r="Q498" i="10"/>
  <c r="Q499" i="10"/>
  <c r="Q500" i="10"/>
  <c r="Q501" i="10"/>
  <c r="Q502" i="10"/>
  <c r="Q503" i="10"/>
  <c r="Q504" i="10"/>
  <c r="Q505" i="10"/>
  <c r="Q506" i="10"/>
  <c r="Q507" i="10"/>
  <c r="Q508" i="10"/>
  <c r="Q509" i="10"/>
  <c r="Q510" i="10"/>
  <c r="Q511" i="10"/>
  <c r="Q512" i="10"/>
  <c r="Q513" i="10"/>
  <c r="Q514" i="10"/>
  <c r="Q515" i="10"/>
  <c r="Q516" i="10"/>
  <c r="Q517" i="10"/>
  <c r="Q518" i="10"/>
  <c r="Q519" i="10"/>
  <c r="Q520" i="10"/>
  <c r="Q521" i="10"/>
  <c r="Q522" i="10"/>
  <c r="Q523" i="10"/>
  <c r="Q524" i="10"/>
  <c r="Q525" i="10"/>
  <c r="Q526" i="10"/>
  <c r="Q527" i="10"/>
  <c r="Q528" i="10"/>
  <c r="Q529" i="10"/>
  <c r="Q530" i="10"/>
  <c r="Q531" i="10"/>
  <c r="Q532" i="10"/>
  <c r="Q533" i="10"/>
  <c r="Q534" i="10"/>
  <c r="Q535" i="10"/>
  <c r="Q536" i="10"/>
  <c r="Q537" i="10"/>
  <c r="Q538" i="10"/>
  <c r="Q539" i="10"/>
  <c r="Q540" i="10"/>
  <c r="Q541" i="10"/>
  <c r="Q542" i="10"/>
  <c r="Q543" i="10"/>
  <c r="Q544" i="10"/>
  <c r="Q545" i="10"/>
  <c r="Q546" i="10"/>
  <c r="Q547" i="10"/>
  <c r="Q548" i="10"/>
  <c r="Q549" i="10"/>
  <c r="Q550" i="10"/>
  <c r="Q551" i="10"/>
  <c r="Q552" i="10"/>
  <c r="Q553" i="10"/>
  <c r="Q554" i="10"/>
  <c r="Q555" i="10"/>
  <c r="Q556" i="10"/>
  <c r="Q557" i="10"/>
  <c r="Q558" i="10"/>
  <c r="Q559" i="10"/>
  <c r="Q560" i="10"/>
  <c r="Q561" i="10"/>
  <c r="Q562" i="10"/>
  <c r="Q563" i="10"/>
  <c r="Q564" i="10"/>
  <c r="Q565" i="10"/>
  <c r="Q566" i="10"/>
  <c r="Q567" i="10"/>
  <c r="Q568" i="10"/>
  <c r="Q569" i="10"/>
  <c r="Q570" i="10"/>
  <c r="Q571" i="10"/>
  <c r="Q572" i="10"/>
  <c r="Q573" i="10"/>
  <c r="Q574" i="10"/>
  <c r="Q575" i="10"/>
  <c r="Q576" i="10"/>
  <c r="Q577" i="10"/>
  <c r="Q578" i="10"/>
  <c r="Q579" i="10"/>
  <c r="Q580" i="10"/>
  <c r="Q581" i="10"/>
  <c r="Q582" i="10"/>
  <c r="Q583" i="10"/>
  <c r="Q584" i="10"/>
  <c r="Q585" i="10"/>
  <c r="Q586" i="10"/>
  <c r="Q587" i="10"/>
  <c r="Q588" i="10"/>
  <c r="Q589" i="10"/>
  <c r="Q590" i="10"/>
  <c r="Q591" i="10"/>
  <c r="Q592" i="10"/>
  <c r="Q593" i="10"/>
  <c r="Q594" i="10"/>
  <c r="Q595" i="10"/>
  <c r="Q596" i="10"/>
  <c r="Q597" i="10"/>
  <c r="Q598" i="10"/>
  <c r="Q599" i="10"/>
  <c r="Q600" i="10"/>
  <c r="Q601" i="10"/>
  <c r="Q602" i="10"/>
  <c r="Q603" i="10"/>
  <c r="Q604" i="10"/>
  <c r="Q605" i="10"/>
  <c r="Q606" i="10"/>
  <c r="Q607" i="10"/>
  <c r="Q608" i="10"/>
  <c r="Q609" i="10"/>
  <c r="Q610" i="10"/>
  <c r="Q611" i="10"/>
  <c r="Q612" i="10"/>
  <c r="Q613" i="10"/>
  <c r="Q614" i="10"/>
  <c r="Q615" i="10"/>
  <c r="Q616" i="10"/>
  <c r="Q617" i="10"/>
  <c r="Q618" i="10"/>
  <c r="Q619" i="10"/>
  <c r="Q620" i="10"/>
  <c r="Q621" i="10"/>
  <c r="Q622" i="10"/>
  <c r="Q623" i="10"/>
  <c r="Q624" i="10"/>
  <c r="Q625" i="10"/>
  <c r="Q626" i="10"/>
  <c r="Q627" i="10"/>
  <c r="Q628" i="10"/>
  <c r="Q629" i="10"/>
  <c r="Q630" i="10"/>
  <c r="Q631" i="10"/>
  <c r="Q632" i="10"/>
  <c r="Q633" i="10"/>
  <c r="Q634" i="10"/>
  <c r="Q635" i="10"/>
  <c r="Q636" i="10"/>
  <c r="Q637" i="10"/>
  <c r="Q638" i="10"/>
  <c r="Q639" i="10"/>
  <c r="Q640" i="10"/>
  <c r="Q641" i="10"/>
  <c r="Q642" i="10"/>
  <c r="Q643" i="10"/>
  <c r="Q644" i="10"/>
  <c r="Q645" i="10"/>
  <c r="Q646" i="10"/>
  <c r="Q647" i="10"/>
  <c r="Q648" i="10"/>
  <c r="Q649" i="10"/>
  <c r="Q650" i="10"/>
  <c r="Q651" i="10"/>
  <c r="Q652" i="10"/>
  <c r="Q653" i="10"/>
  <c r="Q654" i="10"/>
  <c r="Q655" i="10"/>
  <c r="Q656" i="10"/>
  <c r="Q657" i="10"/>
  <c r="Q658" i="10"/>
  <c r="Q659" i="10"/>
  <c r="Q660" i="10"/>
  <c r="Q661" i="10"/>
  <c r="Q662" i="10"/>
  <c r="Q663" i="10"/>
  <c r="Q664" i="10"/>
  <c r="Q665" i="10"/>
  <c r="Q666" i="10"/>
  <c r="Q667" i="10"/>
  <c r="Q668" i="10"/>
  <c r="Q669" i="10"/>
  <c r="Q670" i="10"/>
  <c r="Q671" i="10"/>
  <c r="Q672" i="10"/>
  <c r="Q673" i="10"/>
  <c r="Q674" i="10"/>
  <c r="Q675" i="10"/>
  <c r="Q676" i="10"/>
  <c r="Q677" i="10"/>
  <c r="Q678" i="10"/>
  <c r="Q679" i="10"/>
  <c r="Q680" i="10"/>
  <c r="Q681" i="10"/>
  <c r="Q682" i="10"/>
  <c r="Q683" i="10"/>
  <c r="Q684" i="10"/>
  <c r="Q685" i="10"/>
  <c r="Q686" i="10"/>
  <c r="Q687" i="10"/>
  <c r="Q688" i="10"/>
  <c r="Q689" i="10"/>
  <c r="Q690" i="10"/>
  <c r="Q691" i="10"/>
  <c r="Q692" i="10"/>
  <c r="Q693" i="10"/>
  <c r="Q694" i="10"/>
  <c r="Q695" i="10"/>
  <c r="Q696" i="10"/>
  <c r="Q697" i="10"/>
  <c r="Q698" i="10"/>
  <c r="Q699" i="10"/>
  <c r="Q700" i="10"/>
  <c r="Q701" i="10"/>
  <c r="Q702" i="10"/>
  <c r="Q703" i="10"/>
  <c r="Q704" i="10"/>
  <c r="Q705" i="10"/>
  <c r="Q706" i="10"/>
  <c r="Q707" i="10"/>
  <c r="Q708" i="10"/>
  <c r="Q709" i="10"/>
  <c r="Q710" i="10"/>
  <c r="Q711" i="10"/>
  <c r="Q712" i="10"/>
  <c r="Q713" i="10"/>
  <c r="Q714" i="10"/>
  <c r="Q715" i="10"/>
  <c r="Q716" i="10"/>
  <c r="Q717" i="10"/>
  <c r="Q718" i="10"/>
  <c r="Q719" i="10"/>
  <c r="Q720" i="10"/>
  <c r="Q721" i="10"/>
  <c r="Q722" i="10"/>
  <c r="Q723" i="10"/>
  <c r="Q724" i="10"/>
  <c r="Q725" i="10"/>
  <c r="Q726" i="10"/>
  <c r="Q727" i="10"/>
  <c r="Q728" i="10"/>
  <c r="Q729" i="10"/>
  <c r="Q730" i="10"/>
  <c r="Q731" i="10"/>
  <c r="Q732" i="10"/>
  <c r="Q733" i="10"/>
  <c r="Q734" i="10"/>
  <c r="Q735" i="10"/>
  <c r="Q736" i="10"/>
  <c r="Q737" i="10"/>
  <c r="Q738" i="10"/>
  <c r="Q739" i="10"/>
  <c r="Q740" i="10"/>
  <c r="Q741" i="10"/>
  <c r="Q742" i="10"/>
  <c r="Q743" i="10"/>
  <c r="Q744" i="10"/>
  <c r="Q745" i="10"/>
  <c r="Q746" i="10"/>
  <c r="Q747" i="10"/>
  <c r="Q748" i="10"/>
  <c r="Q749" i="10"/>
  <c r="Q750" i="10"/>
  <c r="Q751" i="10"/>
  <c r="Q752" i="10"/>
  <c r="Q753" i="10"/>
  <c r="Q754" i="10"/>
  <c r="Q755" i="10"/>
  <c r="Q756" i="10"/>
  <c r="Q757" i="10"/>
  <c r="Q758" i="10"/>
  <c r="Q759" i="10"/>
  <c r="Q760" i="10"/>
  <c r="Q761" i="10"/>
  <c r="Q762" i="10"/>
  <c r="Q763" i="10"/>
  <c r="Q764" i="10"/>
  <c r="Q765" i="10"/>
  <c r="Q766" i="10"/>
  <c r="Q767" i="10"/>
  <c r="Q768" i="10"/>
  <c r="Q769" i="10"/>
  <c r="Q770" i="10"/>
  <c r="Q771" i="10"/>
  <c r="Q772" i="10"/>
  <c r="Q773" i="10"/>
  <c r="Q774" i="10"/>
  <c r="Q775" i="10"/>
  <c r="Q776" i="10"/>
  <c r="Q777" i="10"/>
  <c r="Q778" i="10"/>
  <c r="Q779" i="10"/>
  <c r="Q780" i="10"/>
  <c r="Q781" i="10"/>
  <c r="Q782" i="10"/>
  <c r="Q783" i="10"/>
  <c r="Q784" i="10"/>
  <c r="Q785" i="10"/>
  <c r="Q786" i="10"/>
  <c r="Q787" i="10"/>
  <c r="Q788" i="10"/>
  <c r="Q789" i="10"/>
  <c r="Q790" i="10"/>
  <c r="Q791" i="10"/>
  <c r="Q792" i="10"/>
  <c r="Q793" i="10"/>
  <c r="Q794" i="10"/>
  <c r="Q795" i="10"/>
  <c r="Q796" i="10"/>
  <c r="Q797" i="10"/>
  <c r="Q798" i="10"/>
  <c r="Q799" i="10"/>
  <c r="Q800" i="10"/>
  <c r="Q801" i="10"/>
  <c r="Q802" i="10"/>
  <c r="Q803" i="10"/>
  <c r="Q804" i="10"/>
  <c r="Q805" i="10"/>
  <c r="Q806" i="10"/>
  <c r="Q807" i="10"/>
  <c r="Q808" i="10"/>
  <c r="Q809" i="10"/>
  <c r="Q810" i="10"/>
  <c r="Q811" i="10"/>
  <c r="Q812" i="10"/>
  <c r="Q813" i="10"/>
  <c r="Q814" i="10"/>
  <c r="Q815" i="10"/>
  <c r="Q816" i="10"/>
  <c r="Q817" i="10"/>
  <c r="Q818" i="10"/>
  <c r="Q819" i="10"/>
  <c r="Q820" i="10"/>
  <c r="Q821" i="10"/>
  <c r="Q822" i="10"/>
  <c r="Q823" i="10"/>
  <c r="Q824" i="10"/>
  <c r="Q825" i="10"/>
  <c r="Q826" i="10"/>
  <c r="Q827" i="10"/>
  <c r="Q828" i="10"/>
  <c r="Q829" i="10"/>
  <c r="Q830" i="10"/>
  <c r="Q831" i="10"/>
  <c r="Q832" i="10"/>
  <c r="Q833" i="10"/>
  <c r="Q834" i="10"/>
  <c r="Q835" i="10"/>
  <c r="Q836" i="10"/>
  <c r="Q837" i="10"/>
  <c r="Q838" i="10"/>
  <c r="Q839" i="10"/>
  <c r="Q840" i="10"/>
  <c r="Q841" i="10"/>
  <c r="Q842" i="10"/>
  <c r="Q843" i="10"/>
  <c r="Q844" i="10"/>
  <c r="Q845" i="10"/>
  <c r="Q846" i="10"/>
  <c r="Q847" i="10"/>
  <c r="Q848" i="10"/>
  <c r="Q849" i="10"/>
  <c r="Q850" i="10"/>
  <c r="Q851" i="10"/>
  <c r="Q852" i="10"/>
  <c r="Q853" i="10"/>
  <c r="Q854" i="10"/>
  <c r="Q855" i="10"/>
  <c r="Q856" i="10"/>
  <c r="Q857" i="10"/>
  <c r="Q858" i="10"/>
  <c r="Q859" i="10"/>
  <c r="Q860" i="10"/>
  <c r="Q861" i="10"/>
  <c r="Q862" i="10"/>
  <c r="Q863" i="10"/>
  <c r="Q864" i="10"/>
  <c r="Q865" i="10"/>
  <c r="Q866" i="10"/>
  <c r="Q867" i="10"/>
  <c r="Q868" i="10"/>
  <c r="Q869" i="10"/>
  <c r="Q870" i="10"/>
  <c r="Q871" i="10"/>
  <c r="Q872" i="10"/>
  <c r="Q873" i="10"/>
  <c r="Q874" i="10"/>
  <c r="Q875" i="10"/>
  <c r="Q876" i="10"/>
  <c r="Q877" i="10"/>
  <c r="Q878" i="10"/>
  <c r="Q879" i="10"/>
  <c r="Q880" i="10"/>
  <c r="Q881" i="10"/>
  <c r="Q882" i="10"/>
  <c r="Q883" i="10"/>
  <c r="Q884" i="10"/>
  <c r="Q885" i="10"/>
  <c r="Q886" i="10"/>
  <c r="Q887" i="10"/>
  <c r="Q888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98" i="10"/>
  <c r="O299" i="10"/>
  <c r="O300" i="10"/>
  <c r="O301" i="10"/>
  <c r="O302" i="10"/>
  <c r="O303" i="10"/>
  <c r="O304" i="10"/>
  <c r="O305" i="10"/>
  <c r="O306" i="10"/>
  <c r="O307" i="10"/>
  <c r="O308" i="10"/>
  <c r="O309" i="10"/>
  <c r="O310" i="10"/>
  <c r="O311" i="10"/>
  <c r="O312" i="10"/>
  <c r="O313" i="10"/>
  <c r="O314" i="10"/>
  <c r="O315" i="10"/>
  <c r="O316" i="10"/>
  <c r="O317" i="10"/>
  <c r="O318" i="10"/>
  <c r="O319" i="10"/>
  <c r="O320" i="10"/>
  <c r="O321" i="10"/>
  <c r="O322" i="10"/>
  <c r="O323" i="10"/>
  <c r="O324" i="10"/>
  <c r="O325" i="10"/>
  <c r="O326" i="10"/>
  <c r="O327" i="10"/>
  <c r="O328" i="10"/>
  <c r="O329" i="10"/>
  <c r="O330" i="10"/>
  <c r="O331" i="10"/>
  <c r="O332" i="10"/>
  <c r="O333" i="10"/>
  <c r="O334" i="10"/>
  <c r="O335" i="10"/>
  <c r="O336" i="10"/>
  <c r="O337" i="10"/>
  <c r="O338" i="10"/>
  <c r="O339" i="10"/>
  <c r="O340" i="10"/>
  <c r="O341" i="10"/>
  <c r="O342" i="10"/>
  <c r="O343" i="10"/>
  <c r="O344" i="10"/>
  <c r="O345" i="10"/>
  <c r="O346" i="10"/>
  <c r="O347" i="10"/>
  <c r="O348" i="10"/>
  <c r="O349" i="10"/>
  <c r="O350" i="10"/>
  <c r="O351" i="10"/>
  <c r="O352" i="10"/>
  <c r="O353" i="10"/>
  <c r="O354" i="10"/>
  <c r="O355" i="10"/>
  <c r="O356" i="10"/>
  <c r="O357" i="10"/>
  <c r="O358" i="10"/>
  <c r="O359" i="10"/>
  <c r="O360" i="10"/>
  <c r="O361" i="10"/>
  <c r="O362" i="10"/>
  <c r="O363" i="10"/>
  <c r="O364" i="10"/>
  <c r="O365" i="10"/>
  <c r="O366" i="10"/>
  <c r="O367" i="10"/>
  <c r="O368" i="10"/>
  <c r="O369" i="10"/>
  <c r="O370" i="10"/>
  <c r="O371" i="10"/>
  <c r="O372" i="10"/>
  <c r="O373" i="10"/>
  <c r="O374" i="10"/>
  <c r="O375" i="10"/>
  <c r="O376" i="10"/>
  <c r="O377" i="10"/>
  <c r="O378" i="10"/>
  <c r="O379" i="10"/>
  <c r="O380" i="10"/>
  <c r="O381" i="10"/>
  <c r="O382" i="10"/>
  <c r="O383" i="10"/>
  <c r="O384" i="10"/>
  <c r="O385" i="10"/>
  <c r="O386" i="10"/>
  <c r="O387" i="10"/>
  <c r="O388" i="10"/>
  <c r="O389" i="10"/>
  <c r="O390" i="10"/>
  <c r="O391" i="10"/>
  <c r="O392" i="10"/>
  <c r="O393" i="10"/>
  <c r="O394" i="10"/>
  <c r="O395" i="10"/>
  <c r="O396" i="10"/>
  <c r="O397" i="10"/>
  <c r="O398" i="10"/>
  <c r="O399" i="10"/>
  <c r="O400" i="10"/>
  <c r="O401" i="10"/>
  <c r="O402" i="10"/>
  <c r="O403" i="10"/>
  <c r="O404" i="10"/>
  <c r="O405" i="10"/>
  <c r="O406" i="10"/>
  <c r="O407" i="10"/>
  <c r="O408" i="10"/>
  <c r="O409" i="10"/>
  <c r="O410" i="10"/>
  <c r="O411" i="10"/>
  <c r="O412" i="10"/>
  <c r="O413" i="10"/>
  <c r="O414" i="10"/>
  <c r="O415" i="10"/>
  <c r="O416" i="10"/>
  <c r="O417" i="10"/>
  <c r="O418" i="10"/>
  <c r="O419" i="10"/>
  <c r="O420" i="10"/>
  <c r="O421" i="10"/>
  <c r="O422" i="10"/>
  <c r="O423" i="10"/>
  <c r="O424" i="10"/>
  <c r="O425" i="10"/>
  <c r="O426" i="10"/>
  <c r="O427" i="10"/>
  <c r="O428" i="10"/>
  <c r="O429" i="10"/>
  <c r="O430" i="10"/>
  <c r="O431" i="10"/>
  <c r="O432" i="10"/>
  <c r="O433" i="10"/>
  <c r="O434" i="10"/>
  <c r="O435" i="10"/>
  <c r="O436" i="10"/>
  <c r="O437" i="10"/>
  <c r="O438" i="10"/>
  <c r="O439" i="10"/>
  <c r="O440" i="10"/>
  <c r="O441" i="10"/>
  <c r="O442" i="10"/>
  <c r="O443" i="10"/>
  <c r="O444" i="10"/>
  <c r="O445" i="10"/>
  <c r="O446" i="10"/>
  <c r="O447" i="10"/>
  <c r="O448" i="10"/>
  <c r="O449" i="10"/>
  <c r="O450" i="10"/>
  <c r="O451" i="10"/>
  <c r="O452" i="10"/>
  <c r="O453" i="10"/>
  <c r="O454" i="10"/>
  <c r="O455" i="10"/>
  <c r="O456" i="10"/>
  <c r="O457" i="10"/>
  <c r="O458" i="10"/>
  <c r="O459" i="10"/>
  <c r="O460" i="10"/>
  <c r="O461" i="10"/>
  <c r="O462" i="10"/>
  <c r="O463" i="10"/>
  <c r="O464" i="10"/>
  <c r="O465" i="10"/>
  <c r="O466" i="10"/>
  <c r="O467" i="10"/>
  <c r="O468" i="10"/>
  <c r="O469" i="10"/>
  <c r="O470" i="10"/>
  <c r="O471" i="10"/>
  <c r="O472" i="10"/>
  <c r="O473" i="10"/>
  <c r="O474" i="10"/>
  <c r="O475" i="10"/>
  <c r="O476" i="10"/>
  <c r="O477" i="10"/>
  <c r="O478" i="10"/>
  <c r="O479" i="10"/>
  <c r="O480" i="10"/>
  <c r="O481" i="10"/>
  <c r="O482" i="10"/>
  <c r="O483" i="10"/>
  <c r="O484" i="10"/>
  <c r="O485" i="10"/>
  <c r="O486" i="10"/>
  <c r="O487" i="10"/>
  <c r="O488" i="10"/>
  <c r="O489" i="10"/>
  <c r="O490" i="10"/>
  <c r="O491" i="10"/>
  <c r="O492" i="10"/>
  <c r="O493" i="10"/>
  <c r="O494" i="10"/>
  <c r="O495" i="10"/>
  <c r="O496" i="10"/>
  <c r="O497" i="10"/>
  <c r="O498" i="10"/>
  <c r="O499" i="10"/>
  <c r="O500" i="10"/>
  <c r="O501" i="10"/>
  <c r="O502" i="10"/>
  <c r="O503" i="10"/>
  <c r="O504" i="10"/>
  <c r="O505" i="10"/>
  <c r="O506" i="10"/>
  <c r="O507" i="10"/>
  <c r="O508" i="10"/>
  <c r="O509" i="10"/>
  <c r="O510" i="10"/>
  <c r="O511" i="10"/>
  <c r="O512" i="10"/>
  <c r="O513" i="10"/>
  <c r="O514" i="10"/>
  <c r="O515" i="10"/>
  <c r="O516" i="10"/>
  <c r="O517" i="10"/>
  <c r="O518" i="10"/>
  <c r="O519" i="10"/>
  <c r="O520" i="10"/>
  <c r="O521" i="10"/>
  <c r="O522" i="10"/>
  <c r="O523" i="10"/>
  <c r="O524" i="10"/>
  <c r="O525" i="10"/>
  <c r="O526" i="10"/>
  <c r="O527" i="10"/>
  <c r="O528" i="10"/>
  <c r="O529" i="10"/>
  <c r="O530" i="10"/>
  <c r="O531" i="10"/>
  <c r="O532" i="10"/>
  <c r="O533" i="10"/>
  <c r="O534" i="10"/>
  <c r="O535" i="10"/>
  <c r="O536" i="10"/>
  <c r="O537" i="10"/>
  <c r="O538" i="10"/>
  <c r="O539" i="10"/>
  <c r="O540" i="10"/>
  <c r="O541" i="10"/>
  <c r="O542" i="10"/>
  <c r="O543" i="10"/>
  <c r="O544" i="10"/>
  <c r="O545" i="10"/>
  <c r="O546" i="10"/>
  <c r="O547" i="10"/>
  <c r="O548" i="10"/>
  <c r="O549" i="10"/>
  <c r="O550" i="10"/>
  <c r="O551" i="10"/>
  <c r="O552" i="10"/>
  <c r="O553" i="10"/>
  <c r="O554" i="10"/>
  <c r="O555" i="10"/>
  <c r="O556" i="10"/>
  <c r="O557" i="10"/>
  <c r="O558" i="10"/>
  <c r="O559" i="10"/>
  <c r="O560" i="10"/>
  <c r="O561" i="10"/>
  <c r="O562" i="10"/>
  <c r="O563" i="10"/>
  <c r="O564" i="10"/>
  <c r="O565" i="10"/>
  <c r="O566" i="10"/>
  <c r="O567" i="10"/>
  <c r="O568" i="10"/>
  <c r="O569" i="10"/>
  <c r="O570" i="10"/>
  <c r="O571" i="10"/>
  <c r="O572" i="10"/>
  <c r="O573" i="10"/>
  <c r="O574" i="10"/>
  <c r="O575" i="10"/>
  <c r="O576" i="10"/>
  <c r="O577" i="10"/>
  <c r="O578" i="10"/>
  <c r="O579" i="10"/>
  <c r="O580" i="10"/>
  <c r="O581" i="10"/>
  <c r="O582" i="10"/>
  <c r="O583" i="10"/>
  <c r="O584" i="10"/>
  <c r="O585" i="10"/>
  <c r="O586" i="10"/>
  <c r="O587" i="10"/>
  <c r="O588" i="10"/>
  <c r="O589" i="10"/>
  <c r="O590" i="10"/>
  <c r="O591" i="10"/>
  <c r="O592" i="10"/>
  <c r="O593" i="10"/>
  <c r="O594" i="10"/>
  <c r="O595" i="10"/>
  <c r="O596" i="10"/>
  <c r="O597" i="10"/>
  <c r="O598" i="10"/>
  <c r="O599" i="10"/>
  <c r="O600" i="10"/>
  <c r="O601" i="10"/>
  <c r="O602" i="10"/>
  <c r="O603" i="10"/>
  <c r="O604" i="10"/>
  <c r="O605" i="10"/>
  <c r="O606" i="10"/>
  <c r="O607" i="10"/>
  <c r="O608" i="10"/>
  <c r="O609" i="10"/>
  <c r="O610" i="10"/>
  <c r="O611" i="10"/>
  <c r="O612" i="10"/>
  <c r="O613" i="10"/>
  <c r="O614" i="10"/>
  <c r="O615" i="10"/>
  <c r="O616" i="10"/>
  <c r="O617" i="10"/>
  <c r="O618" i="10"/>
  <c r="O619" i="10"/>
  <c r="O620" i="10"/>
  <c r="O621" i="10"/>
  <c r="O622" i="10"/>
  <c r="O623" i="10"/>
  <c r="O624" i="10"/>
  <c r="O625" i="10"/>
  <c r="O626" i="10"/>
  <c r="O627" i="10"/>
  <c r="O628" i="10"/>
  <c r="O629" i="10"/>
  <c r="O630" i="10"/>
  <c r="O631" i="10"/>
  <c r="O632" i="10"/>
  <c r="O633" i="10"/>
  <c r="O634" i="10"/>
  <c r="O635" i="10"/>
  <c r="O636" i="10"/>
  <c r="O637" i="10"/>
  <c r="O638" i="10"/>
  <c r="O639" i="10"/>
  <c r="O640" i="10"/>
  <c r="O641" i="10"/>
  <c r="O642" i="10"/>
  <c r="O643" i="10"/>
  <c r="O644" i="10"/>
  <c r="O645" i="10"/>
  <c r="O646" i="10"/>
  <c r="O647" i="10"/>
  <c r="O648" i="10"/>
  <c r="O649" i="10"/>
  <c r="O650" i="10"/>
  <c r="O651" i="10"/>
  <c r="O652" i="10"/>
  <c r="O653" i="10"/>
  <c r="O654" i="10"/>
  <c r="O655" i="10"/>
  <c r="O656" i="10"/>
  <c r="O657" i="10"/>
  <c r="O658" i="10"/>
  <c r="O659" i="10"/>
  <c r="O660" i="10"/>
  <c r="O661" i="10"/>
  <c r="O662" i="10"/>
  <c r="O663" i="10"/>
  <c r="O664" i="10"/>
  <c r="O665" i="10"/>
  <c r="O666" i="10"/>
  <c r="O667" i="10"/>
  <c r="O668" i="10"/>
  <c r="O669" i="10"/>
  <c r="O670" i="10"/>
  <c r="O671" i="10"/>
  <c r="O672" i="10"/>
  <c r="O673" i="10"/>
  <c r="O674" i="10"/>
  <c r="O675" i="10"/>
  <c r="O676" i="10"/>
  <c r="O677" i="10"/>
  <c r="O678" i="10"/>
  <c r="O679" i="10"/>
  <c r="O680" i="10"/>
  <c r="O681" i="10"/>
  <c r="O682" i="10"/>
  <c r="O683" i="10"/>
  <c r="O684" i="10"/>
  <c r="O685" i="10"/>
  <c r="O686" i="10"/>
  <c r="O687" i="10"/>
  <c r="O688" i="10"/>
  <c r="O689" i="10"/>
  <c r="O690" i="10"/>
  <c r="O691" i="10"/>
  <c r="O692" i="10"/>
  <c r="O693" i="10"/>
  <c r="O694" i="10"/>
  <c r="O695" i="10"/>
  <c r="O696" i="10"/>
  <c r="O697" i="10"/>
  <c r="O698" i="10"/>
  <c r="O699" i="10"/>
  <c r="O700" i="10"/>
  <c r="O701" i="10"/>
  <c r="O702" i="10"/>
  <c r="O703" i="10"/>
  <c r="O704" i="10"/>
  <c r="O705" i="10"/>
  <c r="O706" i="10"/>
  <c r="O707" i="10"/>
  <c r="O708" i="10"/>
  <c r="O709" i="10"/>
  <c r="O710" i="10"/>
  <c r="O711" i="10"/>
  <c r="O712" i="10"/>
  <c r="O713" i="10"/>
  <c r="O714" i="10"/>
  <c r="O715" i="10"/>
  <c r="O716" i="10"/>
  <c r="O717" i="10"/>
  <c r="O718" i="10"/>
  <c r="O719" i="10"/>
  <c r="O720" i="10"/>
  <c r="O721" i="10"/>
  <c r="O722" i="10"/>
  <c r="O723" i="10"/>
  <c r="O724" i="10"/>
  <c r="O725" i="10"/>
  <c r="O726" i="10"/>
  <c r="O727" i="10"/>
  <c r="O728" i="10"/>
  <c r="O729" i="10"/>
  <c r="O730" i="10"/>
  <c r="O731" i="10"/>
  <c r="O732" i="10"/>
  <c r="O733" i="10"/>
  <c r="O734" i="10"/>
  <c r="O735" i="10"/>
  <c r="O736" i="10"/>
  <c r="O737" i="10"/>
  <c r="O738" i="10"/>
  <c r="O739" i="10"/>
  <c r="O740" i="10"/>
  <c r="O741" i="10"/>
  <c r="O742" i="10"/>
  <c r="O743" i="10"/>
  <c r="O744" i="10"/>
  <c r="O745" i="10"/>
  <c r="O746" i="10"/>
  <c r="O747" i="10"/>
  <c r="O748" i="10"/>
  <c r="O749" i="10"/>
  <c r="O750" i="10"/>
  <c r="O751" i="10"/>
  <c r="O752" i="10"/>
  <c r="O753" i="10"/>
  <c r="O754" i="10"/>
  <c r="O755" i="10"/>
  <c r="O756" i="10"/>
  <c r="O757" i="10"/>
  <c r="O758" i="10"/>
  <c r="O759" i="10"/>
  <c r="O760" i="10"/>
  <c r="O761" i="10"/>
  <c r="O762" i="10"/>
  <c r="O763" i="10"/>
  <c r="O764" i="10"/>
  <c r="O765" i="10"/>
  <c r="O766" i="10"/>
  <c r="O767" i="10"/>
  <c r="O768" i="10"/>
  <c r="O769" i="10"/>
  <c r="O770" i="10"/>
  <c r="O771" i="10"/>
  <c r="O772" i="10"/>
  <c r="O773" i="10"/>
  <c r="O774" i="10"/>
  <c r="O775" i="10"/>
  <c r="O776" i="10"/>
  <c r="O777" i="10"/>
  <c r="O778" i="10"/>
  <c r="O779" i="10"/>
  <c r="O780" i="10"/>
  <c r="O781" i="10"/>
  <c r="O782" i="10"/>
  <c r="O783" i="10"/>
  <c r="O784" i="10"/>
  <c r="O785" i="10"/>
  <c r="O786" i="10"/>
  <c r="O787" i="10"/>
  <c r="O788" i="10"/>
  <c r="O789" i="10"/>
  <c r="O790" i="10"/>
  <c r="O791" i="10"/>
  <c r="O792" i="10"/>
  <c r="O793" i="10"/>
  <c r="O794" i="10"/>
  <c r="O795" i="10"/>
  <c r="O796" i="10"/>
  <c r="O797" i="10"/>
  <c r="O798" i="10"/>
  <c r="O799" i="10"/>
  <c r="O800" i="10"/>
  <c r="O801" i="10"/>
  <c r="O802" i="10"/>
  <c r="O803" i="10"/>
  <c r="O804" i="10"/>
  <c r="O805" i="10"/>
  <c r="O806" i="10"/>
  <c r="O807" i="10"/>
  <c r="O808" i="10"/>
  <c r="O809" i="10"/>
  <c r="O810" i="10"/>
  <c r="O811" i="10"/>
  <c r="O812" i="10"/>
  <c r="O813" i="10"/>
  <c r="O814" i="10"/>
  <c r="O815" i="10"/>
  <c r="O816" i="10"/>
  <c r="O817" i="10"/>
  <c r="O818" i="10"/>
  <c r="O819" i="10"/>
  <c r="O820" i="10"/>
  <c r="O821" i="10"/>
  <c r="O822" i="10"/>
  <c r="O823" i="10"/>
  <c r="O824" i="10"/>
  <c r="O825" i="10"/>
  <c r="O826" i="10"/>
  <c r="O827" i="10"/>
  <c r="O828" i="10"/>
  <c r="O829" i="10"/>
  <c r="O830" i="10"/>
  <c r="O831" i="10"/>
  <c r="O832" i="10"/>
  <c r="O833" i="10"/>
  <c r="O834" i="10"/>
  <c r="O835" i="10"/>
  <c r="O836" i="10"/>
  <c r="O837" i="10"/>
  <c r="O838" i="10"/>
  <c r="O839" i="10"/>
  <c r="O840" i="10"/>
  <c r="O841" i="10"/>
  <c r="O842" i="10"/>
  <c r="O843" i="10"/>
  <c r="O844" i="10"/>
  <c r="O845" i="10"/>
  <c r="O846" i="10"/>
  <c r="O847" i="10"/>
  <c r="O848" i="10"/>
  <c r="O849" i="10"/>
  <c r="O850" i="10"/>
  <c r="O851" i="10"/>
  <c r="O852" i="10"/>
  <c r="O853" i="10"/>
  <c r="O854" i="10"/>
  <c r="O855" i="10"/>
  <c r="O856" i="10"/>
  <c r="O857" i="10"/>
  <c r="O858" i="10"/>
  <c r="O859" i="10"/>
  <c r="O860" i="10"/>
  <c r="O861" i="10"/>
  <c r="O862" i="10"/>
  <c r="O863" i="10"/>
  <c r="O864" i="10"/>
  <c r="O865" i="10"/>
  <c r="O866" i="10"/>
  <c r="O867" i="10"/>
  <c r="O868" i="10"/>
  <c r="O869" i="10"/>
  <c r="O870" i="10"/>
  <c r="O871" i="10"/>
  <c r="O872" i="10"/>
  <c r="O873" i="10"/>
  <c r="O874" i="10"/>
  <c r="O875" i="10"/>
  <c r="O876" i="10"/>
  <c r="O877" i="10"/>
  <c r="O878" i="10"/>
  <c r="O879" i="10"/>
  <c r="O880" i="10"/>
  <c r="O881" i="10"/>
  <c r="O882" i="10"/>
  <c r="O883" i="10"/>
  <c r="O884" i="10"/>
  <c r="O885" i="10"/>
  <c r="O886" i="10"/>
  <c r="O887" i="10"/>
  <c r="O888" i="10"/>
  <c r="AA821" i="10" l="1"/>
  <c r="AB821" i="10" s="1"/>
  <c r="Y730" i="10"/>
  <c r="Y779" i="10"/>
  <c r="X789" i="10"/>
  <c r="Y789" i="10" s="1"/>
  <c r="Y635" i="10"/>
  <c r="Y466" i="10"/>
  <c r="Y885" i="10"/>
  <c r="Y402" i="10"/>
  <c r="Y866" i="10"/>
  <c r="Y295" i="10"/>
  <c r="Y843" i="10"/>
  <c r="Y802" i="10"/>
  <c r="X846" i="10"/>
  <c r="Y846" i="10" s="1"/>
  <c r="X838" i="10"/>
  <c r="Y838" i="10" s="1"/>
  <c r="X822" i="10"/>
  <c r="Y822" i="10" s="1"/>
  <c r="X806" i="10"/>
  <c r="Y806" i="10" s="1"/>
  <c r="X782" i="10"/>
  <c r="Y782" i="10" s="1"/>
  <c r="X774" i="10"/>
  <c r="Y774" i="10" s="1"/>
  <c r="X766" i="10"/>
  <c r="Y766" i="10" s="1"/>
  <c r="X758" i="10"/>
  <c r="Y758" i="10" s="1"/>
  <c r="X742" i="10"/>
  <c r="Y742" i="10" s="1"/>
  <c r="X718" i="10"/>
  <c r="Y718" i="10" s="1"/>
  <c r="X710" i="10"/>
  <c r="Y710" i="10" s="1"/>
  <c r="X702" i="10"/>
  <c r="Y702" i="10" s="1"/>
  <c r="X694" i="10"/>
  <c r="Y694" i="10" s="1"/>
  <c r="X678" i="10"/>
  <c r="Y678" i="10" s="1"/>
  <c r="X670" i="10"/>
  <c r="Y670" i="10" s="1"/>
  <c r="X662" i="10"/>
  <c r="Y662" i="10" s="1"/>
  <c r="X646" i="10"/>
  <c r="Y646" i="10" s="1"/>
  <c r="X638" i="10"/>
  <c r="Y638" i="10" s="1"/>
  <c r="X630" i="10"/>
  <c r="Y630" i="10" s="1"/>
  <c r="X622" i="10"/>
  <c r="Y622" i="10" s="1"/>
  <c r="X614" i="10"/>
  <c r="Y614" i="10" s="1"/>
  <c r="X606" i="10"/>
  <c r="Y606" i="10" s="1"/>
  <c r="X598" i="10"/>
  <c r="Y598" i="10" s="1"/>
  <c r="X590" i="10"/>
  <c r="Y590" i="10" s="1"/>
  <c r="X582" i="10"/>
  <c r="Y582" i="10" s="1"/>
  <c r="X574" i="10"/>
  <c r="Y574" i="10" s="1"/>
  <c r="X566" i="10"/>
  <c r="Y566" i="10" s="1"/>
  <c r="X558" i="10"/>
  <c r="Y558" i="10" s="1"/>
  <c r="X550" i="10"/>
  <c r="Y550" i="10" s="1"/>
  <c r="X542" i="10"/>
  <c r="Y542" i="10" s="1"/>
  <c r="X534" i="10"/>
  <c r="Y534" i="10" s="1"/>
  <c r="X526" i="10"/>
  <c r="Y526" i="10" s="1"/>
  <c r="X518" i="10"/>
  <c r="Y518" i="10" s="1"/>
  <c r="X510" i="10"/>
  <c r="Y510" i="10" s="1"/>
  <c r="X502" i="10"/>
  <c r="Y502" i="10" s="1"/>
  <c r="X494" i="10"/>
  <c r="Y494" i="10" s="1"/>
  <c r="X486" i="10"/>
  <c r="Y486" i="10" s="1"/>
  <c r="X470" i="10"/>
  <c r="Y470" i="10" s="1"/>
  <c r="X462" i="10"/>
  <c r="Y462" i="10" s="1"/>
  <c r="X446" i="10"/>
  <c r="Y446" i="10" s="1"/>
  <c r="X438" i="10"/>
  <c r="Y438" i="10" s="1"/>
  <c r="X430" i="10"/>
  <c r="Y430" i="10" s="1"/>
  <c r="X422" i="10"/>
  <c r="Y422" i="10" s="1"/>
  <c r="X406" i="10"/>
  <c r="Y406" i="10" s="1"/>
  <c r="X398" i="10"/>
  <c r="Y398" i="10" s="1"/>
  <c r="X382" i="10"/>
  <c r="Y382" i="10" s="1"/>
  <c r="X374" i="10"/>
  <c r="Y374" i="10" s="1"/>
  <c r="X366" i="10"/>
  <c r="Y366" i="10" s="1"/>
  <c r="X358" i="10"/>
  <c r="Y358" i="10" s="1"/>
  <c r="X342" i="10"/>
  <c r="Y342" i="10" s="1"/>
  <c r="X334" i="10"/>
  <c r="Y334" i="10" s="1"/>
  <c r="X326" i="10"/>
  <c r="Y326" i="10" s="1"/>
  <c r="X318" i="10"/>
  <c r="Y318" i="10" s="1"/>
  <c r="X310" i="10"/>
  <c r="Y310" i="10" s="1"/>
  <c r="X302" i="10"/>
  <c r="Y302" i="10" s="1"/>
  <c r="X286" i="10"/>
  <c r="Y286" i="10" s="1"/>
  <c r="X262" i="10"/>
  <c r="Y262" i="10" s="1"/>
  <c r="X238" i="10"/>
  <c r="Y238" i="10" s="1"/>
  <c r="X230" i="10"/>
  <c r="Y230" i="10" s="1"/>
  <c r="X214" i="10"/>
  <c r="Y214" i="10" s="1"/>
  <c r="X206" i="10"/>
  <c r="Y206" i="10" s="1"/>
  <c r="X198" i="10"/>
  <c r="Y198" i="10" s="1"/>
  <c r="X190" i="10"/>
  <c r="Y190" i="10" s="1"/>
  <c r="X182" i="10"/>
  <c r="Y182" i="10" s="1"/>
  <c r="X174" i="10"/>
  <c r="Y174" i="10" s="1"/>
  <c r="X158" i="10"/>
  <c r="Y158" i="10" s="1"/>
  <c r="X134" i="10"/>
  <c r="Y134" i="10" s="1"/>
  <c r="X110" i="10"/>
  <c r="Y110" i="10" s="1"/>
  <c r="X102" i="10"/>
  <c r="Y102" i="10" s="1"/>
  <c r="X86" i="10"/>
  <c r="Y86" i="10" s="1"/>
  <c r="X78" i="10"/>
  <c r="Y78" i="10" s="1"/>
  <c r="X70" i="10"/>
  <c r="Y70" i="10" s="1"/>
  <c r="X62" i="10"/>
  <c r="Y62" i="10" s="1"/>
  <c r="X54" i="10"/>
  <c r="Y54" i="10" s="1"/>
  <c r="X46" i="10"/>
  <c r="Y46" i="10" s="1"/>
  <c r="X30" i="10"/>
  <c r="Y30" i="10" s="1"/>
  <c r="X6" i="10"/>
  <c r="Y6" i="10" s="1"/>
  <c r="X830" i="10"/>
  <c r="Y830" i="10" s="1"/>
  <c r="X350" i="10"/>
  <c r="Y350" i="10" s="1"/>
  <c r="X142" i="10"/>
  <c r="Y142" i="10" s="1"/>
  <c r="Y870" i="10"/>
  <c r="X765" i="10"/>
  <c r="Y765" i="10" s="1"/>
  <c r="X741" i="10"/>
  <c r="Y741" i="10" s="1"/>
  <c r="X733" i="10"/>
  <c r="Y733" i="10" s="1"/>
  <c r="X725" i="10"/>
  <c r="Y725" i="10" s="1"/>
  <c r="X717" i="10"/>
  <c r="Y717" i="10" s="1"/>
  <c r="X701" i="10"/>
  <c r="Y701" i="10" s="1"/>
  <c r="X677" i="10"/>
  <c r="Y677" i="10" s="1"/>
  <c r="X669" i="10"/>
  <c r="Y669" i="10" s="1"/>
  <c r="Y661" i="10"/>
  <c r="X653" i="10"/>
  <c r="Y653" i="10" s="1"/>
  <c r="X645" i="10"/>
  <c r="Y645" i="10" s="1"/>
  <c r="X637" i="10"/>
  <c r="Y637" i="10" s="1"/>
  <c r="X629" i="10"/>
  <c r="Y629" i="10" s="1"/>
  <c r="X621" i="10"/>
  <c r="Y621" i="10" s="1"/>
  <c r="X613" i="10"/>
  <c r="Y613" i="10" s="1"/>
  <c r="X605" i="10"/>
  <c r="Y605" i="10" s="1"/>
  <c r="X589" i="10"/>
  <c r="Y589" i="10" s="1"/>
  <c r="X573" i="10"/>
  <c r="Y573" i="10" s="1"/>
  <c r="X557" i="10"/>
  <c r="Y557" i="10" s="1"/>
  <c r="X549" i="10"/>
  <c r="Y549" i="10" s="1"/>
  <c r="X541" i="10"/>
  <c r="Y541" i="10" s="1"/>
  <c r="X533" i="10"/>
  <c r="Y533" i="10" s="1"/>
  <c r="Y517" i="10"/>
  <c r="X509" i="10"/>
  <c r="Y509" i="10" s="1"/>
  <c r="X501" i="10"/>
  <c r="Y501" i="10" s="1"/>
  <c r="X485" i="10"/>
  <c r="Y485" i="10" s="1"/>
  <c r="X477" i="10"/>
  <c r="Y477" i="10" s="1"/>
  <c r="X469" i="10"/>
  <c r="Y469" i="10" s="1"/>
  <c r="Y453" i="10"/>
  <c r="X445" i="10"/>
  <c r="Y445" i="10" s="1"/>
  <c r="X437" i="10"/>
  <c r="Y437" i="10" s="1"/>
  <c r="Y429" i="10"/>
  <c r="X421" i="10"/>
  <c r="Y421" i="10" s="1"/>
  <c r="X413" i="10"/>
  <c r="Y413" i="10" s="1"/>
  <c r="X405" i="10"/>
  <c r="Y405" i="10" s="1"/>
  <c r="Y397" i="10"/>
  <c r="X381" i="10"/>
  <c r="Y381" i="10" s="1"/>
  <c r="X373" i="10"/>
  <c r="Y373" i="10" s="1"/>
  <c r="X357" i="10"/>
  <c r="Y357" i="10" s="1"/>
  <c r="X349" i="10"/>
  <c r="Y349" i="10" s="1"/>
  <c r="X341" i="10"/>
  <c r="Y341" i="10" s="1"/>
  <c r="X317" i="10"/>
  <c r="Y317" i="10" s="1"/>
  <c r="X309" i="10"/>
  <c r="Y309" i="10" s="1"/>
  <c r="X293" i="10"/>
  <c r="Y293" i="10" s="1"/>
  <c r="X285" i="10"/>
  <c r="Y285" i="10" s="1"/>
  <c r="X277" i="10"/>
  <c r="Y277" i="10" s="1"/>
  <c r="X269" i="10"/>
  <c r="Y269" i="10" s="1"/>
  <c r="X261" i="10"/>
  <c r="Y261" i="10" s="1"/>
  <c r="X253" i="10"/>
  <c r="Y253" i="10" s="1"/>
  <c r="X237" i="10"/>
  <c r="Y237" i="10" s="1"/>
  <c r="Y221" i="10"/>
  <c r="X213" i="10"/>
  <c r="Y213" i="10" s="1"/>
  <c r="Y205" i="10"/>
  <c r="X189" i="10"/>
  <c r="Y189" i="10" s="1"/>
  <c r="X181" i="10"/>
  <c r="Y181" i="10" s="1"/>
  <c r="X165" i="10"/>
  <c r="Y165" i="10" s="1"/>
  <c r="X157" i="10"/>
  <c r="Y157" i="10" s="1"/>
  <c r="X149" i="10"/>
  <c r="Y149" i="10" s="1"/>
  <c r="X141" i="10"/>
  <c r="Y141" i="10" s="1"/>
  <c r="X133" i="10"/>
  <c r="Y133" i="10" s="1"/>
  <c r="X125" i="10"/>
  <c r="Y125" i="10" s="1"/>
  <c r="Y117" i="10"/>
  <c r="X109" i="10"/>
  <c r="Y109" i="10" s="1"/>
  <c r="X85" i="10"/>
  <c r="Y85" i="10" s="1"/>
  <c r="Y77" i="10"/>
  <c r="Y69" i="10"/>
  <c r="X61" i="10"/>
  <c r="Y61" i="10" s="1"/>
  <c r="X53" i="10"/>
  <c r="Y53" i="10" s="1"/>
  <c r="Y45" i="10"/>
  <c r="X37" i="10"/>
  <c r="Y37" i="10" s="1"/>
  <c r="X29" i="10"/>
  <c r="Y29" i="10" s="1"/>
  <c r="X21" i="10"/>
  <c r="Y21" i="10" s="1"/>
  <c r="X13" i="10"/>
  <c r="Y13" i="10" s="1"/>
  <c r="X862" i="10"/>
  <c r="Y862" i="10" s="1"/>
  <c r="X726" i="10"/>
  <c r="Y726" i="10" s="1"/>
  <c r="X581" i="10"/>
  <c r="Y581" i="10" s="1"/>
  <c r="X333" i="10"/>
  <c r="Y333" i="10" s="1"/>
  <c r="X270" i="10"/>
  <c r="Y270" i="10" s="1"/>
  <c r="X197" i="10"/>
  <c r="Y197" i="10" s="1"/>
  <c r="X126" i="10"/>
  <c r="Y126" i="10" s="1"/>
  <c r="Y883" i="10"/>
  <c r="Y861" i="10"/>
  <c r="Y842" i="10"/>
  <c r="Y819" i="10"/>
  <c r="Y797" i="10"/>
  <c r="Y778" i="10"/>
  <c r="Y722" i="10"/>
  <c r="Y615" i="10"/>
  <c r="Y443" i="10"/>
  <c r="Y274" i="10"/>
  <c r="X860" i="10"/>
  <c r="Y860" i="10" s="1"/>
  <c r="X852" i="10"/>
  <c r="Y852" i="10" s="1"/>
  <c r="X844" i="10"/>
  <c r="Y844" i="10" s="1"/>
  <c r="X836" i="10"/>
  <c r="Y836" i="10" s="1"/>
  <c r="X828" i="10"/>
  <c r="Y828" i="10" s="1"/>
  <c r="X820" i="10"/>
  <c r="Y820" i="10" s="1"/>
  <c r="X812" i="10"/>
  <c r="Y812" i="10" s="1"/>
  <c r="X804" i="10"/>
  <c r="Y804" i="10" s="1"/>
  <c r="X796" i="10"/>
  <c r="Y796" i="10" s="1"/>
  <c r="X788" i="10"/>
  <c r="Y788" i="10" s="1"/>
  <c r="X780" i="10"/>
  <c r="Y780" i="10" s="1"/>
  <c r="X772" i="10"/>
  <c r="Y772" i="10" s="1"/>
  <c r="X764" i="10"/>
  <c r="Y764" i="10" s="1"/>
  <c r="X756" i="10"/>
  <c r="Y756" i="10" s="1"/>
  <c r="X748" i="10"/>
  <c r="Y748" i="10" s="1"/>
  <c r="X740" i="10"/>
  <c r="Y740" i="10" s="1"/>
  <c r="X732" i="10"/>
  <c r="Y732" i="10" s="1"/>
  <c r="X724" i="10"/>
  <c r="Y724" i="10" s="1"/>
  <c r="X716" i="10"/>
  <c r="Y716" i="10" s="1"/>
  <c r="X708" i="10"/>
  <c r="Y708" i="10" s="1"/>
  <c r="X700" i="10"/>
  <c r="Y700" i="10" s="1"/>
  <c r="X692" i="10"/>
  <c r="Y692" i="10" s="1"/>
  <c r="X684" i="10"/>
  <c r="Y684" i="10" s="1"/>
  <c r="X676" i="10"/>
  <c r="Y676" i="10" s="1"/>
  <c r="X668" i="10"/>
  <c r="Y668" i="10" s="1"/>
  <c r="X660" i="10"/>
  <c r="Y660" i="10" s="1"/>
  <c r="X652" i="10"/>
  <c r="Y652" i="10" s="1"/>
  <c r="X644" i="10"/>
  <c r="Y644" i="10" s="1"/>
  <c r="X636" i="10"/>
  <c r="Y636" i="10" s="1"/>
  <c r="X620" i="10"/>
  <c r="Y620" i="10" s="1"/>
  <c r="X604" i="10"/>
  <c r="Y604" i="10" s="1"/>
  <c r="Y596" i="10"/>
  <c r="X588" i="10"/>
  <c r="Y588" i="10" s="1"/>
  <c r="X580" i="10"/>
  <c r="Y580" i="10" s="1"/>
  <c r="X572" i="10"/>
  <c r="Y572" i="10" s="1"/>
  <c r="X564" i="10"/>
  <c r="Y564" i="10" s="1"/>
  <c r="X556" i="10"/>
  <c r="Y556" i="10" s="1"/>
  <c r="X540" i="10"/>
  <c r="Y540" i="10" s="1"/>
  <c r="X532" i="10"/>
  <c r="Y532" i="10" s="1"/>
  <c r="X524" i="10"/>
  <c r="Y524" i="10" s="1"/>
  <c r="Y516" i="10"/>
  <c r="X508" i="10"/>
  <c r="Y508" i="10" s="1"/>
  <c r="X500" i="10"/>
  <c r="Y500" i="10" s="1"/>
  <c r="X492" i="10"/>
  <c r="Y492" i="10" s="1"/>
  <c r="X484" i="10"/>
  <c r="Y484" i="10" s="1"/>
  <c r="X476" i="10"/>
  <c r="Y476" i="10" s="1"/>
  <c r="X468" i="10"/>
  <c r="Y468" i="10" s="1"/>
  <c r="X460" i="10"/>
  <c r="Y460" i="10" s="1"/>
  <c r="X452" i="10"/>
  <c r="Y452" i="10" s="1"/>
  <c r="X444" i="10"/>
  <c r="Y444" i="10" s="1"/>
  <c r="X436" i="10"/>
  <c r="Y436" i="10" s="1"/>
  <c r="X428" i="10"/>
  <c r="Y428" i="10" s="1"/>
  <c r="X420" i="10"/>
  <c r="Y420" i="10" s="1"/>
  <c r="X412" i="10"/>
  <c r="Y412" i="10" s="1"/>
  <c r="X404" i="10"/>
  <c r="Y404" i="10" s="1"/>
  <c r="X396" i="10"/>
  <c r="Y396" i="10" s="1"/>
  <c r="X388" i="10"/>
  <c r="Y388" i="10" s="1"/>
  <c r="X380" i="10"/>
  <c r="Y380" i="10" s="1"/>
  <c r="X372" i="10"/>
  <c r="Y372" i="10" s="1"/>
  <c r="X364" i="10"/>
  <c r="Y364" i="10" s="1"/>
  <c r="X356" i="10"/>
  <c r="Y356" i="10" s="1"/>
  <c r="X348" i="10"/>
  <c r="Y348" i="10" s="1"/>
  <c r="X340" i="10"/>
  <c r="Y340" i="10" s="1"/>
  <c r="X332" i="10"/>
  <c r="Y332" i="10" s="1"/>
  <c r="Y324" i="10"/>
  <c r="X316" i="10"/>
  <c r="Y316" i="10" s="1"/>
  <c r="X300" i="10"/>
  <c r="Y300" i="10" s="1"/>
  <c r="X292" i="10"/>
  <c r="Y292" i="10" s="1"/>
  <c r="X284" i="10"/>
  <c r="Y284" i="10" s="1"/>
  <c r="Y276" i="10"/>
  <c r="X268" i="10"/>
  <c r="Y268" i="10" s="1"/>
  <c r="X260" i="10"/>
  <c r="Y260" i="10" s="1"/>
  <c r="X252" i="10"/>
  <c r="Y252" i="10" s="1"/>
  <c r="X244" i="10"/>
  <c r="Y244" i="10" s="1"/>
  <c r="X236" i="10"/>
  <c r="Y236" i="10" s="1"/>
  <c r="X228" i="10"/>
  <c r="Y228" i="10" s="1"/>
  <c r="X220" i="10"/>
  <c r="Y220" i="10" s="1"/>
  <c r="X212" i="10"/>
  <c r="Y212" i="10" s="1"/>
  <c r="X204" i="10"/>
  <c r="Y204" i="10" s="1"/>
  <c r="X188" i="10"/>
  <c r="Y188" i="10" s="1"/>
  <c r="Y180" i="10"/>
  <c r="X172" i="10"/>
  <c r="Y172" i="10" s="1"/>
  <c r="X164" i="10"/>
  <c r="Y164" i="10" s="1"/>
  <c r="X156" i="10"/>
  <c r="Y156" i="10" s="1"/>
  <c r="Y148" i="10"/>
  <c r="X140" i="10"/>
  <c r="Y140" i="10" s="1"/>
  <c r="X132" i="10"/>
  <c r="Y132" i="10" s="1"/>
  <c r="X124" i="10"/>
  <c r="Y124" i="10" s="1"/>
  <c r="X116" i="10"/>
  <c r="Y116" i="10" s="1"/>
  <c r="X108" i="10"/>
  <c r="Y108" i="10" s="1"/>
  <c r="X100" i="10"/>
  <c r="Y100" i="10" s="1"/>
  <c r="X92" i="10"/>
  <c r="Y92" i="10" s="1"/>
  <c r="X84" i="10"/>
  <c r="Y84" i="10" s="1"/>
  <c r="X76" i="10"/>
  <c r="Y76" i="10" s="1"/>
  <c r="Y68" i="10"/>
  <c r="X60" i="10"/>
  <c r="Y60" i="10" s="1"/>
  <c r="X44" i="10"/>
  <c r="Y44" i="10" s="1"/>
  <c r="X36" i="10"/>
  <c r="Y36" i="10" s="1"/>
  <c r="X28" i="10"/>
  <c r="Y28" i="10" s="1"/>
  <c r="X12" i="10"/>
  <c r="Y12" i="10" s="1"/>
  <c r="X887" i="10"/>
  <c r="Y887" i="10" s="1"/>
  <c r="X814" i="10"/>
  <c r="Y814" i="10" s="1"/>
  <c r="X773" i="10"/>
  <c r="Y773" i="10" s="1"/>
  <c r="X654" i="10"/>
  <c r="Y654" i="10" s="1"/>
  <c r="X493" i="10"/>
  <c r="Y493" i="10" s="1"/>
  <c r="X414" i="10"/>
  <c r="Y414" i="10" s="1"/>
  <c r="X325" i="10"/>
  <c r="Y325" i="10" s="1"/>
  <c r="X254" i="10"/>
  <c r="Y254" i="10" s="1"/>
  <c r="X196" i="10"/>
  <c r="Y196" i="10" s="1"/>
  <c r="X118" i="10"/>
  <c r="Y118" i="10" s="1"/>
  <c r="X52" i="10"/>
  <c r="Y52" i="10" s="1"/>
  <c r="Y882" i="10"/>
  <c r="Y859" i="10"/>
  <c r="Y837" i="10"/>
  <c r="Y818" i="10"/>
  <c r="Y795" i="10"/>
  <c r="Y771" i="10"/>
  <c r="Y714" i="10"/>
  <c r="Y594" i="10"/>
  <c r="Y423" i="10"/>
  <c r="Y251" i="10"/>
  <c r="X884" i="10"/>
  <c r="Y884" i="10" s="1"/>
  <c r="X876" i="10"/>
  <c r="Y876" i="10" s="1"/>
  <c r="X868" i="10"/>
  <c r="Y868" i="10" s="1"/>
  <c r="X763" i="10"/>
  <c r="Y763" i="10" s="1"/>
  <c r="X755" i="10"/>
  <c r="Y755" i="10" s="1"/>
  <c r="X747" i="10"/>
  <c r="Y747" i="10" s="1"/>
  <c r="X739" i="10"/>
  <c r="Y739" i="10" s="1"/>
  <c r="X731" i="10"/>
  <c r="Y731" i="10" s="1"/>
  <c r="X723" i="10"/>
  <c r="Y723" i="10" s="1"/>
  <c r="X715" i="10"/>
  <c r="Y715" i="10" s="1"/>
  <c r="X707" i="10"/>
  <c r="Y707" i="10" s="1"/>
  <c r="X699" i="10"/>
  <c r="Y699" i="10" s="1"/>
  <c r="X691" i="10"/>
  <c r="Y691" i="10" s="1"/>
  <c r="X683" i="10"/>
  <c r="Y683" i="10" s="1"/>
  <c r="X675" i="10"/>
  <c r="Y675" i="10" s="1"/>
  <c r="X667" i="10"/>
  <c r="Y667" i="10" s="1"/>
  <c r="X659" i="10"/>
  <c r="Y659" i="10" s="1"/>
  <c r="X651" i="10"/>
  <c r="Y651" i="10" s="1"/>
  <c r="X643" i="10"/>
  <c r="Y643" i="10" s="1"/>
  <c r="X627" i="10"/>
  <c r="Y627" i="10" s="1"/>
  <c r="X619" i="10"/>
  <c r="Y619" i="10" s="1"/>
  <c r="X611" i="10"/>
  <c r="Y611" i="10" s="1"/>
  <c r="X603" i="10"/>
  <c r="Y603" i="10" s="1"/>
  <c r="X595" i="10"/>
  <c r="Y595" i="10" s="1"/>
  <c r="X587" i="10"/>
  <c r="Y587" i="10" s="1"/>
  <c r="X579" i="10"/>
  <c r="Y579" i="10" s="1"/>
  <c r="X563" i="10"/>
  <c r="Y563" i="10" s="1"/>
  <c r="X555" i="10"/>
  <c r="Y555" i="10" s="1"/>
  <c r="X547" i="10"/>
  <c r="Y547" i="10" s="1"/>
  <c r="X539" i="10"/>
  <c r="Y539" i="10" s="1"/>
  <c r="X531" i="10"/>
  <c r="Y531" i="10" s="1"/>
  <c r="X523" i="10"/>
  <c r="Y523" i="10" s="1"/>
  <c r="X515" i="10"/>
  <c r="Y515" i="10" s="1"/>
  <c r="X499" i="10"/>
  <c r="Y499" i="10" s="1"/>
  <c r="X491" i="10"/>
  <c r="Y491" i="10" s="1"/>
  <c r="X483" i="10"/>
  <c r="Y483" i="10" s="1"/>
  <c r="X475" i="10"/>
  <c r="Y475" i="10" s="1"/>
  <c r="X467" i="10"/>
  <c r="Y467" i="10" s="1"/>
  <c r="X459" i="10"/>
  <c r="Y459" i="10" s="1"/>
  <c r="X451" i="10"/>
  <c r="Y451" i="10" s="1"/>
  <c r="X435" i="10"/>
  <c r="Y435" i="10" s="1"/>
  <c r="X427" i="10"/>
  <c r="Y427" i="10" s="1"/>
  <c r="X419" i="10"/>
  <c r="Y419" i="10" s="1"/>
  <c r="X411" i="10"/>
  <c r="Y411" i="10" s="1"/>
  <c r="X403" i="10"/>
  <c r="Y403" i="10" s="1"/>
  <c r="X395" i="10"/>
  <c r="Y395" i="10" s="1"/>
  <c r="X387" i="10"/>
  <c r="Y387" i="10" s="1"/>
  <c r="X371" i="10"/>
  <c r="Y371" i="10" s="1"/>
  <c r="X363" i="10"/>
  <c r="Y363" i="10" s="1"/>
  <c r="X355" i="10"/>
  <c r="Y355" i="10" s="1"/>
  <c r="X347" i="10"/>
  <c r="Y347" i="10" s="1"/>
  <c r="X339" i="10"/>
  <c r="Y339" i="10" s="1"/>
  <c r="X331" i="10"/>
  <c r="Y331" i="10" s="1"/>
  <c r="X323" i="10"/>
  <c r="Y323" i="10" s="1"/>
  <c r="X307" i="10"/>
  <c r="Y307" i="10" s="1"/>
  <c r="X299" i="10"/>
  <c r="Y299" i="10" s="1"/>
  <c r="X291" i="10"/>
  <c r="Y291" i="10" s="1"/>
  <c r="X283" i="10"/>
  <c r="Y283" i="10" s="1"/>
  <c r="X275" i="10"/>
  <c r="Y275" i="10" s="1"/>
  <c r="X267" i="10"/>
  <c r="Y267" i="10" s="1"/>
  <c r="X259" i="10"/>
  <c r="Y259" i="10" s="1"/>
  <c r="X243" i="10"/>
  <c r="Y243" i="10" s="1"/>
  <c r="X235" i="10"/>
  <c r="Y235" i="10" s="1"/>
  <c r="X227" i="10"/>
  <c r="Y227" i="10" s="1"/>
  <c r="X219" i="10"/>
  <c r="Y219" i="10" s="1"/>
  <c r="X211" i="10"/>
  <c r="Y211" i="10" s="1"/>
  <c r="X203" i="10"/>
  <c r="Y203" i="10" s="1"/>
  <c r="X195" i="10"/>
  <c r="Y195" i="10" s="1"/>
  <c r="X179" i="10"/>
  <c r="Y179" i="10" s="1"/>
  <c r="X171" i="10"/>
  <c r="Y171" i="10" s="1"/>
  <c r="X163" i="10"/>
  <c r="Y163" i="10" s="1"/>
  <c r="X155" i="10"/>
  <c r="Y155" i="10" s="1"/>
  <c r="X147" i="10"/>
  <c r="Y147" i="10" s="1"/>
  <c r="X139" i="10"/>
  <c r="Y139" i="10" s="1"/>
  <c r="X123" i="10"/>
  <c r="Y123" i="10" s="1"/>
  <c r="X115" i="10"/>
  <c r="Y115" i="10" s="1"/>
  <c r="X107" i="10"/>
  <c r="Y107" i="10" s="1"/>
  <c r="X99" i="10"/>
  <c r="Y99" i="10" s="1"/>
  <c r="X91" i="10"/>
  <c r="Y91" i="10" s="1"/>
  <c r="X83" i="10"/>
  <c r="Y83" i="10" s="1"/>
  <c r="X75" i="10"/>
  <c r="Y75" i="10" s="1"/>
  <c r="X59" i="10"/>
  <c r="Y59" i="10" s="1"/>
  <c r="X51" i="10"/>
  <c r="Y51" i="10" s="1"/>
  <c r="X43" i="10"/>
  <c r="Y43" i="10" s="1"/>
  <c r="X35" i="10"/>
  <c r="Y35" i="10" s="1"/>
  <c r="X27" i="10"/>
  <c r="Y27" i="10" s="1"/>
  <c r="X19" i="10"/>
  <c r="Y19" i="10" s="1"/>
  <c r="X11" i="10"/>
  <c r="Y11" i="10" s="1"/>
  <c r="X886" i="10"/>
  <c r="Y886" i="10" s="1"/>
  <c r="X854" i="10"/>
  <c r="Y854" i="10" s="1"/>
  <c r="X813" i="10"/>
  <c r="Y813" i="10" s="1"/>
  <c r="X709" i="10"/>
  <c r="Y709" i="10" s="1"/>
  <c r="X565" i="10"/>
  <c r="Y565" i="10" s="1"/>
  <c r="X246" i="10"/>
  <c r="Y246" i="10" s="1"/>
  <c r="Y877" i="10"/>
  <c r="Y858" i="10"/>
  <c r="Y835" i="10"/>
  <c r="Y794" i="10"/>
  <c r="Y770" i="10"/>
  <c r="Y706" i="10"/>
  <c r="Y571" i="10"/>
  <c r="Y231" i="10"/>
  <c r="X682" i="10"/>
  <c r="Y682" i="10" s="1"/>
  <c r="X674" i="10"/>
  <c r="Y674" i="10" s="1"/>
  <c r="X666" i="10"/>
  <c r="Y666" i="10" s="1"/>
  <c r="X650" i="10"/>
  <c r="Y650" i="10" s="1"/>
  <c r="X642" i="10"/>
  <c r="Y642" i="10" s="1"/>
  <c r="X634" i="10"/>
  <c r="Y634" i="10" s="1"/>
  <c r="X626" i="10"/>
  <c r="Y626" i="10" s="1"/>
  <c r="X618" i="10"/>
  <c r="Y618" i="10" s="1"/>
  <c r="X610" i="10"/>
  <c r="Y610" i="10" s="1"/>
  <c r="X602" i="10"/>
  <c r="Y602" i="10" s="1"/>
  <c r="X586" i="10"/>
  <c r="Y586" i="10" s="1"/>
  <c r="X578" i="10"/>
  <c r="Y578" i="10" s="1"/>
  <c r="X570" i="10"/>
  <c r="Y570" i="10" s="1"/>
  <c r="X562" i="10"/>
  <c r="Y562" i="10" s="1"/>
  <c r="X554" i="10"/>
  <c r="Y554" i="10" s="1"/>
  <c r="X546" i="10"/>
  <c r="Y546" i="10" s="1"/>
  <c r="X538" i="10"/>
  <c r="Y538" i="10" s="1"/>
  <c r="X522" i="10"/>
  <c r="Y522" i="10" s="1"/>
  <c r="X514" i="10"/>
  <c r="Y514" i="10" s="1"/>
  <c r="X506" i="10"/>
  <c r="Y506" i="10" s="1"/>
  <c r="X498" i="10"/>
  <c r="Y498" i="10" s="1"/>
  <c r="X490" i="10"/>
  <c r="Y490" i="10" s="1"/>
  <c r="X482" i="10"/>
  <c r="Y482" i="10" s="1"/>
  <c r="X474" i="10"/>
  <c r="Y474" i="10" s="1"/>
  <c r="X458" i="10"/>
  <c r="Y458" i="10" s="1"/>
  <c r="X450" i="10"/>
  <c r="Y450" i="10" s="1"/>
  <c r="X442" i="10"/>
  <c r="Y442" i="10" s="1"/>
  <c r="X434" i="10"/>
  <c r="Y434" i="10" s="1"/>
  <c r="X426" i="10"/>
  <c r="Y426" i="10" s="1"/>
  <c r="X418" i="10"/>
  <c r="Y418" i="10" s="1"/>
  <c r="X410" i="10"/>
  <c r="Y410" i="10" s="1"/>
  <c r="X394" i="10"/>
  <c r="Y394" i="10" s="1"/>
  <c r="X386" i="10"/>
  <c r="Y386" i="10" s="1"/>
  <c r="X378" i="10"/>
  <c r="Y378" i="10" s="1"/>
  <c r="X370" i="10"/>
  <c r="Y370" i="10" s="1"/>
  <c r="X362" i="10"/>
  <c r="Y362" i="10" s="1"/>
  <c r="X354" i="10"/>
  <c r="Y354" i="10" s="1"/>
  <c r="X346" i="10"/>
  <c r="Y346" i="10" s="1"/>
  <c r="X330" i="10"/>
  <c r="Y330" i="10" s="1"/>
  <c r="X322" i="10"/>
  <c r="Y322" i="10" s="1"/>
  <c r="X314" i="10"/>
  <c r="Y314" i="10" s="1"/>
  <c r="X306" i="10"/>
  <c r="Y306" i="10" s="1"/>
  <c r="X298" i="10"/>
  <c r="Y298" i="10" s="1"/>
  <c r="X290" i="10"/>
  <c r="Y290" i="10" s="1"/>
  <c r="X282" i="10"/>
  <c r="Y282" i="10" s="1"/>
  <c r="X266" i="10"/>
  <c r="Y266" i="10" s="1"/>
  <c r="X258" i="10"/>
  <c r="Y258" i="10" s="1"/>
  <c r="X250" i="10"/>
  <c r="Y250" i="10" s="1"/>
  <c r="X242" i="10"/>
  <c r="Y242" i="10" s="1"/>
  <c r="X234" i="10"/>
  <c r="Y234" i="10" s="1"/>
  <c r="X226" i="10"/>
  <c r="Y226" i="10" s="1"/>
  <c r="X218" i="10"/>
  <c r="Y218" i="10" s="1"/>
  <c r="X202" i="10"/>
  <c r="Y202" i="10" s="1"/>
  <c r="X194" i="10"/>
  <c r="Y194" i="10" s="1"/>
  <c r="X186" i="10"/>
  <c r="Y186" i="10" s="1"/>
  <c r="X178" i="10"/>
  <c r="Y178" i="10" s="1"/>
  <c r="X170" i="10"/>
  <c r="Y170" i="10" s="1"/>
  <c r="X162" i="10"/>
  <c r="Y162" i="10" s="1"/>
  <c r="X154" i="10"/>
  <c r="Y154" i="10" s="1"/>
  <c r="X146" i="10"/>
  <c r="Y146" i="10" s="1"/>
  <c r="X138" i="10"/>
  <c r="Y138" i="10" s="1"/>
  <c r="X130" i="10"/>
  <c r="Y130" i="10" s="1"/>
  <c r="X122" i="10"/>
  <c r="Y122" i="10" s="1"/>
  <c r="X114" i="10"/>
  <c r="Y114" i="10" s="1"/>
  <c r="X106" i="10"/>
  <c r="Y106" i="10" s="1"/>
  <c r="X98" i="10"/>
  <c r="Y98" i="10" s="1"/>
  <c r="X90" i="10"/>
  <c r="Y90" i="10" s="1"/>
  <c r="X82" i="10"/>
  <c r="Y82" i="10" s="1"/>
  <c r="X74" i="10"/>
  <c r="Y74" i="10" s="1"/>
  <c r="X66" i="10"/>
  <c r="Y66" i="10" s="1"/>
  <c r="X58" i="10"/>
  <c r="Y58" i="10" s="1"/>
  <c r="X50" i="10"/>
  <c r="Y50" i="10" s="1"/>
  <c r="X42" i="10"/>
  <c r="Y42" i="10" s="1"/>
  <c r="X34" i="10"/>
  <c r="Y34" i="10" s="1"/>
  <c r="X26" i="10"/>
  <c r="Y26" i="10" s="1"/>
  <c r="X18" i="10"/>
  <c r="Y18" i="10" s="1"/>
  <c r="X10" i="10"/>
  <c r="Y10" i="10" s="1"/>
  <c r="X879" i="10"/>
  <c r="Y879" i="10" s="1"/>
  <c r="X853" i="10"/>
  <c r="Y853" i="10" s="1"/>
  <c r="X757" i="10"/>
  <c r="Y757" i="10" s="1"/>
  <c r="X628" i="10"/>
  <c r="Y628" i="10" s="1"/>
  <c r="X478" i="10"/>
  <c r="Y478" i="10" s="1"/>
  <c r="X390" i="10"/>
  <c r="Y390" i="10" s="1"/>
  <c r="X308" i="10"/>
  <c r="Y308" i="10" s="1"/>
  <c r="X245" i="10"/>
  <c r="Y245" i="10" s="1"/>
  <c r="X173" i="10"/>
  <c r="Y173" i="10" s="1"/>
  <c r="X101" i="10"/>
  <c r="Y101" i="10" s="1"/>
  <c r="X38" i="10"/>
  <c r="Y38" i="10" s="1"/>
  <c r="Y875" i="10"/>
  <c r="Y834" i="10"/>
  <c r="Y811" i="10"/>
  <c r="Y762" i="10"/>
  <c r="Y698" i="10"/>
  <c r="Y551" i="10"/>
  <c r="Y379" i="10"/>
  <c r="Y210" i="10"/>
  <c r="X865" i="10"/>
  <c r="Y865" i="10" s="1"/>
  <c r="X857" i="10"/>
  <c r="Y857" i="10" s="1"/>
  <c r="X849" i="10"/>
  <c r="Y849" i="10" s="1"/>
  <c r="X841" i="10"/>
  <c r="Y841" i="10" s="1"/>
  <c r="X833" i="10"/>
  <c r="Y833" i="10" s="1"/>
  <c r="X825" i="10"/>
  <c r="Y825" i="10" s="1"/>
  <c r="X817" i="10"/>
  <c r="Y817" i="10" s="1"/>
  <c r="X809" i="10"/>
  <c r="Y809" i="10" s="1"/>
  <c r="X801" i="10"/>
  <c r="Y801" i="10" s="1"/>
  <c r="X793" i="10"/>
  <c r="Y793" i="10" s="1"/>
  <c r="X785" i="10"/>
  <c r="Y785" i="10" s="1"/>
  <c r="X777" i="10"/>
  <c r="Y777" i="10" s="1"/>
  <c r="X769" i="10"/>
  <c r="Y769" i="10" s="1"/>
  <c r="X761" i="10"/>
  <c r="Y761" i="10" s="1"/>
  <c r="X753" i="10"/>
  <c r="Y753" i="10" s="1"/>
  <c r="X745" i="10"/>
  <c r="Y745" i="10" s="1"/>
  <c r="X737" i="10"/>
  <c r="Y737" i="10" s="1"/>
  <c r="X729" i="10"/>
  <c r="Y729" i="10" s="1"/>
  <c r="X721" i="10"/>
  <c r="Y721" i="10" s="1"/>
  <c r="X713" i="10"/>
  <c r="Y713" i="10" s="1"/>
  <c r="X705" i="10"/>
  <c r="Y705" i="10" s="1"/>
  <c r="X697" i="10"/>
  <c r="Y697" i="10" s="1"/>
  <c r="X689" i="10"/>
  <c r="Y689" i="10" s="1"/>
  <c r="X681" i="10"/>
  <c r="Y681" i="10" s="1"/>
  <c r="X673" i="10"/>
  <c r="Y673" i="10" s="1"/>
  <c r="X665" i="10"/>
  <c r="Y665" i="10" s="1"/>
  <c r="X657" i="10"/>
  <c r="Y657" i="10" s="1"/>
  <c r="X649" i="10"/>
  <c r="Y649" i="10" s="1"/>
  <c r="X641" i="10"/>
  <c r="Y641" i="10" s="1"/>
  <c r="X633" i="10"/>
  <c r="Y633" i="10" s="1"/>
  <c r="X625" i="10"/>
  <c r="Y625" i="10" s="1"/>
  <c r="X617" i="10"/>
  <c r="Y617" i="10" s="1"/>
  <c r="X609" i="10"/>
  <c r="Y609" i="10" s="1"/>
  <c r="X601" i="10"/>
  <c r="Y601" i="10" s="1"/>
  <c r="X593" i="10"/>
  <c r="Y593" i="10" s="1"/>
  <c r="X585" i="10"/>
  <c r="Y585" i="10" s="1"/>
  <c r="X577" i="10"/>
  <c r="Y577" i="10" s="1"/>
  <c r="X569" i="10"/>
  <c r="Y569" i="10" s="1"/>
  <c r="X561" i="10"/>
  <c r="Y561" i="10" s="1"/>
  <c r="X553" i="10"/>
  <c r="Y553" i="10" s="1"/>
  <c r="X545" i="10"/>
  <c r="Y545" i="10" s="1"/>
  <c r="X537" i="10"/>
  <c r="Y537" i="10" s="1"/>
  <c r="X529" i="10"/>
  <c r="Y529" i="10" s="1"/>
  <c r="X521" i="10"/>
  <c r="Y521" i="10" s="1"/>
  <c r="X513" i="10"/>
  <c r="Y513" i="10" s="1"/>
  <c r="X505" i="10"/>
  <c r="Y505" i="10" s="1"/>
  <c r="X497" i="10"/>
  <c r="Y497" i="10" s="1"/>
  <c r="X489" i="10"/>
  <c r="Y489" i="10" s="1"/>
  <c r="X481" i="10"/>
  <c r="Y481" i="10" s="1"/>
  <c r="X473" i="10"/>
  <c r="Y473" i="10" s="1"/>
  <c r="X465" i="10"/>
  <c r="Y465" i="10" s="1"/>
  <c r="X457" i="10"/>
  <c r="Y457" i="10" s="1"/>
  <c r="X449" i="10"/>
  <c r="Y449" i="10" s="1"/>
  <c r="X441" i="10"/>
  <c r="Y441" i="10" s="1"/>
  <c r="X433" i="10"/>
  <c r="Y433" i="10" s="1"/>
  <c r="X425" i="10"/>
  <c r="Y425" i="10" s="1"/>
  <c r="X417" i="10"/>
  <c r="Y417" i="10" s="1"/>
  <c r="X409" i="10"/>
  <c r="Y409" i="10" s="1"/>
  <c r="X401" i="10"/>
  <c r="Y401" i="10" s="1"/>
  <c r="X393" i="10"/>
  <c r="Y393" i="10" s="1"/>
  <c r="X385" i="10"/>
  <c r="Y385" i="10" s="1"/>
  <c r="X377" i="10"/>
  <c r="Y377" i="10" s="1"/>
  <c r="X369" i="10"/>
  <c r="Y369" i="10" s="1"/>
  <c r="X361" i="10"/>
  <c r="Y361" i="10" s="1"/>
  <c r="X353" i="10"/>
  <c r="Y353" i="10" s="1"/>
  <c r="X345" i="10"/>
  <c r="Y345" i="10" s="1"/>
  <c r="X337" i="10"/>
  <c r="Y337" i="10" s="1"/>
  <c r="X329" i="10"/>
  <c r="Y329" i="10" s="1"/>
  <c r="X321" i="10"/>
  <c r="Y321" i="10" s="1"/>
  <c r="X313" i="10"/>
  <c r="Y313" i="10" s="1"/>
  <c r="X305" i="10"/>
  <c r="Y305" i="10" s="1"/>
  <c r="X297" i="10"/>
  <c r="Y297" i="10" s="1"/>
  <c r="X289" i="10"/>
  <c r="Y289" i="10" s="1"/>
  <c r="X281" i="10"/>
  <c r="Y281" i="10" s="1"/>
  <c r="X273" i="10"/>
  <c r="Y273" i="10" s="1"/>
  <c r="X265" i="10"/>
  <c r="Y265" i="10" s="1"/>
  <c r="X257" i="10"/>
  <c r="Y257" i="10" s="1"/>
  <c r="X249" i="10"/>
  <c r="Y249" i="10" s="1"/>
  <c r="X241" i="10"/>
  <c r="Y241" i="10" s="1"/>
  <c r="X233" i="10"/>
  <c r="Y233" i="10" s="1"/>
  <c r="X225" i="10"/>
  <c r="Y225" i="10" s="1"/>
  <c r="X217" i="10"/>
  <c r="Y217" i="10" s="1"/>
  <c r="X209" i="10"/>
  <c r="Y209" i="10" s="1"/>
  <c r="X201" i="10"/>
  <c r="Y201" i="10" s="1"/>
  <c r="X193" i="10"/>
  <c r="Y193" i="10" s="1"/>
  <c r="X185" i="10"/>
  <c r="Y185" i="10" s="1"/>
  <c r="X177" i="10"/>
  <c r="Y177" i="10" s="1"/>
  <c r="X169" i="10"/>
  <c r="Y169" i="10" s="1"/>
  <c r="X161" i="10"/>
  <c r="Y161" i="10" s="1"/>
  <c r="X153" i="10"/>
  <c r="Y153" i="10" s="1"/>
  <c r="X145" i="10"/>
  <c r="Y145" i="10" s="1"/>
  <c r="X137" i="10"/>
  <c r="Y137" i="10" s="1"/>
  <c r="X129" i="10"/>
  <c r="Y129" i="10" s="1"/>
  <c r="X121" i="10"/>
  <c r="Y121" i="10" s="1"/>
  <c r="X113" i="10"/>
  <c r="Y113" i="10" s="1"/>
  <c r="X105" i="10"/>
  <c r="Y105" i="10" s="1"/>
  <c r="X97" i="10"/>
  <c r="Y97" i="10" s="1"/>
  <c r="X89" i="10"/>
  <c r="Y89" i="10" s="1"/>
  <c r="X81" i="10"/>
  <c r="Y81" i="10" s="1"/>
  <c r="X73" i="10"/>
  <c r="Y73" i="10" s="1"/>
  <c r="X65" i="10"/>
  <c r="Y65" i="10" s="1"/>
  <c r="X57" i="10"/>
  <c r="Y57" i="10" s="1"/>
  <c r="X49" i="10"/>
  <c r="Y49" i="10" s="1"/>
  <c r="X41" i="10"/>
  <c r="Y41" i="10" s="1"/>
  <c r="X33" i="10"/>
  <c r="Y33" i="10" s="1"/>
  <c r="X25" i="10"/>
  <c r="Y25" i="10" s="1"/>
  <c r="X17" i="10"/>
  <c r="Y17" i="10" s="1"/>
  <c r="X9" i="10"/>
  <c r="Y9" i="10" s="1"/>
  <c r="X878" i="10"/>
  <c r="Y878" i="10" s="1"/>
  <c r="X798" i="10"/>
  <c r="Y798" i="10" s="1"/>
  <c r="X750" i="10"/>
  <c r="Y750" i="10" s="1"/>
  <c r="X693" i="10"/>
  <c r="Y693" i="10" s="1"/>
  <c r="X548" i="10"/>
  <c r="Y548" i="10" s="1"/>
  <c r="X461" i="10"/>
  <c r="Y461" i="10" s="1"/>
  <c r="X389" i="10"/>
  <c r="Y389" i="10" s="1"/>
  <c r="X301" i="10"/>
  <c r="Y301" i="10" s="1"/>
  <c r="X229" i="10"/>
  <c r="Y229" i="10" s="1"/>
  <c r="X166" i="10"/>
  <c r="Y166" i="10" s="1"/>
  <c r="X94" i="10"/>
  <c r="Y94" i="10" s="1"/>
  <c r="X22" i="10"/>
  <c r="Y22" i="10" s="1"/>
  <c r="Y874" i="10"/>
  <c r="Y851" i="10"/>
  <c r="Y829" i="10"/>
  <c r="Y810" i="10"/>
  <c r="Y787" i="10"/>
  <c r="Y754" i="10"/>
  <c r="Y690" i="10"/>
  <c r="Y530" i="10"/>
  <c r="Y359" i="10"/>
  <c r="Y187" i="10"/>
  <c r="X881" i="10"/>
  <c r="Y881" i="10" s="1"/>
  <c r="X873" i="10"/>
  <c r="Y873" i="10" s="1"/>
  <c r="X864" i="10"/>
  <c r="Y864" i="10" s="1"/>
  <c r="X856" i="10"/>
  <c r="Y856" i="10" s="1"/>
  <c r="X848" i="10"/>
  <c r="Y848" i="10" s="1"/>
  <c r="X840" i="10"/>
  <c r="Y840" i="10" s="1"/>
  <c r="X832" i="10"/>
  <c r="Y832" i="10" s="1"/>
  <c r="X824" i="10"/>
  <c r="Y824" i="10" s="1"/>
  <c r="X816" i="10"/>
  <c r="Y816" i="10" s="1"/>
  <c r="X808" i="10"/>
  <c r="Y808" i="10" s="1"/>
  <c r="X800" i="10"/>
  <c r="Y800" i="10" s="1"/>
  <c r="X792" i="10"/>
  <c r="Y792" i="10" s="1"/>
  <c r="X784" i="10"/>
  <c r="Y784" i="10" s="1"/>
  <c r="X776" i="10"/>
  <c r="Y776" i="10" s="1"/>
  <c r="X768" i="10"/>
  <c r="Y768" i="10" s="1"/>
  <c r="X760" i="10"/>
  <c r="Y760" i="10" s="1"/>
  <c r="X752" i="10"/>
  <c r="Y752" i="10" s="1"/>
  <c r="X744" i="10"/>
  <c r="Y744" i="10" s="1"/>
  <c r="X736" i="10"/>
  <c r="Y736" i="10" s="1"/>
  <c r="X728" i="10"/>
  <c r="Y728" i="10" s="1"/>
  <c r="X720" i="10"/>
  <c r="Y720" i="10" s="1"/>
  <c r="X712" i="10"/>
  <c r="Y712" i="10" s="1"/>
  <c r="X704" i="10"/>
  <c r="Y704" i="10" s="1"/>
  <c r="X696" i="10"/>
  <c r="Y696" i="10" s="1"/>
  <c r="X688" i="10"/>
  <c r="Y688" i="10" s="1"/>
  <c r="X680" i="10"/>
  <c r="Y680" i="10" s="1"/>
  <c r="X672" i="10"/>
  <c r="Y672" i="10" s="1"/>
  <c r="X664" i="10"/>
  <c r="Y664" i="10" s="1"/>
  <c r="X656" i="10"/>
  <c r="Y656" i="10" s="1"/>
  <c r="X648" i="10"/>
  <c r="Y648" i="10" s="1"/>
  <c r="X640" i="10"/>
  <c r="Y640" i="10" s="1"/>
  <c r="Y632" i="10"/>
  <c r="X624" i="10"/>
  <c r="Y624" i="10" s="1"/>
  <c r="X616" i="10"/>
  <c r="Y616" i="10" s="1"/>
  <c r="X608" i="10"/>
  <c r="Y608" i="10" s="1"/>
  <c r="X600" i="10"/>
  <c r="Y600" i="10" s="1"/>
  <c r="X592" i="10"/>
  <c r="Y592" i="10" s="1"/>
  <c r="X584" i="10"/>
  <c r="Y584" i="10" s="1"/>
  <c r="X576" i="10"/>
  <c r="Y576" i="10" s="1"/>
  <c r="Y568" i="10"/>
  <c r="X560" i="10"/>
  <c r="Y560" i="10" s="1"/>
  <c r="Y552" i="10"/>
  <c r="X544" i="10"/>
  <c r="Y544" i="10" s="1"/>
  <c r="X528" i="10"/>
  <c r="Y528" i="10" s="1"/>
  <c r="X520" i="10"/>
  <c r="Y520" i="10" s="1"/>
  <c r="X512" i="10"/>
  <c r="Y512" i="10" s="1"/>
  <c r="X504" i="10"/>
  <c r="Y504" i="10" s="1"/>
  <c r="X496" i="10"/>
  <c r="Y496" i="10" s="1"/>
  <c r="X488" i="10"/>
  <c r="Y488" i="10" s="1"/>
  <c r="X480" i="10"/>
  <c r="Y480" i="10" s="1"/>
  <c r="X472" i="10"/>
  <c r="Y472" i="10" s="1"/>
  <c r="X464" i="10"/>
  <c r="Y464" i="10" s="1"/>
  <c r="X456" i="10"/>
  <c r="Y456" i="10" s="1"/>
  <c r="X448" i="10"/>
  <c r="Y448" i="10" s="1"/>
  <c r="X440" i="10"/>
  <c r="Y440" i="10" s="1"/>
  <c r="X432" i="10"/>
  <c r="Y432" i="10" s="1"/>
  <c r="X424" i="10"/>
  <c r="Y424" i="10" s="1"/>
  <c r="X416" i="10"/>
  <c r="Y416" i="10" s="1"/>
  <c r="X408" i="10"/>
  <c r="Y408" i="10" s="1"/>
  <c r="X400" i="10"/>
  <c r="Y400" i="10" s="1"/>
  <c r="X392" i="10"/>
  <c r="Y392" i="10" s="1"/>
  <c r="X384" i="10"/>
  <c r="Y384" i="10" s="1"/>
  <c r="X376" i="10"/>
  <c r="Y376" i="10" s="1"/>
  <c r="X368" i="10"/>
  <c r="Y368" i="10" s="1"/>
  <c r="X360" i="10"/>
  <c r="Y360" i="10" s="1"/>
  <c r="X352" i="10"/>
  <c r="Y352" i="10" s="1"/>
  <c r="X344" i="10"/>
  <c r="Y344" i="10" s="1"/>
  <c r="X336" i="10"/>
  <c r="Y336" i="10" s="1"/>
  <c r="X328" i="10"/>
  <c r="Y328" i="10" s="1"/>
  <c r="X320" i="10"/>
  <c r="Y320" i="10" s="1"/>
  <c r="X312" i="10"/>
  <c r="Y312" i="10" s="1"/>
  <c r="X304" i="10"/>
  <c r="Y304" i="10" s="1"/>
  <c r="X296" i="10"/>
  <c r="Y296" i="10" s="1"/>
  <c r="X288" i="10"/>
  <c r="Y288" i="10" s="1"/>
  <c r="X280" i="10"/>
  <c r="Y280" i="10" s="1"/>
  <c r="X272" i="10"/>
  <c r="Y272" i="10" s="1"/>
  <c r="X264" i="10"/>
  <c r="Y264" i="10" s="1"/>
  <c r="X256" i="10"/>
  <c r="Y256" i="10" s="1"/>
  <c r="X248" i="10"/>
  <c r="Y248" i="10" s="1"/>
  <c r="X240" i="10"/>
  <c r="Y240" i="10" s="1"/>
  <c r="X232" i="10"/>
  <c r="Y232" i="10" s="1"/>
  <c r="X224" i="10"/>
  <c r="Y224" i="10" s="1"/>
  <c r="X216" i="10"/>
  <c r="Y216" i="10" s="1"/>
  <c r="X208" i="10"/>
  <c r="Y208" i="10" s="1"/>
  <c r="X200" i="10"/>
  <c r="Y200" i="10" s="1"/>
  <c r="X192" i="10"/>
  <c r="Y192" i="10" s="1"/>
  <c r="X184" i="10"/>
  <c r="Y184" i="10" s="1"/>
  <c r="X176" i="10"/>
  <c r="Y176" i="10" s="1"/>
  <c r="X168" i="10"/>
  <c r="Y168" i="10" s="1"/>
  <c r="X160" i="10"/>
  <c r="Y160" i="10" s="1"/>
  <c r="X152" i="10"/>
  <c r="Y152" i="10" s="1"/>
  <c r="X144" i="10"/>
  <c r="Y144" i="10" s="1"/>
  <c r="X136" i="10"/>
  <c r="Y136" i="10" s="1"/>
  <c r="X128" i="10"/>
  <c r="Y128" i="10" s="1"/>
  <c r="X120" i="10"/>
  <c r="Y120" i="10" s="1"/>
  <c r="X112" i="10"/>
  <c r="Y112" i="10" s="1"/>
  <c r="X104" i="10"/>
  <c r="Y104" i="10" s="1"/>
  <c r="X96" i="10"/>
  <c r="Y96" i="10" s="1"/>
  <c r="X88" i="10"/>
  <c r="Y88" i="10" s="1"/>
  <c r="X80" i="10"/>
  <c r="Y80" i="10" s="1"/>
  <c r="X72" i="10"/>
  <c r="Y72" i="10" s="1"/>
  <c r="X64" i="10"/>
  <c r="Y64" i="10" s="1"/>
  <c r="X56" i="10"/>
  <c r="Y56" i="10" s="1"/>
  <c r="X48" i="10"/>
  <c r="Y48" i="10" s="1"/>
  <c r="X40" i="10"/>
  <c r="Y40" i="10" s="1"/>
  <c r="X32" i="10"/>
  <c r="Y32" i="10" s="1"/>
  <c r="X24" i="10"/>
  <c r="Y24" i="10" s="1"/>
  <c r="X16" i="10"/>
  <c r="Y16" i="10" s="1"/>
  <c r="X8" i="10"/>
  <c r="Y8" i="10" s="1"/>
  <c r="X749" i="10"/>
  <c r="Y749" i="10" s="1"/>
  <c r="X686" i="10"/>
  <c r="Y686" i="10" s="1"/>
  <c r="X612" i="10"/>
  <c r="Y612" i="10" s="1"/>
  <c r="X536" i="10"/>
  <c r="Y536" i="10" s="1"/>
  <c r="X454" i="10"/>
  <c r="Y454" i="10" s="1"/>
  <c r="X365" i="10"/>
  <c r="Y365" i="10" s="1"/>
  <c r="X294" i="10"/>
  <c r="Y294" i="10" s="1"/>
  <c r="X222" i="10"/>
  <c r="Y222" i="10" s="1"/>
  <c r="X150" i="10"/>
  <c r="Y150" i="10" s="1"/>
  <c r="X93" i="10"/>
  <c r="Y93" i="10" s="1"/>
  <c r="X20" i="10"/>
  <c r="Y20" i="10" s="1"/>
  <c r="Y869" i="10"/>
  <c r="Y850" i="10"/>
  <c r="Y827" i="10"/>
  <c r="Y805" i="10"/>
  <c r="Y786" i="10"/>
  <c r="Y746" i="10"/>
  <c r="Y679" i="10"/>
  <c r="Y507" i="10"/>
  <c r="Y338" i="10"/>
  <c r="Y131" i="10"/>
  <c r="X888" i="10"/>
  <c r="Y888" i="10" s="1"/>
  <c r="X880" i="10"/>
  <c r="Y880" i="10" s="1"/>
  <c r="X872" i="10"/>
  <c r="Y872" i="10" s="1"/>
  <c r="X863" i="10"/>
  <c r="Y863" i="10" s="1"/>
  <c r="Y855" i="10"/>
  <c r="X847" i="10"/>
  <c r="Y847" i="10" s="1"/>
  <c r="Y839" i="10"/>
  <c r="X823" i="10"/>
  <c r="Y823" i="10" s="1"/>
  <c r="X815" i="10"/>
  <c r="Y815" i="10" s="1"/>
  <c r="Y807" i="10"/>
  <c r="X799" i="10"/>
  <c r="Y799" i="10" s="1"/>
  <c r="Y791" i="10"/>
  <c r="X783" i="10"/>
  <c r="Y783" i="10" s="1"/>
  <c r="Y775" i="10"/>
  <c r="Y767" i="10"/>
  <c r="X759" i="10"/>
  <c r="Y759" i="10" s="1"/>
  <c r="X751" i="10"/>
  <c r="Y751" i="10" s="1"/>
  <c r="X743" i="10"/>
  <c r="Y743" i="10" s="1"/>
  <c r="X735" i="10"/>
  <c r="Y735" i="10" s="1"/>
  <c r="Y727" i="10"/>
  <c r="X719" i="10"/>
  <c r="Y719" i="10" s="1"/>
  <c r="Y711" i="10"/>
  <c r="Y703" i="10"/>
  <c r="X695" i="10"/>
  <c r="Y695" i="10" s="1"/>
  <c r="X687" i="10"/>
  <c r="Y687" i="10" s="1"/>
  <c r="X671" i="10"/>
  <c r="Y671" i="10" s="1"/>
  <c r="X663" i="10"/>
  <c r="Y663" i="10" s="1"/>
  <c r="Y655" i="10"/>
  <c r="X647" i="10"/>
  <c r="Y647" i="10" s="1"/>
  <c r="X639" i="10"/>
  <c r="Y639" i="10" s="1"/>
  <c r="X631" i="10"/>
  <c r="Y631" i="10" s="1"/>
  <c r="Y623" i="10"/>
  <c r="X607" i="10"/>
  <c r="Y607" i="10" s="1"/>
  <c r="X599" i="10"/>
  <c r="Y599" i="10" s="1"/>
  <c r="X591" i="10"/>
  <c r="Y591" i="10" s="1"/>
  <c r="X583" i="10"/>
  <c r="Y583" i="10" s="1"/>
  <c r="X575" i="10"/>
  <c r="Y575" i="10" s="1"/>
  <c r="X567" i="10"/>
  <c r="Y567" i="10" s="1"/>
  <c r="X559" i="10"/>
  <c r="Y559" i="10" s="1"/>
  <c r="X543" i="10"/>
  <c r="Y543" i="10" s="1"/>
  <c r="X535" i="10"/>
  <c r="Y535" i="10" s="1"/>
  <c r="X527" i="10"/>
  <c r="Y527" i="10" s="1"/>
  <c r="X519" i="10"/>
  <c r="Y519" i="10" s="1"/>
  <c r="X511" i="10"/>
  <c r="Y511" i="10" s="1"/>
  <c r="X503" i="10"/>
  <c r="Y503" i="10" s="1"/>
  <c r="X495" i="10"/>
  <c r="Y495" i="10" s="1"/>
  <c r="Y479" i="10"/>
  <c r="X471" i="10"/>
  <c r="Y471" i="10" s="1"/>
  <c r="X463" i="10"/>
  <c r="Y463" i="10" s="1"/>
  <c r="X455" i="10"/>
  <c r="Y455" i="10" s="1"/>
  <c r="X447" i="10"/>
  <c r="Y447" i="10" s="1"/>
  <c r="X439" i="10"/>
  <c r="Y439" i="10" s="1"/>
  <c r="X431" i="10"/>
  <c r="Y431" i="10" s="1"/>
  <c r="Y415" i="10"/>
  <c r="X407" i="10"/>
  <c r="Y407" i="10" s="1"/>
  <c r="X399" i="10"/>
  <c r="Y399" i="10" s="1"/>
  <c r="X391" i="10"/>
  <c r="Y391" i="10" s="1"/>
  <c r="X383" i="10"/>
  <c r="Y383" i="10" s="1"/>
  <c r="X375" i="10"/>
  <c r="Y375" i="10" s="1"/>
  <c r="X367" i="10"/>
  <c r="Y367" i="10" s="1"/>
  <c r="X343" i="10"/>
  <c r="Y343" i="10" s="1"/>
  <c r="X335" i="10"/>
  <c r="Y335" i="10" s="1"/>
  <c r="X327" i="10"/>
  <c r="Y327" i="10" s="1"/>
  <c r="X319" i="10"/>
  <c r="Y319" i="10" s="1"/>
  <c r="X311" i="10"/>
  <c r="Y311" i="10" s="1"/>
  <c r="X303" i="10"/>
  <c r="Y303" i="10" s="1"/>
  <c r="X287" i="10"/>
  <c r="Y287" i="10" s="1"/>
  <c r="X279" i="10"/>
  <c r="Y279" i="10" s="1"/>
  <c r="X271" i="10"/>
  <c r="Y271" i="10" s="1"/>
  <c r="X263" i="10"/>
  <c r="Y263" i="10" s="1"/>
  <c r="X255" i="10"/>
  <c r="Y255" i="10" s="1"/>
  <c r="X247" i="10"/>
  <c r="Y247" i="10" s="1"/>
  <c r="X239" i="10"/>
  <c r="Y239" i="10" s="1"/>
  <c r="X223" i="10"/>
  <c r="Y223" i="10" s="1"/>
  <c r="X215" i="10"/>
  <c r="Y215" i="10" s="1"/>
  <c r="X207" i="10"/>
  <c r="Y207" i="10" s="1"/>
  <c r="X199" i="10"/>
  <c r="Y199" i="10" s="1"/>
  <c r="X191" i="10"/>
  <c r="Y191" i="10" s="1"/>
  <c r="X183" i="10"/>
  <c r="Y183" i="10" s="1"/>
  <c r="X175" i="10"/>
  <c r="Y175" i="10" s="1"/>
  <c r="X167" i="10"/>
  <c r="Y167" i="10" s="1"/>
  <c r="X159" i="10"/>
  <c r="Y159" i="10" s="1"/>
  <c r="X151" i="10"/>
  <c r="Y151" i="10" s="1"/>
  <c r="X143" i="10"/>
  <c r="Y143" i="10" s="1"/>
  <c r="X135" i="10"/>
  <c r="Y135" i="10" s="1"/>
  <c r="X127" i="10"/>
  <c r="Y127" i="10" s="1"/>
  <c r="X119" i="10"/>
  <c r="Y119" i="10" s="1"/>
  <c r="X111" i="10"/>
  <c r="Y111" i="10" s="1"/>
  <c r="X103" i="10"/>
  <c r="Y103" i="10" s="1"/>
  <c r="X95" i="10"/>
  <c r="Y95" i="10" s="1"/>
  <c r="X87" i="10"/>
  <c r="Y87" i="10" s="1"/>
  <c r="X79" i="10"/>
  <c r="Y79" i="10" s="1"/>
  <c r="X71" i="10"/>
  <c r="Y71" i="10" s="1"/>
  <c r="X63" i="10"/>
  <c r="Y63" i="10" s="1"/>
  <c r="X55" i="10"/>
  <c r="Y55" i="10" s="1"/>
  <c r="X47" i="10"/>
  <c r="Y47" i="10" s="1"/>
  <c r="X39" i="10"/>
  <c r="Y39" i="10" s="1"/>
  <c r="X31" i="10"/>
  <c r="Y31" i="10" s="1"/>
  <c r="X23" i="10"/>
  <c r="Y23" i="10" s="1"/>
  <c r="X15" i="10"/>
  <c r="Y15" i="10" s="1"/>
  <c r="X7" i="10"/>
  <c r="Y7" i="10" s="1"/>
  <c r="X871" i="10"/>
  <c r="Y871" i="10" s="1"/>
  <c r="X831" i="10"/>
  <c r="Y831" i="10" s="1"/>
  <c r="X790" i="10"/>
  <c r="Y790" i="10" s="1"/>
  <c r="X734" i="10"/>
  <c r="Y734" i="10" s="1"/>
  <c r="X685" i="10"/>
  <c r="Y685" i="10" s="1"/>
  <c r="X597" i="10"/>
  <c r="Y597" i="10" s="1"/>
  <c r="X525" i="10"/>
  <c r="Y525" i="10" s="1"/>
  <c r="X351" i="10"/>
  <c r="Y351" i="10" s="1"/>
  <c r="X278" i="10"/>
  <c r="Y278" i="10" s="1"/>
  <c r="X14" i="10"/>
  <c r="Y14" i="10" s="1"/>
  <c r="Y867" i="10"/>
  <c r="Y845" i="10"/>
  <c r="Y826" i="10"/>
  <c r="Y803" i="10"/>
  <c r="Y781" i="10"/>
  <c r="Y738" i="10"/>
  <c r="Y658" i="10"/>
  <c r="Y487" i="10"/>
  <c r="Y315" i="10"/>
  <c r="Y67" i="10"/>
  <c r="AA197" i="10" l="1"/>
  <c r="AB197" i="10" s="1"/>
  <c r="AA702" i="10"/>
  <c r="AB702" i="10" s="1"/>
  <c r="AA259" i="10"/>
  <c r="AB259" i="10" s="1"/>
  <c r="AA109" i="10"/>
  <c r="AB109" i="10" s="1"/>
  <c r="AA765" i="10"/>
  <c r="AB765" i="10" s="1"/>
  <c r="AA422" i="10"/>
  <c r="AB422" i="10" s="1"/>
  <c r="AA202" i="10"/>
  <c r="AB202" i="10" s="1"/>
  <c r="AA252" i="10"/>
  <c r="AB252" i="10" s="1"/>
  <c r="AA238" i="10"/>
  <c r="AB238" i="10" s="1"/>
  <c r="AA593" i="10"/>
  <c r="AB593" i="10" s="1"/>
  <c r="AA313" i="10"/>
  <c r="AB313" i="10" s="1"/>
  <c r="AA560" i="10"/>
  <c r="AB560" i="10" s="1"/>
  <c r="AA659" i="10"/>
  <c r="AB659" i="10" s="1"/>
  <c r="AA884" i="10"/>
  <c r="AB884" i="10" s="1"/>
  <c r="AA789" i="10"/>
  <c r="AB789" i="10" s="1"/>
  <c r="AA36" i="10"/>
  <c r="AB36" i="10" s="1"/>
  <c r="AA264" i="10"/>
  <c r="AB264" i="10" s="1"/>
  <c r="AA731" i="10"/>
  <c r="AB731" i="10" s="1"/>
  <c r="AA292" i="10"/>
  <c r="AB292" i="10" s="1"/>
  <c r="AA564" i="10"/>
  <c r="AB564" i="10" s="1"/>
  <c r="AA700" i="10"/>
  <c r="AB700" i="10" s="1"/>
  <c r="AA645" i="10"/>
  <c r="AB645" i="10" s="1"/>
  <c r="AA790" i="10"/>
  <c r="AB790" i="10" s="1"/>
  <c r="AA303" i="10"/>
  <c r="AB303" i="10" s="1"/>
  <c r="AA671" i="10"/>
  <c r="AB671" i="10" s="1"/>
  <c r="AA294" i="10"/>
  <c r="AB294" i="10" s="1"/>
  <c r="AA208" i="10"/>
  <c r="AB208" i="10" s="1"/>
  <c r="AA376" i="10"/>
  <c r="AB376" i="10" s="1"/>
  <c r="AA873" i="10"/>
  <c r="AB873" i="10" s="1"/>
  <c r="AA137" i="10"/>
  <c r="AB137" i="10" s="1"/>
  <c r="AA369" i="10"/>
  <c r="AB369" i="10" s="1"/>
  <c r="AA721" i="10"/>
  <c r="AB721" i="10" s="1"/>
  <c r="AA849" i="10"/>
  <c r="AB849" i="10" s="1"/>
  <c r="AA26" i="10"/>
  <c r="AB26" i="10" s="1"/>
  <c r="AA154" i="10"/>
  <c r="AB154" i="10" s="1"/>
  <c r="AA426" i="10"/>
  <c r="AB426" i="10" s="1"/>
  <c r="AA562" i="10"/>
  <c r="AB562" i="10" s="1"/>
  <c r="AA706" i="10"/>
  <c r="AB706" i="10" s="1"/>
  <c r="AA43" i="10"/>
  <c r="AB43" i="10" s="1"/>
  <c r="AA195" i="10"/>
  <c r="AB195" i="10" s="1"/>
  <c r="AA403" i="10"/>
  <c r="AB403" i="10" s="1"/>
  <c r="AA547" i="10"/>
  <c r="AB547" i="10" s="1"/>
  <c r="AA739" i="10"/>
  <c r="AB739" i="10" s="1"/>
  <c r="AA493" i="10"/>
  <c r="AB493" i="10" s="1"/>
  <c r="AA84" i="10"/>
  <c r="AB84" i="10" s="1"/>
  <c r="AA268" i="10"/>
  <c r="AB268" i="10" s="1"/>
  <c r="AA396" i="10"/>
  <c r="AB396" i="10" s="1"/>
  <c r="AA524" i="10"/>
  <c r="AB524" i="10" s="1"/>
  <c r="AA716" i="10"/>
  <c r="AB716" i="10" s="1"/>
  <c r="AA836" i="10"/>
  <c r="AB836" i="10" s="1"/>
  <c r="AA778" i="10"/>
  <c r="AB778" i="10" s="1"/>
  <c r="AA29" i="10"/>
  <c r="AB29" i="10" s="1"/>
  <c r="AA157" i="10"/>
  <c r="AB157" i="10" s="1"/>
  <c r="AA317" i="10"/>
  <c r="AB317" i="10" s="1"/>
  <c r="AA557" i="10"/>
  <c r="AB557" i="10" s="1"/>
  <c r="AA725" i="10"/>
  <c r="AB725" i="10" s="1"/>
  <c r="AA78" i="10"/>
  <c r="AB78" i="10" s="1"/>
  <c r="AA286" i="10"/>
  <c r="AB286" i="10" s="1"/>
  <c r="AA438" i="10"/>
  <c r="AB438" i="10" s="1"/>
  <c r="AA582" i="10"/>
  <c r="AB582" i="10" s="1"/>
  <c r="AA718" i="10"/>
  <c r="AB718" i="10" s="1"/>
  <c r="AA822" i="10"/>
  <c r="AB822" i="10" s="1"/>
  <c r="AA14" i="10"/>
  <c r="AB14" i="10" s="1"/>
  <c r="AA111" i="10"/>
  <c r="AB111" i="10" s="1"/>
  <c r="AA175" i="10"/>
  <c r="AB175" i="10" s="1"/>
  <c r="AA311" i="10"/>
  <c r="AB311" i="10" s="1"/>
  <c r="AA463" i="10"/>
  <c r="AB463" i="10" s="1"/>
  <c r="AA607" i="10"/>
  <c r="AB607" i="10" s="1"/>
  <c r="AA687" i="10"/>
  <c r="AB687" i="10" s="1"/>
  <c r="AA751" i="10"/>
  <c r="AB751" i="10" s="1"/>
  <c r="AA815" i="10"/>
  <c r="AB815" i="10" s="1"/>
  <c r="AA888" i="10"/>
  <c r="AB888" i="10" s="1"/>
  <c r="AA827" i="10"/>
  <c r="AB827" i="10" s="1"/>
  <c r="AA365" i="10"/>
  <c r="AB365" i="10" s="1"/>
  <c r="AA24" i="10"/>
  <c r="AB24" i="10" s="1"/>
  <c r="AA88" i="10"/>
  <c r="AB88" i="10" s="1"/>
  <c r="AA152" i="10"/>
  <c r="AB152" i="10" s="1"/>
  <c r="AA216" i="10"/>
  <c r="AB216" i="10" s="1"/>
  <c r="AA272" i="10"/>
  <c r="AB272" i="10" s="1"/>
  <c r="AA328" i="10"/>
  <c r="AB328" i="10" s="1"/>
  <c r="AA440" i="10"/>
  <c r="AB440" i="10" s="1"/>
  <c r="AA504" i="10"/>
  <c r="AB504" i="10" s="1"/>
  <c r="AA568" i="10"/>
  <c r="AB568" i="10" s="1"/>
  <c r="AA632" i="10"/>
  <c r="AB632" i="10" s="1"/>
  <c r="AA696" i="10"/>
  <c r="AB696" i="10" s="1"/>
  <c r="AA752" i="10"/>
  <c r="AB752" i="10" s="1"/>
  <c r="AA816" i="10"/>
  <c r="AB816" i="10" s="1"/>
  <c r="AA881" i="10"/>
  <c r="AB881" i="10" s="1"/>
  <c r="AA829" i="10"/>
  <c r="AB829" i="10" s="1"/>
  <c r="AA389" i="10"/>
  <c r="AB389" i="10" s="1"/>
  <c r="AA17" i="10"/>
  <c r="AB17" i="10" s="1"/>
  <c r="AA81" i="10"/>
  <c r="AB81" i="10" s="1"/>
  <c r="AA145" i="10"/>
  <c r="AB145" i="10" s="1"/>
  <c r="AA209" i="10"/>
  <c r="AB209" i="10" s="1"/>
  <c r="AA265" i="10"/>
  <c r="AB265" i="10" s="1"/>
  <c r="AA321" i="10"/>
  <c r="AB321" i="10" s="1"/>
  <c r="AA377" i="10"/>
  <c r="AB377" i="10" s="1"/>
  <c r="AA433" i="10"/>
  <c r="AB433" i="10" s="1"/>
  <c r="AA497" i="10"/>
  <c r="AB497" i="10" s="1"/>
  <c r="AA545" i="10"/>
  <c r="AB545" i="10" s="1"/>
  <c r="AA601" i="10"/>
  <c r="AB601" i="10" s="1"/>
  <c r="AA665" i="10"/>
  <c r="AB665" i="10" s="1"/>
  <c r="AA729" i="10"/>
  <c r="AB729" i="10" s="1"/>
  <c r="AA793" i="10"/>
  <c r="AB793" i="10" s="1"/>
  <c r="AA857" i="10"/>
  <c r="AB857" i="10" s="1"/>
  <c r="AA834" i="10"/>
  <c r="AB834" i="10" s="1"/>
  <c r="AA478" i="10"/>
  <c r="AB478" i="10" s="1"/>
  <c r="AA34" i="10"/>
  <c r="AB34" i="10" s="1"/>
  <c r="AA98" i="10"/>
  <c r="AB98" i="10" s="1"/>
  <c r="AA162" i="10"/>
  <c r="AB162" i="10" s="1"/>
  <c r="AA218" i="10"/>
  <c r="AB218" i="10" s="1"/>
  <c r="AA290" i="10"/>
  <c r="AB290" i="10" s="1"/>
  <c r="AA362" i="10"/>
  <c r="AB362" i="10" s="1"/>
  <c r="AA434" i="10"/>
  <c r="AB434" i="10" s="1"/>
  <c r="AA506" i="10"/>
  <c r="AB506" i="10" s="1"/>
  <c r="AA570" i="10"/>
  <c r="AB570" i="10" s="1"/>
  <c r="AA642" i="10"/>
  <c r="AB642" i="10" s="1"/>
  <c r="AA770" i="10"/>
  <c r="AB770" i="10" s="1"/>
  <c r="AA813" i="10"/>
  <c r="AB813" i="10" s="1"/>
  <c r="AA51" i="10"/>
  <c r="AB51" i="10" s="1"/>
  <c r="AA123" i="10"/>
  <c r="AB123" i="10" s="1"/>
  <c r="AA203" i="10"/>
  <c r="AB203" i="10" s="1"/>
  <c r="AA267" i="10"/>
  <c r="AB267" i="10" s="1"/>
  <c r="AA339" i="10"/>
  <c r="AB339" i="10" s="1"/>
  <c r="AA411" i="10"/>
  <c r="AB411" i="10" s="1"/>
  <c r="AA483" i="10"/>
  <c r="AB483" i="10" s="1"/>
  <c r="AA555" i="10"/>
  <c r="AB555" i="10" s="1"/>
  <c r="AA627" i="10"/>
  <c r="AB627" i="10" s="1"/>
  <c r="AA691" i="10"/>
  <c r="AB691" i="10" s="1"/>
  <c r="AA747" i="10"/>
  <c r="AB747" i="10" s="1"/>
  <c r="AA423" i="10"/>
  <c r="AB423" i="10" s="1"/>
  <c r="AA882" i="10"/>
  <c r="AB882" i="10" s="1"/>
  <c r="AA654" i="10"/>
  <c r="AB654" i="10" s="1"/>
  <c r="AA92" i="10"/>
  <c r="AB92" i="10" s="1"/>
  <c r="AA156" i="10"/>
  <c r="AB156" i="10" s="1"/>
  <c r="AA220" i="10"/>
  <c r="AB220" i="10" s="1"/>
  <c r="AA276" i="10"/>
  <c r="AB276" i="10" s="1"/>
  <c r="AA340" i="10"/>
  <c r="AB340" i="10" s="1"/>
  <c r="AA404" i="10"/>
  <c r="AB404" i="10" s="1"/>
  <c r="AA468" i="10"/>
  <c r="AB468" i="10" s="1"/>
  <c r="AA532" i="10"/>
  <c r="AB532" i="10" s="1"/>
  <c r="AA596" i="10"/>
  <c r="AB596" i="10" s="1"/>
  <c r="AA724" i="10"/>
  <c r="AB724" i="10" s="1"/>
  <c r="AA788" i="10"/>
  <c r="AB788" i="10" s="1"/>
  <c r="AA844" i="10"/>
  <c r="AB844" i="10" s="1"/>
  <c r="AA797" i="10"/>
  <c r="AB797" i="10" s="1"/>
  <c r="AA333" i="10"/>
  <c r="AB333" i="10" s="1"/>
  <c r="AA37" i="10"/>
  <c r="AB37" i="10" s="1"/>
  <c r="AA165" i="10"/>
  <c r="AB165" i="10" s="1"/>
  <c r="AA253" i="10"/>
  <c r="AB253" i="10" s="1"/>
  <c r="AA341" i="10"/>
  <c r="AB341" i="10" s="1"/>
  <c r="AA421" i="10"/>
  <c r="AB421" i="10" s="1"/>
  <c r="AA573" i="10"/>
  <c r="AB573" i="10" s="1"/>
  <c r="AA733" i="10"/>
  <c r="AB733" i="10" s="1"/>
  <c r="AA6" i="10"/>
  <c r="AB6" i="10" s="1"/>
  <c r="AA86" i="10"/>
  <c r="AB86" i="10" s="1"/>
  <c r="AA198" i="10"/>
  <c r="AB198" i="10" s="1"/>
  <c r="AA302" i="10"/>
  <c r="AB302" i="10" s="1"/>
  <c r="AA374" i="10"/>
  <c r="AB374" i="10" s="1"/>
  <c r="AA446" i="10"/>
  <c r="AB446" i="10" s="1"/>
  <c r="AA526" i="10"/>
  <c r="AB526" i="10" s="1"/>
  <c r="AA590" i="10"/>
  <c r="AB590" i="10" s="1"/>
  <c r="AA662" i="10"/>
  <c r="AB662" i="10" s="1"/>
  <c r="AA742" i="10"/>
  <c r="AB742" i="10" s="1"/>
  <c r="AA838" i="10"/>
  <c r="AB838" i="10" s="1"/>
  <c r="AA466" i="10"/>
  <c r="AB466" i="10" s="1"/>
  <c r="AA810" i="10"/>
  <c r="AB810" i="10" s="1"/>
  <c r="AA73" i="10"/>
  <c r="AB73" i="10" s="1"/>
  <c r="AA201" i="10"/>
  <c r="AB201" i="10" s="1"/>
  <c r="AA537" i="10"/>
  <c r="AB537" i="10" s="1"/>
  <c r="AA657" i="10"/>
  <c r="AB657" i="10" s="1"/>
  <c r="AA785" i="10"/>
  <c r="AB785" i="10" s="1"/>
  <c r="AA811" i="10"/>
  <c r="AB811" i="10" s="1"/>
  <c r="AA390" i="10"/>
  <c r="AB390" i="10" s="1"/>
  <c r="AA90" i="10"/>
  <c r="AB90" i="10" s="1"/>
  <c r="AA282" i="10"/>
  <c r="AB282" i="10" s="1"/>
  <c r="AA354" i="10"/>
  <c r="AB354" i="10" s="1"/>
  <c r="AA498" i="10"/>
  <c r="AB498" i="10" s="1"/>
  <c r="AA634" i="10"/>
  <c r="AB634" i="10" s="1"/>
  <c r="AA709" i="10"/>
  <c r="AB709" i="10" s="1"/>
  <c r="AA115" i="10"/>
  <c r="AB115" i="10" s="1"/>
  <c r="AA331" i="10"/>
  <c r="AB331" i="10" s="1"/>
  <c r="AA475" i="10"/>
  <c r="AB475" i="10" s="1"/>
  <c r="AA619" i="10"/>
  <c r="AB619" i="10" s="1"/>
  <c r="AA683" i="10"/>
  <c r="AB683" i="10" s="1"/>
  <c r="AA251" i="10"/>
  <c r="AB251" i="10" s="1"/>
  <c r="AA859" i="10"/>
  <c r="AB859" i="10" s="1"/>
  <c r="AA148" i="10"/>
  <c r="AB148" i="10" s="1"/>
  <c r="AA212" i="10"/>
  <c r="AB212" i="10" s="1"/>
  <c r="AA332" i="10"/>
  <c r="AB332" i="10" s="1"/>
  <c r="AA460" i="10"/>
  <c r="AB460" i="10" s="1"/>
  <c r="AA588" i="10"/>
  <c r="AB588" i="10" s="1"/>
  <c r="AA668" i="10"/>
  <c r="AB668" i="10" s="1"/>
  <c r="AA780" i="10"/>
  <c r="AB780" i="10" s="1"/>
  <c r="AA270" i="10"/>
  <c r="AB270" i="10" s="1"/>
  <c r="AA237" i="10"/>
  <c r="AB237" i="10" s="1"/>
  <c r="AA413" i="10"/>
  <c r="AB413" i="10" s="1"/>
  <c r="AA485" i="10"/>
  <c r="AB485" i="10" s="1"/>
  <c r="AA830" i="10"/>
  <c r="AB830" i="10" s="1"/>
  <c r="AA190" i="10"/>
  <c r="AB190" i="10" s="1"/>
  <c r="AA366" i="10"/>
  <c r="AB366" i="10" s="1"/>
  <c r="AA518" i="10"/>
  <c r="AB518" i="10" s="1"/>
  <c r="AA646" i="10"/>
  <c r="AB646" i="10" s="1"/>
  <c r="AA885" i="10"/>
  <c r="AB885" i="10" s="1"/>
  <c r="AA487" i="10"/>
  <c r="AB487" i="10" s="1"/>
  <c r="AA831" i="10"/>
  <c r="AB831" i="10" s="1"/>
  <c r="AA55" i="10"/>
  <c r="AB55" i="10" s="1"/>
  <c r="AA239" i="10"/>
  <c r="AB239" i="10" s="1"/>
  <c r="AA391" i="10"/>
  <c r="AB391" i="10" s="1"/>
  <c r="AA535" i="10"/>
  <c r="AB535" i="10" s="1"/>
  <c r="AA658" i="10"/>
  <c r="AB658" i="10" s="1"/>
  <c r="AA278" i="10"/>
  <c r="AB278" i="10" s="1"/>
  <c r="AA871" i="10"/>
  <c r="AB871" i="10" s="1"/>
  <c r="AA119" i="10"/>
  <c r="AB119" i="10" s="1"/>
  <c r="AA247" i="10"/>
  <c r="AB247" i="10" s="1"/>
  <c r="AA319" i="10"/>
  <c r="AB319" i="10" s="1"/>
  <c r="AA399" i="10"/>
  <c r="AB399" i="10" s="1"/>
  <c r="AA471" i="10"/>
  <c r="AB471" i="10" s="1"/>
  <c r="AA543" i="10"/>
  <c r="AB543" i="10" s="1"/>
  <c r="AA623" i="10"/>
  <c r="AB623" i="10" s="1"/>
  <c r="AA695" i="10"/>
  <c r="AB695" i="10" s="1"/>
  <c r="AA759" i="10"/>
  <c r="AB759" i="10" s="1"/>
  <c r="AA823" i="10"/>
  <c r="AB823" i="10" s="1"/>
  <c r="AA131" i="10"/>
  <c r="AB131" i="10" s="1"/>
  <c r="AA850" i="10"/>
  <c r="AB850" i="10" s="1"/>
  <c r="AA454" i="10"/>
  <c r="AB454" i="10" s="1"/>
  <c r="AA32" i="10"/>
  <c r="AB32" i="10" s="1"/>
  <c r="AA96" i="10"/>
  <c r="AB96" i="10" s="1"/>
  <c r="AA160" i="10"/>
  <c r="AB160" i="10" s="1"/>
  <c r="AA224" i="10"/>
  <c r="AB224" i="10" s="1"/>
  <c r="AA280" i="10"/>
  <c r="AB280" i="10" s="1"/>
  <c r="AA384" i="10"/>
  <c r="AB384" i="10" s="1"/>
  <c r="AA448" i="10"/>
  <c r="AB448" i="10" s="1"/>
  <c r="AA512" i="10"/>
  <c r="AB512" i="10" s="1"/>
  <c r="AA576" i="10"/>
  <c r="AB576" i="10" s="1"/>
  <c r="AA640" i="10"/>
  <c r="AB640" i="10" s="1"/>
  <c r="AA704" i="10"/>
  <c r="AB704" i="10" s="1"/>
  <c r="AA760" i="10"/>
  <c r="AB760" i="10" s="1"/>
  <c r="AA824" i="10"/>
  <c r="AB824" i="10" s="1"/>
  <c r="AA187" i="10"/>
  <c r="AB187" i="10" s="1"/>
  <c r="AA851" i="10"/>
  <c r="AB851" i="10" s="1"/>
  <c r="AA461" i="10"/>
  <c r="AB461" i="10" s="1"/>
  <c r="AA25" i="10"/>
  <c r="AB25" i="10" s="1"/>
  <c r="AA89" i="10"/>
  <c r="AB89" i="10" s="1"/>
  <c r="AA153" i="10"/>
  <c r="AB153" i="10" s="1"/>
  <c r="AA217" i="10"/>
  <c r="AB217" i="10" s="1"/>
  <c r="AA273" i="10"/>
  <c r="AB273" i="10" s="1"/>
  <c r="AA385" i="10"/>
  <c r="AB385" i="10" s="1"/>
  <c r="AA441" i="10"/>
  <c r="AB441" i="10" s="1"/>
  <c r="AA553" i="10"/>
  <c r="AB553" i="10" s="1"/>
  <c r="AA609" i="10"/>
  <c r="AB609" i="10" s="1"/>
  <c r="AA673" i="10"/>
  <c r="AB673" i="10" s="1"/>
  <c r="AA737" i="10"/>
  <c r="AB737" i="10" s="1"/>
  <c r="AA801" i="10"/>
  <c r="AB801" i="10" s="1"/>
  <c r="AA865" i="10"/>
  <c r="AB865" i="10" s="1"/>
  <c r="AA875" i="10"/>
  <c r="AB875" i="10" s="1"/>
  <c r="AA628" i="10"/>
  <c r="AB628" i="10" s="1"/>
  <c r="AA42" i="10"/>
  <c r="AB42" i="10" s="1"/>
  <c r="AA106" i="10"/>
  <c r="AB106" i="10" s="1"/>
  <c r="AA170" i="10"/>
  <c r="AB170" i="10" s="1"/>
  <c r="AA226" i="10"/>
  <c r="AB226" i="10" s="1"/>
  <c r="AA298" i="10"/>
  <c r="AB298" i="10" s="1"/>
  <c r="AA370" i="10"/>
  <c r="AB370" i="10" s="1"/>
  <c r="AA442" i="10"/>
  <c r="AB442" i="10" s="1"/>
  <c r="AA514" i="10"/>
  <c r="AB514" i="10" s="1"/>
  <c r="AA578" i="10"/>
  <c r="AB578" i="10" s="1"/>
  <c r="AA650" i="10"/>
  <c r="AB650" i="10" s="1"/>
  <c r="AA794" i="10"/>
  <c r="AB794" i="10" s="1"/>
  <c r="AA854" i="10"/>
  <c r="AB854" i="10" s="1"/>
  <c r="AA59" i="10"/>
  <c r="AB59" i="10" s="1"/>
  <c r="AA139" i="10"/>
  <c r="AB139" i="10" s="1"/>
  <c r="AA211" i="10"/>
  <c r="AB211" i="10" s="1"/>
  <c r="AA275" i="10"/>
  <c r="AB275" i="10" s="1"/>
  <c r="AA347" i="10"/>
  <c r="AB347" i="10" s="1"/>
  <c r="AA419" i="10"/>
  <c r="AB419" i="10" s="1"/>
  <c r="AA491" i="10"/>
  <c r="AB491" i="10" s="1"/>
  <c r="AA563" i="10"/>
  <c r="AB563" i="10" s="1"/>
  <c r="AA643" i="10"/>
  <c r="AB643" i="10" s="1"/>
  <c r="AA699" i="10"/>
  <c r="AB699" i="10" s="1"/>
  <c r="AA755" i="10"/>
  <c r="AB755" i="10" s="1"/>
  <c r="AA594" i="10"/>
  <c r="AB594" i="10" s="1"/>
  <c r="AA52" i="10"/>
  <c r="AB52" i="10" s="1"/>
  <c r="AA773" i="10"/>
  <c r="AB773" i="10" s="1"/>
  <c r="AA44" i="10"/>
  <c r="AB44" i="10" s="1"/>
  <c r="AA100" i="10"/>
  <c r="AB100" i="10" s="1"/>
  <c r="AA164" i="10"/>
  <c r="AB164" i="10" s="1"/>
  <c r="AA228" i="10"/>
  <c r="AB228" i="10" s="1"/>
  <c r="AA284" i="10"/>
  <c r="AB284" i="10" s="1"/>
  <c r="AA348" i="10"/>
  <c r="AB348" i="10" s="1"/>
  <c r="AA412" i="10"/>
  <c r="AB412" i="10" s="1"/>
  <c r="AA476" i="10"/>
  <c r="AB476" i="10" s="1"/>
  <c r="AA540" i="10"/>
  <c r="AB540" i="10" s="1"/>
  <c r="AA604" i="10"/>
  <c r="AB604" i="10" s="1"/>
  <c r="AA676" i="10"/>
  <c r="AB676" i="10" s="1"/>
  <c r="AA732" i="10"/>
  <c r="AB732" i="10" s="1"/>
  <c r="AA796" i="10"/>
  <c r="AB796" i="10" s="1"/>
  <c r="AA852" i="10"/>
  <c r="AB852" i="10" s="1"/>
  <c r="AA819" i="10"/>
  <c r="AB819" i="10" s="1"/>
  <c r="AA581" i="10"/>
  <c r="AB581" i="10" s="1"/>
  <c r="AA45" i="10"/>
  <c r="AB45" i="10" s="1"/>
  <c r="AA117" i="10"/>
  <c r="AB117" i="10" s="1"/>
  <c r="AA181" i="10"/>
  <c r="AB181" i="10" s="1"/>
  <c r="AA261" i="10"/>
  <c r="AB261" i="10" s="1"/>
  <c r="AA349" i="10"/>
  <c r="AB349" i="10" s="1"/>
  <c r="AA429" i="10"/>
  <c r="AB429" i="10" s="1"/>
  <c r="AA501" i="10"/>
  <c r="AB501" i="10" s="1"/>
  <c r="AA589" i="10"/>
  <c r="AB589" i="10" s="1"/>
  <c r="AA653" i="10"/>
  <c r="AB653" i="10" s="1"/>
  <c r="AA741" i="10"/>
  <c r="AB741" i="10" s="1"/>
  <c r="AA30" i="10"/>
  <c r="AB30" i="10" s="1"/>
  <c r="AA102" i="10"/>
  <c r="AB102" i="10" s="1"/>
  <c r="AA206" i="10"/>
  <c r="AB206" i="10" s="1"/>
  <c r="AA310" i="10"/>
  <c r="AB310" i="10" s="1"/>
  <c r="AA382" i="10"/>
  <c r="AB382" i="10" s="1"/>
  <c r="AA462" i="10"/>
  <c r="AB462" i="10" s="1"/>
  <c r="AA534" i="10"/>
  <c r="AB534" i="10" s="1"/>
  <c r="AA598" i="10"/>
  <c r="AB598" i="10" s="1"/>
  <c r="AA670" i="10"/>
  <c r="AB670" i="10" s="1"/>
  <c r="AA758" i="10"/>
  <c r="AB758" i="10" s="1"/>
  <c r="AA846" i="10"/>
  <c r="AB846" i="10" s="1"/>
  <c r="AA635" i="10"/>
  <c r="AB635" i="10" s="1"/>
  <c r="AA867" i="10"/>
  <c r="AB867" i="10" s="1"/>
  <c r="AA223" i="10"/>
  <c r="AB223" i="10" s="1"/>
  <c r="AA527" i="10"/>
  <c r="AB527" i="10" s="1"/>
  <c r="AA807" i="10"/>
  <c r="AB807" i="10" s="1"/>
  <c r="AA80" i="10"/>
  <c r="AB80" i="10" s="1"/>
  <c r="AA432" i="10"/>
  <c r="AB432" i="10" s="1"/>
  <c r="AA744" i="10"/>
  <c r="AB744" i="10" s="1"/>
  <c r="AA9" i="10"/>
  <c r="AB9" i="10" s="1"/>
  <c r="AA351" i="10"/>
  <c r="AB351" i="10" s="1"/>
  <c r="AA183" i="10"/>
  <c r="AB183" i="10" s="1"/>
  <c r="AA559" i="10"/>
  <c r="AB559" i="10" s="1"/>
  <c r="AA839" i="10"/>
  <c r="AB839" i="10" s="1"/>
  <c r="AA168" i="10"/>
  <c r="AB168" i="10" s="1"/>
  <c r="AA456" i="10"/>
  <c r="AB456" i="10" s="1"/>
  <c r="AA712" i="10"/>
  <c r="AB712" i="10" s="1"/>
  <c r="AA33" i="10"/>
  <c r="AB33" i="10" s="1"/>
  <c r="AA225" i="10"/>
  <c r="AB225" i="10" s="1"/>
  <c r="AA449" i="10"/>
  <c r="AB449" i="10" s="1"/>
  <c r="AA809" i="10"/>
  <c r="AB809" i="10" s="1"/>
  <c r="AA50" i="10"/>
  <c r="AB50" i="10" s="1"/>
  <c r="AA306" i="10"/>
  <c r="AB306" i="10" s="1"/>
  <c r="AA586" i="10"/>
  <c r="AB586" i="10" s="1"/>
  <c r="AA75" i="10"/>
  <c r="AB75" i="10" s="1"/>
  <c r="AA355" i="10"/>
  <c r="AB355" i="10" s="1"/>
  <c r="AA651" i="10"/>
  <c r="AB651" i="10" s="1"/>
  <c r="AA118" i="10"/>
  <c r="AB118" i="10" s="1"/>
  <c r="AA172" i="10"/>
  <c r="AB172" i="10" s="1"/>
  <c r="AA420" i="10"/>
  <c r="AB420" i="10" s="1"/>
  <c r="AA684" i="10"/>
  <c r="AB684" i="10" s="1"/>
  <c r="AA726" i="10"/>
  <c r="AB726" i="10" s="1"/>
  <c r="AA357" i="10"/>
  <c r="AB357" i="10" s="1"/>
  <c r="AA46" i="10"/>
  <c r="AB46" i="10" s="1"/>
  <c r="AA398" i="10"/>
  <c r="AB398" i="10" s="1"/>
  <c r="AA606" i="10"/>
  <c r="AB606" i="10" s="1"/>
  <c r="AA802" i="10"/>
  <c r="AB802" i="10" s="1"/>
  <c r="AA525" i="10"/>
  <c r="AB525" i="10" s="1"/>
  <c r="AA15" i="10"/>
  <c r="AB15" i="10" s="1"/>
  <c r="AA71" i="10"/>
  <c r="AB71" i="10" s="1"/>
  <c r="AA135" i="10"/>
  <c r="AB135" i="10" s="1"/>
  <c r="AA191" i="10"/>
  <c r="AB191" i="10" s="1"/>
  <c r="AA263" i="10"/>
  <c r="AB263" i="10" s="1"/>
  <c r="AA335" i="10"/>
  <c r="AB335" i="10" s="1"/>
  <c r="AA415" i="10"/>
  <c r="AB415" i="10" s="1"/>
  <c r="AA495" i="10"/>
  <c r="AB495" i="10" s="1"/>
  <c r="AA567" i="10"/>
  <c r="AB567" i="10" s="1"/>
  <c r="AA639" i="10"/>
  <c r="AB639" i="10" s="1"/>
  <c r="AA711" i="10"/>
  <c r="AB711" i="10" s="1"/>
  <c r="AA775" i="10"/>
  <c r="AB775" i="10" s="1"/>
  <c r="AA847" i="10"/>
  <c r="AB847" i="10" s="1"/>
  <c r="AA507" i="10"/>
  <c r="AB507" i="10" s="1"/>
  <c r="AA20" i="10"/>
  <c r="AB20" i="10" s="1"/>
  <c r="AA612" i="10"/>
  <c r="AB612" i="10" s="1"/>
  <c r="AA48" i="10"/>
  <c r="AB48" i="10" s="1"/>
  <c r="AA112" i="10"/>
  <c r="AB112" i="10" s="1"/>
  <c r="AA176" i="10"/>
  <c r="AB176" i="10" s="1"/>
  <c r="AA240" i="10"/>
  <c r="AB240" i="10" s="1"/>
  <c r="AA344" i="10"/>
  <c r="AB344" i="10" s="1"/>
  <c r="AA400" i="10"/>
  <c r="AB400" i="10" s="1"/>
  <c r="AA464" i="10"/>
  <c r="AB464" i="10" s="1"/>
  <c r="AA528" i="10"/>
  <c r="AB528" i="10" s="1"/>
  <c r="AA592" i="10"/>
  <c r="AB592" i="10" s="1"/>
  <c r="AA656" i="10"/>
  <c r="AB656" i="10" s="1"/>
  <c r="AA720" i="10"/>
  <c r="AB720" i="10" s="1"/>
  <c r="AA776" i="10"/>
  <c r="AB776" i="10" s="1"/>
  <c r="AA840" i="10"/>
  <c r="AB840" i="10" s="1"/>
  <c r="AA530" i="10"/>
  <c r="AB530" i="10" s="1"/>
  <c r="AA22" i="10"/>
  <c r="AB22" i="10" s="1"/>
  <c r="AA693" i="10"/>
  <c r="AB693" i="10" s="1"/>
  <c r="AA41" i="10"/>
  <c r="AB41" i="10" s="1"/>
  <c r="AA105" i="10"/>
  <c r="AB105" i="10" s="1"/>
  <c r="AA169" i="10"/>
  <c r="AB169" i="10" s="1"/>
  <c r="AA289" i="10"/>
  <c r="AB289" i="10" s="1"/>
  <c r="AA337" i="10"/>
  <c r="AB337" i="10" s="1"/>
  <c r="AA401" i="10"/>
  <c r="AB401" i="10" s="1"/>
  <c r="AA457" i="10"/>
  <c r="AB457" i="10" s="1"/>
  <c r="AA569" i="10"/>
  <c r="AB569" i="10" s="1"/>
  <c r="AA625" i="10"/>
  <c r="AB625" i="10" s="1"/>
  <c r="AA689" i="10"/>
  <c r="AB689" i="10" s="1"/>
  <c r="AA753" i="10"/>
  <c r="AB753" i="10" s="1"/>
  <c r="AA817" i="10"/>
  <c r="AB817" i="10" s="1"/>
  <c r="AA379" i="10"/>
  <c r="AB379" i="10" s="1"/>
  <c r="AA101" i="10"/>
  <c r="AB101" i="10" s="1"/>
  <c r="AA853" i="10"/>
  <c r="AB853" i="10" s="1"/>
  <c r="AA58" i="10"/>
  <c r="AB58" i="10" s="1"/>
  <c r="AA122" i="10"/>
  <c r="AB122" i="10" s="1"/>
  <c r="AA186" i="10"/>
  <c r="AB186" i="10" s="1"/>
  <c r="AA242" i="10"/>
  <c r="AB242" i="10" s="1"/>
  <c r="AA314" i="10"/>
  <c r="AB314" i="10" s="1"/>
  <c r="AA386" i="10"/>
  <c r="AB386" i="10" s="1"/>
  <c r="AA458" i="10"/>
  <c r="AB458" i="10" s="1"/>
  <c r="AA602" i="10"/>
  <c r="AB602" i="10" s="1"/>
  <c r="AA674" i="10"/>
  <c r="AB674" i="10" s="1"/>
  <c r="AA858" i="10"/>
  <c r="AB858" i="10" s="1"/>
  <c r="AA11" i="10"/>
  <c r="AB11" i="10" s="1"/>
  <c r="AA83" i="10"/>
  <c r="AB83" i="10" s="1"/>
  <c r="AA155" i="10"/>
  <c r="AB155" i="10" s="1"/>
  <c r="AA227" i="10"/>
  <c r="AB227" i="10" s="1"/>
  <c r="AA291" i="10"/>
  <c r="AB291" i="10" s="1"/>
  <c r="AA363" i="10"/>
  <c r="AB363" i="10" s="1"/>
  <c r="AA435" i="10"/>
  <c r="AB435" i="10" s="1"/>
  <c r="AA515" i="10"/>
  <c r="AB515" i="10" s="1"/>
  <c r="AA587" i="10"/>
  <c r="AB587" i="10" s="1"/>
  <c r="AA715" i="10"/>
  <c r="AB715" i="10" s="1"/>
  <c r="AA868" i="10"/>
  <c r="AB868" i="10" s="1"/>
  <c r="AA771" i="10"/>
  <c r="AB771" i="10" s="1"/>
  <c r="AA196" i="10"/>
  <c r="AB196" i="10" s="1"/>
  <c r="AA887" i="10"/>
  <c r="AB887" i="10" s="1"/>
  <c r="AA116" i="10"/>
  <c r="AB116" i="10" s="1"/>
  <c r="AA180" i="10"/>
  <c r="AB180" i="10" s="1"/>
  <c r="AA244" i="10"/>
  <c r="AB244" i="10" s="1"/>
  <c r="AA364" i="10"/>
  <c r="AB364" i="10" s="1"/>
  <c r="AA428" i="10"/>
  <c r="AB428" i="10" s="1"/>
  <c r="AA492" i="10"/>
  <c r="AB492" i="10" s="1"/>
  <c r="AA636" i="10"/>
  <c r="AB636" i="10" s="1"/>
  <c r="AA692" i="10"/>
  <c r="AB692" i="10" s="1"/>
  <c r="AA748" i="10"/>
  <c r="AB748" i="10" s="1"/>
  <c r="AA812" i="10"/>
  <c r="AB812" i="10" s="1"/>
  <c r="AA274" i="10"/>
  <c r="AB274" i="10" s="1"/>
  <c r="AA861" i="10"/>
  <c r="AB861" i="10" s="1"/>
  <c r="AA862" i="10"/>
  <c r="AB862" i="10" s="1"/>
  <c r="AA61" i="10"/>
  <c r="AB61" i="10" s="1"/>
  <c r="AA133" i="10"/>
  <c r="AB133" i="10" s="1"/>
  <c r="AA277" i="10"/>
  <c r="AB277" i="10" s="1"/>
  <c r="AA373" i="10"/>
  <c r="AB373" i="10" s="1"/>
  <c r="AA445" i="10"/>
  <c r="AB445" i="10" s="1"/>
  <c r="AA517" i="10"/>
  <c r="AB517" i="10" s="1"/>
  <c r="AA613" i="10"/>
  <c r="AB613" i="10" s="1"/>
  <c r="AA669" i="10"/>
  <c r="AB669" i="10" s="1"/>
  <c r="AA54" i="10"/>
  <c r="AB54" i="10" s="1"/>
  <c r="AA134" i="10"/>
  <c r="AB134" i="10" s="1"/>
  <c r="AA230" i="10"/>
  <c r="AB230" i="10" s="1"/>
  <c r="AA326" i="10"/>
  <c r="AB326" i="10" s="1"/>
  <c r="AA406" i="10"/>
  <c r="AB406" i="10" s="1"/>
  <c r="AA486" i="10"/>
  <c r="AB486" i="10" s="1"/>
  <c r="AA550" i="10"/>
  <c r="AB550" i="10" s="1"/>
  <c r="AA614" i="10"/>
  <c r="AB614" i="10" s="1"/>
  <c r="AA694" i="10"/>
  <c r="AB694" i="10" s="1"/>
  <c r="AA774" i="10"/>
  <c r="AB774" i="10" s="1"/>
  <c r="AA843" i="10"/>
  <c r="AB843" i="10" s="1"/>
  <c r="AA167" i="10"/>
  <c r="AB167" i="10" s="1"/>
  <c r="AA599" i="10"/>
  <c r="AB599" i="10" s="1"/>
  <c r="AA805" i="10"/>
  <c r="AB805" i="10" s="1"/>
  <c r="AA320" i="10"/>
  <c r="AB320" i="10" s="1"/>
  <c r="AA688" i="10"/>
  <c r="AB688" i="10" s="1"/>
  <c r="AA257" i="10"/>
  <c r="AB257" i="10" s="1"/>
  <c r="AA7" i="10"/>
  <c r="AB7" i="10" s="1"/>
  <c r="AA255" i="10"/>
  <c r="AB255" i="10" s="1"/>
  <c r="AA631" i="10"/>
  <c r="AB631" i="10" s="1"/>
  <c r="AA338" i="10"/>
  <c r="AB338" i="10" s="1"/>
  <c r="AA40" i="10"/>
  <c r="AB40" i="10" s="1"/>
  <c r="AA336" i="10"/>
  <c r="AB336" i="10" s="1"/>
  <c r="AA648" i="10"/>
  <c r="AB648" i="10" s="1"/>
  <c r="AA359" i="10"/>
  <c r="AB359" i="10" s="1"/>
  <c r="AA161" i="10"/>
  <c r="AB161" i="10" s="1"/>
  <c r="AA393" i="10"/>
  <c r="AB393" i="10" s="1"/>
  <c r="AA617" i="10"/>
  <c r="AB617" i="10" s="1"/>
  <c r="AA38" i="10"/>
  <c r="AB38" i="10" s="1"/>
  <c r="AA178" i="10"/>
  <c r="AB178" i="10" s="1"/>
  <c r="AA450" i="10"/>
  <c r="AB450" i="10" s="1"/>
  <c r="AA886" i="10"/>
  <c r="AB886" i="10" s="1"/>
  <c r="AA283" i="10"/>
  <c r="AB283" i="10" s="1"/>
  <c r="AA579" i="10"/>
  <c r="AB579" i="10" s="1"/>
  <c r="AA814" i="10"/>
  <c r="AB814" i="10" s="1"/>
  <c r="AA236" i="10"/>
  <c r="AB236" i="10" s="1"/>
  <c r="AA484" i="10"/>
  <c r="AB484" i="10" s="1"/>
  <c r="AA860" i="10"/>
  <c r="AB860" i="10" s="1"/>
  <c r="AA125" i="10"/>
  <c r="AB125" i="10" s="1"/>
  <c r="AA437" i="10"/>
  <c r="AB437" i="10" s="1"/>
  <c r="AA110" i="10"/>
  <c r="AB110" i="10" s="1"/>
  <c r="AA766" i="10"/>
  <c r="AB766" i="10" s="1"/>
  <c r="AA597" i="10"/>
  <c r="AB597" i="10" s="1"/>
  <c r="AA79" i="10"/>
  <c r="AB79" i="10" s="1"/>
  <c r="AA199" i="10"/>
  <c r="AB199" i="10" s="1"/>
  <c r="AA271" i="10"/>
  <c r="AB271" i="10" s="1"/>
  <c r="AA343" i="10"/>
  <c r="AB343" i="10" s="1"/>
  <c r="AA431" i="10"/>
  <c r="AB431" i="10" s="1"/>
  <c r="AA503" i="10"/>
  <c r="AB503" i="10" s="1"/>
  <c r="AA575" i="10"/>
  <c r="AB575" i="10" s="1"/>
  <c r="AA647" i="10"/>
  <c r="AB647" i="10" s="1"/>
  <c r="AA719" i="10"/>
  <c r="AB719" i="10" s="1"/>
  <c r="AA783" i="10"/>
  <c r="AB783" i="10" s="1"/>
  <c r="AA855" i="10"/>
  <c r="AB855" i="10" s="1"/>
  <c r="AA679" i="10"/>
  <c r="AB679" i="10" s="1"/>
  <c r="AA93" i="10"/>
  <c r="AB93" i="10" s="1"/>
  <c r="AA686" i="10"/>
  <c r="AB686" i="10" s="1"/>
  <c r="AA56" i="10"/>
  <c r="AB56" i="10" s="1"/>
  <c r="AA120" i="10"/>
  <c r="AB120" i="10" s="1"/>
  <c r="AA184" i="10"/>
  <c r="AB184" i="10" s="1"/>
  <c r="AA248" i="10"/>
  <c r="AB248" i="10" s="1"/>
  <c r="AA296" i="10"/>
  <c r="AB296" i="10" s="1"/>
  <c r="AA352" i="10"/>
  <c r="AB352" i="10" s="1"/>
  <c r="AA408" i="10"/>
  <c r="AB408" i="10" s="1"/>
  <c r="AA472" i="10"/>
  <c r="AB472" i="10" s="1"/>
  <c r="AA544" i="10"/>
  <c r="AB544" i="10" s="1"/>
  <c r="AA600" i="10"/>
  <c r="AB600" i="10" s="1"/>
  <c r="AA664" i="10"/>
  <c r="AB664" i="10" s="1"/>
  <c r="AA728" i="10"/>
  <c r="AB728" i="10" s="1"/>
  <c r="AA784" i="10"/>
  <c r="AB784" i="10" s="1"/>
  <c r="AA848" i="10"/>
  <c r="AB848" i="10" s="1"/>
  <c r="AA690" i="10"/>
  <c r="AB690" i="10" s="1"/>
  <c r="AA94" i="10"/>
  <c r="AB94" i="10" s="1"/>
  <c r="AA750" i="10"/>
  <c r="AB750" i="10" s="1"/>
  <c r="AA49" i="10"/>
  <c r="AB49" i="10" s="1"/>
  <c r="AA113" i="10"/>
  <c r="AB113" i="10" s="1"/>
  <c r="AA177" i="10"/>
  <c r="AB177" i="10" s="1"/>
  <c r="AA233" i="10"/>
  <c r="AB233" i="10" s="1"/>
  <c r="AA297" i="10"/>
  <c r="AB297" i="10" s="1"/>
  <c r="AA345" i="10"/>
  <c r="AB345" i="10" s="1"/>
  <c r="AA409" i="10"/>
  <c r="AB409" i="10" s="1"/>
  <c r="AA465" i="10"/>
  <c r="AB465" i="10" s="1"/>
  <c r="AA513" i="10"/>
  <c r="AB513" i="10" s="1"/>
  <c r="AA577" i="10"/>
  <c r="AB577" i="10" s="1"/>
  <c r="AA633" i="10"/>
  <c r="AB633" i="10" s="1"/>
  <c r="AA697" i="10"/>
  <c r="AB697" i="10" s="1"/>
  <c r="AA761" i="10"/>
  <c r="AB761" i="10" s="1"/>
  <c r="AA825" i="10"/>
  <c r="AB825" i="10" s="1"/>
  <c r="AA551" i="10"/>
  <c r="AB551" i="10" s="1"/>
  <c r="AA173" i="10"/>
  <c r="AB173" i="10" s="1"/>
  <c r="AA879" i="10"/>
  <c r="AB879" i="10" s="1"/>
  <c r="AA66" i="10"/>
  <c r="AB66" i="10" s="1"/>
  <c r="AA130" i="10"/>
  <c r="AB130" i="10" s="1"/>
  <c r="AA194" i="10"/>
  <c r="AB194" i="10" s="1"/>
  <c r="AA250" i="10"/>
  <c r="AB250" i="10" s="1"/>
  <c r="AA322" i="10"/>
  <c r="AB322" i="10" s="1"/>
  <c r="AA394" i="10"/>
  <c r="AB394" i="10" s="1"/>
  <c r="AA474" i="10"/>
  <c r="AB474" i="10" s="1"/>
  <c r="AA538" i="10"/>
  <c r="AB538" i="10" s="1"/>
  <c r="AA610" i="10"/>
  <c r="AB610" i="10" s="1"/>
  <c r="AA682" i="10"/>
  <c r="AB682" i="10" s="1"/>
  <c r="AA877" i="10"/>
  <c r="AB877" i="10" s="1"/>
  <c r="AA19" i="10"/>
  <c r="AB19" i="10" s="1"/>
  <c r="AA91" i="10"/>
  <c r="AB91" i="10" s="1"/>
  <c r="AA163" i="10"/>
  <c r="AB163" i="10" s="1"/>
  <c r="AA235" i="10"/>
  <c r="AB235" i="10" s="1"/>
  <c r="AA299" i="10"/>
  <c r="AB299" i="10" s="1"/>
  <c r="AA371" i="10"/>
  <c r="AB371" i="10" s="1"/>
  <c r="AA451" i="10"/>
  <c r="AB451" i="10" s="1"/>
  <c r="AA523" i="10"/>
  <c r="AB523" i="10" s="1"/>
  <c r="AA595" i="10"/>
  <c r="AB595" i="10" s="1"/>
  <c r="AA723" i="10"/>
  <c r="AB723" i="10" s="1"/>
  <c r="AA876" i="10"/>
  <c r="AB876" i="10" s="1"/>
  <c r="AA795" i="10"/>
  <c r="AB795" i="10" s="1"/>
  <c r="AA254" i="10"/>
  <c r="AB254" i="10" s="1"/>
  <c r="AA12" i="10"/>
  <c r="AB12" i="10" s="1"/>
  <c r="AA68" i="10"/>
  <c r="AB68" i="10" s="1"/>
  <c r="AA124" i="10"/>
  <c r="AB124" i="10" s="1"/>
  <c r="AA188" i="10"/>
  <c r="AB188" i="10" s="1"/>
  <c r="AA300" i="10"/>
  <c r="AB300" i="10" s="1"/>
  <c r="AA372" i="10"/>
  <c r="AB372" i="10" s="1"/>
  <c r="AA436" i="10"/>
  <c r="AB436" i="10" s="1"/>
  <c r="AA500" i="10"/>
  <c r="AB500" i="10" s="1"/>
  <c r="AA644" i="10"/>
  <c r="AB644" i="10" s="1"/>
  <c r="AA756" i="10"/>
  <c r="AB756" i="10" s="1"/>
  <c r="AA820" i="10"/>
  <c r="AB820" i="10" s="1"/>
  <c r="AA443" i="10"/>
  <c r="AB443" i="10" s="1"/>
  <c r="AA883" i="10"/>
  <c r="AB883" i="10" s="1"/>
  <c r="AA13" i="10"/>
  <c r="AB13" i="10" s="1"/>
  <c r="AA69" i="10"/>
  <c r="AB69" i="10" s="1"/>
  <c r="AA141" i="10"/>
  <c r="AB141" i="10" s="1"/>
  <c r="AA205" i="10"/>
  <c r="AB205" i="10" s="1"/>
  <c r="AA285" i="10"/>
  <c r="AB285" i="10" s="1"/>
  <c r="AA381" i="10"/>
  <c r="AB381" i="10" s="1"/>
  <c r="AA453" i="10"/>
  <c r="AB453" i="10" s="1"/>
  <c r="AA533" i="10"/>
  <c r="AB533" i="10" s="1"/>
  <c r="AA621" i="10"/>
  <c r="AB621" i="10" s="1"/>
  <c r="AA677" i="10"/>
  <c r="AB677" i="10" s="1"/>
  <c r="AA870" i="10"/>
  <c r="AB870" i="10" s="1"/>
  <c r="AA62" i="10"/>
  <c r="AB62" i="10" s="1"/>
  <c r="AA158" i="10"/>
  <c r="AB158" i="10" s="1"/>
  <c r="AA334" i="10"/>
  <c r="AB334" i="10" s="1"/>
  <c r="AA494" i="10"/>
  <c r="AB494" i="10" s="1"/>
  <c r="AA558" i="10"/>
  <c r="AB558" i="10" s="1"/>
  <c r="AA622" i="10"/>
  <c r="AB622" i="10" s="1"/>
  <c r="AA782" i="10"/>
  <c r="AB782" i="10" s="1"/>
  <c r="AA295" i="10"/>
  <c r="AB295" i="10" s="1"/>
  <c r="AA779" i="10"/>
  <c r="AB779" i="10" s="1"/>
  <c r="AA47" i="10"/>
  <c r="AB47" i="10" s="1"/>
  <c r="AA455" i="10"/>
  <c r="AB455" i="10" s="1"/>
  <c r="AA880" i="10"/>
  <c r="AB880" i="10" s="1"/>
  <c r="AA144" i="10"/>
  <c r="AB144" i="10" s="1"/>
  <c r="AA496" i="10"/>
  <c r="AB496" i="10" s="1"/>
  <c r="AA808" i="10"/>
  <c r="AB808" i="10" s="1"/>
  <c r="AA425" i="10"/>
  <c r="AB425" i="10" s="1"/>
  <c r="AA738" i="10"/>
  <c r="AB738" i="10" s="1"/>
  <c r="AA127" i="10"/>
  <c r="AB127" i="10" s="1"/>
  <c r="AA407" i="10"/>
  <c r="AB407" i="10" s="1"/>
  <c r="AA703" i="10"/>
  <c r="AB703" i="10" s="1"/>
  <c r="AA869" i="10"/>
  <c r="AB869" i="10" s="1"/>
  <c r="AA104" i="10"/>
  <c r="AB104" i="10" s="1"/>
  <c r="AA392" i="10"/>
  <c r="AB392" i="10" s="1"/>
  <c r="AA584" i="10"/>
  <c r="AB584" i="10" s="1"/>
  <c r="AA832" i="10"/>
  <c r="AB832" i="10" s="1"/>
  <c r="AA548" i="10"/>
  <c r="AB548" i="10" s="1"/>
  <c r="AA281" i="10"/>
  <c r="AB281" i="10" s="1"/>
  <c r="AA561" i="10"/>
  <c r="AB561" i="10" s="1"/>
  <c r="AA745" i="10"/>
  <c r="AB745" i="10" s="1"/>
  <c r="AA757" i="10"/>
  <c r="AB757" i="10" s="1"/>
  <c r="AA234" i="10"/>
  <c r="AB234" i="10" s="1"/>
  <c r="AA666" i="10"/>
  <c r="AB666" i="10" s="1"/>
  <c r="AA147" i="10"/>
  <c r="AB147" i="10" s="1"/>
  <c r="AA427" i="10"/>
  <c r="AB427" i="10" s="1"/>
  <c r="AA707" i="10"/>
  <c r="AB707" i="10" s="1"/>
  <c r="AA714" i="10"/>
  <c r="AB714" i="10" s="1"/>
  <c r="AA108" i="10"/>
  <c r="AB108" i="10" s="1"/>
  <c r="AA556" i="10"/>
  <c r="AB556" i="10" s="1"/>
  <c r="AA740" i="10"/>
  <c r="AB740" i="10" s="1"/>
  <c r="AA842" i="10"/>
  <c r="AB842" i="10" s="1"/>
  <c r="AA269" i="10"/>
  <c r="AB269" i="10" s="1"/>
  <c r="AA605" i="10"/>
  <c r="AB605" i="10" s="1"/>
  <c r="AA661" i="10"/>
  <c r="AB661" i="10" s="1"/>
  <c r="AA214" i="10"/>
  <c r="AB214" i="10" s="1"/>
  <c r="AA470" i="10"/>
  <c r="AB470" i="10" s="1"/>
  <c r="AA678" i="10"/>
  <c r="AB678" i="10" s="1"/>
  <c r="AA781" i="10"/>
  <c r="AB781" i="10" s="1"/>
  <c r="AA23" i="10"/>
  <c r="AB23" i="10" s="1"/>
  <c r="AA143" i="10"/>
  <c r="AB143" i="10" s="1"/>
  <c r="AA826" i="10"/>
  <c r="AB826" i="10" s="1"/>
  <c r="AA685" i="10"/>
  <c r="AB685" i="10" s="1"/>
  <c r="AA31" i="10"/>
  <c r="AB31" i="10" s="1"/>
  <c r="AA87" i="10"/>
  <c r="AB87" i="10" s="1"/>
  <c r="AA151" i="10"/>
  <c r="AB151" i="10" s="1"/>
  <c r="AA207" i="10"/>
  <c r="AB207" i="10" s="1"/>
  <c r="AA279" i="10"/>
  <c r="AB279" i="10" s="1"/>
  <c r="AA367" i="10"/>
  <c r="AB367" i="10" s="1"/>
  <c r="AA439" i="10"/>
  <c r="AB439" i="10" s="1"/>
  <c r="AA511" i="10"/>
  <c r="AB511" i="10" s="1"/>
  <c r="AA583" i="10"/>
  <c r="AB583" i="10" s="1"/>
  <c r="AA655" i="10"/>
  <c r="AB655" i="10" s="1"/>
  <c r="AA727" i="10"/>
  <c r="AB727" i="10" s="1"/>
  <c r="AA791" i="10"/>
  <c r="AB791" i="10" s="1"/>
  <c r="AA863" i="10"/>
  <c r="AB863" i="10" s="1"/>
  <c r="AA746" i="10"/>
  <c r="AB746" i="10" s="1"/>
  <c r="AA150" i="10"/>
  <c r="AB150" i="10" s="1"/>
  <c r="AA749" i="10"/>
  <c r="AB749" i="10" s="1"/>
  <c r="AA64" i="10"/>
  <c r="AB64" i="10" s="1"/>
  <c r="AA128" i="10"/>
  <c r="AB128" i="10" s="1"/>
  <c r="AA192" i="10"/>
  <c r="AB192" i="10" s="1"/>
  <c r="AA256" i="10"/>
  <c r="AB256" i="10" s="1"/>
  <c r="AA304" i="10"/>
  <c r="AB304" i="10" s="1"/>
  <c r="AA360" i="10"/>
  <c r="AB360" i="10" s="1"/>
  <c r="AA416" i="10"/>
  <c r="AB416" i="10" s="1"/>
  <c r="AA480" i="10"/>
  <c r="AB480" i="10" s="1"/>
  <c r="AA552" i="10"/>
  <c r="AB552" i="10" s="1"/>
  <c r="AA608" i="10"/>
  <c r="AB608" i="10" s="1"/>
  <c r="AA672" i="10"/>
  <c r="AB672" i="10" s="1"/>
  <c r="AA792" i="10"/>
  <c r="AB792" i="10" s="1"/>
  <c r="AA856" i="10"/>
  <c r="AB856" i="10" s="1"/>
  <c r="AA754" i="10"/>
  <c r="AB754" i="10" s="1"/>
  <c r="AA166" i="10"/>
  <c r="AB166" i="10" s="1"/>
  <c r="AA798" i="10"/>
  <c r="AB798" i="10" s="1"/>
  <c r="AA57" i="10"/>
  <c r="AB57" i="10" s="1"/>
  <c r="AA121" i="10"/>
  <c r="AB121" i="10" s="1"/>
  <c r="AA185" i="10"/>
  <c r="AB185" i="10" s="1"/>
  <c r="AA241" i="10"/>
  <c r="AB241" i="10" s="1"/>
  <c r="AA305" i="10"/>
  <c r="AB305" i="10" s="1"/>
  <c r="AA353" i="10"/>
  <c r="AB353" i="10" s="1"/>
  <c r="AA473" i="10"/>
  <c r="AB473" i="10" s="1"/>
  <c r="AA521" i="10"/>
  <c r="AB521" i="10" s="1"/>
  <c r="AA585" i="10"/>
  <c r="AB585" i="10" s="1"/>
  <c r="AA641" i="10"/>
  <c r="AB641" i="10" s="1"/>
  <c r="AA705" i="10"/>
  <c r="AB705" i="10" s="1"/>
  <c r="AA769" i="10"/>
  <c r="AB769" i="10" s="1"/>
  <c r="AA833" i="10"/>
  <c r="AB833" i="10" s="1"/>
  <c r="AA698" i="10"/>
  <c r="AB698" i="10" s="1"/>
  <c r="AA245" i="10"/>
  <c r="AB245" i="10" s="1"/>
  <c r="AA10" i="10"/>
  <c r="AB10" i="10" s="1"/>
  <c r="AA74" i="10"/>
  <c r="AB74" i="10" s="1"/>
  <c r="AA138" i="10"/>
  <c r="AB138" i="10" s="1"/>
  <c r="AA258" i="10"/>
  <c r="AB258" i="10" s="1"/>
  <c r="AA330" i="10"/>
  <c r="AB330" i="10" s="1"/>
  <c r="AA410" i="10"/>
  <c r="AB410" i="10" s="1"/>
  <c r="AA482" i="10"/>
  <c r="AB482" i="10" s="1"/>
  <c r="AA546" i="10"/>
  <c r="AB546" i="10" s="1"/>
  <c r="AA618" i="10"/>
  <c r="AB618" i="10" s="1"/>
  <c r="AA231" i="10"/>
  <c r="AB231" i="10" s="1"/>
  <c r="AA246" i="10"/>
  <c r="AB246" i="10" s="1"/>
  <c r="AA27" i="10"/>
  <c r="AB27" i="10" s="1"/>
  <c r="AA99" i="10"/>
  <c r="AB99" i="10" s="1"/>
  <c r="AA171" i="10"/>
  <c r="AB171" i="10" s="1"/>
  <c r="AA243" i="10"/>
  <c r="AB243" i="10" s="1"/>
  <c r="AA307" i="10"/>
  <c r="AB307" i="10" s="1"/>
  <c r="AA387" i="10"/>
  <c r="AB387" i="10" s="1"/>
  <c r="AA459" i="10"/>
  <c r="AB459" i="10" s="1"/>
  <c r="AA531" i="10"/>
  <c r="AB531" i="10" s="1"/>
  <c r="AA603" i="10"/>
  <c r="AB603" i="10" s="1"/>
  <c r="AA667" i="10"/>
  <c r="AB667" i="10" s="1"/>
  <c r="AA818" i="10"/>
  <c r="AB818" i="10" s="1"/>
  <c r="AA325" i="10"/>
  <c r="AB325" i="10" s="1"/>
  <c r="AA28" i="10"/>
  <c r="AB28" i="10" s="1"/>
  <c r="AA76" i="10"/>
  <c r="AB76" i="10" s="1"/>
  <c r="AA132" i="10"/>
  <c r="AB132" i="10" s="1"/>
  <c r="AA204" i="10"/>
  <c r="AB204" i="10" s="1"/>
  <c r="AA316" i="10"/>
  <c r="AB316" i="10" s="1"/>
  <c r="AA380" i="10"/>
  <c r="AB380" i="10" s="1"/>
  <c r="AA444" i="10"/>
  <c r="AB444" i="10" s="1"/>
  <c r="AA508" i="10"/>
  <c r="AB508" i="10" s="1"/>
  <c r="AA572" i="10"/>
  <c r="AB572" i="10" s="1"/>
  <c r="AA652" i="10"/>
  <c r="AB652" i="10" s="1"/>
  <c r="AA764" i="10"/>
  <c r="AB764" i="10" s="1"/>
  <c r="AA828" i="10"/>
  <c r="AB828" i="10" s="1"/>
  <c r="AA615" i="10"/>
  <c r="AB615" i="10" s="1"/>
  <c r="AA126" i="10"/>
  <c r="AB126" i="10" s="1"/>
  <c r="AA21" i="10"/>
  <c r="AB21" i="10" s="1"/>
  <c r="AA77" i="10"/>
  <c r="AB77" i="10" s="1"/>
  <c r="AA149" i="10"/>
  <c r="AB149" i="10" s="1"/>
  <c r="AA213" i="10"/>
  <c r="AB213" i="10" s="1"/>
  <c r="AA293" i="10"/>
  <c r="AB293" i="10" s="1"/>
  <c r="AA397" i="10"/>
  <c r="AB397" i="10" s="1"/>
  <c r="AA469" i="10"/>
  <c r="AB469" i="10" s="1"/>
  <c r="AA541" i="10"/>
  <c r="AB541" i="10" s="1"/>
  <c r="AA629" i="10"/>
  <c r="AB629" i="10" s="1"/>
  <c r="AA701" i="10"/>
  <c r="AB701" i="10" s="1"/>
  <c r="AA142" i="10"/>
  <c r="AB142" i="10" s="1"/>
  <c r="AA70" i="10"/>
  <c r="AB70" i="10" s="1"/>
  <c r="AA174" i="10"/>
  <c r="AB174" i="10" s="1"/>
  <c r="AA342" i="10"/>
  <c r="AB342" i="10" s="1"/>
  <c r="AA502" i="10"/>
  <c r="AB502" i="10" s="1"/>
  <c r="AA566" i="10"/>
  <c r="AB566" i="10" s="1"/>
  <c r="AA630" i="10"/>
  <c r="AB630" i="10" s="1"/>
  <c r="AA806" i="10"/>
  <c r="AB806" i="10" s="1"/>
  <c r="AA866" i="10"/>
  <c r="AB866" i="10" s="1"/>
  <c r="AA315" i="10"/>
  <c r="AB315" i="10" s="1"/>
  <c r="AA103" i="10"/>
  <c r="AB103" i="10" s="1"/>
  <c r="AA383" i="10"/>
  <c r="AB383" i="10" s="1"/>
  <c r="AA743" i="10"/>
  <c r="AB743" i="10" s="1"/>
  <c r="AA16" i="10"/>
  <c r="AB16" i="10" s="1"/>
  <c r="AA624" i="10"/>
  <c r="AB624" i="10" s="1"/>
  <c r="AA301" i="10"/>
  <c r="AB301" i="10" s="1"/>
  <c r="AA489" i="10"/>
  <c r="AB489" i="10" s="1"/>
  <c r="AA63" i="10"/>
  <c r="AB63" i="10" s="1"/>
  <c r="AA327" i="10"/>
  <c r="AB327" i="10" s="1"/>
  <c r="AA479" i="10"/>
  <c r="AB479" i="10" s="1"/>
  <c r="AA767" i="10"/>
  <c r="AB767" i="10" s="1"/>
  <c r="AA536" i="10"/>
  <c r="AB536" i="10" s="1"/>
  <c r="AA232" i="10"/>
  <c r="AB232" i="10" s="1"/>
  <c r="AA288" i="10"/>
  <c r="AB288" i="10" s="1"/>
  <c r="AA520" i="10"/>
  <c r="AB520" i="10" s="1"/>
  <c r="AA768" i="10"/>
  <c r="AB768" i="10" s="1"/>
  <c r="AA874" i="10"/>
  <c r="AB874" i="10" s="1"/>
  <c r="AA97" i="10"/>
  <c r="AB97" i="10" s="1"/>
  <c r="AA329" i="10"/>
  <c r="AB329" i="10" s="1"/>
  <c r="AA505" i="10"/>
  <c r="AB505" i="10" s="1"/>
  <c r="AA681" i="10"/>
  <c r="AB681" i="10" s="1"/>
  <c r="AA210" i="10"/>
  <c r="AB210" i="10" s="1"/>
  <c r="AA114" i="10"/>
  <c r="AB114" i="10" s="1"/>
  <c r="AA378" i="10"/>
  <c r="AB378" i="10"/>
  <c r="AA522" i="10"/>
  <c r="AB522" i="10" s="1"/>
  <c r="AA835" i="10"/>
  <c r="AB835" i="10" s="1"/>
  <c r="AA219" i="10"/>
  <c r="AB219" i="10" s="1"/>
  <c r="AA499" i="10"/>
  <c r="AB499" i="10" s="1"/>
  <c r="AA763" i="10"/>
  <c r="AB763" i="10" s="1"/>
  <c r="AA60" i="10"/>
  <c r="AB60" i="10" s="1"/>
  <c r="AA356" i="10"/>
  <c r="AB356" i="10" s="1"/>
  <c r="AA620" i="10"/>
  <c r="AB620" i="10" s="1"/>
  <c r="AA804" i="10"/>
  <c r="AB804" i="10" s="1"/>
  <c r="AA53" i="10"/>
  <c r="AB53" i="10" s="1"/>
  <c r="AA189" i="10"/>
  <c r="AB189" i="10" s="1"/>
  <c r="AA509" i="10"/>
  <c r="AB509" i="10" s="1"/>
  <c r="AA318" i="10"/>
  <c r="AB318" i="10" s="1"/>
  <c r="AA542" i="10"/>
  <c r="AB542" i="10" s="1"/>
  <c r="AA803" i="10"/>
  <c r="AB803" i="10" s="1"/>
  <c r="AA67" i="10"/>
  <c r="AB67" i="10" s="1"/>
  <c r="AA845" i="10"/>
  <c r="AB845" i="10" s="1"/>
  <c r="AA734" i="10"/>
  <c r="AB734" i="10" s="1"/>
  <c r="AA39" i="10"/>
  <c r="AB39" i="10" s="1"/>
  <c r="AA95" i="10"/>
  <c r="AB95" i="10" s="1"/>
  <c r="AA159" i="10"/>
  <c r="AB159" i="10" s="1"/>
  <c r="AA215" i="10"/>
  <c r="AB215" i="10" s="1"/>
  <c r="AA287" i="10"/>
  <c r="AB287" i="10" s="1"/>
  <c r="AA375" i="10"/>
  <c r="AB375" i="10" s="1"/>
  <c r="AA447" i="10"/>
  <c r="AB447" i="10" s="1"/>
  <c r="AA519" i="10"/>
  <c r="AB519" i="10" s="1"/>
  <c r="AA591" i="10"/>
  <c r="AB591" i="10" s="1"/>
  <c r="AA663" i="10"/>
  <c r="AB663" i="10" s="1"/>
  <c r="AA735" i="10"/>
  <c r="AB735" i="10" s="1"/>
  <c r="AA799" i="10"/>
  <c r="AB799" i="10" s="1"/>
  <c r="AA872" i="10"/>
  <c r="AB872" i="10" s="1"/>
  <c r="AA786" i="10"/>
  <c r="AB786" i="10" s="1"/>
  <c r="AA222" i="10"/>
  <c r="AB222" i="10" s="1"/>
  <c r="AA8" i="10"/>
  <c r="AB8" i="10" s="1"/>
  <c r="AA72" i="10"/>
  <c r="AB72" i="10" s="1"/>
  <c r="AA136" i="10"/>
  <c r="AB136" i="10" s="1"/>
  <c r="AA200" i="10"/>
  <c r="AB200" i="10" s="1"/>
  <c r="AA312" i="10"/>
  <c r="AB312" i="10" s="1"/>
  <c r="AA368" i="10"/>
  <c r="AB368" i="10" s="1"/>
  <c r="AA424" i="10"/>
  <c r="AB424" i="10" s="1"/>
  <c r="AA488" i="10"/>
  <c r="AB488" i="10" s="1"/>
  <c r="AA616" i="10"/>
  <c r="AB616" i="10" s="1"/>
  <c r="AA680" i="10"/>
  <c r="AB680" i="10" s="1"/>
  <c r="AA736" i="10"/>
  <c r="AB736" i="10" s="1"/>
  <c r="AA800" i="10"/>
  <c r="AB800" i="10" s="1"/>
  <c r="AA864" i="10"/>
  <c r="AB864" i="10" s="1"/>
  <c r="AA787" i="10"/>
  <c r="AB787" i="10" s="1"/>
  <c r="AA229" i="10"/>
  <c r="AB229" i="10" s="1"/>
  <c r="AA878" i="10"/>
  <c r="AB878" i="10" s="1"/>
  <c r="AA65" i="10"/>
  <c r="AB65" i="10" s="1"/>
  <c r="AA129" i="10"/>
  <c r="AB129" i="10" s="1"/>
  <c r="AA193" i="10"/>
  <c r="AB193" i="10" s="1"/>
  <c r="AA249" i="10"/>
  <c r="AB249" i="10" s="1"/>
  <c r="AA361" i="10"/>
  <c r="AB361" i="10" s="1"/>
  <c r="AA417" i="10"/>
  <c r="AB417" i="10" s="1"/>
  <c r="AA481" i="10"/>
  <c r="AB481" i="10" s="1"/>
  <c r="AA529" i="10"/>
  <c r="AB529" i="10" s="1"/>
  <c r="AA649" i="10"/>
  <c r="AB649" i="10" s="1"/>
  <c r="AA713" i="10"/>
  <c r="AB713" i="10" s="1"/>
  <c r="AA777" i="10"/>
  <c r="AB777" i="10" s="1"/>
  <c r="AA841" i="10"/>
  <c r="AB841" i="10" s="1"/>
  <c r="AA762" i="10"/>
  <c r="AB762" i="10" s="1"/>
  <c r="AA308" i="10"/>
  <c r="AB308" i="10" s="1"/>
  <c r="AA18" i="10"/>
  <c r="AB18" i="10" s="1"/>
  <c r="AA82" i="10"/>
  <c r="AB82" i="10" s="1"/>
  <c r="AA146" i="10"/>
  <c r="AB146" i="10" s="1"/>
  <c r="AA266" i="10"/>
  <c r="AB266" i="10" s="1"/>
  <c r="AA346" i="10"/>
  <c r="AB346" i="10" s="1"/>
  <c r="AA418" i="10"/>
  <c r="AB418" i="10" s="1"/>
  <c r="AA490" i="10"/>
  <c r="AB490" i="10" s="1"/>
  <c r="AA554" i="10"/>
  <c r="AB554" i="10" s="1"/>
  <c r="AA626" i="10"/>
  <c r="AB626" i="10" s="1"/>
  <c r="AA571" i="10"/>
  <c r="AB571" i="10" s="1"/>
  <c r="AA565" i="10"/>
  <c r="AB565" i="10" s="1"/>
  <c r="AA35" i="10"/>
  <c r="AB35" i="10" s="1"/>
  <c r="AA107" i="10"/>
  <c r="AB107" i="10" s="1"/>
  <c r="AA179" i="10"/>
  <c r="AB179" i="10" s="1"/>
  <c r="AA323" i="10"/>
  <c r="AB323" i="10" s="1"/>
  <c r="AA395" i="10"/>
  <c r="AB395" i="10" s="1"/>
  <c r="AA467" i="10"/>
  <c r="AB467" i="10" s="1"/>
  <c r="AA539" i="10"/>
  <c r="AB539" i="10" s="1"/>
  <c r="AA611" i="10"/>
  <c r="AB611" i="10" s="1"/>
  <c r="AA675" i="10"/>
  <c r="AB675" i="10" s="1"/>
  <c r="AA837" i="10"/>
  <c r="AB837" i="10" s="1"/>
  <c r="AA414" i="10"/>
  <c r="AB414" i="10" s="1"/>
  <c r="AA140" i="10"/>
  <c r="AB140" i="10" s="1"/>
  <c r="AA260" i="10"/>
  <c r="AB260" i="10" s="1"/>
  <c r="AA324" i="10"/>
  <c r="AB324" i="10" s="1"/>
  <c r="AA388" i="10"/>
  <c r="AB388" i="10" s="1"/>
  <c r="AA452" i="10"/>
  <c r="AB452" i="10" s="1"/>
  <c r="AA516" i="10"/>
  <c r="AB516" i="10" s="1"/>
  <c r="AA580" i="10"/>
  <c r="AB580" i="10" s="1"/>
  <c r="AA660" i="10"/>
  <c r="AB660" i="10" s="1"/>
  <c r="AA708" i="10"/>
  <c r="AB708" i="10" s="1"/>
  <c r="AA772" i="10"/>
  <c r="AB772" i="10" s="1"/>
  <c r="AA722" i="10"/>
  <c r="AB722" i="10" s="1"/>
  <c r="AA85" i="10"/>
  <c r="AB85" i="10" s="1"/>
  <c r="AA221" i="10"/>
  <c r="AB221" i="10" s="1"/>
  <c r="AA309" i="10"/>
  <c r="AB309" i="10" s="1"/>
  <c r="AA405" i="10"/>
  <c r="AB405" i="10" s="1"/>
  <c r="AA477" i="10"/>
  <c r="AB477" i="10" s="1"/>
  <c r="AA549" i="10"/>
  <c r="AB549" i="10" s="1"/>
  <c r="AA637" i="10"/>
  <c r="AB637" i="10" s="1"/>
  <c r="AA717" i="10"/>
  <c r="AB717" i="10" s="1"/>
  <c r="AA350" i="10"/>
  <c r="AB350" i="10" s="1"/>
  <c r="AA182" i="10"/>
  <c r="AB182" i="10" s="1"/>
  <c r="AA262" i="10"/>
  <c r="AB262" i="10" s="1"/>
  <c r="AA358" i="10"/>
  <c r="AB358" i="10" s="1"/>
  <c r="AA430" i="10"/>
  <c r="AB430" i="10" s="1"/>
  <c r="AA510" i="10"/>
  <c r="AB510" i="10" s="1"/>
  <c r="AA574" i="10"/>
  <c r="AB574" i="10" s="1"/>
  <c r="AA638" i="10"/>
  <c r="AB638" i="10" s="1"/>
  <c r="AA710" i="10"/>
  <c r="AB710" i="10" s="1"/>
  <c r="AA402" i="10"/>
  <c r="AB402" i="10" s="1"/>
  <c r="AA730" i="10"/>
  <c r="AB730" i="10" s="1"/>
</calcChain>
</file>

<file path=xl/sharedStrings.xml><?xml version="1.0" encoding="utf-8"?>
<sst xmlns="http://schemas.openxmlformats.org/spreadsheetml/2006/main" count="18492" uniqueCount="2216">
  <si>
    <t>E-commerce Returns &amp; Customer Experience Analysis</t>
  </si>
  <si>
    <t>Business context</t>
  </si>
  <si>
    <t>A retail company needs to understand missed sales targets, return behavior, refund exposure, and delivery performance during 2025.</t>
  </si>
  <si>
    <t>Your business questions</t>
  </si>
  <si>
    <t>1. Did actual net sales meet monthly sales targets?</t>
  </si>
  <si>
    <t>2. Which categories, channels, regions, and customer segments drive sales and profit?</t>
  </si>
  <si>
    <t>3. Which categories and return reasons create the largest return and refund exposure?</t>
  </si>
  <si>
    <t>4. Are late deliveries associated with higher return rates? State the limitation: association is not causation.</t>
  </si>
  <si>
    <t>5. What three actions would you recommend, using evidence and limits from the data?</t>
  </si>
  <si>
    <t>Important data rules</t>
  </si>
  <si>
    <t>• One row in Orders_Raw represents one order line, not one full order.</t>
  </si>
  <si>
    <t>• One order can have several order lines. Count distinct Order_ID for total orders.</t>
  </si>
  <si>
    <t>• Returns_Raw is linked to Orders_Raw by Order_Line_ID.</t>
  </si>
  <si>
    <t>• Shipments is linked to Orders_Raw by Order_ID.</t>
  </si>
  <si>
    <t>• Some raw-data errors are intentional. Audit before building calculations.</t>
  </si>
  <si>
    <t>Expected project deliverables</t>
  </si>
  <si>
    <t>• A cleaned and enriched transaction table.</t>
  </si>
  <si>
    <t>• An audit/check section for data quality and reconciliation.</t>
  </si>
  <si>
    <t>• Analysis tables or PivotTables answering the business questions.</t>
  </si>
  <si>
    <t>• A dashboard with KPI cards, charts, filters, and evidence-based recommendations.</t>
  </si>
  <si>
    <t>• A GitHub README, dashboard image, and documented workflow.</t>
  </si>
  <si>
    <t>Orders Raw</t>
  </si>
  <si>
    <t>Raw line-level order data. Contains intentional quality issues.</t>
  </si>
  <si>
    <t>Order_Line_ID</t>
  </si>
  <si>
    <t>Order_ID</t>
  </si>
  <si>
    <t>Order_Date</t>
  </si>
  <si>
    <t>Customer_ID_Raw</t>
  </si>
  <si>
    <t>Customer_Info</t>
  </si>
  <si>
    <t>Product_ID</t>
  </si>
  <si>
    <t>Quantity</t>
  </si>
  <si>
    <t>Unit_Price</t>
  </si>
  <si>
    <t>Discount_Pct</t>
  </si>
  <si>
    <t>Sales_Channel_Raw</t>
  </si>
  <si>
    <t>Payment_Method_Raw</t>
  </si>
  <si>
    <t>Store_Raw</t>
  </si>
  <si>
    <t>OL-000001</t>
  </si>
  <si>
    <t>ORD-00001</t>
  </si>
  <si>
    <t>C0068</t>
  </si>
  <si>
    <t>Amina Khan, Quebec City, Consumer</t>
  </si>
  <si>
    <t>P037</t>
  </si>
  <si>
    <t>Online</t>
  </si>
  <si>
    <t>CC</t>
  </si>
  <si>
    <t>Vancouver West</t>
  </si>
  <si>
    <t>OL-000002</t>
  </si>
  <si>
    <t>P041</t>
  </si>
  <si>
    <t>Retail  Store</t>
  </si>
  <si>
    <t>Credit Card</t>
  </si>
  <si>
    <t>Calgary North</t>
  </si>
  <si>
    <t>OL-000003</t>
  </si>
  <si>
    <t>P029</t>
  </si>
  <si>
    <t>Marketplace</t>
  </si>
  <si>
    <t>PayPal</t>
  </si>
  <si>
    <t>Montreal Central</t>
  </si>
  <si>
    <t>OL-000004</t>
  </si>
  <si>
    <t>ORD-00002</t>
  </si>
  <si>
    <t>C0066</t>
  </si>
  <si>
    <t>Omar Gagnon, Edmonton, Consumer</t>
  </si>
  <si>
    <t>P031</t>
  </si>
  <si>
    <t>Debit Card</t>
  </si>
  <si>
    <t>OL-000005</t>
  </si>
  <si>
    <t>ORD-00003</t>
  </si>
  <si>
    <t>C0001</t>
  </si>
  <si>
    <t>Liam Brown, Edmonton, Small Business</t>
  </si>
  <si>
    <t>P002</t>
  </si>
  <si>
    <t>Retail Store</t>
  </si>
  <si>
    <t>OL-000006</t>
  </si>
  <si>
    <t>Market place</t>
  </si>
  <si>
    <t>Online Fulfillment</t>
  </si>
  <si>
    <t>OL-000007</t>
  </si>
  <si>
    <t>P030</t>
  </si>
  <si>
    <t>online</t>
  </si>
  <si>
    <t>OL-000008</t>
  </si>
  <si>
    <t>P036</t>
  </si>
  <si>
    <t>OL-000009</t>
  </si>
  <si>
    <t>ORD-00004</t>
  </si>
  <si>
    <t>C0044</t>
  </si>
  <si>
    <t>Yara Tremblay, Edmonton, Corporate</t>
  </si>
  <si>
    <t>P050</t>
  </si>
  <si>
    <t>OL-000010</t>
  </si>
  <si>
    <t>c0044</t>
  </si>
  <si>
    <t>P018</t>
  </si>
  <si>
    <t>OL-000011</t>
  </si>
  <si>
    <t>OL-000012</t>
  </si>
  <si>
    <t>P025</t>
  </si>
  <si>
    <t>OL-000013</t>
  </si>
  <si>
    <t>ORD-00005</t>
  </si>
  <si>
    <t>C0050</t>
  </si>
  <si>
    <t>Maya Dubois, Regina, Corporate</t>
  </si>
  <si>
    <t>P009</t>
  </si>
  <si>
    <t>OL-000014</t>
  </si>
  <si>
    <t>ORD-00006</t>
  </si>
  <si>
    <t>C0074</t>
  </si>
  <si>
    <t>Daniel Johnson, Ottawa, Small Business</t>
  </si>
  <si>
    <t>P044</t>
  </si>
  <si>
    <t>OL-000015</t>
  </si>
  <si>
    <t>ORD-00007</t>
  </si>
  <si>
    <t>C0165</t>
  </si>
  <si>
    <t>Ethan Dubois, Calgary, Consumer</t>
  </si>
  <si>
    <t>Gift Card</t>
  </si>
  <si>
    <t>OL-000016</t>
  </si>
  <si>
    <t>P005</t>
  </si>
  <si>
    <t>Toronto Downtown</t>
  </si>
  <si>
    <t>OL-000017</t>
  </si>
  <si>
    <t>ORD-00008</t>
  </si>
  <si>
    <t>C0042</t>
  </si>
  <si>
    <t>Liam Khan, Toronto, Small Business</t>
  </si>
  <si>
    <t>P004</t>
  </si>
  <si>
    <t>OL-000018</t>
  </si>
  <si>
    <t>P040</t>
  </si>
  <si>
    <t>OL-000019</t>
  </si>
  <si>
    <t>P001</t>
  </si>
  <si>
    <t>OL-000020</t>
  </si>
  <si>
    <t>P006</t>
  </si>
  <si>
    <t>OL-000021</t>
  </si>
  <si>
    <t>ORD-00009</t>
  </si>
  <si>
    <t>C0022</t>
  </si>
  <si>
    <t>Ethan Martin, Ottawa, Consumer</t>
  </si>
  <si>
    <t>P035</t>
  </si>
  <si>
    <t>OL-000022</t>
  </si>
  <si>
    <t>P016</t>
  </si>
  <si>
    <t>OL-000023</t>
  </si>
  <si>
    <t>P048</t>
  </si>
  <si>
    <t>OL-000024</t>
  </si>
  <si>
    <t>OL-000025</t>
  </si>
  <si>
    <t>ORD-00010</t>
  </si>
  <si>
    <t>C0048</t>
  </si>
  <si>
    <t>Daniel Brown, Ottawa, Small Business</t>
  </si>
  <si>
    <t>OL-000026</t>
  </si>
  <si>
    <t>P007</t>
  </si>
  <si>
    <t>OL-000027</t>
  </si>
  <si>
    <t>P003</t>
  </si>
  <si>
    <t>OL-000028</t>
  </si>
  <si>
    <t>OL-000029</t>
  </si>
  <si>
    <t>ORD-00011</t>
  </si>
  <si>
    <t>C0062</t>
  </si>
  <si>
    <t>Emma Tremblay, Calgary, Consumer</t>
  </si>
  <si>
    <t>P034</t>
  </si>
  <si>
    <t>OL-000030</t>
  </si>
  <si>
    <t>ORD-00012</t>
  </si>
  <si>
    <t>C0024</t>
  </si>
  <si>
    <t>Emma Gagnon, Calgary, Small Business</t>
  </si>
  <si>
    <t>OL-000031</t>
  </si>
  <si>
    <t>OL-000032</t>
  </si>
  <si>
    <t>ORD-00013</t>
  </si>
  <si>
    <t>C0137</t>
  </si>
  <si>
    <t>OL-000033</t>
  </si>
  <si>
    <t>ORD-00014</t>
  </si>
  <si>
    <t>P042</t>
  </si>
  <si>
    <t>OL-000034</t>
  </si>
  <si>
    <t>OL-000035</t>
  </si>
  <si>
    <t>P024</t>
  </si>
  <si>
    <t>OL-000036</t>
  </si>
  <si>
    <t>P017</t>
  </si>
  <si>
    <t>OL-000037</t>
  </si>
  <si>
    <t>ORD-00015</t>
  </si>
  <si>
    <t>C0059</t>
  </si>
  <si>
    <t>Sofia Martin, Ottawa, Consumer</t>
  </si>
  <si>
    <t>OL-000038</t>
  </si>
  <si>
    <t>ORD-00016</t>
  </si>
  <si>
    <t>C0034</t>
  </si>
  <si>
    <t>Omar Brown, Halifax, Consumer</t>
  </si>
  <si>
    <t>OL-000039</t>
  </si>
  <si>
    <t>ORD-00017</t>
  </si>
  <si>
    <t>C0104</t>
  </si>
  <si>
    <t>Yara Ali, Ottawa, Small Business</t>
  </si>
  <si>
    <t>OL-000040</t>
  </si>
  <si>
    <t>OL-000041</t>
  </si>
  <si>
    <t>ORD-00018</t>
  </si>
  <si>
    <t>C0031</t>
  </si>
  <si>
    <t>Adam Brown, Edmonton, Small Business</t>
  </si>
  <si>
    <t>OL-000042</t>
  </si>
  <si>
    <t>P047</t>
  </si>
  <si>
    <t>OL-000043</t>
  </si>
  <si>
    <t>OL-000044</t>
  </si>
  <si>
    <t>OL-000045</t>
  </si>
  <si>
    <t>ORD-00019</t>
  </si>
  <si>
    <t>C0143</t>
  </si>
  <si>
    <t>Noah Brown, Ottawa, Consumer</t>
  </si>
  <si>
    <t>P022</t>
  </si>
  <si>
    <t>OL-000046</t>
  </si>
  <si>
    <t>P014</t>
  </si>
  <si>
    <t>OL-000047</t>
  </si>
  <si>
    <t>ORD-00020</t>
  </si>
  <si>
    <t>C0140</t>
  </si>
  <si>
    <t>Amina Martin, Quebec City, Consumer</t>
  </si>
  <si>
    <t>OL-000048</t>
  </si>
  <si>
    <t>ORD-00021</t>
  </si>
  <si>
    <t>C0079</t>
  </si>
  <si>
    <t>Liam Singh, Edmonton, Small Business</t>
  </si>
  <si>
    <t>OL-000049</t>
  </si>
  <si>
    <t>OL-000050</t>
  </si>
  <si>
    <t>OL-000051</t>
  </si>
  <si>
    <t>ORD-00022</t>
  </si>
  <si>
    <t>C0142</t>
  </si>
  <si>
    <t>Liam Gagnon, Toronto, Consumer</t>
  </si>
  <si>
    <t>OL-000052</t>
  </si>
  <si>
    <t>P019</t>
  </si>
  <si>
    <t>OL-000053</t>
  </si>
  <si>
    <t>ORD-00023</t>
  </si>
  <si>
    <t>C0056</t>
  </si>
  <si>
    <t>Noah Singh, Ottawa, Small Business</t>
  </si>
  <si>
    <t>P039</t>
  </si>
  <si>
    <t>OL-000054</t>
  </si>
  <si>
    <t>OL-000055</t>
  </si>
  <si>
    <t>P027</t>
  </si>
  <si>
    <t>OL-000056</t>
  </si>
  <si>
    <t>ORD-00024</t>
  </si>
  <si>
    <t>C0128</t>
  </si>
  <si>
    <t>Sofia Gagnon, Montreal, Corporate</t>
  </si>
  <si>
    <t>OL-000057</t>
  </si>
  <si>
    <t>OL-000058</t>
  </si>
  <si>
    <t>c0128</t>
  </si>
  <si>
    <t>OL-000059</t>
  </si>
  <si>
    <t>ORD-00025</t>
  </si>
  <si>
    <t>P012</t>
  </si>
  <si>
    <t>OL-000060</t>
  </si>
  <si>
    <t>OL-000061</t>
  </si>
  <si>
    <t>ORD-00026</t>
  </si>
  <si>
    <t>C0085</t>
  </si>
  <si>
    <t>Maya Johnson, Calgary, Consumer</t>
  </si>
  <si>
    <t>P021</t>
  </si>
  <si>
    <t>OL-000062</t>
  </si>
  <si>
    <t>OL-000063</t>
  </si>
  <si>
    <t>ORD-00027</t>
  </si>
  <si>
    <t>C0126</t>
  </si>
  <si>
    <t>Emma Tremblay, Quebec City, Corporate</t>
  </si>
  <si>
    <t>OL-000064</t>
  </si>
  <si>
    <t>OL-000065</t>
  </si>
  <si>
    <t>ORD-00028</t>
  </si>
  <si>
    <t>C0164</t>
  </si>
  <si>
    <t>Daniel Wilson, Calgary, Consumer</t>
  </si>
  <si>
    <t>OL-000066</t>
  </si>
  <si>
    <t>ORD-00029</t>
  </si>
  <si>
    <t>C0089</t>
  </si>
  <si>
    <t>Omar Gagnon, Winnipeg, Small Business</t>
  </si>
  <si>
    <t>OL-000067</t>
  </si>
  <si>
    <t>OL-000068</t>
  </si>
  <si>
    <t>ORD-00030</t>
  </si>
  <si>
    <t>P023</t>
  </si>
  <si>
    <t>OL-000069</t>
  </si>
  <si>
    <t>OL-000070</t>
  </si>
  <si>
    <t>P049</t>
  </si>
  <si>
    <t>OL-000071</t>
  </si>
  <si>
    <t>ORD-00031</t>
  </si>
  <si>
    <t>C0177</t>
  </si>
  <si>
    <t>Omar Gagnon, Montreal, Consumer</t>
  </si>
  <si>
    <t>OL-000072</t>
  </si>
  <si>
    <t>OL-000073</t>
  </si>
  <si>
    <t>ORD-00032</t>
  </si>
  <si>
    <t>C0037</t>
  </si>
  <si>
    <t>Maya Dubois, Winnipeg, Small Business</t>
  </si>
  <si>
    <t>P026</t>
  </si>
  <si>
    <t>OL-000074</t>
  </si>
  <si>
    <t>OL-000075</t>
  </si>
  <si>
    <t>OL-000076</t>
  </si>
  <si>
    <t>ORD-00033</t>
  </si>
  <si>
    <t>C0149</t>
  </si>
  <si>
    <t>Ethan Khan, Winnipeg, Consumer</t>
  </si>
  <si>
    <t>OL-000077</t>
  </si>
  <si>
    <t>ORD-00034</t>
  </si>
  <si>
    <t>C0047</t>
  </si>
  <si>
    <t>Emma Gagnon, Quebec City, Consumer</t>
  </si>
  <si>
    <t>OL-000078</t>
  </si>
  <si>
    <t>OL-000079</t>
  </si>
  <si>
    <t>ORD-00035</t>
  </si>
  <si>
    <t>OL-000080</t>
  </si>
  <si>
    <t>OL-000081</t>
  </si>
  <si>
    <t>ORD-00036</t>
  </si>
  <si>
    <t>C0054</t>
  </si>
  <si>
    <t>Emma Khan, Toronto, Consumer</t>
  </si>
  <si>
    <t>P032</t>
  </si>
  <si>
    <t>OL-000082</t>
  </si>
  <si>
    <t>OL-000083</t>
  </si>
  <si>
    <t>ORD-00037</t>
  </si>
  <si>
    <t>C0172</t>
  </si>
  <si>
    <t>Adam Wilson, Edmonton, Consumer</t>
  </si>
  <si>
    <t>P038</t>
  </si>
  <si>
    <t>OL-000084</t>
  </si>
  <si>
    <t>OL-000085</t>
  </si>
  <si>
    <t>P028</t>
  </si>
  <si>
    <t>OL-000086</t>
  </si>
  <si>
    <t>OL-000087</t>
  </si>
  <si>
    <t>ORD-00038</t>
  </si>
  <si>
    <t>C0178</t>
  </si>
  <si>
    <t>Daniel Johnson, Edmonton, Corporate</t>
  </si>
  <si>
    <t>OL-000088</t>
  </si>
  <si>
    <t>OL-000089</t>
  </si>
  <si>
    <t>ORD-00039</t>
  </si>
  <si>
    <t>OL-000090</t>
  </si>
  <si>
    <t>ORD-00040</t>
  </si>
  <si>
    <t>C0154</t>
  </si>
  <si>
    <t>Ethan Dubois, Winnipeg, Corporate</t>
  </si>
  <si>
    <t>OL-000091</t>
  </si>
  <si>
    <t>ORD-00041</t>
  </si>
  <si>
    <t>C0111</t>
  </si>
  <si>
    <t>Yara Singh, Edmonton, Corporate</t>
  </si>
  <si>
    <t>OL-000092</t>
  </si>
  <si>
    <t>OL-000093</t>
  </si>
  <si>
    <t>OL-000094</t>
  </si>
  <si>
    <t>ORD-00042</t>
  </si>
  <si>
    <t>C0152</t>
  </si>
  <si>
    <t>Daniel Khan, Halifax, Small Business</t>
  </si>
  <si>
    <t>OL-000095</t>
  </si>
  <si>
    <t>P045</t>
  </si>
  <si>
    <t>OL-000096</t>
  </si>
  <si>
    <t>OL-000097</t>
  </si>
  <si>
    <t>ORD-00043</t>
  </si>
  <si>
    <t>C0088</t>
  </si>
  <si>
    <t>Yara Johnson, Quebec City, Consumer</t>
  </si>
  <si>
    <t>P020</t>
  </si>
  <si>
    <t>OL-000098</t>
  </si>
  <si>
    <t>ORD-00044</t>
  </si>
  <si>
    <t>OL-000099</t>
  </si>
  <si>
    <t>ORD-00045</t>
  </si>
  <si>
    <t>C0080</t>
  </si>
  <si>
    <t>OL-000100</t>
  </si>
  <si>
    <t>P046</t>
  </si>
  <si>
    <t>OL-000101</t>
  </si>
  <si>
    <t>OL-000102</t>
  </si>
  <si>
    <t>OL-000103</t>
  </si>
  <si>
    <t>ORD-00046</t>
  </si>
  <si>
    <t>C0129</t>
  </si>
  <si>
    <t>Emma Brown, Toronto, Corporate</t>
  </si>
  <si>
    <t>OL-000104</t>
  </si>
  <si>
    <t>OL-000105</t>
  </si>
  <si>
    <t>ORD-00047</t>
  </si>
  <si>
    <t>OL-000106</t>
  </si>
  <si>
    <t>ORD-00048</t>
  </si>
  <si>
    <t>C0144</t>
  </si>
  <si>
    <t>Noah Gagnon, Regina, Corporate</t>
  </si>
  <si>
    <t>OL-000107</t>
  </si>
  <si>
    <t>OL-000108</t>
  </si>
  <si>
    <t>P015</t>
  </si>
  <si>
    <t>OL-000109</t>
  </si>
  <si>
    <t>ORD-00049</t>
  </si>
  <si>
    <t>C0028</t>
  </si>
  <si>
    <t>Liam Singh, Vancouver, Corporate</t>
  </si>
  <si>
    <t>OL-000110</t>
  </si>
  <si>
    <t>OL-000111</t>
  </si>
  <si>
    <t>ORD-00050</t>
  </si>
  <si>
    <t>C0091</t>
  </si>
  <si>
    <t>Emma Ali, Edmonton, Small Business</t>
  </si>
  <si>
    <t>OL-000112</t>
  </si>
  <si>
    <t>OL-000113</t>
  </si>
  <si>
    <t>OL-000114</t>
  </si>
  <si>
    <t>OL-000115</t>
  </si>
  <si>
    <t>ORD-00051</t>
  </si>
  <si>
    <t>C0083</t>
  </si>
  <si>
    <t>Noah Singh, Montreal, Small Business</t>
  </si>
  <si>
    <t>OL-000116</t>
  </si>
  <si>
    <t>ORD-00052</t>
  </si>
  <si>
    <t>C0078</t>
  </si>
  <si>
    <t>Sofia Tremblay, Calgary, Corporate</t>
  </si>
  <si>
    <t>OL-000117</t>
  </si>
  <si>
    <t>ORD-00053</t>
  </si>
  <si>
    <t>OL-000118</t>
  </si>
  <si>
    <t>OL-000119</t>
  </si>
  <si>
    <t>ORD-00054</t>
  </si>
  <si>
    <t>C0159</t>
  </si>
  <si>
    <t>Yara Ali, Montreal, Consumer</t>
  </si>
  <si>
    <t>OL-000120</t>
  </si>
  <si>
    <t>c0159</t>
  </si>
  <si>
    <t>OL-000121</t>
  </si>
  <si>
    <t>OL-000122</t>
  </si>
  <si>
    <t>ORD-00055</t>
  </si>
  <si>
    <t>C0090</t>
  </si>
  <si>
    <t>Emma Singh, Winnipeg, Small Business</t>
  </si>
  <si>
    <t>OL-000123</t>
  </si>
  <si>
    <t>OL-000124</t>
  </si>
  <si>
    <t>OL-000125</t>
  </si>
  <si>
    <t>ORD-00056</t>
  </si>
  <si>
    <t>C0119</t>
  </si>
  <si>
    <t>Noah Khan, Vancouver, Consumer</t>
  </si>
  <si>
    <t>OL-000126</t>
  </si>
  <si>
    <t>OL-000127</t>
  </si>
  <si>
    <t>OL-000128</t>
  </si>
  <si>
    <t>OL-000129</t>
  </si>
  <si>
    <t>ORD-00057</t>
  </si>
  <si>
    <t>C0051</t>
  </si>
  <si>
    <t>OL-000130</t>
  </si>
  <si>
    <t>OL-000131</t>
  </si>
  <si>
    <t>ORD-00058</t>
  </si>
  <si>
    <t>C0032</t>
  </si>
  <si>
    <t>Ethan Brown, Regina, Corporate</t>
  </si>
  <si>
    <t>OL-000132</t>
  </si>
  <si>
    <t>OL-000133</t>
  </si>
  <si>
    <t>ORD-00059</t>
  </si>
  <si>
    <t>OL-000134</t>
  </si>
  <si>
    <t>ORD-00060</t>
  </si>
  <si>
    <t>C0082</t>
  </si>
  <si>
    <t>Adam Dubois, Calgary, Small Business</t>
  </si>
  <si>
    <t>OL-000135</t>
  </si>
  <si>
    <t>OL-000136</t>
  </si>
  <si>
    <t>ORD-00061</t>
  </si>
  <si>
    <t>C0070</t>
  </si>
  <si>
    <t>Maya Martin, Vancouver, Small Business</t>
  </si>
  <si>
    <t>OL-000137</t>
  </si>
  <si>
    <t>ORD-00062</t>
  </si>
  <si>
    <t>C0035</t>
  </si>
  <si>
    <t>Sofia Singh, Vancouver, Consumer</t>
  </si>
  <si>
    <t>OL-000138</t>
  </si>
  <si>
    <t>OL-000139</t>
  </si>
  <si>
    <t>OL-000140</t>
  </si>
  <si>
    <t>OL-000141</t>
  </si>
  <si>
    <t>ORD-00063</t>
  </si>
  <si>
    <t>C0179</t>
  </si>
  <si>
    <t>OL-000142</t>
  </si>
  <si>
    <t>OL-000143</t>
  </si>
  <si>
    <t>OL-000144</t>
  </si>
  <si>
    <t>ORD-00064</t>
  </si>
  <si>
    <t>C0109</t>
  </si>
  <si>
    <t>Sofia Khan, Edmonton, Small Business</t>
  </si>
  <si>
    <t>OL-000145</t>
  </si>
  <si>
    <t>ORD-00065</t>
  </si>
  <si>
    <t>C0135</t>
  </si>
  <si>
    <t>Emma Wilson, Edmonton, Corporate</t>
  </si>
  <si>
    <t>OL-000146</t>
  </si>
  <si>
    <t>OL-000147</t>
  </si>
  <si>
    <t>OL-000148</t>
  </si>
  <si>
    <t>OL-000149</t>
  </si>
  <si>
    <t>ORD-00066</t>
  </si>
  <si>
    <t>C0077</t>
  </si>
  <si>
    <t>Yara Dubois, Ottawa, Consumer</t>
  </si>
  <si>
    <t>OL-000150</t>
  </si>
  <si>
    <t>ORD-00067</t>
  </si>
  <si>
    <t>C0003</t>
  </si>
  <si>
    <t>Noah Gagnon, Calgary, Small Business</t>
  </si>
  <si>
    <t>OL-000151</t>
  </si>
  <si>
    <t>P008</t>
  </si>
  <si>
    <t>OL-000152</t>
  </si>
  <si>
    <t>OL-000153</t>
  </si>
  <si>
    <t>ORD-00068</t>
  </si>
  <si>
    <t>C0171</t>
  </si>
  <si>
    <t>Yara Gagnon, Winnipeg, Corporate</t>
  </si>
  <si>
    <t>OL-000154</t>
  </si>
  <si>
    <t>OL-000155</t>
  </si>
  <si>
    <t>ORD-00069</t>
  </si>
  <si>
    <t>C0029</t>
  </si>
  <si>
    <t>Sara Dubois, Edmonton, Consumer</t>
  </si>
  <si>
    <t>OL-000156</t>
  </si>
  <si>
    <t>OL-000157</t>
  </si>
  <si>
    <t>OL-000158</t>
  </si>
  <si>
    <t>ORD-00070</t>
  </si>
  <si>
    <t>C0075</t>
  </si>
  <si>
    <t>Sara Tremblay, Winnipeg, Corporate</t>
  </si>
  <si>
    <t>OL-000159</t>
  </si>
  <si>
    <t>OL-000160</t>
  </si>
  <si>
    <t>OL-000161</t>
  </si>
  <si>
    <t>OL-000162</t>
  </si>
  <si>
    <t>ORD-00071</t>
  </si>
  <si>
    <t>C0141</t>
  </si>
  <si>
    <t>Emma Tremblay, Halifax, Consumer</t>
  </si>
  <si>
    <t>OL-000163</t>
  </si>
  <si>
    <t>OL-000164</t>
  </si>
  <si>
    <t>ORD-00072</t>
  </si>
  <si>
    <t>OL-000165</t>
  </si>
  <si>
    <t>P011</t>
  </si>
  <si>
    <t>OL-000166</t>
  </si>
  <si>
    <t>OL-000167</t>
  </si>
  <si>
    <t>OL-000168</t>
  </si>
  <si>
    <t>ORD-00073</t>
  </si>
  <si>
    <t>C0015</t>
  </si>
  <si>
    <t>Adam Wilson, Halifax, Consumer</t>
  </si>
  <si>
    <t>OL-000169</t>
  </si>
  <si>
    <t>OL-000170</t>
  </si>
  <si>
    <t>ORD-00074</t>
  </si>
  <si>
    <t>OL-000171</t>
  </si>
  <si>
    <t>OL-000172</t>
  </si>
  <si>
    <t>P033</t>
  </si>
  <si>
    <t>OL-000173</t>
  </si>
  <si>
    <t>OL-000174</t>
  </si>
  <si>
    <t>ORD-00075</t>
  </si>
  <si>
    <t>OL-000175</t>
  </si>
  <si>
    <t>OL-000176</t>
  </si>
  <si>
    <t>ORD-00076</t>
  </si>
  <si>
    <t>C0095</t>
  </si>
  <si>
    <t>Daniel Martin, Montreal, Consumer</t>
  </si>
  <si>
    <t>OL-000177</t>
  </si>
  <si>
    <t>OL-000178</t>
  </si>
  <si>
    <t>OL-000179</t>
  </si>
  <si>
    <t>ORD-00077</t>
  </si>
  <si>
    <t>OL-000180</t>
  </si>
  <si>
    <t>OL-000181</t>
  </si>
  <si>
    <t>OL-000182</t>
  </si>
  <si>
    <t>ORD-00078</t>
  </si>
  <si>
    <t>C0008</t>
  </si>
  <si>
    <t>OL-000183</t>
  </si>
  <si>
    <t>OL-000184</t>
  </si>
  <si>
    <t>OL-000185</t>
  </si>
  <si>
    <t>ORD-00079</t>
  </si>
  <si>
    <t>C0092</t>
  </si>
  <si>
    <t>Adam Gagnon, Edmonton, Consumer</t>
  </si>
  <si>
    <t>OL-000186</t>
  </si>
  <si>
    <t>ORD-00080</t>
  </si>
  <si>
    <t>OL-000187</t>
  </si>
  <si>
    <t>P013</t>
  </si>
  <si>
    <t>OL-000188</t>
  </si>
  <si>
    <t>OL-000189</t>
  </si>
  <si>
    <t>ORD-00081</t>
  </si>
  <si>
    <t>C0113</t>
  </si>
  <si>
    <t>Omar Martin, Edmonton, Consumer</t>
  </si>
  <si>
    <t>OL-000190</t>
  </si>
  <si>
    <t>ORD-00082</t>
  </si>
  <si>
    <t>C0017</t>
  </si>
  <si>
    <t>Omar Gagnon, Quebec City, Corporate</t>
  </si>
  <si>
    <t>OL-000191</t>
  </si>
  <si>
    <t>ORD-00083</t>
  </si>
  <si>
    <t>C0106</t>
  </si>
  <si>
    <t>Sofia Singh, Montreal, Small Business</t>
  </si>
  <si>
    <t>OL-000192</t>
  </si>
  <si>
    <t>OL-000193</t>
  </si>
  <si>
    <t>ORD-00084</t>
  </si>
  <si>
    <t>C0084</t>
  </si>
  <si>
    <t>Daniel Brown, Calgary, Small Business</t>
  </si>
  <si>
    <t>OL-000194</t>
  </si>
  <si>
    <t>OL-000195</t>
  </si>
  <si>
    <t>ORD-00085</t>
  </si>
  <si>
    <t>C0162</t>
  </si>
  <si>
    <t>Sara Singh, Vancouver, Small Business</t>
  </si>
  <si>
    <t>OL-000196</t>
  </si>
  <si>
    <t>ORD-00086</t>
  </si>
  <si>
    <t>P010</t>
  </si>
  <si>
    <t>OL-000197</t>
  </si>
  <si>
    <t>OL-000198</t>
  </si>
  <si>
    <t>ORD-00087</t>
  </si>
  <si>
    <t>C0160</t>
  </si>
  <si>
    <t>Yara Johnson, Victoria, Corporate</t>
  </si>
  <si>
    <t>OL-000199</t>
  </si>
  <si>
    <t>OL-000200</t>
  </si>
  <si>
    <t>ORD-00088</t>
  </si>
  <si>
    <t>C0174</t>
  </si>
  <si>
    <t>Ethan Johnson, Calgary, Small Business</t>
  </si>
  <si>
    <t>OL-000201</t>
  </si>
  <si>
    <t>OL-000202</t>
  </si>
  <si>
    <t>OL-000203</t>
  </si>
  <si>
    <t>ORD-00089</t>
  </si>
  <si>
    <t>C0108</t>
  </si>
  <si>
    <t>Sofia Martin, Quebec City, Consumer</t>
  </si>
  <si>
    <t>OL-000204</t>
  </si>
  <si>
    <t>ORD-00090</t>
  </si>
  <si>
    <t>C0045</t>
  </si>
  <si>
    <t>Sara Wilson, Victoria, Corporate</t>
  </si>
  <si>
    <t>OL-000205</t>
  </si>
  <si>
    <t>OL-000206</t>
  </si>
  <si>
    <t>OL-000207</t>
  </si>
  <si>
    <t>c0045</t>
  </si>
  <si>
    <t>OL-000208</t>
  </si>
  <si>
    <t>ORD-00091</t>
  </si>
  <si>
    <t>C0009</t>
  </si>
  <si>
    <t>Ethan Johnson, Regina, Corporate</t>
  </si>
  <si>
    <t>OL-000209</t>
  </si>
  <si>
    <t>OL-000210</t>
  </si>
  <si>
    <t>ORD-00092</t>
  </si>
  <si>
    <t>OL-000211</t>
  </si>
  <si>
    <t>OL-000212</t>
  </si>
  <si>
    <t>OL-000213</t>
  </si>
  <si>
    <t>ORD-00093</t>
  </si>
  <si>
    <t>C0055</t>
  </si>
  <si>
    <t>Adam Singh, Victoria, Consumer</t>
  </si>
  <si>
    <t>OL-000214</t>
  </si>
  <si>
    <t>ORD-00094</t>
  </si>
  <si>
    <t>OL-000215</t>
  </si>
  <si>
    <t>OL-000216</t>
  </si>
  <si>
    <t>ORD-00095</t>
  </si>
  <si>
    <t>OL-000217</t>
  </si>
  <si>
    <t>OL-000218</t>
  </si>
  <si>
    <t>OL-000219</t>
  </si>
  <si>
    <t>ORD-00096</t>
  </si>
  <si>
    <t>C0038</t>
  </si>
  <si>
    <t>Sofia Dubois, Quebec City, Corporate</t>
  </si>
  <si>
    <t>OL-000220</t>
  </si>
  <si>
    <t>ORD-00097</t>
  </si>
  <si>
    <t>C0012</t>
  </si>
  <si>
    <t>OL-000221</t>
  </si>
  <si>
    <t>ORD-00098</t>
  </si>
  <si>
    <t>C0139</t>
  </si>
  <si>
    <t>Sara Gagnon, Montreal, Small Business</t>
  </si>
  <si>
    <t>OL-000222</t>
  </si>
  <si>
    <t>OL-000223</t>
  </si>
  <si>
    <t>OL-000224</t>
  </si>
  <si>
    <t>OL-000225</t>
  </si>
  <si>
    <t>ORD-00099</t>
  </si>
  <si>
    <t>C0081</t>
  </si>
  <si>
    <t>Daniel Ali, Victoria, Consumer</t>
  </si>
  <si>
    <t>OL-000226</t>
  </si>
  <si>
    <t>OL-000227</t>
  </si>
  <si>
    <t>OL-000228</t>
  </si>
  <si>
    <t>ORD-00100</t>
  </si>
  <si>
    <t>OL-000229</t>
  </si>
  <si>
    <t>OL-000230</t>
  </si>
  <si>
    <t>OL-000231</t>
  </si>
  <si>
    <t>OL-000232</t>
  </si>
  <si>
    <t>ORD-00101</t>
  </si>
  <si>
    <t>C0155</t>
  </si>
  <si>
    <t>Amina Martin, Halifax, Consumer</t>
  </si>
  <si>
    <t>OL-000233</t>
  </si>
  <si>
    <t>OL-000234</t>
  </si>
  <si>
    <t>ORD-00102</t>
  </si>
  <si>
    <t>C0180</t>
  </si>
  <si>
    <t>Yara Dubois, Quebec City, Small Business</t>
  </si>
  <si>
    <t>OL-000235</t>
  </si>
  <si>
    <t>OL-000236</t>
  </si>
  <si>
    <t>OL-000237</t>
  </si>
  <si>
    <t>ORD-00103</t>
  </si>
  <si>
    <t>OL-000238</t>
  </si>
  <si>
    <t>OL-000239</t>
  </si>
  <si>
    <t>OL-000240</t>
  </si>
  <si>
    <t>OL-000241</t>
  </si>
  <si>
    <t>ORD-00104</t>
  </si>
  <si>
    <t>C0173</t>
  </si>
  <si>
    <t>Adam Johnson, Vancouver, Small Business</t>
  </si>
  <si>
    <t>OL-000242</t>
  </si>
  <si>
    <t>OL-000243</t>
  </si>
  <si>
    <t>OL-000244</t>
  </si>
  <si>
    <t>OL-000245</t>
  </si>
  <si>
    <t>ORD-00105</t>
  </si>
  <si>
    <t>C0167</t>
  </si>
  <si>
    <t>Emma Singh, Calgary, Small Business</t>
  </si>
  <si>
    <t>OL-000246</t>
  </si>
  <si>
    <t>OL-000247</t>
  </si>
  <si>
    <t>ORD-00106</t>
  </si>
  <si>
    <t>C0136</t>
  </si>
  <si>
    <t>Sofia Gagnon, Quebec City, Corporate</t>
  </si>
  <si>
    <t>OL-000248</t>
  </si>
  <si>
    <t>ORD-00107</t>
  </si>
  <si>
    <t>c0104</t>
  </si>
  <si>
    <t>OL-000249</t>
  </si>
  <si>
    <t>OL-000250</t>
  </si>
  <si>
    <t>OL-000251</t>
  </si>
  <si>
    <t>ORD-00108</t>
  </si>
  <si>
    <t>OL-000252</t>
  </si>
  <si>
    <t>OL-000253</t>
  </si>
  <si>
    <t>OL-000254</t>
  </si>
  <si>
    <t>ORD-00109</t>
  </si>
  <si>
    <t>OL-000255</t>
  </si>
  <si>
    <t>OL-000256</t>
  </si>
  <si>
    <t>OL-000257</t>
  </si>
  <si>
    <t>ORD-00110</t>
  </si>
  <si>
    <t>C0150</t>
  </si>
  <si>
    <t>Emma Brown, Vancouver, Corporate</t>
  </si>
  <si>
    <t>OL-000258</t>
  </si>
  <si>
    <t>OL-000259</t>
  </si>
  <si>
    <t>OL-000260</t>
  </si>
  <si>
    <t>OL-000261</t>
  </si>
  <si>
    <t>ORD-00111</t>
  </si>
  <si>
    <t>C0121</t>
  </si>
  <si>
    <t>Sara Gagnon, Halifax, Corporate</t>
  </si>
  <si>
    <t>OL-000262</t>
  </si>
  <si>
    <t>OL-000263</t>
  </si>
  <si>
    <t>OL-000264</t>
  </si>
  <si>
    <t>OL-000265</t>
  </si>
  <si>
    <t>ORD-00112</t>
  </si>
  <si>
    <t>C0011</t>
  </si>
  <si>
    <t>Liam Wilson, Montreal, Small Business</t>
  </si>
  <si>
    <t>OL-000266</t>
  </si>
  <si>
    <t>OL-000267</t>
  </si>
  <si>
    <t>OL-000268</t>
  </si>
  <si>
    <t>c0011</t>
  </si>
  <si>
    <t>OL-000269</t>
  </si>
  <si>
    <t>ORD-00113</t>
  </si>
  <si>
    <t>C0134</t>
  </si>
  <si>
    <t>Sara Wilson, Montreal, Small Business</t>
  </si>
  <si>
    <t>OL-000270</t>
  </si>
  <si>
    <t>OL-000271</t>
  </si>
  <si>
    <t>OL-000272</t>
  </si>
  <si>
    <t>OL-000273</t>
  </si>
  <si>
    <t>ORD-00114</t>
  </si>
  <si>
    <t>C0110</t>
  </si>
  <si>
    <t>Maya Tremblay, Calgary, Small Business</t>
  </si>
  <si>
    <t>OL-000274</t>
  </si>
  <si>
    <t>OL-000275</t>
  </si>
  <si>
    <t>ORD-00115</t>
  </si>
  <si>
    <t>C0086</t>
  </si>
  <si>
    <t>Adam Tremblay, Edmonton, Small Business</t>
  </si>
  <si>
    <t>OL-000276</t>
  </si>
  <si>
    <t>ORD-00116</t>
  </si>
  <si>
    <t>C0076</t>
  </si>
  <si>
    <t>Omar Ali, Quebec City, Corporate</t>
  </si>
  <si>
    <t>OL-000277</t>
  </si>
  <si>
    <t>ORD-00117</t>
  </si>
  <si>
    <t>C0073</t>
  </si>
  <si>
    <t>Amina Tremblay, Vancouver, Corporate</t>
  </si>
  <si>
    <t>OL-000278</t>
  </si>
  <si>
    <t>ORD-00118</t>
  </si>
  <si>
    <t>C0175</t>
  </si>
  <si>
    <t>Emma Martin, Vancouver, Consumer</t>
  </si>
  <si>
    <t>OL-000279</t>
  </si>
  <si>
    <t>OL-000280</t>
  </si>
  <si>
    <t>OL-000281</t>
  </si>
  <si>
    <t>OL-000282</t>
  </si>
  <si>
    <t>ORD-00119</t>
  </si>
  <si>
    <t>OL-000283</t>
  </si>
  <si>
    <t>OL-000284</t>
  </si>
  <si>
    <t>ORD-00120</t>
  </si>
  <si>
    <t>c0102</t>
  </si>
  <si>
    <t>Adam Brown, Montreal, Small Business</t>
  </si>
  <si>
    <t>OL-000285</t>
  </si>
  <si>
    <t>C0102</t>
  </si>
  <si>
    <t>OL-000286</t>
  </si>
  <si>
    <t>OL-000287</t>
  </si>
  <si>
    <t>OL-000288</t>
  </si>
  <si>
    <t>ORD-00121</t>
  </si>
  <si>
    <t>OL-000289</t>
  </si>
  <si>
    <t>OL-000290</t>
  </si>
  <si>
    <t>OL-000291</t>
  </si>
  <si>
    <t>OL-000292</t>
  </si>
  <si>
    <t>ORD-00122</t>
  </si>
  <si>
    <t>OL-000293</t>
  </si>
  <si>
    <t>OL-000294</t>
  </si>
  <si>
    <t>OL-000295</t>
  </si>
  <si>
    <t>ORD-00123</t>
  </si>
  <si>
    <t>OL-000296</t>
  </si>
  <si>
    <t>OL-000297</t>
  </si>
  <si>
    <t>ORD-00124</t>
  </si>
  <si>
    <t>OL-000298</t>
  </si>
  <si>
    <t>OL-000299</t>
  </si>
  <si>
    <t>ORD-00125</t>
  </si>
  <si>
    <t>OL-000300</t>
  </si>
  <si>
    <t>OL-000301</t>
  </si>
  <si>
    <t>ORD-00126</t>
  </si>
  <si>
    <t>OL-000302</t>
  </si>
  <si>
    <t>OL-000303</t>
  </si>
  <si>
    <t>OL-000304</t>
  </si>
  <si>
    <t>ORD-00127</t>
  </si>
  <si>
    <t>C0007</t>
  </si>
  <si>
    <t>Liam Singh, Victoria, Consumer</t>
  </si>
  <si>
    <t>OL-000305</t>
  </si>
  <si>
    <t>c0007</t>
  </si>
  <si>
    <t>OL-000306</t>
  </si>
  <si>
    <t>ORD-00128</t>
  </si>
  <si>
    <t>OL-000307</t>
  </si>
  <si>
    <t>OL-000308</t>
  </si>
  <si>
    <t>ORD-00129</t>
  </si>
  <si>
    <t>C0002</t>
  </si>
  <si>
    <t>Amina Khan, Montreal, Corporate</t>
  </si>
  <si>
    <t>OL-000309</t>
  </si>
  <si>
    <t>OL-000310</t>
  </si>
  <si>
    <t>ORD-00130</t>
  </si>
  <si>
    <t>C0030</t>
  </si>
  <si>
    <t>Yara Dubois, Calgary, Consumer</t>
  </si>
  <si>
    <t>OL-000311</t>
  </si>
  <si>
    <t>OL-000312</t>
  </si>
  <si>
    <t>ORD-00131</t>
  </si>
  <si>
    <t>OL-000313</t>
  </si>
  <si>
    <t>OL-000314</t>
  </si>
  <si>
    <t>OL-000315</t>
  </si>
  <si>
    <t>OL-000316</t>
  </si>
  <si>
    <t>ORD-00132</t>
  </si>
  <si>
    <t>C0014</t>
  </si>
  <si>
    <t>Liam Singh, Calgary, Corporate</t>
  </si>
  <si>
    <t>OL-000317</t>
  </si>
  <si>
    <t>OL-000318</t>
  </si>
  <si>
    <t>OL-000319</t>
  </si>
  <si>
    <t>OL-000320</t>
  </si>
  <si>
    <t>ORD-00133</t>
  </si>
  <si>
    <t>C0087</t>
  </si>
  <si>
    <t>Yara Martin, Calgary, Corporate</t>
  </si>
  <si>
    <t>OL-000321</t>
  </si>
  <si>
    <t>OL-000322</t>
  </si>
  <si>
    <t>ORD-00134</t>
  </si>
  <si>
    <t>C0123</t>
  </si>
  <si>
    <t>Adam Johnson, Montreal, Consumer</t>
  </si>
  <si>
    <t>OL-000323</t>
  </si>
  <si>
    <t>OL-000324</t>
  </si>
  <si>
    <t>OL-000325</t>
  </si>
  <si>
    <t>ORD-00135</t>
  </si>
  <si>
    <t>OL-000326</t>
  </si>
  <si>
    <t>OL-000327</t>
  </si>
  <si>
    <t>ORD-00136</t>
  </si>
  <si>
    <t>OL-000328</t>
  </si>
  <si>
    <t>OL-000329</t>
  </si>
  <si>
    <t>OL-000330</t>
  </si>
  <si>
    <t>OL-000331</t>
  </si>
  <si>
    <t>ORD-00137</t>
  </si>
  <si>
    <t>OL-000332</t>
  </si>
  <si>
    <t>OL-000333</t>
  </si>
  <si>
    <t>c0002</t>
  </si>
  <si>
    <t>OL-000334</t>
  </si>
  <si>
    <t>ORD-00138</t>
  </si>
  <si>
    <t>OL-000335</t>
  </si>
  <si>
    <t>OL-000336</t>
  </si>
  <si>
    <t>OL-000337</t>
  </si>
  <si>
    <t>ORD-00139</t>
  </si>
  <si>
    <t>OL-000338</t>
  </si>
  <si>
    <t>P043</t>
  </si>
  <si>
    <t>OL-000339</t>
  </si>
  <si>
    <t>OL-000340</t>
  </si>
  <si>
    <t>ORD-00140</t>
  </si>
  <si>
    <t>OL-000341</t>
  </si>
  <si>
    <t>OL-000342</t>
  </si>
  <si>
    <t>OL-000343</t>
  </si>
  <si>
    <t>ORD-00141</t>
  </si>
  <si>
    <t>OL-000344</t>
  </si>
  <si>
    <t>OL-000345</t>
  </si>
  <si>
    <t>ORD-00142</t>
  </si>
  <si>
    <t>OL-000346</t>
  </si>
  <si>
    <t>OL-000347</t>
  </si>
  <si>
    <t>OL-000348</t>
  </si>
  <si>
    <t>OL-000349</t>
  </si>
  <si>
    <t>ORD-00143</t>
  </si>
  <si>
    <t>OL-000350</t>
  </si>
  <si>
    <t>OL-000351</t>
  </si>
  <si>
    <t>OL-000352</t>
  </si>
  <si>
    <t>OL-000353</t>
  </si>
  <si>
    <t>ORD-00144</t>
  </si>
  <si>
    <t>C0063</t>
  </si>
  <si>
    <t>Ethan Singh, Toronto, Consumer</t>
  </si>
  <si>
    <t>OL-000354</t>
  </si>
  <si>
    <t>ORD-00145</t>
  </si>
  <si>
    <t>OL-000355</t>
  </si>
  <si>
    <t>OL-000356</t>
  </si>
  <si>
    <t>OL-000357</t>
  </si>
  <si>
    <t>ORD-00146</t>
  </si>
  <si>
    <t>C0006</t>
  </si>
  <si>
    <t>Amina Brown, Edmonton, Small Business</t>
  </si>
  <si>
    <t>OL-000358</t>
  </si>
  <si>
    <t>OL-000359</t>
  </si>
  <si>
    <t>OL-000360</t>
  </si>
  <si>
    <t>ORD-00147</t>
  </si>
  <si>
    <t>OL-000361</t>
  </si>
  <si>
    <t>OL-000362</t>
  </si>
  <si>
    <t>ORD-00148</t>
  </si>
  <si>
    <t>OL-000363</t>
  </si>
  <si>
    <t>OL-000364</t>
  </si>
  <si>
    <t>OL-000365</t>
  </si>
  <si>
    <t>ORD-00149</t>
  </si>
  <si>
    <t>OL-000366</t>
  </si>
  <si>
    <t>ORD-00150</t>
  </si>
  <si>
    <t>OL-000367</t>
  </si>
  <si>
    <t>OL-000368</t>
  </si>
  <si>
    <t>ORD-00151</t>
  </si>
  <si>
    <t>OL-000369</t>
  </si>
  <si>
    <t>c0068</t>
  </si>
  <si>
    <t>OL-000370</t>
  </si>
  <si>
    <t>ORD-00152</t>
  </si>
  <si>
    <t>C0169</t>
  </si>
  <si>
    <t>Sofia Wilson, Ottawa, Small Business</t>
  </si>
  <si>
    <t>OL-000371</t>
  </si>
  <si>
    <t>ORD-00153</t>
  </si>
  <si>
    <t>C0004</t>
  </si>
  <si>
    <t>Adam Johnson, Halifax, Small Business</t>
  </si>
  <si>
    <t>OL-000372</t>
  </si>
  <si>
    <t>ORD-00154</t>
  </si>
  <si>
    <t>C0146</t>
  </si>
  <si>
    <t>Maya Dubois, Edmonton, Small Business</t>
  </si>
  <si>
    <t>OL-000373</t>
  </si>
  <si>
    <t>OL-000374</t>
  </si>
  <si>
    <t>OL-000375</t>
  </si>
  <si>
    <t>ORD-00155</t>
  </si>
  <si>
    <t>C0039</t>
  </si>
  <si>
    <t>Daniel Singh, Winnipeg, Consumer</t>
  </si>
  <si>
    <t>OL-000376</t>
  </si>
  <si>
    <t>OL-000377</t>
  </si>
  <si>
    <t>ORD-00156</t>
  </si>
  <si>
    <t>OL-000378</t>
  </si>
  <si>
    <t>OL-000379</t>
  </si>
  <si>
    <t>OL-000380</t>
  </si>
  <si>
    <t>OL-000381</t>
  </si>
  <si>
    <t>ORD-00157</t>
  </si>
  <si>
    <t>C0016</t>
  </si>
  <si>
    <t>Sofia Martin, Victoria, Small Business</t>
  </si>
  <si>
    <t>OL-000382</t>
  </si>
  <si>
    <t>OL-000383</t>
  </si>
  <si>
    <t>OL-000384</t>
  </si>
  <si>
    <t>OL-000385</t>
  </si>
  <si>
    <t>ORD-00158</t>
  </si>
  <si>
    <t>C0168</t>
  </si>
  <si>
    <t>Maya Singh, Calgary, Small Business</t>
  </si>
  <si>
    <t>OL-000386</t>
  </si>
  <si>
    <t>OL-000387</t>
  </si>
  <si>
    <t>OL-000388</t>
  </si>
  <si>
    <t>OL-000389</t>
  </si>
  <si>
    <t>ORD-00159</t>
  </si>
  <si>
    <t>OL-000390</t>
  </si>
  <si>
    <t>ORD-00160</t>
  </si>
  <si>
    <t>OL-000391</t>
  </si>
  <si>
    <t>OL-000392</t>
  </si>
  <si>
    <t>OL-000393</t>
  </si>
  <si>
    <t>OL-000394</t>
  </si>
  <si>
    <t>ORD-00161</t>
  </si>
  <si>
    <t>C0116</t>
  </si>
  <si>
    <t>Sofia Dubois, Winnipeg, Consumer</t>
  </si>
  <si>
    <t>OL-000395</t>
  </si>
  <si>
    <t>OL-000396</t>
  </si>
  <si>
    <t>OL-000397</t>
  </si>
  <si>
    <t>OL-000398</t>
  </si>
  <si>
    <t>ORD-00162</t>
  </si>
  <si>
    <t>OL-000399</t>
  </si>
  <si>
    <t>OL-000400</t>
  </si>
  <si>
    <t>ORD-00163</t>
  </si>
  <si>
    <t>C0157</t>
  </si>
  <si>
    <t>Daniel Martin, Edmonton, Consumer</t>
  </si>
  <si>
    <t>OL-000401</t>
  </si>
  <si>
    <t>OL-000402</t>
  </si>
  <si>
    <t>ORD-00164</t>
  </si>
  <si>
    <t>C0010</t>
  </si>
  <si>
    <t>Sofia Ali, Quebec City, Consumer</t>
  </si>
  <si>
    <t>OL-000403</t>
  </si>
  <si>
    <t>OL-000404</t>
  </si>
  <si>
    <t>ORD-00165</t>
  </si>
  <si>
    <t>OL-000405</t>
  </si>
  <si>
    <t>OL-000406</t>
  </si>
  <si>
    <t>OL-000407</t>
  </si>
  <si>
    <t>ORD-00166</t>
  </si>
  <si>
    <t>OL-000408</t>
  </si>
  <si>
    <t>ORD-00167</t>
  </si>
  <si>
    <t>OL-000409</t>
  </si>
  <si>
    <t>ORD-00168</t>
  </si>
  <si>
    <t>OL-000410</t>
  </si>
  <si>
    <t>ORD-00169</t>
  </si>
  <si>
    <t>C0046</t>
  </si>
  <si>
    <t>Ethan Martin, Montreal, Consumer</t>
  </si>
  <si>
    <t>OL-000411</t>
  </si>
  <si>
    <t>ORD-00170</t>
  </si>
  <si>
    <t>OL-000412</t>
  </si>
  <si>
    <t>OL-000413</t>
  </si>
  <si>
    <t>OL-000414</t>
  </si>
  <si>
    <t>ORD-00171</t>
  </si>
  <si>
    <t>OL-000415</t>
  </si>
  <si>
    <t>ORD-00172</t>
  </si>
  <si>
    <t>OL-000416</t>
  </si>
  <si>
    <t>OL-000417</t>
  </si>
  <si>
    <t>OL-000418</t>
  </si>
  <si>
    <t>ORD-00173</t>
  </si>
  <si>
    <t>OL-000419</t>
  </si>
  <si>
    <t>OL-000420</t>
  </si>
  <si>
    <t>ORD-00174</t>
  </si>
  <si>
    <t>C0103</t>
  </si>
  <si>
    <t>Daniel Wilson, Victoria, Consumer</t>
  </si>
  <si>
    <t>OL-000421</t>
  </si>
  <si>
    <t>OL-000422</t>
  </si>
  <si>
    <t>ORD-00175</t>
  </si>
  <si>
    <t>OL-000423</t>
  </si>
  <si>
    <t>OL-000424</t>
  </si>
  <si>
    <t>ORD-00176</t>
  </si>
  <si>
    <t>C0133</t>
  </si>
  <si>
    <t>Emma Singh, Toronto, Consumer</t>
  </si>
  <si>
    <t>OL-000425</t>
  </si>
  <si>
    <t>OL-000426</t>
  </si>
  <si>
    <t>OL-000427</t>
  </si>
  <si>
    <t>OL-000428</t>
  </si>
  <si>
    <t>ORD-00177</t>
  </si>
  <si>
    <t>OL-000429</t>
  </si>
  <si>
    <t>OL-000430</t>
  </si>
  <si>
    <t>OL-000431</t>
  </si>
  <si>
    <t>OL-000432</t>
  </si>
  <si>
    <t>ORD-00178</t>
  </si>
  <si>
    <t>C0057</t>
  </si>
  <si>
    <t>Adam Ali, Toronto, Corporate</t>
  </si>
  <si>
    <t>OL-000433</t>
  </si>
  <si>
    <t>OL-000434</t>
  </si>
  <si>
    <t>OL-000435</t>
  </si>
  <si>
    <t>OL-000436</t>
  </si>
  <si>
    <t>ORD-00179</t>
  </si>
  <si>
    <t>C0026</t>
  </si>
  <si>
    <t>Omar Singh, Calgary, Small Business</t>
  </si>
  <si>
    <t>OL-000437</t>
  </si>
  <si>
    <t>OL-000438</t>
  </si>
  <si>
    <t>ORD-00180</t>
  </si>
  <si>
    <t>OL-000439</t>
  </si>
  <si>
    <t>ORD-00181</t>
  </si>
  <si>
    <t>OL-000440</t>
  </si>
  <si>
    <t>ORD-00182</t>
  </si>
  <si>
    <t>OL-000441</t>
  </si>
  <si>
    <t>OL-000442</t>
  </si>
  <si>
    <t>OL-000443</t>
  </si>
  <si>
    <t>OL-000444</t>
  </si>
  <si>
    <t>ORD-00183</t>
  </si>
  <si>
    <t>c0166</t>
  </si>
  <si>
    <t>Omar Tremblay, Ottawa, Consumer</t>
  </si>
  <si>
    <t>OL-000445</t>
  </si>
  <si>
    <t>ORD-00184</t>
  </si>
  <si>
    <t>OL-000446</t>
  </si>
  <si>
    <t>OL-000447</t>
  </si>
  <si>
    <t>OL-000448</t>
  </si>
  <si>
    <t>OL-000449</t>
  </si>
  <si>
    <t>ORD-00185</t>
  </si>
  <si>
    <t>C0101</t>
  </si>
  <si>
    <t>Adam Brown, Halifax, Small Business</t>
  </si>
  <si>
    <t>OL-000450</t>
  </si>
  <si>
    <t>ORD-00186</t>
  </si>
  <si>
    <t>OL-000451</t>
  </si>
  <si>
    <t>ORD-00187</t>
  </si>
  <si>
    <t>OL-000452</t>
  </si>
  <si>
    <t>OL-000453</t>
  </si>
  <si>
    <t>OL-000454</t>
  </si>
  <si>
    <t>ORD-00188</t>
  </si>
  <si>
    <t>OL-000455</t>
  </si>
  <si>
    <t>OL-000456</t>
  </si>
  <si>
    <t>ORD-00189</t>
  </si>
  <si>
    <t>OL-000457</t>
  </si>
  <si>
    <t>ORD-00190</t>
  </si>
  <si>
    <t>C0041</t>
  </si>
  <si>
    <t>Amina Wilson, Regina, Consumer</t>
  </si>
  <si>
    <t>OL-000458</t>
  </si>
  <si>
    <t>OL-000459</t>
  </si>
  <si>
    <t>ORD-00191</t>
  </si>
  <si>
    <t>OL-000460</t>
  </si>
  <si>
    <t>OL-000461</t>
  </si>
  <si>
    <t>ORD-00192</t>
  </si>
  <si>
    <t>OL-000462</t>
  </si>
  <si>
    <t>ORD-00193</t>
  </si>
  <si>
    <t>OL-000463</t>
  </si>
  <si>
    <t>ORD-00194</t>
  </si>
  <si>
    <t>OL-000464</t>
  </si>
  <si>
    <t>ORD-00195</t>
  </si>
  <si>
    <t>OL-000465</t>
  </si>
  <si>
    <t>OL-000466</t>
  </si>
  <si>
    <t>OL-000467</t>
  </si>
  <si>
    <t>OL-000468</t>
  </si>
  <si>
    <t>ORD-00196</t>
  </si>
  <si>
    <t>OL-000469</t>
  </si>
  <si>
    <t>OL-000470</t>
  </si>
  <si>
    <t>ORD-00197</t>
  </si>
  <si>
    <t>C0072</t>
  </si>
  <si>
    <t>Ethan Martin, Edmonton, Corporate</t>
  </si>
  <si>
    <t>OL-000471</t>
  </si>
  <si>
    <t>OL-000472</t>
  </si>
  <si>
    <t>ORD-00198</t>
  </si>
  <si>
    <t>C0148</t>
  </si>
  <si>
    <t>Liam Wilson, Halifax, Consumer</t>
  </si>
  <si>
    <t>OL-000473</t>
  </si>
  <si>
    <t>OL-000474</t>
  </si>
  <si>
    <t>ORD-00199</t>
  </si>
  <si>
    <t>C0147</t>
  </si>
  <si>
    <t>Noah Brown, Vancouver, Small Business</t>
  </si>
  <si>
    <t>OL-000475</t>
  </si>
  <si>
    <t>OL-000476</t>
  </si>
  <si>
    <t>ORD-00200</t>
  </si>
  <si>
    <t>C0158</t>
  </si>
  <si>
    <t>Sara Brown, Ottawa, Corporate</t>
  </si>
  <si>
    <t>OL-000477</t>
  </si>
  <si>
    <t>ORD-00201</t>
  </si>
  <si>
    <t>OL-000478</t>
  </si>
  <si>
    <t>OL-000479</t>
  </si>
  <si>
    <t>ORD-00202</t>
  </si>
  <si>
    <t>OL-000480</t>
  </si>
  <si>
    <t>OL-000481</t>
  </si>
  <si>
    <t>OL-000482</t>
  </si>
  <si>
    <t>ORD-00203</t>
  </si>
  <si>
    <t>OL-000483</t>
  </si>
  <si>
    <t>OL-000484</t>
  </si>
  <si>
    <t>OL-000485</t>
  </si>
  <si>
    <t>ORD-00204</t>
  </si>
  <si>
    <t>OL-000486</t>
  </si>
  <si>
    <t>OL-000487</t>
  </si>
  <si>
    <t>OL-000488</t>
  </si>
  <si>
    <t>OL-000489</t>
  </si>
  <si>
    <t>ORD-00205</t>
  </si>
  <si>
    <t>OL-000490</t>
  </si>
  <si>
    <t>OL-000491</t>
  </si>
  <si>
    <t>OL-000492</t>
  </si>
  <si>
    <t>OL-000493</t>
  </si>
  <si>
    <t>ORD-00206</t>
  </si>
  <si>
    <t>C0049</t>
  </si>
  <si>
    <t>Sofia Wilson, Edmonton, Small Business</t>
  </si>
  <si>
    <t>OL-000494</t>
  </si>
  <si>
    <t>OL-000495</t>
  </si>
  <si>
    <t>OL-000496</t>
  </si>
  <si>
    <t>ORD-00207</t>
  </si>
  <si>
    <t>OL-000497</t>
  </si>
  <si>
    <t>OL-000498</t>
  </si>
  <si>
    <t>OL-000499</t>
  </si>
  <si>
    <t>ORD-00208</t>
  </si>
  <si>
    <t>OL-000500</t>
  </si>
  <si>
    <t>OL-000501</t>
  </si>
  <si>
    <t>OL-000502</t>
  </si>
  <si>
    <t>ORD-00209</t>
  </si>
  <si>
    <t>OL-000503</t>
  </si>
  <si>
    <t>OL-000504</t>
  </si>
  <si>
    <t>ORD-00210</t>
  </si>
  <si>
    <t>OL-000505</t>
  </si>
  <si>
    <t>OL-000506</t>
  </si>
  <si>
    <t>ORD-00211</t>
  </si>
  <si>
    <t>OL-000507</t>
  </si>
  <si>
    <t>ORD-00212</t>
  </si>
  <si>
    <t>OL-000508</t>
  </si>
  <si>
    <t>OL-000509</t>
  </si>
  <si>
    <t>ORD-00213</t>
  </si>
  <si>
    <t>OL-000510</t>
  </si>
  <si>
    <t>OL-000511</t>
  </si>
  <si>
    <t>OL-000512</t>
  </si>
  <si>
    <t>ORD-00214</t>
  </si>
  <si>
    <t>C0130</t>
  </si>
  <si>
    <t>Adam Johnson, Vancouver, Consumer</t>
  </si>
  <si>
    <t>OL-000513</t>
  </si>
  <si>
    <t>OL-000514</t>
  </si>
  <si>
    <t>OL-000515</t>
  </si>
  <si>
    <t>ORD-00215</t>
  </si>
  <si>
    <t>OL-000516</t>
  </si>
  <si>
    <t>OL-000517</t>
  </si>
  <si>
    <t>OL-000518</t>
  </si>
  <si>
    <t>ORD-00216</t>
  </si>
  <si>
    <t>C0096</t>
  </si>
  <si>
    <t>Liam Singh, Ottawa, Corporate</t>
  </si>
  <si>
    <t>OL-000519</t>
  </si>
  <si>
    <t>ORD-00217</t>
  </si>
  <si>
    <t>C0107</t>
  </si>
  <si>
    <t>Ethan Dubois, Vancouver, Small Business</t>
  </si>
  <si>
    <t>OL-000520</t>
  </si>
  <si>
    <t>OL-000521</t>
  </si>
  <si>
    <t>ORD-00218</t>
  </si>
  <si>
    <t>OL-000522</t>
  </si>
  <si>
    <t>OL-000523</t>
  </si>
  <si>
    <t>OL-000524</t>
  </si>
  <si>
    <t>ORD-00219</t>
  </si>
  <si>
    <t>OL-000525</t>
  </si>
  <si>
    <t>OL-000526</t>
  </si>
  <si>
    <t>ORD-00220</t>
  </si>
  <si>
    <t>OL-000527</t>
  </si>
  <si>
    <t>OL-000528</t>
  </si>
  <si>
    <t>OL-000529</t>
  </si>
  <si>
    <t>OL-000530</t>
  </si>
  <si>
    <t>ORD-00221</t>
  </si>
  <si>
    <t>C0040</t>
  </si>
  <si>
    <t>Daniel Tremblay, Halifax, Small Business</t>
  </si>
  <si>
    <t>OL-000531</t>
  </si>
  <si>
    <t>ORD-00222</t>
  </si>
  <si>
    <t>OL-000532</t>
  </si>
  <si>
    <t>OL-000533</t>
  </si>
  <si>
    <t>ORD-00223</t>
  </si>
  <si>
    <t>OL-000534</t>
  </si>
  <si>
    <t>ORD-00224</t>
  </si>
  <si>
    <t>c0172</t>
  </si>
  <si>
    <t>OL-000535</t>
  </si>
  <si>
    <t>OL-000536</t>
  </si>
  <si>
    <t>OL-000537</t>
  </si>
  <si>
    <t>OL-000538</t>
  </si>
  <si>
    <t>ORD-00225</t>
  </si>
  <si>
    <t>OL-000539</t>
  </si>
  <si>
    <t>OL-000540</t>
  </si>
  <si>
    <t>OL-000541</t>
  </si>
  <si>
    <t>OL-000542</t>
  </si>
  <si>
    <t>ORD-00226</t>
  </si>
  <si>
    <t>OL-000543</t>
  </si>
  <si>
    <t>ORD-00227</t>
  </si>
  <si>
    <t>OL-000544</t>
  </si>
  <si>
    <t>ORD-00228</t>
  </si>
  <si>
    <t>OL-000545</t>
  </si>
  <si>
    <t>OL-000546</t>
  </si>
  <si>
    <t>OL-000547</t>
  </si>
  <si>
    <t>ORD-00229</t>
  </si>
  <si>
    <t>OL-000548</t>
  </si>
  <si>
    <t>OL-000549</t>
  </si>
  <si>
    <t>ORD-00230</t>
  </si>
  <si>
    <t>OL-000550</t>
  </si>
  <si>
    <t>OL-000551</t>
  </si>
  <si>
    <t>OL-000552</t>
  </si>
  <si>
    <t>OL-000553</t>
  </si>
  <si>
    <t>ORD-00231</t>
  </si>
  <si>
    <t>OL-000554</t>
  </si>
  <si>
    <t>OL-000555</t>
  </si>
  <si>
    <t>OL-000556</t>
  </si>
  <si>
    <t>OL-000557</t>
  </si>
  <si>
    <t>ORD-00232</t>
  </si>
  <si>
    <t>OL-000558</t>
  </si>
  <si>
    <t>OL-000559</t>
  </si>
  <si>
    <t>ORD-00233</t>
  </si>
  <si>
    <t>OL-000560</t>
  </si>
  <si>
    <t>OL-000561</t>
  </si>
  <si>
    <t>OL-000562</t>
  </si>
  <si>
    <t>OL-000563</t>
  </si>
  <si>
    <t>ORD-00234</t>
  </si>
  <si>
    <t>OL-000564</t>
  </si>
  <si>
    <t>OL-000565</t>
  </si>
  <si>
    <t>OL-000566</t>
  </si>
  <si>
    <t>ORD-00235</t>
  </si>
  <si>
    <t>OL-000567</t>
  </si>
  <si>
    <t>ORD-00236</t>
  </si>
  <si>
    <t>OL-000568</t>
  </si>
  <si>
    <t>ORD-00237</t>
  </si>
  <si>
    <t>OL-000569</t>
  </si>
  <si>
    <t>OL-000570</t>
  </si>
  <si>
    <t>OL-000571</t>
  </si>
  <si>
    <t>OL-000572</t>
  </si>
  <si>
    <t>ORD-00238</t>
  </si>
  <si>
    <t>OL-000573</t>
  </si>
  <si>
    <t>OL-000574</t>
  </si>
  <si>
    <t>OL-000575</t>
  </si>
  <si>
    <t>OL-000576</t>
  </si>
  <si>
    <t>ORD-00239</t>
  </si>
  <si>
    <t>C0071</t>
  </si>
  <si>
    <t>Noah Gagnon, Toronto, Small Business</t>
  </si>
  <si>
    <t>OL-000577</t>
  </si>
  <si>
    <t>OL-000578</t>
  </si>
  <si>
    <t>OL-000579</t>
  </si>
  <si>
    <t>ORD-00240</t>
  </si>
  <si>
    <t>OL-000580</t>
  </si>
  <si>
    <t>OL-000581</t>
  </si>
  <si>
    <t>ORD-00241</t>
  </si>
  <si>
    <t>OL-000582</t>
  </si>
  <si>
    <t>OL-000583</t>
  </si>
  <si>
    <t>OL-000584</t>
  </si>
  <si>
    <t>ORD-00242</t>
  </si>
  <si>
    <t>OL-000585</t>
  </si>
  <si>
    <t>OL-000586</t>
  </si>
  <si>
    <t>ORD-00243</t>
  </si>
  <si>
    <t>C0151</t>
  </si>
  <si>
    <t>Emma Khan, Regina, Consumer</t>
  </si>
  <si>
    <t>OL-000587</t>
  </si>
  <si>
    <t>OL-000588</t>
  </si>
  <si>
    <t>ORD-00244</t>
  </si>
  <si>
    <t>OL-000589</t>
  </si>
  <si>
    <t>OL-000590</t>
  </si>
  <si>
    <t>OL-000591</t>
  </si>
  <si>
    <t>OL-000592</t>
  </si>
  <si>
    <t>ORD-00245</t>
  </si>
  <si>
    <t>OL-000593</t>
  </si>
  <si>
    <t>OL-000594</t>
  </si>
  <si>
    <t>OL-000595</t>
  </si>
  <si>
    <t>ORD-00246</t>
  </si>
  <si>
    <t>OL-000596</t>
  </si>
  <si>
    <t>ORD-00247</t>
  </si>
  <si>
    <t>OL-000597</t>
  </si>
  <si>
    <t>OL-000598</t>
  </si>
  <si>
    <t>OL-000599</t>
  </si>
  <si>
    <t>OL-000600</t>
  </si>
  <si>
    <t>ORD-00248</t>
  </si>
  <si>
    <t>OL-000601</t>
  </si>
  <si>
    <t>OL-000602</t>
  </si>
  <si>
    <t>ORD-00249</t>
  </si>
  <si>
    <t>OL-000603</t>
  </si>
  <si>
    <t>OL-000604</t>
  </si>
  <si>
    <t>OL-000605</t>
  </si>
  <si>
    <t>OL-000606</t>
  </si>
  <si>
    <t>ORD-00250</t>
  </si>
  <si>
    <t>OL-000607</t>
  </si>
  <si>
    <t>ORD-00251</t>
  </si>
  <si>
    <t>OL-000608</t>
  </si>
  <si>
    <t>ORD-00252</t>
  </si>
  <si>
    <t>OL-000609</t>
  </si>
  <si>
    <t>OL-000610</t>
  </si>
  <si>
    <t>OL-000611</t>
  </si>
  <si>
    <t>OL-000612</t>
  </si>
  <si>
    <t>ORD-00253</t>
  </si>
  <si>
    <t>OL-000613</t>
  </si>
  <si>
    <t>OL-000614</t>
  </si>
  <si>
    <t>OL-000615</t>
  </si>
  <si>
    <t>OL-000616</t>
  </si>
  <si>
    <t>ORD-00254</t>
  </si>
  <si>
    <t>OL-000617</t>
  </si>
  <si>
    <t>ORD-00255</t>
  </si>
  <si>
    <t>OL-000618</t>
  </si>
  <si>
    <t>ORD-00256</t>
  </si>
  <si>
    <t>OL-000619</t>
  </si>
  <si>
    <t>OL-000620</t>
  </si>
  <si>
    <t>ORD-00257</t>
  </si>
  <si>
    <t>C0005</t>
  </si>
  <si>
    <t>Adam Ali, Victoria, Corporate</t>
  </si>
  <si>
    <t>OL-000621</t>
  </si>
  <si>
    <t>OL-000622</t>
  </si>
  <si>
    <t>OL-000623</t>
  </si>
  <si>
    <t>OL-000624</t>
  </si>
  <si>
    <t>ORD-00258</t>
  </si>
  <si>
    <t>C0131</t>
  </si>
  <si>
    <t>Sofia Wilson, Montreal, Small Business</t>
  </si>
  <si>
    <t>OL-000625</t>
  </si>
  <si>
    <t>OL-000626</t>
  </si>
  <si>
    <t>OL-000627</t>
  </si>
  <si>
    <t>ORD-00259</t>
  </si>
  <si>
    <t>OL-000628</t>
  </si>
  <si>
    <t>OL-000629</t>
  </si>
  <si>
    <t>OL-000630</t>
  </si>
  <si>
    <t>ORD-00260</t>
  </si>
  <si>
    <t>OL-000631</t>
  </si>
  <si>
    <t>OL-000632</t>
  </si>
  <si>
    <t>OL-000633</t>
  </si>
  <si>
    <t>OL-000634</t>
  </si>
  <si>
    <t>ORD-00261</t>
  </si>
  <si>
    <t>OL-000635</t>
  </si>
  <si>
    <t>OL-000636</t>
  </si>
  <si>
    <t>OL-000637</t>
  </si>
  <si>
    <t>OL-000638</t>
  </si>
  <si>
    <t>ORD-00262</t>
  </si>
  <si>
    <t>OL-000639</t>
  </si>
  <si>
    <t>c0152</t>
  </si>
  <si>
    <t>OL-000640</t>
  </si>
  <si>
    <t>OL-000641</t>
  </si>
  <si>
    <t>ORD-00263</t>
  </si>
  <si>
    <t>C0033</t>
  </si>
  <si>
    <t>Adam Martin, Ottawa, Small Business</t>
  </si>
  <si>
    <t>OL-000642</t>
  </si>
  <si>
    <t>OL-000643</t>
  </si>
  <si>
    <t>ORD-00264</t>
  </si>
  <si>
    <t>C0166</t>
  </si>
  <si>
    <t>OL-000644</t>
  </si>
  <si>
    <t>OL-000645</t>
  </si>
  <si>
    <t>OL-000646</t>
  </si>
  <si>
    <t>ORD-00265</t>
  </si>
  <si>
    <t>OL-000647</t>
  </si>
  <si>
    <t>ORD-00266</t>
  </si>
  <si>
    <t>OL-000648</t>
  </si>
  <si>
    <t>OL-000649</t>
  </si>
  <si>
    <t>OL-000650</t>
  </si>
  <si>
    <t>OL-000651</t>
  </si>
  <si>
    <t>ORD-00267</t>
  </si>
  <si>
    <t>OL-000652</t>
  </si>
  <si>
    <t>OL-000653</t>
  </si>
  <si>
    <t>ORD-00268</t>
  </si>
  <si>
    <t>OL-000654</t>
  </si>
  <si>
    <t>OL-000655</t>
  </si>
  <si>
    <t>ORD-00269</t>
  </si>
  <si>
    <t>OL-000656</t>
  </si>
  <si>
    <t>OL-000657</t>
  </si>
  <si>
    <t>OL-000658</t>
  </si>
  <si>
    <t>OL-000659</t>
  </si>
  <si>
    <t>ORD-00270</t>
  </si>
  <si>
    <t>OL-000660</t>
  </si>
  <si>
    <t>OL-000661</t>
  </si>
  <si>
    <t>OL-000662</t>
  </si>
  <si>
    <t>ORD-00271</t>
  </si>
  <si>
    <t>OL-000663</t>
  </si>
  <si>
    <t>OL-000664</t>
  </si>
  <si>
    <t>OL-000665</t>
  </si>
  <si>
    <t>OL-000666</t>
  </si>
  <si>
    <t>ORD-00272</t>
  </si>
  <si>
    <t>C0132</t>
  </si>
  <si>
    <t>Omar Brown, Quebec City, Small Business</t>
  </si>
  <si>
    <t>OL-000667</t>
  </si>
  <si>
    <t>OL-000668</t>
  </si>
  <si>
    <t>OL-000669</t>
  </si>
  <si>
    <t>ORD-00273</t>
  </si>
  <si>
    <t>C0020</t>
  </si>
  <si>
    <t>Ethan Singh, Quebec City, Consumer</t>
  </si>
  <si>
    <t>OL-000670</t>
  </si>
  <si>
    <t>ORD-00274</t>
  </si>
  <si>
    <t>OL-000671</t>
  </si>
  <si>
    <t>OL-000672</t>
  </si>
  <si>
    <t>OL-000673</t>
  </si>
  <si>
    <t>ORD-00275</t>
  </si>
  <si>
    <t>OL-000674</t>
  </si>
  <si>
    <t>OL-000675</t>
  </si>
  <si>
    <t>OL-000676</t>
  </si>
  <si>
    <t>ORD-00276</t>
  </si>
  <si>
    <t>c0137</t>
  </si>
  <si>
    <t>OL-000677</t>
  </si>
  <si>
    <t>OL-000678</t>
  </si>
  <si>
    <t>OL-000679</t>
  </si>
  <si>
    <t>ORD-00277</t>
  </si>
  <si>
    <t>OL-000680</t>
  </si>
  <si>
    <t>OL-000681</t>
  </si>
  <si>
    <t>ORD-00278</t>
  </si>
  <si>
    <t>OL-000682</t>
  </si>
  <si>
    <t>ORD-00279</t>
  </si>
  <si>
    <t>C0120</t>
  </si>
  <si>
    <t>Adam Brown, Winnipeg, Consumer</t>
  </si>
  <si>
    <t>OL-000683</t>
  </si>
  <si>
    <t>OL-000684</t>
  </si>
  <si>
    <t>OL-000685</t>
  </si>
  <si>
    <t>ORD-00280</t>
  </si>
  <si>
    <t>OL-000686</t>
  </si>
  <si>
    <t>OL-000687</t>
  </si>
  <si>
    <t>ORD-00281</t>
  </si>
  <si>
    <t>OL-000688</t>
  </si>
  <si>
    <t>OL-000689</t>
  </si>
  <si>
    <t>ORD-00282</t>
  </si>
  <si>
    <t>OL-000690</t>
  </si>
  <si>
    <t>OL-000691</t>
  </si>
  <si>
    <t>OL-000692</t>
  </si>
  <si>
    <t>ORD-00283</t>
  </si>
  <si>
    <t>c0093</t>
  </si>
  <si>
    <t>Maya Dubois, Halifax, Small Business</t>
  </si>
  <si>
    <t>OL-000693</t>
  </si>
  <si>
    <t>C0093</t>
  </si>
  <si>
    <t>OL-000694</t>
  </si>
  <si>
    <t>ORD-00284</t>
  </si>
  <si>
    <t>OL-000695</t>
  </si>
  <si>
    <t>OL-000696</t>
  </si>
  <si>
    <t>OL-000697</t>
  </si>
  <si>
    <t>ORD-00285</t>
  </si>
  <si>
    <t>OL-000698</t>
  </si>
  <si>
    <t>OL-000699</t>
  </si>
  <si>
    <t>OL-000700</t>
  </si>
  <si>
    <t>OL-000701</t>
  </si>
  <si>
    <t>ORD-00286</t>
  </si>
  <si>
    <t>OL-000702</t>
  </si>
  <si>
    <t>OL-000703</t>
  </si>
  <si>
    <t>ORD-00287</t>
  </si>
  <si>
    <t>OL-000704</t>
  </si>
  <si>
    <t>OL-000705</t>
  </si>
  <si>
    <t>ORD-00288</t>
  </si>
  <si>
    <t>OL-000706</t>
  </si>
  <si>
    <t>OL-000707</t>
  </si>
  <si>
    <t>ORD-00289</t>
  </si>
  <si>
    <t>C0122</t>
  </si>
  <si>
    <t>Sofia Khan, Halifax, Consumer</t>
  </si>
  <si>
    <t>OL-000708</t>
  </si>
  <si>
    <t>OL-000709</t>
  </si>
  <si>
    <t>OL-000710</t>
  </si>
  <si>
    <t>ORD-00290</t>
  </si>
  <si>
    <t>OL-000711</t>
  </si>
  <si>
    <t>OL-000712</t>
  </si>
  <si>
    <t>OL-000713</t>
  </si>
  <si>
    <t>OL-000714</t>
  </si>
  <si>
    <t>ORD-00291</t>
  </si>
  <si>
    <t>OL-000715</t>
  </si>
  <si>
    <t>OL-000716</t>
  </si>
  <si>
    <t>OL-000717</t>
  </si>
  <si>
    <t>ORD-00292</t>
  </si>
  <si>
    <t>OL-000718</t>
  </si>
  <si>
    <t>ORD-00293</t>
  </si>
  <si>
    <t>OL-000719</t>
  </si>
  <si>
    <t>OL-000720</t>
  </si>
  <si>
    <t>OL-000721</t>
  </si>
  <si>
    <t>ORD-00294</t>
  </si>
  <si>
    <t>C0019</t>
  </si>
  <si>
    <t>Amina Wilson, Winnipeg, Corporate</t>
  </si>
  <si>
    <t>OL-000722</t>
  </si>
  <si>
    <t>OL-000723</t>
  </si>
  <si>
    <t>ORD-00295</t>
  </si>
  <si>
    <t>OL-000724</t>
  </si>
  <si>
    <t>OL-000725</t>
  </si>
  <si>
    <t>OL-000726</t>
  </si>
  <si>
    <t>OL-000727</t>
  </si>
  <si>
    <t>ORD-00296</t>
  </si>
  <si>
    <t>C0161</t>
  </si>
  <si>
    <t>Maya Wilson, Winnipeg, Consumer</t>
  </si>
  <si>
    <t>OL-000728</t>
  </si>
  <si>
    <t>OL-000729</t>
  </si>
  <si>
    <t>ORD-00297</t>
  </si>
  <si>
    <t>OL-000730</t>
  </si>
  <si>
    <t>OL-000731</t>
  </si>
  <si>
    <t>OL-000732</t>
  </si>
  <si>
    <t>ORD-00298</t>
  </si>
  <si>
    <t>OL-000733</t>
  </si>
  <si>
    <t>ORD-00299</t>
  </si>
  <si>
    <t>OL-000734</t>
  </si>
  <si>
    <t>OL-000735</t>
  </si>
  <si>
    <t>OL-000736</t>
  </si>
  <si>
    <t>OL-000737</t>
  </si>
  <si>
    <t>ORD-00300</t>
  </si>
  <si>
    <t>OL-000738</t>
  </si>
  <si>
    <t>OL-000739</t>
  </si>
  <si>
    <t>OL-000740</t>
  </si>
  <si>
    <t>OL-000741</t>
  </si>
  <si>
    <t>ORD-00301</t>
  </si>
  <si>
    <t>OL-000742</t>
  </si>
  <si>
    <t>ORD-00302</t>
  </si>
  <si>
    <t>C0036</t>
  </si>
  <si>
    <t>Liam Khan, Vancouver, Corporate</t>
  </si>
  <si>
    <t>OL-000743</t>
  </si>
  <si>
    <t>ORD-00303</t>
  </si>
  <si>
    <t>OL-000744</t>
  </si>
  <si>
    <t>OL-000745</t>
  </si>
  <si>
    <t>OL-000746</t>
  </si>
  <si>
    <t>OL-000747</t>
  </si>
  <si>
    <t>ORD-00304</t>
  </si>
  <si>
    <t>C0118</t>
  </si>
  <si>
    <t>Adam Gagnon, Toronto, Corporate</t>
  </si>
  <si>
    <t>OL-000748</t>
  </si>
  <si>
    <t>OL-000749</t>
  </si>
  <si>
    <t>OL-000750</t>
  </si>
  <si>
    <t>ORD-00305</t>
  </si>
  <si>
    <t>OL-000751</t>
  </si>
  <si>
    <t>OL-000752</t>
  </si>
  <si>
    <t>OL-000753</t>
  </si>
  <si>
    <t>ORD-00306</t>
  </si>
  <si>
    <t>OL-000754</t>
  </si>
  <si>
    <t>OL-000755</t>
  </si>
  <si>
    <t>ORD-00307</t>
  </si>
  <si>
    <t>OL-000756</t>
  </si>
  <si>
    <t>OL-000757</t>
  </si>
  <si>
    <t>ORD-00308</t>
  </si>
  <si>
    <t>C0117</t>
  </si>
  <si>
    <t>Maya Brown, Ottawa, Small Business</t>
  </si>
  <si>
    <t>OL-000758</t>
  </si>
  <si>
    <t>ORD-00309</t>
  </si>
  <si>
    <t>OL-000759</t>
  </si>
  <si>
    <t>OL-000760</t>
  </si>
  <si>
    <t>ORD-00310</t>
  </si>
  <si>
    <t>OL-000761</t>
  </si>
  <si>
    <t>OL-000762</t>
  </si>
  <si>
    <t>ORD-00311</t>
  </si>
  <si>
    <t>OL-000763</t>
  </si>
  <si>
    <t>OL-000764</t>
  </si>
  <si>
    <t>ORD-00312</t>
  </si>
  <si>
    <t>OL-000765</t>
  </si>
  <si>
    <t>OL-000766</t>
  </si>
  <si>
    <t>OL-000767</t>
  </si>
  <si>
    <t>ORD-00313</t>
  </si>
  <si>
    <t>OL-000768</t>
  </si>
  <si>
    <t>OL-000769</t>
  </si>
  <si>
    <t>ORD-00314</t>
  </si>
  <si>
    <t>OL-000770</t>
  </si>
  <si>
    <t>ORD-00315</t>
  </si>
  <si>
    <t>C0114</t>
  </si>
  <si>
    <t>Yara Brown, Toronto, Corporate</t>
  </si>
  <si>
    <t>OL-000771</t>
  </si>
  <si>
    <t>OL-000772</t>
  </si>
  <si>
    <t>ORD-00316</t>
  </si>
  <si>
    <t>C0098</t>
  </si>
  <si>
    <t>Ethan Johnson, Winnipeg, Small Business</t>
  </si>
  <si>
    <t>OL-000773</t>
  </si>
  <si>
    <t>OL-000774</t>
  </si>
  <si>
    <t>OL-000775</t>
  </si>
  <si>
    <t>OL-000776</t>
  </si>
  <si>
    <t>ORD-00317</t>
  </si>
  <si>
    <t>OL-000777</t>
  </si>
  <si>
    <t>OL-000778</t>
  </si>
  <si>
    <t>OL-000779</t>
  </si>
  <si>
    <t>ORD-00318</t>
  </si>
  <si>
    <t>c0095</t>
  </si>
  <si>
    <t>OL-000780</t>
  </si>
  <si>
    <t>OL-000781</t>
  </si>
  <si>
    <t>ORD-00319</t>
  </si>
  <si>
    <t>C0060</t>
  </si>
  <si>
    <t>Sara Singh, Calgary, Corporate</t>
  </si>
  <si>
    <t>OL-000782</t>
  </si>
  <si>
    <t>ORD-00320</t>
  </si>
  <si>
    <t>OL-000783</t>
  </si>
  <si>
    <t>OL-000784</t>
  </si>
  <si>
    <t>OL-000785</t>
  </si>
  <si>
    <t>ORD-00321</t>
  </si>
  <si>
    <t>C0064</t>
  </si>
  <si>
    <t>Amina Singh, Toronto, Small Business</t>
  </si>
  <si>
    <t>OL-000786</t>
  </si>
  <si>
    <t>OL-000787</t>
  </si>
  <si>
    <t>OL-000788</t>
  </si>
  <si>
    <t>OL-000789</t>
  </si>
  <si>
    <t>ORD-00322</t>
  </si>
  <si>
    <t>OL-000790</t>
  </si>
  <si>
    <t>ORD-00323</t>
  </si>
  <si>
    <t>OL-000791</t>
  </si>
  <si>
    <t>OL-000792</t>
  </si>
  <si>
    <t>OL-000793</t>
  </si>
  <si>
    <t>OL-000794</t>
  </si>
  <si>
    <t>ORD-00324</t>
  </si>
  <si>
    <t>OL-000795</t>
  </si>
  <si>
    <t>OL-000796</t>
  </si>
  <si>
    <t>ORD-00325</t>
  </si>
  <si>
    <t>OL-000797</t>
  </si>
  <si>
    <t>OL-000798</t>
  </si>
  <si>
    <t>ORD-00326</t>
  </si>
  <si>
    <t>OL-000799</t>
  </si>
  <si>
    <t>OL-000800</t>
  </si>
  <si>
    <t>OL-000801</t>
  </si>
  <si>
    <t>ORD-00327</t>
  </si>
  <si>
    <t>C0156</t>
  </si>
  <si>
    <t>Noah Johnson, Victoria, Consumer</t>
  </si>
  <si>
    <t>OL-000802</t>
  </si>
  <si>
    <t>ORD-00328</t>
  </si>
  <si>
    <t>OL-000803</t>
  </si>
  <si>
    <t>OL-000804</t>
  </si>
  <si>
    <t>ORD-00329</t>
  </si>
  <si>
    <t>C0061</t>
  </si>
  <si>
    <t>Maya Gagnon, Calgary, Corporate</t>
  </si>
  <si>
    <t>OL-000805</t>
  </si>
  <si>
    <t>OL-000806</t>
  </si>
  <si>
    <t>OL-000807</t>
  </si>
  <si>
    <t>ORD-00330</t>
  </si>
  <si>
    <t>OL-000808</t>
  </si>
  <si>
    <t>ORD-00331</t>
  </si>
  <si>
    <t>OL-000809</t>
  </si>
  <si>
    <t>OL-000810</t>
  </si>
  <si>
    <t>OL-000811</t>
  </si>
  <si>
    <t>ORD-00332</t>
  </si>
  <si>
    <t>OL-000812</t>
  </si>
  <si>
    <t>ORD-00333</t>
  </si>
  <si>
    <t>OL-000813</t>
  </si>
  <si>
    <t>ORD-00334</t>
  </si>
  <si>
    <t>OL-000814</t>
  </si>
  <si>
    <t>OL-000815</t>
  </si>
  <si>
    <t>ORD-00335</t>
  </si>
  <si>
    <t>C0025</t>
  </si>
  <si>
    <t>Ethan Johnson, Edmonton, Consumer</t>
  </si>
  <si>
    <t>OL-000816</t>
  </si>
  <si>
    <t>OL-000817</t>
  </si>
  <si>
    <t>ORD-00336</t>
  </si>
  <si>
    <t>OL-000818</t>
  </si>
  <si>
    <t>OL-000819</t>
  </si>
  <si>
    <t>OL-000820</t>
  </si>
  <si>
    <t>ORD-00337</t>
  </si>
  <si>
    <t>OL-000821</t>
  </si>
  <si>
    <t>OL-000822</t>
  </si>
  <si>
    <t>ORD-00338</t>
  </si>
  <si>
    <t>C0094</t>
  </si>
  <si>
    <t>Daniel Dubois, Montreal, Consumer</t>
  </si>
  <si>
    <t>OL-000823</t>
  </si>
  <si>
    <t>OL-000824</t>
  </si>
  <si>
    <t>ORD-00339</t>
  </si>
  <si>
    <t>OL-000825</t>
  </si>
  <si>
    <t>OL-000826</t>
  </si>
  <si>
    <t>OL-000827</t>
  </si>
  <si>
    <t>ORD-00340</t>
  </si>
  <si>
    <t>c0064</t>
  </si>
  <si>
    <t>OL-000828</t>
  </si>
  <si>
    <t>OL-000829</t>
  </si>
  <si>
    <t>OL-000830</t>
  </si>
  <si>
    <t>OL-000831</t>
  </si>
  <si>
    <t>ORD-00341</t>
  </si>
  <si>
    <t>OL-000832</t>
  </si>
  <si>
    <t>OL-000833</t>
  </si>
  <si>
    <t>OL-000834</t>
  </si>
  <si>
    <t>ORD-00342</t>
  </si>
  <si>
    <t>C0176</t>
  </si>
  <si>
    <t>Yara Ali, Toronto, Corporate</t>
  </si>
  <si>
    <t>OL-000835</t>
  </si>
  <si>
    <t>OL-000836</t>
  </si>
  <si>
    <t>OL-000837</t>
  </si>
  <si>
    <t>ORD-00343</t>
  </si>
  <si>
    <t>OL-000838</t>
  </si>
  <si>
    <t>OL-000839</t>
  </si>
  <si>
    <t>ORD-00344</t>
  </si>
  <si>
    <t>OL-000840</t>
  </si>
  <si>
    <t>ORD-00345</t>
  </si>
  <si>
    <t>C0053</t>
  </si>
  <si>
    <t>Ethan Brown, Halifax, Consumer</t>
  </si>
  <si>
    <t>OL-000841</t>
  </si>
  <si>
    <t>OL-000842</t>
  </si>
  <si>
    <t>ORD-00346</t>
  </si>
  <si>
    <t>OL-000843</t>
  </si>
  <si>
    <t>OL-000844</t>
  </si>
  <si>
    <t>ORD-00347</t>
  </si>
  <si>
    <t>OL-000845</t>
  </si>
  <si>
    <t>OL-000846</t>
  </si>
  <si>
    <t>OL-000847</t>
  </si>
  <si>
    <t>OL-000848</t>
  </si>
  <si>
    <t>ORD-00348</t>
  </si>
  <si>
    <t>OL-000849</t>
  </si>
  <si>
    <t>OL-000850</t>
  </si>
  <si>
    <t>OL-000851</t>
  </si>
  <si>
    <t>OL-000852</t>
  </si>
  <si>
    <t>ORD-00349</t>
  </si>
  <si>
    <t>OL-000853</t>
  </si>
  <si>
    <t>OL-000854</t>
  </si>
  <si>
    <t>OL-000855</t>
  </si>
  <si>
    <t>OL-000856</t>
  </si>
  <si>
    <t>ORD-00350</t>
  </si>
  <si>
    <t>OL-000857</t>
  </si>
  <si>
    <t>ORD-00351</t>
  </si>
  <si>
    <t>OL-000858</t>
  </si>
  <si>
    <t>ORD-00352</t>
  </si>
  <si>
    <t>OL-000859</t>
  </si>
  <si>
    <t>OL-000860</t>
  </si>
  <si>
    <t>OL-000861</t>
  </si>
  <si>
    <t>c0038</t>
  </si>
  <si>
    <t>OL-000862</t>
  </si>
  <si>
    <t>ORD-00353</t>
  </si>
  <si>
    <t>OL-000863</t>
  </si>
  <si>
    <t>OL-000864</t>
  </si>
  <si>
    <t>ORD-00354</t>
  </si>
  <si>
    <t>OL-000865</t>
  </si>
  <si>
    <t>ORD-00355</t>
  </si>
  <si>
    <t>OL-000866</t>
  </si>
  <si>
    <t>OL-000867</t>
  </si>
  <si>
    <t>OL-000868</t>
  </si>
  <si>
    <t>ORD-00356</t>
  </si>
  <si>
    <t>OL-000869</t>
  </si>
  <si>
    <t>OL-000870</t>
  </si>
  <si>
    <t>OL-000871</t>
  </si>
  <si>
    <t>c0116</t>
  </si>
  <si>
    <t>OL-000872</t>
  </si>
  <si>
    <t>ORD-00357</t>
  </si>
  <si>
    <t>C0018</t>
  </si>
  <si>
    <t>Liam Tremblay, Toronto, Consumer</t>
  </si>
  <si>
    <t>OL-000873</t>
  </si>
  <si>
    <t>OL-000874</t>
  </si>
  <si>
    <t>OL-000875</t>
  </si>
  <si>
    <t>ORD-00358</t>
  </si>
  <si>
    <t>OL-000876</t>
  </si>
  <si>
    <t>OL-000877</t>
  </si>
  <si>
    <t>ORD-00359</t>
  </si>
  <si>
    <t>OL-000878</t>
  </si>
  <si>
    <t>OL-000879</t>
  </si>
  <si>
    <t>OL-000880</t>
  </si>
  <si>
    <t>ORD-00360</t>
  </si>
  <si>
    <t>OL-000881</t>
  </si>
  <si>
    <t>OL-000882</t>
  </si>
  <si>
    <t>OL-000883</t>
  </si>
  <si>
    <t>Products</t>
  </si>
  <si>
    <t>Product reference table. Product_ID is the lookup key.</t>
  </si>
  <si>
    <t>Product_Name</t>
  </si>
  <si>
    <t>Category</t>
  </si>
  <si>
    <t>Unit_Cost</t>
  </si>
  <si>
    <t>List_Price</t>
  </si>
  <si>
    <t>Product_Tier</t>
  </si>
  <si>
    <t>Electronics Product 1</t>
  </si>
  <si>
    <t>Electronics</t>
  </si>
  <si>
    <t>Core</t>
  </si>
  <si>
    <t>Electronics Product 2</t>
  </si>
  <si>
    <t>Premium</t>
  </si>
  <si>
    <t>Electronics Product 3</t>
  </si>
  <si>
    <t>Standard</t>
  </si>
  <si>
    <t>Electronics Product 4</t>
  </si>
  <si>
    <t>Electronics Product 5</t>
  </si>
  <si>
    <t>Electronics Product 6</t>
  </si>
  <si>
    <t>Electronics Product 7</t>
  </si>
  <si>
    <t>Electronics Product 8</t>
  </si>
  <si>
    <t>Electronics Product 9</t>
  </si>
  <si>
    <t>Electronics Product 10</t>
  </si>
  <si>
    <t>Home Product 1</t>
  </si>
  <si>
    <t>Home</t>
  </si>
  <si>
    <t>Home Product 2</t>
  </si>
  <si>
    <t>Home Product 3</t>
  </si>
  <si>
    <t>Home Product 4</t>
  </si>
  <si>
    <t>Home Product 5</t>
  </si>
  <si>
    <t>Home Product 6</t>
  </si>
  <si>
    <t>Home Product 7</t>
  </si>
  <si>
    <t>Home Product 8</t>
  </si>
  <si>
    <t>Home Product 9</t>
  </si>
  <si>
    <t>Home Product 10</t>
  </si>
  <si>
    <t>Office Product 1</t>
  </si>
  <si>
    <t>Office</t>
  </si>
  <si>
    <t>Office Product 2</t>
  </si>
  <si>
    <t>Office Product 3</t>
  </si>
  <si>
    <t>Office Product 4</t>
  </si>
  <si>
    <t>Office Product 5</t>
  </si>
  <si>
    <t>Office Product 6</t>
  </si>
  <si>
    <t>Office Product 7</t>
  </si>
  <si>
    <t>Office Product 8</t>
  </si>
  <si>
    <t>Office Product 9</t>
  </si>
  <si>
    <t>Office Product 10</t>
  </si>
  <si>
    <t>Fitness Product 1</t>
  </si>
  <si>
    <t>Fitness</t>
  </si>
  <si>
    <t>Fitness Product 2</t>
  </si>
  <si>
    <t>Fitness Product 3</t>
  </si>
  <si>
    <t>Fitness Product 4</t>
  </si>
  <si>
    <t>Fitness Product 5</t>
  </si>
  <si>
    <t>Fitness Product 6</t>
  </si>
  <si>
    <t>Fitness Product 7</t>
  </si>
  <si>
    <t>Fitness Product 8</t>
  </si>
  <si>
    <t>Fitness Product 9</t>
  </si>
  <si>
    <t>Fitness Product 10</t>
  </si>
  <si>
    <t>Accessories Product 1</t>
  </si>
  <si>
    <t>Accessories</t>
  </si>
  <si>
    <t>Accessories Product 2</t>
  </si>
  <si>
    <t>Accessories Product 3</t>
  </si>
  <si>
    <t>Accessories Product 4</t>
  </si>
  <si>
    <t>Accessories Product 5</t>
  </si>
  <si>
    <t>Accessories Product 6</t>
  </si>
  <si>
    <t>Accessories Product 7</t>
  </si>
  <si>
    <t>Accessories Product 8</t>
  </si>
  <si>
    <t>Accessories Product 9</t>
  </si>
  <si>
    <t>Accessories Product 10</t>
  </si>
  <si>
    <t>Customers</t>
  </si>
  <si>
    <t>Customer reference table. Customer_ID is the lookup key.</t>
  </si>
  <si>
    <t>Customer_ID</t>
  </si>
  <si>
    <t>Customer_Name</t>
  </si>
  <si>
    <t>Customer_City</t>
  </si>
  <si>
    <t>Region</t>
  </si>
  <si>
    <t>Customer_Segment</t>
  </si>
  <si>
    <t>Marketing_Opt_In</t>
  </si>
  <si>
    <t>Liam Brown</t>
  </si>
  <si>
    <t>Edmonton</t>
  </si>
  <si>
    <t>Alberta</t>
  </si>
  <si>
    <t>Small Business</t>
  </si>
  <si>
    <t>None</t>
  </si>
  <si>
    <t>Amina Khan</t>
  </si>
  <si>
    <t>Montreal</t>
  </si>
  <si>
    <t>Quebec</t>
  </si>
  <si>
    <t>Corporate</t>
  </si>
  <si>
    <t>Email</t>
  </si>
  <si>
    <t>Noah Gagnon</t>
  </si>
  <si>
    <t>Calgary</t>
  </si>
  <si>
    <t>SMS</t>
  </si>
  <si>
    <t>Adam Johnson</t>
  </si>
  <si>
    <t>Halifax</t>
  </si>
  <si>
    <t>Nova Scotia</t>
  </si>
  <si>
    <t>Adam Ali</t>
  </si>
  <si>
    <t>Victoria</t>
  </si>
  <si>
    <t>British Columbia</t>
  </si>
  <si>
    <t>Amina Brown</t>
  </si>
  <si>
    <t>Liam Singh</t>
  </si>
  <si>
    <t>Consumer</t>
  </si>
  <si>
    <t>Omar Gagnon</t>
  </si>
  <si>
    <t>Winnipeg</t>
  </si>
  <si>
    <t>Manitoba</t>
  </si>
  <si>
    <t>Ethan Johnson</t>
  </si>
  <si>
    <t>Regina</t>
  </si>
  <si>
    <t>Saskatchewan</t>
  </si>
  <si>
    <t>Sofia Ali</t>
  </si>
  <si>
    <t>Quebec City</t>
  </si>
  <si>
    <t>Liam Wilson</t>
  </si>
  <si>
    <t>Sofia Dubois</t>
  </si>
  <si>
    <t>C0013</t>
  </si>
  <si>
    <t>Yara Khan</t>
  </si>
  <si>
    <t>Ottawa</t>
  </si>
  <si>
    <t>Ontario</t>
  </si>
  <si>
    <t>Adam Wilson</t>
  </si>
  <si>
    <t>Sofia Martin</t>
  </si>
  <si>
    <t>Liam Tremblay</t>
  </si>
  <si>
    <t>Toronto</t>
  </si>
  <si>
    <t>Amina Wilson</t>
  </si>
  <si>
    <t>Ethan Singh</t>
  </si>
  <si>
    <t>C0021</t>
  </si>
  <si>
    <t>Noah Wilson</t>
  </si>
  <si>
    <t>Ethan Martin</t>
  </si>
  <si>
    <t>C0023</t>
  </si>
  <si>
    <t>Sofia Brown</t>
  </si>
  <si>
    <t>Emma Gagnon</t>
  </si>
  <si>
    <t>Omar Singh</t>
  </si>
  <si>
    <t>C0027</t>
  </si>
  <si>
    <t>Ethan Brown</t>
  </si>
  <si>
    <t>Vancouver</t>
  </si>
  <si>
    <t>Sara Dubois</t>
  </si>
  <si>
    <t>Yara Dubois</t>
  </si>
  <si>
    <t>Adam Brown</t>
  </si>
  <si>
    <t>Adam Martin</t>
  </si>
  <si>
    <t>Omar Brown</t>
  </si>
  <si>
    <t>Sofia Singh</t>
  </si>
  <si>
    <t>Liam Khan</t>
  </si>
  <si>
    <t>Maya Dubois</t>
  </si>
  <si>
    <t>Daniel Singh</t>
  </si>
  <si>
    <t>Daniel Tremblay</t>
  </si>
  <si>
    <t>C0043</t>
  </si>
  <si>
    <t>Noah Khan</t>
  </si>
  <si>
    <t>Yara Tremblay</t>
  </si>
  <si>
    <t>Sara Wilson</t>
  </si>
  <si>
    <t>Daniel Brown</t>
  </si>
  <si>
    <t>Sofia Wilson</t>
  </si>
  <si>
    <t>Emma Tremblay</t>
  </si>
  <si>
    <t>C0052</t>
  </si>
  <si>
    <t>Amina Martin</t>
  </si>
  <si>
    <t>Emma Khan</t>
  </si>
  <si>
    <t>Adam Singh</t>
  </si>
  <si>
    <t>Noah Singh</t>
  </si>
  <si>
    <t>C0058</t>
  </si>
  <si>
    <t>Sara Singh</t>
  </si>
  <si>
    <t>Maya Gagnon</t>
  </si>
  <si>
    <t>Amina Singh</t>
  </si>
  <si>
    <t>C0065</t>
  </si>
  <si>
    <t>C0067</t>
  </si>
  <si>
    <t>Sara Tremblay</t>
  </si>
  <si>
    <t>C0069</t>
  </si>
  <si>
    <t>Yara Gagnon</t>
  </si>
  <si>
    <t>Maya Martin</t>
  </si>
  <si>
    <t>Amina Tremblay</t>
  </si>
  <si>
    <t>Daniel Johnson</t>
  </si>
  <si>
    <t>Omar Ali</t>
  </si>
  <si>
    <t>Sofia Tremblay</t>
  </si>
  <si>
    <t>Daniel Ali</t>
  </si>
  <si>
    <t>Adam Dubois</t>
  </si>
  <si>
    <t>Maya Johnson</t>
  </si>
  <si>
    <t>Adam Tremblay</t>
  </si>
  <si>
    <t>Yara Martin</t>
  </si>
  <si>
    <t>Yara Johnson</t>
  </si>
  <si>
    <t>Emma Singh</t>
  </si>
  <si>
    <t>Emma Ali</t>
  </si>
  <si>
    <t>Adam Gagnon</t>
  </si>
  <si>
    <t>Daniel Dubois</t>
  </si>
  <si>
    <t>Daniel Martin</t>
  </si>
  <si>
    <t>C0097</t>
  </si>
  <si>
    <t>C0099</t>
  </si>
  <si>
    <t>C0100</t>
  </si>
  <si>
    <t>Daniel Wilson</t>
  </si>
  <si>
    <t>Yara Ali</t>
  </si>
  <si>
    <t>C0105</t>
  </si>
  <si>
    <t>Ethan Dubois</t>
  </si>
  <si>
    <t>Sofia Khan</t>
  </si>
  <si>
    <t>Maya Tremblay</t>
  </si>
  <si>
    <t>Yara Singh</t>
  </si>
  <si>
    <t>C0112</t>
  </si>
  <si>
    <t>Sara Gagnon</t>
  </si>
  <si>
    <t>Omar Martin</t>
  </si>
  <si>
    <t>Yara Brown</t>
  </si>
  <si>
    <t>C0115</t>
  </si>
  <si>
    <t>Maya Brown</t>
  </si>
  <si>
    <t>C0124</t>
  </si>
  <si>
    <t>C0125</t>
  </si>
  <si>
    <t>Noah Ali</t>
  </si>
  <si>
    <t>C0127</t>
  </si>
  <si>
    <t>Sofia Gagnon</t>
  </si>
  <si>
    <t>Emma Brown</t>
  </si>
  <si>
    <t>Emma Wilson</t>
  </si>
  <si>
    <t>C0138</t>
  </si>
  <si>
    <t>Liam Gagnon</t>
  </si>
  <si>
    <t>Noah Brown</t>
  </si>
  <si>
    <t>C0145</t>
  </si>
  <si>
    <t>Ethan Khan</t>
  </si>
  <si>
    <t>Daniel Khan</t>
  </si>
  <si>
    <t>C0153</t>
  </si>
  <si>
    <t>Omar Dubois</t>
  </si>
  <si>
    <t>Noah Johnson</t>
  </si>
  <si>
    <t>Sara Brown</t>
  </si>
  <si>
    <t>Maya Wilson</t>
  </si>
  <si>
    <t>C0163</t>
  </si>
  <si>
    <t>Omar Tremblay</t>
  </si>
  <si>
    <t>Maya Singh</t>
  </si>
  <si>
    <t>C0170</t>
  </si>
  <si>
    <t>Emma Martin</t>
  </si>
  <si>
    <t>Shipments</t>
  </si>
  <si>
    <t>Order-level shipment table. Link by Order_ID.</t>
  </si>
  <si>
    <t>Carrier_Raw</t>
  </si>
  <si>
    <t>Delivery_Date</t>
  </si>
  <si>
    <t>Promised_Days</t>
  </si>
  <si>
    <t>Delivery_Days</t>
  </si>
  <si>
    <t>Delivery_Status</t>
  </si>
  <si>
    <t>northship</t>
  </si>
  <si>
    <t>On time</t>
  </si>
  <si>
    <t>Fast Track</t>
  </si>
  <si>
    <t>Maple Express</t>
  </si>
  <si>
    <t>Late</t>
  </si>
  <si>
    <t>NorthShip</t>
  </si>
  <si>
    <t>Returns Raw</t>
  </si>
  <si>
    <t>Line-level returns table. Link by Order_Line_ID.</t>
  </si>
  <si>
    <t>Return_ID</t>
  </si>
  <si>
    <t>Return_Date</t>
  </si>
  <si>
    <t>Return_Reason_Raw</t>
  </si>
  <si>
    <t>Refund_Status</t>
  </si>
  <si>
    <t>Refund_Amount_Raw</t>
  </si>
  <si>
    <t>RET-00001</t>
  </si>
  <si>
    <t>Wrong Item</t>
  </si>
  <si>
    <t>Refunded</t>
  </si>
  <si>
    <t>RET-00002</t>
  </si>
  <si>
    <t>Damaged</t>
  </si>
  <si>
    <t>RET-00003</t>
  </si>
  <si>
    <t>RET-00004</t>
  </si>
  <si>
    <t>RET-00005</t>
  </si>
  <si>
    <t>Pending</t>
  </si>
  <si>
    <t>RET-00006</t>
  </si>
  <si>
    <t>damaged</t>
  </si>
  <si>
    <t>RET-00007</t>
  </si>
  <si>
    <t>RET-00008</t>
  </si>
  <si>
    <t>Late Delivery</t>
  </si>
  <si>
    <t>RET-00009</t>
  </si>
  <si>
    <t>RET-00010</t>
  </si>
  <si>
    <t>RET-00011</t>
  </si>
  <si>
    <t>RET-00012</t>
  </si>
  <si>
    <t>RET-00013</t>
  </si>
  <si>
    <t>RET-00014</t>
  </si>
  <si>
    <t>RET-00015</t>
  </si>
  <si>
    <t>RET-00016</t>
  </si>
  <si>
    <t>Not as Described</t>
  </si>
  <si>
    <t>RET-00017</t>
  </si>
  <si>
    <t>RET-00018</t>
  </si>
  <si>
    <t>RET-00019</t>
  </si>
  <si>
    <t>RET-00020</t>
  </si>
  <si>
    <t>RET-00021</t>
  </si>
  <si>
    <t>RET-00022</t>
  </si>
  <si>
    <t>RET-00023</t>
  </si>
  <si>
    <t>RET-00024</t>
  </si>
  <si>
    <t>RET-00025</t>
  </si>
  <si>
    <t>Changed Mind</t>
  </si>
  <si>
    <t>RET-00026</t>
  </si>
  <si>
    <t>RET-00027</t>
  </si>
  <si>
    <t>RET-00028</t>
  </si>
  <si>
    <t>RET-00029</t>
  </si>
  <si>
    <t>RET-00030</t>
  </si>
  <si>
    <t>RET-00031</t>
  </si>
  <si>
    <t>Wrong item</t>
  </si>
  <si>
    <t>RET-00032</t>
  </si>
  <si>
    <t>RET-00033</t>
  </si>
  <si>
    <t>RET-00034</t>
  </si>
  <si>
    <t>RET-00035</t>
  </si>
  <si>
    <t>RET-00036</t>
  </si>
  <si>
    <t>RET-00037</t>
  </si>
  <si>
    <t>RET-00038</t>
  </si>
  <si>
    <t>RET-00039</t>
  </si>
  <si>
    <t>RET-00040</t>
  </si>
  <si>
    <t>RET-00041</t>
  </si>
  <si>
    <t>RET-00042</t>
  </si>
  <si>
    <t>RET-00043</t>
  </si>
  <si>
    <t>RET-00044</t>
  </si>
  <si>
    <t>RET-00045</t>
  </si>
  <si>
    <t>RET-00046</t>
  </si>
  <si>
    <t>RET-00047</t>
  </si>
  <si>
    <t>RET-00048</t>
  </si>
  <si>
    <t>RET-00049</t>
  </si>
  <si>
    <t>RET-00050</t>
  </si>
  <si>
    <t>RET-00051</t>
  </si>
  <si>
    <t>RET-00052</t>
  </si>
  <si>
    <t>RET-00053</t>
  </si>
  <si>
    <t>RET-00054</t>
  </si>
  <si>
    <t>RET-00055</t>
  </si>
  <si>
    <t>RET-00056</t>
  </si>
  <si>
    <t>RET-00057</t>
  </si>
  <si>
    <t>RET-00058</t>
  </si>
  <si>
    <t>RET-00059</t>
  </si>
  <si>
    <t>RET-00060</t>
  </si>
  <si>
    <t>RET-00061</t>
  </si>
  <si>
    <t>RET-00062</t>
  </si>
  <si>
    <t>RET-00063</t>
  </si>
  <si>
    <t>RET-00064</t>
  </si>
  <si>
    <t>RET-00065</t>
  </si>
  <si>
    <t>RET-00066</t>
  </si>
  <si>
    <t>RET-00067</t>
  </si>
  <si>
    <t>RET-00068</t>
  </si>
  <si>
    <t>RET-00069</t>
  </si>
  <si>
    <t>RET-00070</t>
  </si>
  <si>
    <t>RET-00071</t>
  </si>
  <si>
    <t>RET-00072</t>
  </si>
  <si>
    <t>RET-00073</t>
  </si>
  <si>
    <t>RET-00074</t>
  </si>
  <si>
    <t>RET-00075</t>
  </si>
  <si>
    <t>RET-00076</t>
  </si>
  <si>
    <t>RET-00077</t>
  </si>
  <si>
    <t>RET-00078</t>
  </si>
  <si>
    <t>RET-00079</t>
  </si>
  <si>
    <t>RET-00080</t>
  </si>
  <si>
    <t>RET-00081</t>
  </si>
  <si>
    <t>RET-00082</t>
  </si>
  <si>
    <t>RET-00083</t>
  </si>
  <si>
    <t>RET-00084</t>
  </si>
  <si>
    <t>RET-00085</t>
  </si>
  <si>
    <t>RET-00086</t>
  </si>
  <si>
    <t>RET-00087</t>
  </si>
  <si>
    <t>RET-00088</t>
  </si>
  <si>
    <t>RET-00089</t>
  </si>
  <si>
    <t>RET-00090</t>
  </si>
  <si>
    <t>RET-00091</t>
  </si>
  <si>
    <t>RET-00092</t>
  </si>
  <si>
    <t>RET-00093</t>
  </si>
  <si>
    <t>RET-00094</t>
  </si>
  <si>
    <t>RET-00095</t>
  </si>
  <si>
    <t>RET-00096</t>
  </si>
  <si>
    <t>RET-00097</t>
  </si>
  <si>
    <t>RET-00098</t>
  </si>
  <si>
    <t>RET-00099</t>
  </si>
  <si>
    <t>RET-00100</t>
  </si>
  <si>
    <t>RET-00101</t>
  </si>
  <si>
    <t>RET-00102</t>
  </si>
  <si>
    <t>RET-00103</t>
  </si>
  <si>
    <t>RET-00104</t>
  </si>
  <si>
    <t>RET-00105</t>
  </si>
  <si>
    <t>RET-00106</t>
  </si>
  <si>
    <t>RET-00107</t>
  </si>
  <si>
    <t>RET-00108</t>
  </si>
  <si>
    <t>RET-00109</t>
  </si>
  <si>
    <t>RET-00110</t>
  </si>
  <si>
    <t>RET-00111</t>
  </si>
  <si>
    <t>RET-00112</t>
  </si>
  <si>
    <t>RET-00113</t>
  </si>
  <si>
    <t>RET-00114</t>
  </si>
  <si>
    <t>RET-00115</t>
  </si>
  <si>
    <t>RET-00116</t>
  </si>
  <si>
    <t>RET-00117</t>
  </si>
  <si>
    <t>RET-00118</t>
  </si>
  <si>
    <t>RET-00119</t>
  </si>
  <si>
    <t>RET-00120</t>
  </si>
  <si>
    <t>RET-00121</t>
  </si>
  <si>
    <t>RET-00122</t>
  </si>
  <si>
    <t>RET-00123</t>
  </si>
  <si>
    <t>RET-00124</t>
  </si>
  <si>
    <t>RET-00125</t>
  </si>
  <si>
    <t>RET-00126</t>
  </si>
  <si>
    <t>RET-00127</t>
  </si>
  <si>
    <t>RET-00128</t>
  </si>
  <si>
    <t>RET-00129</t>
  </si>
  <si>
    <t>RET-00130</t>
  </si>
  <si>
    <t>RET-00131</t>
  </si>
  <si>
    <t>RET-00132</t>
  </si>
  <si>
    <t>RET-00133</t>
  </si>
  <si>
    <t>RET-00134</t>
  </si>
  <si>
    <t>RET-00135</t>
  </si>
  <si>
    <t>RET-00136</t>
  </si>
  <si>
    <t>Monthly Targets</t>
  </si>
  <si>
    <t>Monthly sales and profit objectives for 2025.</t>
  </si>
  <si>
    <t>Month_Start</t>
  </si>
  <si>
    <t>Sales_Target</t>
  </si>
  <si>
    <t>Profit_Target</t>
  </si>
  <si>
    <t>Data Dictionary</t>
  </si>
  <si>
    <t>Definitions for every source table field.</t>
  </si>
  <si>
    <t>Table</t>
  </si>
  <si>
    <t>Field</t>
  </si>
  <si>
    <t>Definition</t>
  </si>
  <si>
    <t>Type</t>
  </si>
  <si>
    <t>Key / Relationship</t>
  </si>
  <si>
    <t>Orders_Raw</t>
  </si>
  <si>
    <t>Unique identifier intended for one line item</t>
  </si>
  <si>
    <t>Text</t>
  </si>
  <si>
    <t>Primary line key</t>
  </si>
  <si>
    <t>Identifier for a customer order. Can repeat across order lines.</t>
  </si>
  <si>
    <t>Links to Shipments</t>
  </si>
  <si>
    <t>Name, city, and segment combined in one raw text field</t>
  </si>
  <si>
    <t>Parse with text functions</t>
  </si>
  <si>
    <t>Selling price per unit before discount</t>
  </si>
  <si>
    <t>Currency</t>
  </si>
  <si>
    <t>Use for gross sales</t>
  </si>
  <si>
    <t>Internal product cost per unit</t>
  </si>
  <si>
    <t>Use for total cost</t>
  </si>
  <si>
    <t>Actual number of days from order to delivery</t>
  </si>
  <si>
    <t>Whole number</t>
  </si>
  <si>
    <t>Compare with Promised_Days</t>
  </si>
  <si>
    <t>Returns_Raw</t>
  </si>
  <si>
    <t>Refund amount for a returned line</t>
  </si>
  <si>
    <t>Return impact</t>
  </si>
  <si>
    <t>Monthly_Targets</t>
  </si>
  <si>
    <t>Monthly sales objective</t>
  </si>
  <si>
    <t>Compare with actual net sales</t>
  </si>
  <si>
    <t>Contrôle</t>
  </si>
  <si>
    <t>Objectif</t>
  </si>
  <si>
    <t>Colonne(s)</t>
  </si>
  <si>
    <t>Résultat</t>
  </si>
  <si>
    <t>Décision</t>
  </si>
  <si>
    <t>Nombre de lignes</t>
  </si>
  <si>
    <t>Grain</t>
  </si>
  <si>
    <t>Doublons exacts</t>
  </si>
  <si>
    <r>
      <t xml:space="preserve">Doublons de </t>
    </r>
    <r>
      <rPr>
        <sz val="10"/>
        <rFont val="Arial Unicode MS"/>
        <family val="2"/>
      </rPr>
      <t>Order_Line_ID</t>
    </r>
  </si>
  <si>
    <r>
      <t>Order_ID</t>
    </r>
    <r>
      <rPr>
        <sz val="11"/>
        <rFont val="Carlito"/>
      </rPr>
      <t xml:space="preserve"> répétés</t>
    </r>
  </si>
  <si>
    <t>Valeurs manquantes</t>
  </si>
  <si>
    <t>Quantité/prix invalides</t>
  </si>
  <si>
    <t>Variantes de texte</t>
  </si>
  <si>
    <t>comprendre ce que represente une ligne</t>
  </si>
  <si>
    <t>Order_ID, Order_Line_ID, Product_ID</t>
  </si>
  <si>
    <t>une ligne represente un article d'une commande</t>
  </si>
  <si>
    <t>compter les commandes avec les order_id distincts</t>
  </si>
  <si>
    <t>OL_ID</t>
  </si>
  <si>
    <t>utiliser 891 reference avant le nettoyage</t>
  </si>
  <si>
    <t>connaitre le volume initial des lignes de vente</t>
  </si>
  <si>
    <t>reperer les lignes entierement dupliquees</t>
  </si>
  <si>
    <t>toutes les colones de order_raw</t>
  </si>
  <si>
    <t>883 lignes restantes</t>
  </si>
  <si>
    <t>conserver la suppression sur order_clean et garder orders_raw intact</t>
  </si>
  <si>
    <t>verifier q'une ligne contient un identifiant unique</t>
  </si>
  <si>
    <t>Order_Line_id</t>
  </si>
  <si>
    <t>aucun identifiant duplique detecte</t>
  </si>
  <si>
    <t>conserver 883 lignes, clé de ligne fiable</t>
  </si>
  <si>
    <t>verifier si plusieurs lignes appartiennent a la meme commande</t>
  </si>
  <si>
    <t>des order_id se repetent : une commande peut contenir plusieurs articles</t>
  </si>
  <si>
    <t>ne pas supprimer, compter les commandes avec les order_id distincts</t>
  </si>
  <si>
    <t>verifier que les cles et les champs necessaires aux calculs sont renseignes</t>
  </si>
  <si>
    <t>OL_id, order_id, order date,costumerid,prouctid,quantity,unit_price</t>
  </si>
  <si>
    <t>pas de valeurs manquantes dans les champs critiques</t>
  </si>
  <si>
    <t>aucune correction requise, poursruivre les controles de validite</t>
  </si>
  <si>
    <t>reperer les valeurs nulles ou negatives qui fausses les calculs</t>
  </si>
  <si>
    <t>quantity, unit_price</t>
  </si>
  <si>
    <t>pas de valeurs nulles ou negatives dans les 2 champs</t>
  </si>
  <si>
    <t>aucune correction n'est requise</t>
  </si>
  <si>
    <t>reperer les ecritures differentes d'une meme categorie</t>
  </si>
  <si>
    <t>sales_chanel_raw, payment_method_raw, store_raw</t>
  </si>
  <si>
    <t>Sales_Channel_Clean</t>
  </si>
  <si>
    <t>Payment_Method_Clean</t>
  </si>
  <si>
    <t>espaces multiples dans retail store, et ecriture differente dans Marketplace,    CC et Credit Card sont des variantes, et 123 valeurs manquantes dans payment_method_raw, store_raw ne presente pas de variante apparente</t>
  </si>
  <si>
    <t>conserver les colones brutes, utiliser les colones clean pour l'analyse,conserver les paiement non enregistres en Unknown</t>
  </si>
  <si>
    <t>City</t>
  </si>
  <si>
    <t>Comma count</t>
  </si>
  <si>
    <t>structure customer_info</t>
  </si>
  <si>
    <t>verifier que chaque ligne contient les 3 elements attendus</t>
  </si>
  <si>
    <t>customer_info, comma_count</t>
  </si>
  <si>
    <t>extraction customer_name, city, customer_segment</t>
  </si>
  <si>
    <t>toutes lignes comprennent 2 virgules</t>
  </si>
  <si>
    <t>products Audit</t>
  </si>
  <si>
    <t>Doublons de clé</t>
  </si>
  <si>
    <r>
      <t>Product_ID</t>
    </r>
    <r>
      <rPr>
        <sz val="11"/>
        <rFont val="Carlito"/>
      </rPr>
      <t xml:space="preserve">, </t>
    </r>
    <r>
      <rPr>
        <sz val="10"/>
        <rFont val="Arial Unicode MS"/>
        <family val="2"/>
      </rPr>
      <t>Product_Name</t>
    </r>
    <r>
      <rPr>
        <sz val="11"/>
        <rFont val="Carlito"/>
      </rPr>
      <t xml:space="preserve">, </t>
    </r>
    <r>
      <rPr>
        <sz val="10"/>
        <rFont val="Arial Unicode MS"/>
        <family val="2"/>
      </rPr>
      <t>Category</t>
    </r>
    <r>
      <rPr>
        <sz val="11"/>
        <rFont val="Carlito"/>
      </rPr>
      <t xml:space="preserve">, </t>
    </r>
    <r>
      <rPr>
        <sz val="10"/>
        <rFont val="Arial Unicode MS"/>
        <family val="2"/>
      </rPr>
      <t>Unit_Cost</t>
    </r>
  </si>
  <si>
    <t>Coût unitaire invalide</t>
  </si>
  <si>
    <t>résultat</t>
  </si>
  <si>
    <t>decision</t>
  </si>
  <si>
    <t>reference initial de la table produit</t>
  </si>
  <si>
    <t>cle de recherche fiable</t>
  </si>
  <si>
    <t>as de champcritique a corriger</t>
  </si>
  <si>
    <t>ils sont prêt pour les calcul des couts et des profils</t>
  </si>
  <si>
    <t>Nombre de clients</t>
  </si>
  <si>
    <t>Établir le volume de référence de la table</t>
  </si>
  <si>
    <r>
      <t xml:space="preserve">Vérifier qu’un </t>
    </r>
    <r>
      <rPr>
        <sz val="10"/>
        <rFont val="Arial Unicode MS"/>
        <family val="2"/>
      </rPr>
      <t>Customer_ID</t>
    </r>
    <r>
      <rPr>
        <sz val="11"/>
        <rFont val="Carlito"/>
      </rPr>
      <t xml:space="preserve"> correspond à un seul client</t>
    </r>
  </si>
  <si>
    <t>Vérifier la complétude des champs utiles à l’analyse</t>
  </si>
  <si>
    <r>
      <t>Customer_ID</t>
    </r>
    <r>
      <rPr>
        <sz val="11"/>
        <rFont val="Carlito"/>
      </rPr>
      <t xml:space="preserve">, </t>
    </r>
    <r>
      <rPr>
        <sz val="10"/>
        <rFont val="Arial Unicode MS"/>
        <family val="2"/>
      </rPr>
      <t>Customer_Name</t>
    </r>
    <r>
      <rPr>
        <sz val="11"/>
        <rFont val="Carlito"/>
      </rPr>
      <t xml:space="preserve">, </t>
    </r>
    <r>
      <rPr>
        <sz val="10"/>
        <rFont val="Arial Unicode MS"/>
        <family val="2"/>
      </rPr>
      <t>Customer_City</t>
    </r>
    <r>
      <rPr>
        <sz val="11"/>
        <rFont val="Carlito"/>
      </rPr>
      <t xml:space="preserve">, </t>
    </r>
    <r>
      <rPr>
        <sz val="10"/>
        <rFont val="Arial Unicode MS"/>
        <family val="2"/>
      </rPr>
      <t>Region</t>
    </r>
    <r>
      <rPr>
        <sz val="11"/>
        <rFont val="Carlito"/>
      </rPr>
      <t xml:space="preserve">, </t>
    </r>
    <r>
      <rPr>
        <sz val="10"/>
        <rFont val="Arial Unicode MS"/>
        <family val="2"/>
      </rPr>
      <t>Customer_Segment</t>
    </r>
    <r>
      <rPr>
        <sz val="11"/>
        <rFont val="Carlito"/>
      </rPr>
      <t xml:space="preserve">, </t>
    </r>
    <r>
      <rPr>
        <sz val="10"/>
        <rFont val="Arial Unicode MS"/>
        <family val="2"/>
      </rPr>
      <t>Marketing_Opt_In</t>
    </r>
  </si>
  <si>
    <t>0 valeur manquante</t>
  </si>
  <si>
    <t>Cohérence des catégories</t>
  </si>
  <si>
    <r>
      <t xml:space="preserve">Vérifier les valeurs distinctes de </t>
    </r>
    <r>
      <rPr>
        <sz val="10"/>
        <rFont val="Arial Unicode MS"/>
        <family val="2"/>
      </rPr>
      <t>Region</t>
    </r>
    <r>
      <rPr>
        <sz val="11"/>
        <rFont val="Carlito"/>
      </rPr>
      <t xml:space="preserve">, </t>
    </r>
    <r>
      <rPr>
        <sz val="10"/>
        <rFont val="Arial Unicode MS"/>
        <family val="2"/>
      </rPr>
      <t>Customer_Segment</t>
    </r>
    <r>
      <rPr>
        <sz val="11"/>
        <rFont val="Carlito"/>
      </rPr>
      <t xml:space="preserve"> et </t>
    </r>
    <r>
      <rPr>
        <sz val="10"/>
        <rFont val="Arial Unicode MS"/>
        <family val="2"/>
      </rPr>
      <t>Marketing_Opt_In</t>
    </r>
  </si>
  <si>
    <r>
      <t>Region</t>
    </r>
    <r>
      <rPr>
        <sz val="11"/>
        <rFont val="Carlito"/>
      </rPr>
      <t xml:space="preserve">, </t>
    </r>
    <r>
      <rPr>
        <sz val="10"/>
        <rFont val="Arial Unicode MS"/>
        <family val="2"/>
      </rPr>
      <t>Customer_Segment</t>
    </r>
    <r>
      <rPr>
        <sz val="11"/>
        <rFont val="Carlito"/>
      </rPr>
      <t xml:space="preserve">, </t>
    </r>
    <r>
      <rPr>
        <sz val="10"/>
        <rFont val="Arial Unicode MS"/>
        <family val="2"/>
      </rPr>
      <t>Marketing_Opt_In</t>
    </r>
  </si>
  <si>
    <t>Customer id</t>
  </si>
  <si>
    <t>181 references client</t>
  </si>
  <si>
    <t>pas de doublons donc clé fiable pour la jointure</t>
  </si>
  <si>
    <t>Aucun champ critique ni erreur a corriger</t>
  </si>
  <si>
    <t>aucun traitement requis</t>
  </si>
  <si>
    <t>coherence des regions,7 regions distincts et valides , coherence des segments au nombre de 3 segments valides, coherence du consentement marketing none veut simplement dire qu'il y'a pas de consentement marketing</t>
  </si>
  <si>
    <t>Customer_Segment2</t>
  </si>
  <si>
    <t>Validation des jointures</t>
  </si>
  <si>
    <t>verifier les enrichissements produit et client valides</t>
  </si>
  <si>
    <t>0 erreurs NA,controles manuels coherents</t>
  </si>
  <si>
    <t>jointures valides tables pretes pour les calculs</t>
  </si>
  <si>
    <t>region, customer_segment, unit_cost, category</t>
  </si>
  <si>
    <t>Gross_Sales</t>
  </si>
  <si>
    <t>Discount_Amount</t>
  </si>
  <si>
    <t>Total_Cost</t>
  </si>
  <si>
    <t>Profit</t>
  </si>
  <si>
    <t>Profit_margin</t>
  </si>
  <si>
    <t>Net_Sales</t>
  </si>
  <si>
    <t>Return_Reason</t>
  </si>
  <si>
    <t>Return_Status</t>
  </si>
  <si>
    <t>jointure livraon via order ID</t>
  </si>
  <si>
    <t>recuperer status et delivry date</t>
  </si>
  <si>
    <t>delivry status et delivry date</t>
  </si>
  <si>
    <t>pas d'erreur, date au bon format</t>
  </si>
  <si>
    <t>etape validee</t>
  </si>
  <si>
    <t>Étiquettes de lignes</t>
  </si>
  <si>
    <t>Total général</t>
  </si>
  <si>
    <t>Nombre de Order_ID</t>
  </si>
  <si>
    <t>mesure de ponctualite des livraison</t>
  </si>
  <si>
    <t>calcul des commandes livrees a temps</t>
  </si>
  <si>
    <t>40% des commandes delivrees dans les delais promis</t>
  </si>
  <si>
    <t>necessite d'analyser les retards</t>
  </si>
  <si>
    <t>Étiquettes de colonnes</t>
  </si>
  <si>
    <t>Total Nombre de Order_ID</t>
  </si>
  <si>
    <t>On_Time_Flag</t>
  </si>
  <si>
    <t>Total Moyenne de On_Time_Flag</t>
  </si>
  <si>
    <t>Moyenne de On_Time_Flag</t>
  </si>
  <si>
    <t>analyse la ponctualite des transporteurs</t>
  </si>
  <si>
    <t>comparer le taux de livraison</t>
  </si>
  <si>
    <t>carrier, delivry status, on time flag</t>
  </si>
  <si>
    <t>Fast Track 42,6 %, Maple Express 35,4 %, Northship 40,1 %.</t>
  </si>
  <si>
    <t>approfondir Maple Express pour son taux faible et Northship pour son volume élevé de retards , 112.</t>
  </si>
  <si>
    <t>RETURN KPIs</t>
  </si>
  <si>
    <t>Total Order Lines</t>
  </si>
  <si>
    <t>Returned Order Lines</t>
  </si>
  <si>
    <t>Return Rate</t>
  </si>
  <si>
    <t>Nombre de Order_Line_ID</t>
  </si>
  <si>
    <t>No</t>
  </si>
  <si>
    <t>Yes</t>
  </si>
  <si>
    <t>Nombre de Return_ID</t>
  </si>
  <si>
    <t>return_rate by cateory</t>
  </si>
  <si>
    <t>return_rate by delivery</t>
  </si>
  <si>
    <t>return_rate by reason</t>
  </si>
  <si>
    <t>Delivery Performance</t>
  </si>
  <si>
    <t>Return Rate by Category</t>
  </si>
  <si>
    <t>Distribution of Returns by Reason</t>
  </si>
  <si>
    <t>Sales &amp; Return KPIs</t>
  </si>
  <si>
    <t>Delivery Status Overview</t>
  </si>
  <si>
    <t>Delivery Performance by Shipping Provider</t>
  </si>
  <si>
    <t>Sales, Returns &amp; Delivery Performance Dashboard</t>
  </si>
  <si>
    <t>Comparison of On-Time and Late Deliveries Across Shipping Providers</t>
  </si>
  <si>
    <t>Comparison of Return Rates for On-Time and Late Deliveries</t>
  </si>
  <si>
    <t>On-Time Delivery Rate</t>
  </si>
  <si>
    <t>15.4%</t>
  </si>
  <si>
    <t>39.7%</t>
  </si>
  <si>
    <t>Return rate by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</si>
</sst>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* #,##0.00\ &quot;€&quot;_-;\-* #,##0.00\ &quot;€&quot;_-;_-* &quot;-&quot;??\ &quot;€&quot;_-;_-@_-"/>
    <numFmt numFmtId="164" formatCode="yyyy\-mm\-dd"/>
    <numFmt numFmtId="165" formatCode="\$#,##0.00"/>
    <numFmt numFmtId="166" formatCode="0.0%"/>
    <numFmt numFmtId="167" formatCode="_-[$$-409]* #,##0.00_ ;_-[$$-409]* \-#,##0.00\ ;_-[$$-409]* &quot;-&quot;??_ ;_-@_ "/>
  </numFmts>
  <fonts count="18">
    <font>
      <sz val="11"/>
      <name val="Carlito"/>
    </font>
    <font>
      <b/>
      <sz val="16"/>
      <color rgb="FF17365D"/>
      <name val="Arial"/>
    </font>
    <font>
      <b/>
      <sz val="10"/>
      <color rgb="FF1F2937"/>
      <name val="Arial"/>
    </font>
    <font>
      <sz val="10"/>
      <color rgb="FF1F2937"/>
      <name val="Arial"/>
    </font>
    <font>
      <b/>
      <sz val="15"/>
      <color rgb="FF17365D"/>
      <name val="Arial"/>
    </font>
    <font>
      <i/>
      <sz val="10"/>
      <color rgb="FF4B5563"/>
      <name val="Arial"/>
    </font>
    <font>
      <b/>
      <sz val="10"/>
      <color rgb="FFFFFFFF"/>
      <name val="Arial"/>
    </font>
    <font>
      <sz val="11"/>
      <name val="Carlito"/>
    </font>
    <font>
      <b/>
      <sz val="11"/>
      <name val="Carlito"/>
    </font>
    <font>
      <sz val="10"/>
      <name val="Arial Unicode MS"/>
      <family val="2"/>
    </font>
    <font>
      <sz val="10"/>
      <color rgb="FF1F2937"/>
      <name val="Arial"/>
      <family val="2"/>
    </font>
    <font>
      <b/>
      <sz val="10"/>
      <color rgb="FFFFFFFF"/>
      <name val="Arial"/>
      <family val="2"/>
    </font>
    <font>
      <sz val="12"/>
      <name val="Arial Unicode MS"/>
      <family val="2"/>
    </font>
    <font>
      <sz val="14"/>
      <color rgb="FFFF0000"/>
      <name val="Carlito"/>
    </font>
    <font>
      <b/>
      <sz val="16"/>
      <name val="Carlito"/>
    </font>
    <font>
      <b/>
      <sz val="12"/>
      <name val="Carlito"/>
    </font>
    <font>
      <b/>
      <sz val="14"/>
      <name val="Carlito"/>
    </font>
    <font>
      <sz val="20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7365D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17365D"/>
      </bottom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</borders>
  <cellStyleXfs count="3">
    <xf numFmtId="0" fontId="0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79">
    <xf numFmtId="0" fontId="0" fillId="0" borderId="0" xfId="0"/>
    <xf numFmtId="0" fontId="1" fillId="0" borderId="0" xfId="0" applyNumberFormat="1" applyFont="1" applyFill="1" applyBorder="1"/>
    <xf numFmtId="0" fontId="3" fillId="0" borderId="0" xfId="0" applyNumberFormat="1" applyFont="1" applyFill="1" applyBorder="1"/>
    <xf numFmtId="0" fontId="2" fillId="2" borderId="0" xfId="0" applyNumberFormat="1" applyFont="1" applyFill="1" applyBorder="1"/>
    <xf numFmtId="0" fontId="3" fillId="0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wrapText="1"/>
    </xf>
    <xf numFmtId="0" fontId="4" fillId="0" borderId="0" xfId="0" applyNumberFormat="1" applyFont="1" applyFill="1" applyBorder="1"/>
    <xf numFmtId="0" fontId="5" fillId="0" borderId="0" xfId="0" applyNumberFormat="1" applyFont="1" applyFill="1" applyBorder="1"/>
    <xf numFmtId="0" fontId="0" fillId="0" borderId="1" xfId="0" applyNumberFormat="1" applyFont="1" applyFill="1" applyBorder="1"/>
    <xf numFmtId="0" fontId="6" fillId="3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vertical="center"/>
    </xf>
    <xf numFmtId="0" fontId="3" fillId="0" borderId="2" xfId="0" applyNumberFormat="1" applyFont="1" applyFill="1" applyBorder="1" applyAlignment="1">
      <alignment vertical="center"/>
    </xf>
    <xf numFmtId="0" fontId="3" fillId="0" borderId="3" xfId="0" applyNumberFormat="1" applyFont="1" applyFill="1" applyBorder="1" applyAlignment="1">
      <alignment vertical="center"/>
    </xf>
    <xf numFmtId="0" fontId="3" fillId="0" borderId="4" xfId="0" applyNumberFormat="1" applyFont="1" applyFill="1" applyBorder="1" applyAlignment="1">
      <alignment vertical="center"/>
    </xf>
    <xf numFmtId="0" fontId="3" fillId="0" borderId="5" xfId="0" applyNumberFormat="1" applyFont="1" applyFill="1" applyBorder="1" applyAlignment="1">
      <alignment vertical="center"/>
    </xf>
    <xf numFmtId="0" fontId="3" fillId="0" borderId="6" xfId="0" applyNumberFormat="1" applyFont="1" applyFill="1" applyBorder="1" applyAlignment="1">
      <alignment vertical="center"/>
    </xf>
    <xf numFmtId="0" fontId="3" fillId="0" borderId="7" xfId="0" applyNumberFormat="1" applyFont="1" applyFill="1" applyBorder="1" applyAlignment="1">
      <alignment vertical="center"/>
    </xf>
    <xf numFmtId="0" fontId="3" fillId="0" borderId="8" xfId="0" applyNumberFormat="1" applyFont="1" applyFill="1" applyBorder="1" applyAlignment="1">
      <alignment vertical="center"/>
    </xf>
    <xf numFmtId="0" fontId="3" fillId="0" borderId="9" xfId="0" applyNumberFormat="1" applyFont="1" applyFill="1" applyBorder="1" applyAlignment="1">
      <alignment vertical="center"/>
    </xf>
    <xf numFmtId="164" fontId="3" fillId="0" borderId="3" xfId="0" applyNumberFormat="1" applyFont="1" applyFill="1" applyBorder="1" applyAlignment="1">
      <alignment vertical="center"/>
    </xf>
    <xf numFmtId="164" fontId="3" fillId="0" borderId="0" xfId="0" applyNumberFormat="1" applyFont="1" applyFill="1" applyBorder="1" applyAlignment="1">
      <alignment vertical="center"/>
    </xf>
    <xf numFmtId="164" fontId="3" fillId="0" borderId="8" xfId="0" applyNumberFormat="1" applyFont="1" applyFill="1" applyBorder="1" applyAlignment="1">
      <alignment vertical="center"/>
    </xf>
    <xf numFmtId="3" fontId="3" fillId="0" borderId="3" xfId="0" applyNumberFormat="1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vertical="center"/>
    </xf>
    <xf numFmtId="3" fontId="3" fillId="0" borderId="8" xfId="0" applyNumberFormat="1" applyFont="1" applyFill="1" applyBorder="1" applyAlignment="1">
      <alignment vertical="center"/>
    </xf>
    <xf numFmtId="165" fontId="3" fillId="0" borderId="3" xfId="0" applyNumberFormat="1" applyFont="1" applyFill="1" applyBorder="1" applyAlignment="1">
      <alignment vertical="center"/>
    </xf>
    <xf numFmtId="165" fontId="3" fillId="0" borderId="0" xfId="0" applyNumberFormat="1" applyFont="1" applyFill="1" applyBorder="1" applyAlignment="1">
      <alignment vertical="center"/>
    </xf>
    <xf numFmtId="165" fontId="3" fillId="0" borderId="8" xfId="0" applyNumberFormat="1" applyFont="1" applyFill="1" applyBorder="1" applyAlignment="1">
      <alignment vertical="center"/>
    </xf>
    <xf numFmtId="166" fontId="3" fillId="0" borderId="3" xfId="0" applyNumberFormat="1" applyFont="1" applyFill="1" applyBorder="1" applyAlignment="1">
      <alignment vertical="center"/>
    </xf>
    <xf numFmtId="166" fontId="3" fillId="0" borderId="0" xfId="0" applyNumberFormat="1" applyFont="1" applyFill="1" applyBorder="1" applyAlignment="1">
      <alignment vertical="center"/>
    </xf>
    <xf numFmtId="166" fontId="3" fillId="0" borderId="8" xfId="0" applyNumberFormat="1" applyFont="1" applyFill="1" applyBorder="1" applyAlignment="1">
      <alignment vertical="center"/>
    </xf>
    <xf numFmtId="165" fontId="3" fillId="0" borderId="4" xfId="0" applyNumberFormat="1" applyFont="1" applyFill="1" applyBorder="1" applyAlignment="1">
      <alignment vertical="center"/>
    </xf>
    <xf numFmtId="165" fontId="3" fillId="0" borderId="6" xfId="0" applyNumberFormat="1" applyFont="1" applyFill="1" applyBorder="1" applyAlignment="1">
      <alignment vertical="center"/>
    </xf>
    <xf numFmtId="165" fontId="3" fillId="0" borderId="9" xfId="0" applyNumberFormat="1" applyFont="1" applyFill="1" applyBorder="1" applyAlignment="1">
      <alignment vertical="center"/>
    </xf>
    <xf numFmtId="164" fontId="3" fillId="0" borderId="2" xfId="0" applyNumberFormat="1" applyFont="1" applyFill="1" applyBorder="1" applyAlignment="1">
      <alignment vertical="center"/>
    </xf>
    <xf numFmtId="164" fontId="3" fillId="0" borderId="5" xfId="0" applyNumberFormat="1" applyFont="1" applyFill="1" applyBorder="1" applyAlignment="1">
      <alignment vertical="center"/>
    </xf>
    <xf numFmtId="164" fontId="3" fillId="0" borderId="7" xfId="0" applyNumberFormat="1" applyFont="1" applyFill="1" applyBorder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0" borderId="0" xfId="0" applyNumberFormat="1" applyFont="1" applyFill="1" applyBorder="1"/>
    <xf numFmtId="0" fontId="0" fillId="0" borderId="0" xfId="0" applyFill="1" applyBorder="1" applyAlignment="1">
      <alignment vertical="center" wrapText="1"/>
    </xf>
    <xf numFmtId="0" fontId="10" fillId="0" borderId="6" xfId="0" applyNumberFormat="1" applyFont="1" applyFill="1" applyBorder="1" applyAlignment="1">
      <alignment vertical="center"/>
    </xf>
    <xf numFmtId="0" fontId="10" fillId="0" borderId="5" xfId="0" applyNumberFormat="1" applyFont="1" applyFill="1" applyBorder="1" applyAlignment="1">
      <alignment vertical="center"/>
    </xf>
    <xf numFmtId="0" fontId="11" fillId="3" borderId="0" xfId="0" applyNumberFormat="1" applyFont="1" applyFill="1" applyBorder="1" applyAlignment="1">
      <alignment horizontal="center" vertical="center" wrapText="1"/>
    </xf>
    <xf numFmtId="167" fontId="0" fillId="0" borderId="0" xfId="0" applyNumberFormat="1"/>
    <xf numFmtId="0" fontId="12" fillId="0" borderId="0" xfId="0" applyFont="1"/>
    <xf numFmtId="167" fontId="0" fillId="0" borderId="0" xfId="1" applyNumberFormat="1" applyFont="1"/>
    <xf numFmtId="9" fontId="0" fillId="0" borderId="0" xfId="2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6" fontId="0" fillId="0" borderId="0" xfId="0" applyNumberFormat="1"/>
    <xf numFmtId="0" fontId="13" fillId="4" borderId="0" xfId="0" applyFont="1" applyFill="1"/>
    <xf numFmtId="0" fontId="14" fillId="5" borderId="0" xfId="0" applyFont="1" applyFill="1"/>
    <xf numFmtId="166" fontId="8" fillId="0" borderId="0" xfId="2" applyNumberFormat="1" applyFont="1"/>
    <xf numFmtId="0" fontId="0" fillId="6" borderId="0" xfId="0" applyFill="1"/>
    <xf numFmtId="0" fontId="8" fillId="6" borderId="0" xfId="0" applyFont="1" applyFill="1"/>
    <xf numFmtId="166" fontId="0" fillId="6" borderId="0" xfId="2" applyNumberFormat="1" applyFont="1" applyFill="1"/>
    <xf numFmtId="166" fontId="14" fillId="5" borderId="0" xfId="2" applyNumberFormat="1" applyFont="1" applyFill="1"/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15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14" fillId="7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16" fillId="7" borderId="0" xfId="0" applyFont="1" applyFill="1" applyAlignment="1">
      <alignment horizontal="center"/>
    </xf>
    <xf numFmtId="0" fontId="17" fillId="8" borderId="0" xfId="0" applyFont="1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0" borderId="0" xfId="0" applyBorder="1"/>
    <xf numFmtId="0" fontId="16" fillId="9" borderId="0" xfId="0" applyFont="1" applyFill="1" applyBorder="1" applyAlignment="1">
      <alignment horizontal="center"/>
    </xf>
    <xf numFmtId="0" fontId="15" fillId="0" borderId="0" xfId="0" applyFont="1" applyBorder="1" applyAlignment="1"/>
    <xf numFmtId="0" fontId="8" fillId="0" borderId="0" xfId="0" applyFont="1" applyBorder="1" applyAlignment="1"/>
    <xf numFmtId="0" fontId="0" fillId="0" borderId="0" xfId="0" applyBorder="1" applyAlignment="1"/>
    <xf numFmtId="0" fontId="16" fillId="10" borderId="0" xfId="0" applyFont="1" applyFill="1" applyBorder="1" applyAlignment="1"/>
    <xf numFmtId="0" fontId="8" fillId="10" borderId="0" xfId="0" applyFont="1" applyFill="1" applyBorder="1" applyAlignment="1">
      <alignment horizontal="center"/>
    </xf>
    <xf numFmtId="0" fontId="0" fillId="10" borderId="0" xfId="0" applyFont="1" applyFill="1" applyBorder="1" applyAlignment="1">
      <alignment horizontal="center"/>
    </xf>
    <xf numFmtId="0" fontId="0" fillId="0" borderId="0" xfId="0" applyBorder="1"/>
  </cellXfs>
  <cellStyles count="3">
    <cellStyle name="Monétaire" xfId="1" builtinId="4"/>
    <cellStyle name="Normal" xfId="0" builtinId="0"/>
    <cellStyle name="Pourcentage" xfId="2" builtinId="5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166" formatCode="0.0%"/>
    </dxf>
    <dxf>
      <numFmt numFmtId="166" formatCode="0.0%"/>
    </dxf>
    <dxf>
      <numFmt numFmtId="166" formatCode="0.0%"/>
    </dxf>
    <dxf>
      <numFmt numFmtId="166" formatCode="0.0%"/>
    </dxf>
    <dxf>
      <numFmt numFmtId="0" formatCode="General"/>
    </dxf>
    <dxf>
      <numFmt numFmtId="19" formatCode="dd/mm/yyyy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9" formatCode="dd/mm/yyyy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0" formatCode="General"/>
    </dxf>
    <dxf>
      <numFmt numFmtId="167" formatCode="_-[$$-409]* #,##0.00_ ;_-[$$-409]* \-#,##0.00\ ;_-[$$-409]* &quot;-&quot;??_ ;_-@_ 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</a:t>
            </a:r>
            <a:r>
              <a:rPr lang="en-US" baseline="0"/>
              <a:t> rate by delivery status</a:t>
            </a:r>
            <a:endParaRPr lang="en-US"/>
          </a:p>
        </c:rich>
      </c:tx>
      <c:layout>
        <c:manualLayout>
          <c:xMode val="edge"/>
          <c:yMode val="edge"/>
          <c:x val="0.2797152230971128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KPI_Analysis!$G$26:$G$27</c:f>
              <c:strCache>
                <c:ptCount val="2"/>
                <c:pt idx="0">
                  <c:v>Late</c:v>
                </c:pt>
                <c:pt idx="1">
                  <c:v>On time</c:v>
                </c:pt>
              </c:strCache>
            </c:strRef>
          </c:cat>
          <c:val>
            <c:numRef>
              <c:f>KPI_Analysis!$K$26:$K$27</c:f>
              <c:numCache>
                <c:formatCode>0.0%</c:formatCode>
                <c:ptCount val="2"/>
                <c:pt idx="0">
                  <c:v>0.20196078431372549</c:v>
                </c:pt>
                <c:pt idx="1">
                  <c:v>8.8471849865951746E-2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759721632"/>
        <c:axId val="-759719456"/>
      </c:barChart>
      <c:catAx>
        <c:axId val="-759721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delivery</a:t>
                </a:r>
                <a:r>
                  <a:rPr lang="en-US" baseline="0"/>
                  <a:t> status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8206846019247585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59719456"/>
        <c:crosses val="autoZero"/>
        <c:auto val="1"/>
        <c:lblAlgn val="ctr"/>
        <c:lblOffset val="100"/>
        <c:noMultiLvlLbl val="0"/>
      </c:catAx>
      <c:valAx>
        <c:axId val="-75971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return</a:t>
                </a:r>
                <a:r>
                  <a:rPr lang="en-US" baseline="0"/>
                  <a:t> status percent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59721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[Ecommerce_Returns_Customer_Experience_Starter (Enregistré automatiquement).xlsx]KPI_Analysis!Tableau croisé dynamique9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delivery</a:t>
            </a:r>
            <a:r>
              <a:rPr lang="en-US" baseline="0"/>
              <a:t> performance by shipping provider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KPI_Analysis!$H$10:$H$11</c:f>
              <c:strCache>
                <c:ptCount val="1"/>
                <c:pt idx="0">
                  <c:v>Late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KPI_Analysis!$G$12:$G$15</c:f>
              <c:strCache>
                <c:ptCount val="3"/>
                <c:pt idx="0">
                  <c:v>Fast Track</c:v>
                </c:pt>
                <c:pt idx="1">
                  <c:v>Maple Express</c:v>
                </c:pt>
                <c:pt idx="2">
                  <c:v>northship</c:v>
                </c:pt>
              </c:strCache>
            </c:strRef>
          </c:cat>
          <c:val>
            <c:numRef>
              <c:f>KPI_Analysis!$H$12:$H$15</c:f>
              <c:numCache>
                <c:formatCode>General</c:formatCode>
                <c:ptCount val="3"/>
                <c:pt idx="0">
                  <c:v>54</c:v>
                </c:pt>
                <c:pt idx="1">
                  <c:v>51</c:v>
                </c:pt>
                <c:pt idx="2">
                  <c:v>112</c:v>
                </c:pt>
              </c:numCache>
            </c:numRef>
          </c:val>
        </c:ser>
        <c:ser>
          <c:idx val="1"/>
          <c:order val="1"/>
          <c:tx>
            <c:strRef>
              <c:f>KPI_Analysis!$I$10:$I$11</c:f>
              <c:strCache>
                <c:ptCount val="1"/>
                <c:pt idx="0">
                  <c:v>On 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KPI_Analysis!$G$12:$G$15</c:f>
              <c:strCache>
                <c:ptCount val="3"/>
                <c:pt idx="0">
                  <c:v>Fast Track</c:v>
                </c:pt>
                <c:pt idx="1">
                  <c:v>Maple Express</c:v>
                </c:pt>
                <c:pt idx="2">
                  <c:v>northship</c:v>
                </c:pt>
              </c:strCache>
            </c:strRef>
          </c:cat>
          <c:val>
            <c:numRef>
              <c:f>KPI_Analysis!$I$12:$I$15</c:f>
              <c:numCache>
                <c:formatCode>General</c:formatCode>
                <c:ptCount val="3"/>
                <c:pt idx="0">
                  <c:v>40</c:v>
                </c:pt>
                <c:pt idx="1">
                  <c:v>28</c:v>
                </c:pt>
                <c:pt idx="2">
                  <c:v>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759724352"/>
        <c:axId val="-759713472"/>
      </c:barChart>
      <c:catAx>
        <c:axId val="-75972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59713472"/>
        <c:crosses val="autoZero"/>
        <c:auto val="1"/>
        <c:lblAlgn val="ctr"/>
        <c:lblOffset val="100"/>
        <c:noMultiLvlLbl val="0"/>
      </c:catAx>
      <c:valAx>
        <c:axId val="-75971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delivries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75972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[Ecommerce_Returns_Customer_Experience_Starter (Enregistré automatiquement).xlsx]KPI_Analysis!Tableau croisé dynamique6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KPI_Analysis!$B$27:$B$28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KPI_Analysis!$A$29:$A$34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Fitness</c:v>
                </c:pt>
                <c:pt idx="3">
                  <c:v>Home</c:v>
                </c:pt>
                <c:pt idx="4">
                  <c:v>Office</c:v>
                </c:pt>
              </c:strCache>
            </c:strRef>
          </c:cat>
          <c:val>
            <c:numRef>
              <c:f>KPI_Analysis!$B$29:$B$34</c:f>
              <c:numCache>
                <c:formatCode>General</c:formatCode>
                <c:ptCount val="5"/>
                <c:pt idx="0">
                  <c:v>154</c:v>
                </c:pt>
                <c:pt idx="1">
                  <c:v>145</c:v>
                </c:pt>
                <c:pt idx="2">
                  <c:v>149</c:v>
                </c:pt>
                <c:pt idx="3">
                  <c:v>152</c:v>
                </c:pt>
                <c:pt idx="4">
                  <c:v>147</c:v>
                </c:pt>
              </c:numCache>
            </c:numRef>
          </c:val>
        </c:ser>
        <c:ser>
          <c:idx val="1"/>
          <c:order val="1"/>
          <c:tx>
            <c:strRef>
              <c:f>KPI_Analysis!$C$27:$C$28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KPI_Analysis!$A$29:$A$34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Fitness</c:v>
                </c:pt>
                <c:pt idx="3">
                  <c:v>Home</c:v>
                </c:pt>
                <c:pt idx="4">
                  <c:v>Office</c:v>
                </c:pt>
              </c:strCache>
            </c:strRef>
          </c:cat>
          <c:val>
            <c:numRef>
              <c:f>KPI_Analysis!$C$29:$C$34</c:f>
              <c:numCache>
                <c:formatCode>General</c:formatCode>
                <c:ptCount val="5"/>
                <c:pt idx="0">
                  <c:v>20</c:v>
                </c:pt>
                <c:pt idx="1">
                  <c:v>27</c:v>
                </c:pt>
                <c:pt idx="2">
                  <c:v>28</c:v>
                </c:pt>
                <c:pt idx="3">
                  <c:v>19</c:v>
                </c:pt>
                <c:pt idx="4">
                  <c:v>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1107927088"/>
        <c:axId val="-1107926544"/>
        <c:axId val="0"/>
      </c:bar3DChart>
      <c:catAx>
        <c:axId val="-110792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07926544"/>
        <c:crosses val="autoZero"/>
        <c:auto val="1"/>
        <c:lblAlgn val="ctr"/>
        <c:lblOffset val="100"/>
        <c:noMultiLvlLbl val="0"/>
      </c:catAx>
      <c:valAx>
        <c:axId val="-110792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0792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[Ecommerce_Returns_Customer_Experience_Starter (Enregistré automatiquement).xlsx]KPI_Analysis!Tableau croisé dynamique8</c:name>
    <c:fmtId val="7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KPI_Analysis!$H$31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KPI_Analysis!$G$32:$G$37</c:f>
              <c:strCache>
                <c:ptCount val="5"/>
                <c:pt idx="0">
                  <c:v>Changed Mind</c:v>
                </c:pt>
                <c:pt idx="1">
                  <c:v>Damaged</c:v>
                </c:pt>
                <c:pt idx="2">
                  <c:v>Late Delivery</c:v>
                </c:pt>
                <c:pt idx="3">
                  <c:v>Not as Described</c:v>
                </c:pt>
                <c:pt idx="4">
                  <c:v>Wrong Item</c:v>
                </c:pt>
              </c:strCache>
            </c:strRef>
          </c:cat>
          <c:val>
            <c:numRef>
              <c:f>KPI_Analysis!$H$32:$H$37</c:f>
              <c:numCache>
                <c:formatCode>General</c:formatCode>
                <c:ptCount val="5"/>
                <c:pt idx="0">
                  <c:v>21</c:v>
                </c:pt>
                <c:pt idx="1">
                  <c:v>36</c:v>
                </c:pt>
                <c:pt idx="2">
                  <c:v>25</c:v>
                </c:pt>
                <c:pt idx="3">
                  <c:v>13</c:v>
                </c:pt>
                <c:pt idx="4">
                  <c:v>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698629248"/>
        <c:axId val="-698631968"/>
      </c:barChart>
      <c:catAx>
        <c:axId val="-698629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98631968"/>
        <c:crosses val="autoZero"/>
        <c:auto val="1"/>
        <c:lblAlgn val="ctr"/>
        <c:lblOffset val="100"/>
        <c:noMultiLvlLbl val="0"/>
      </c:catAx>
      <c:valAx>
        <c:axId val="-69863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9862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6</xdr:col>
      <xdr:colOff>304800</xdr:colOff>
      <xdr:row>24</xdr:row>
      <xdr:rowOff>114300</xdr:rowOff>
    </xdr:to>
    <xdr:graphicFrame macro="">
      <xdr:nvGraphicFramePr>
        <xdr:cNvPr id="7" name="Graphique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9</xdr:row>
      <xdr:rowOff>0</xdr:rowOff>
    </xdr:from>
    <xdr:to>
      <xdr:col>14</xdr:col>
      <xdr:colOff>304800</xdr:colOff>
      <xdr:row>24</xdr:row>
      <xdr:rowOff>114300</xdr:rowOff>
    </xdr:to>
    <xdr:graphicFrame macro="">
      <xdr:nvGraphicFramePr>
        <xdr:cNvPr id="8" name="Graphique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25</xdr:row>
      <xdr:rowOff>0</xdr:rowOff>
    </xdr:from>
    <xdr:to>
      <xdr:col>14</xdr:col>
      <xdr:colOff>784860</xdr:colOff>
      <xdr:row>29</xdr:row>
      <xdr:rowOff>15240</xdr:rowOff>
    </xdr:to>
    <xdr:sp macro="" textlink="">
      <xdr:nvSpPr>
        <xdr:cNvPr id="9" name="ZoneTexte 8"/>
        <xdr:cNvSpPr txBox="1"/>
      </xdr:nvSpPr>
      <xdr:spPr>
        <a:xfrm>
          <a:off x="7680960" y="4671060"/>
          <a:ext cx="5052060" cy="7162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latin typeface="+mn-lt"/>
              <a:ea typeface="+mn-ea"/>
              <a:cs typeface="+mn-cs"/>
            </a:rPr>
            <a:t>Maple Express has the lowest on-time delivery rate at 35.4%, while Fast Track has the highest at 42.6%. These figures compare delivery performance only; they do not explain the cause.</a:t>
          </a:r>
        </a:p>
        <a:p>
          <a:endParaRPr lang="en-US" sz="1100"/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6</xdr:col>
      <xdr:colOff>304800</xdr:colOff>
      <xdr:row>48</xdr:row>
      <xdr:rowOff>114300</xdr:rowOff>
    </xdr:to>
    <xdr:graphicFrame macro="">
      <xdr:nvGraphicFramePr>
        <xdr:cNvPr id="10" name="Graphique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14</xdr:col>
      <xdr:colOff>304800</xdr:colOff>
      <xdr:row>48</xdr:row>
      <xdr:rowOff>114300</xdr:rowOff>
    </xdr:to>
    <xdr:graphicFrame macro="">
      <xdr:nvGraphicFramePr>
        <xdr:cNvPr id="11" name="Graphique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838200</xdr:colOff>
      <xdr:row>49</xdr:row>
      <xdr:rowOff>163286</xdr:rowOff>
    </xdr:from>
    <xdr:to>
      <xdr:col>14</xdr:col>
      <xdr:colOff>435429</xdr:colOff>
      <xdr:row>53</xdr:row>
      <xdr:rowOff>163286</xdr:rowOff>
    </xdr:to>
    <xdr:sp macro="" textlink="">
      <xdr:nvSpPr>
        <xdr:cNvPr id="2" name="ZoneTexte 1"/>
        <xdr:cNvSpPr txBox="1"/>
      </xdr:nvSpPr>
      <xdr:spPr>
        <a:xfrm>
          <a:off x="7630886" y="9035143"/>
          <a:ext cx="4691743" cy="6966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latin typeface="+mn-lt"/>
              <a:ea typeface="+mn-ea"/>
              <a:cs typeface="+mn-cs"/>
            </a:rPr>
            <a:t>Wrong Item is the leading return reason, accounting for 30.1% of returns. It is the most frequent return issue recorded in the dataset.</a:t>
          </a:r>
        </a:p>
      </xdr:txBody>
    </xdr:sp>
    <xdr:clientData/>
  </xdr:twoCellAnchor>
  <xdr:twoCellAnchor>
    <xdr:from>
      <xdr:col>1</xdr:col>
      <xdr:colOff>21771</xdr:colOff>
      <xdr:row>49</xdr:row>
      <xdr:rowOff>119743</xdr:rowOff>
    </xdr:from>
    <xdr:to>
      <xdr:col>6</xdr:col>
      <xdr:colOff>185057</xdr:colOff>
      <xdr:row>53</xdr:row>
      <xdr:rowOff>141514</xdr:rowOff>
    </xdr:to>
    <xdr:sp macro="" textlink="">
      <xdr:nvSpPr>
        <xdr:cNvPr id="3" name="ZoneTexte 2"/>
        <xdr:cNvSpPr txBox="1"/>
      </xdr:nvSpPr>
      <xdr:spPr>
        <a:xfrm>
          <a:off x="870857" y="8991600"/>
          <a:ext cx="4408714" cy="7184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/>
            <a:t>Office has the highest return rate at 22.2%, followed by Fitness and Electronics. This makes Office the category with the largest return-risk signal in the analysis.</a:t>
          </a:r>
        </a:p>
        <a:p>
          <a:endParaRPr lang="en-US" sz="1100"/>
        </a:p>
      </xdr:txBody>
    </xdr:sp>
    <xdr:clientData/>
  </xdr:twoCellAnchor>
  <xdr:twoCellAnchor>
    <xdr:from>
      <xdr:col>1</xdr:col>
      <xdr:colOff>32657</xdr:colOff>
      <xdr:row>25</xdr:row>
      <xdr:rowOff>76200</xdr:rowOff>
    </xdr:from>
    <xdr:to>
      <xdr:col>6</xdr:col>
      <xdr:colOff>381000</xdr:colOff>
      <xdr:row>29</xdr:row>
      <xdr:rowOff>54428</xdr:rowOff>
    </xdr:to>
    <xdr:sp macro="" textlink="">
      <xdr:nvSpPr>
        <xdr:cNvPr id="12" name="ZoneTexte 11"/>
        <xdr:cNvSpPr txBox="1"/>
      </xdr:nvSpPr>
      <xdr:spPr>
        <a:xfrm>
          <a:off x="881743" y="4724400"/>
          <a:ext cx="4593771" cy="6749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latin typeface="+mn-lt"/>
              <a:ea typeface="+mn-ea"/>
              <a:cs typeface="+mn-cs"/>
            </a:rPr>
            <a:t>Late deliveries have a return rate of 20.0%, compared with 8.8% for on-time deliveries. Late delivery status is associated with a higher return rate in this dataset.</a:t>
          </a:r>
        </a:p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OrdersRawTable9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dersRawTable9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310.540260416667" createdVersion="5" refreshedVersion="5" minRefreshableVersion="3" recordCount="360">
  <cacheSource type="worksheet">
    <worksheetSource name="ShipmentsTable"/>
  </cacheSource>
  <cacheFields count="7">
    <cacheField name="Order_ID" numFmtId="0">
      <sharedItems/>
    </cacheField>
    <cacheField name="Carrier_Raw" numFmtId="0">
      <sharedItems count="3">
        <s v="northship"/>
        <s v="Fast Track"/>
        <s v="Maple Express"/>
      </sharedItems>
    </cacheField>
    <cacheField name="Delivery_Date" numFmtId="164">
      <sharedItems containsSemiMixedTypes="0" containsNonDate="0" containsDate="1" containsString="0" minDate="2025-01-09T00:00:00" maxDate="2026-01-11T00:00:00"/>
    </cacheField>
    <cacheField name="Promised_Days" numFmtId="3">
      <sharedItems containsSemiMixedTypes="0" containsString="0" containsNumber="1" containsInteger="1" minValue="3" maxValue="5"/>
    </cacheField>
    <cacheField name="Delivery_Days" numFmtId="3">
      <sharedItems containsSemiMixedTypes="0" containsString="0" containsNumber="1" containsInteger="1" minValue="1" maxValue="10"/>
    </cacheField>
    <cacheField name="Delivery_Status" numFmtId="0">
      <sharedItems count="2">
        <s v="On time"/>
        <s v="Late"/>
      </sharedItems>
    </cacheField>
    <cacheField name="On_Time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ELL" refreshedDate="46311.508332523146" createdVersion="5" refreshedVersion="5" minRefreshableVersion="3" recordCount="883">
  <cacheSource type="worksheet">
    <worksheetSource name="OrdersRawTable9"/>
  </cacheSource>
  <cacheFields count="34">
    <cacheField name="Order_Line_ID" numFmtId="0">
      <sharedItems count="883">
        <s v="OL-000001"/>
        <s v="OL-000002"/>
        <s v="OL-000003"/>
        <s v="OL-000004"/>
        <s v="OL-000005"/>
        <s v="OL-000006"/>
        <s v="OL-000007"/>
        <s v="OL-000008"/>
        <s v="OL-000009"/>
        <s v="OL-000010"/>
        <s v="OL-000011"/>
        <s v="OL-000012"/>
        <s v="OL-000013"/>
        <s v="OL-000014"/>
        <s v="OL-000015"/>
        <s v="OL-000016"/>
        <s v="OL-000017"/>
        <s v="OL-000018"/>
        <s v="OL-000019"/>
        <s v="OL-000020"/>
        <s v="OL-000021"/>
        <s v="OL-000022"/>
        <s v="OL-000023"/>
        <s v="OL-000024"/>
        <s v="OL-000025"/>
        <s v="OL-000026"/>
        <s v="OL-000027"/>
        <s v="OL-000028"/>
        <s v="OL-000029"/>
        <s v="OL-000030"/>
        <s v="OL-000031"/>
        <s v="OL-000032"/>
        <s v="OL-000033"/>
        <s v="OL-000034"/>
        <s v="OL-000035"/>
        <s v="OL-000036"/>
        <s v="OL-000037"/>
        <s v="OL-000038"/>
        <s v="OL-000039"/>
        <s v="OL-000040"/>
        <s v="OL-000041"/>
        <s v="OL-000042"/>
        <s v="OL-000043"/>
        <s v="OL-000044"/>
        <s v="OL-000045"/>
        <s v="OL-000046"/>
        <s v="OL-000047"/>
        <s v="OL-000048"/>
        <s v="OL-000049"/>
        <s v="OL-000050"/>
        <s v="OL-000051"/>
        <s v="OL-000052"/>
        <s v="OL-000053"/>
        <s v="OL-000054"/>
        <s v="OL-000055"/>
        <s v="OL-000056"/>
        <s v="OL-000057"/>
        <s v="OL-000058"/>
        <s v="OL-000059"/>
        <s v="OL-000060"/>
        <s v="OL-000061"/>
        <s v="OL-000062"/>
        <s v="OL-000063"/>
        <s v="OL-000064"/>
        <s v="OL-000065"/>
        <s v="OL-000066"/>
        <s v="OL-000067"/>
        <s v="OL-000068"/>
        <s v="OL-000069"/>
        <s v="OL-000070"/>
        <s v="OL-000071"/>
        <s v="OL-000072"/>
        <s v="OL-000073"/>
        <s v="OL-000074"/>
        <s v="OL-000075"/>
        <s v="OL-000076"/>
        <s v="OL-000077"/>
        <s v="OL-000078"/>
        <s v="OL-000079"/>
        <s v="OL-000080"/>
        <s v="OL-000081"/>
        <s v="OL-000082"/>
        <s v="OL-000083"/>
        <s v="OL-000084"/>
        <s v="OL-000085"/>
        <s v="OL-000086"/>
        <s v="OL-000087"/>
        <s v="OL-000088"/>
        <s v="OL-000089"/>
        <s v="OL-000090"/>
        <s v="OL-000091"/>
        <s v="OL-000092"/>
        <s v="OL-000093"/>
        <s v="OL-000094"/>
        <s v="OL-000095"/>
        <s v="OL-000096"/>
        <s v="OL-000097"/>
        <s v="OL-000098"/>
        <s v="OL-000099"/>
        <s v="OL-000100"/>
        <s v="OL-000101"/>
        <s v="OL-000102"/>
        <s v="OL-000103"/>
        <s v="OL-000104"/>
        <s v="OL-000105"/>
        <s v="OL-000106"/>
        <s v="OL-000107"/>
        <s v="OL-000108"/>
        <s v="OL-000109"/>
        <s v="OL-000110"/>
        <s v="OL-000111"/>
        <s v="OL-000112"/>
        <s v="OL-000113"/>
        <s v="OL-000114"/>
        <s v="OL-000115"/>
        <s v="OL-000116"/>
        <s v="OL-000117"/>
        <s v="OL-000118"/>
        <s v="OL-000119"/>
        <s v="OL-000120"/>
        <s v="OL-000121"/>
        <s v="OL-000122"/>
        <s v="OL-000123"/>
        <s v="OL-000124"/>
        <s v="OL-000125"/>
        <s v="OL-000126"/>
        <s v="OL-000127"/>
        <s v="OL-000128"/>
        <s v="OL-000129"/>
        <s v="OL-000130"/>
        <s v="OL-000131"/>
        <s v="OL-000132"/>
        <s v="OL-000133"/>
        <s v="OL-000134"/>
        <s v="OL-000135"/>
        <s v="OL-000136"/>
        <s v="OL-000137"/>
        <s v="OL-000138"/>
        <s v="OL-000139"/>
        <s v="OL-000140"/>
        <s v="OL-000141"/>
        <s v="OL-000142"/>
        <s v="OL-000143"/>
        <s v="OL-000144"/>
        <s v="OL-000145"/>
        <s v="OL-000146"/>
        <s v="OL-000147"/>
        <s v="OL-000148"/>
        <s v="OL-000149"/>
        <s v="OL-000150"/>
        <s v="OL-000151"/>
        <s v="OL-000152"/>
        <s v="OL-000153"/>
        <s v="OL-000154"/>
        <s v="OL-000155"/>
        <s v="OL-000156"/>
        <s v="OL-000157"/>
        <s v="OL-000158"/>
        <s v="OL-000159"/>
        <s v="OL-000160"/>
        <s v="OL-000161"/>
        <s v="OL-000162"/>
        <s v="OL-000163"/>
        <s v="OL-000164"/>
        <s v="OL-000165"/>
        <s v="OL-000166"/>
        <s v="OL-000167"/>
        <s v="OL-000168"/>
        <s v="OL-000169"/>
        <s v="OL-000170"/>
        <s v="OL-000171"/>
        <s v="OL-000172"/>
        <s v="OL-000173"/>
        <s v="OL-000174"/>
        <s v="OL-000175"/>
        <s v="OL-000176"/>
        <s v="OL-000177"/>
        <s v="OL-000178"/>
        <s v="OL-000179"/>
        <s v="OL-000180"/>
        <s v="OL-000181"/>
        <s v="OL-000182"/>
        <s v="OL-000183"/>
        <s v="OL-000184"/>
        <s v="OL-000185"/>
        <s v="OL-000186"/>
        <s v="OL-000187"/>
        <s v="OL-000188"/>
        <s v="OL-000189"/>
        <s v="OL-000190"/>
        <s v="OL-000191"/>
        <s v="OL-000192"/>
        <s v="OL-000193"/>
        <s v="OL-000194"/>
        <s v="OL-000195"/>
        <s v="OL-000196"/>
        <s v="OL-000197"/>
        <s v="OL-000198"/>
        <s v="OL-000199"/>
        <s v="OL-000200"/>
        <s v="OL-000201"/>
        <s v="OL-000202"/>
        <s v="OL-000203"/>
        <s v="OL-000204"/>
        <s v="OL-000205"/>
        <s v="OL-000206"/>
        <s v="OL-000207"/>
        <s v="OL-000208"/>
        <s v="OL-000209"/>
        <s v="OL-000210"/>
        <s v="OL-000211"/>
        <s v="OL-000212"/>
        <s v="OL-000213"/>
        <s v="OL-000214"/>
        <s v="OL-000215"/>
        <s v="OL-000216"/>
        <s v="OL-000217"/>
        <s v="OL-000218"/>
        <s v="OL-000219"/>
        <s v="OL-000220"/>
        <s v="OL-000221"/>
        <s v="OL-000222"/>
        <s v="OL-000223"/>
        <s v="OL-000224"/>
        <s v="OL-000225"/>
        <s v="OL-000226"/>
        <s v="OL-000227"/>
        <s v="OL-000228"/>
        <s v="OL-000229"/>
        <s v="OL-000230"/>
        <s v="OL-000231"/>
        <s v="OL-000232"/>
        <s v="OL-000233"/>
        <s v="OL-000234"/>
        <s v="OL-000235"/>
        <s v="OL-000236"/>
        <s v="OL-000237"/>
        <s v="OL-000238"/>
        <s v="OL-000239"/>
        <s v="OL-000240"/>
        <s v="OL-000241"/>
        <s v="OL-000242"/>
        <s v="OL-000243"/>
        <s v="OL-000244"/>
        <s v="OL-000245"/>
        <s v="OL-000246"/>
        <s v="OL-000247"/>
        <s v="OL-000248"/>
        <s v="OL-000249"/>
        <s v="OL-000250"/>
        <s v="OL-000251"/>
        <s v="OL-000252"/>
        <s v="OL-000253"/>
        <s v="OL-000254"/>
        <s v="OL-000255"/>
        <s v="OL-000256"/>
        <s v="OL-000257"/>
        <s v="OL-000258"/>
        <s v="OL-000259"/>
        <s v="OL-000260"/>
        <s v="OL-000261"/>
        <s v="OL-000262"/>
        <s v="OL-000263"/>
        <s v="OL-000264"/>
        <s v="OL-000265"/>
        <s v="OL-000266"/>
        <s v="OL-000267"/>
        <s v="OL-000268"/>
        <s v="OL-000269"/>
        <s v="OL-000270"/>
        <s v="OL-000271"/>
        <s v="OL-000272"/>
        <s v="OL-000273"/>
        <s v="OL-000274"/>
        <s v="OL-000275"/>
        <s v="OL-000276"/>
        <s v="OL-000277"/>
        <s v="OL-000278"/>
        <s v="OL-000279"/>
        <s v="OL-000280"/>
        <s v="OL-000281"/>
        <s v="OL-000282"/>
        <s v="OL-000283"/>
        <s v="OL-000284"/>
        <s v="OL-000285"/>
        <s v="OL-000286"/>
        <s v="OL-000287"/>
        <s v="OL-000288"/>
        <s v="OL-000289"/>
        <s v="OL-000290"/>
        <s v="OL-000291"/>
        <s v="OL-000292"/>
        <s v="OL-000293"/>
        <s v="OL-000294"/>
        <s v="OL-000295"/>
        <s v="OL-000296"/>
        <s v="OL-000297"/>
        <s v="OL-000298"/>
        <s v="OL-000299"/>
        <s v="OL-000300"/>
        <s v="OL-000301"/>
        <s v="OL-000302"/>
        <s v="OL-000303"/>
        <s v="OL-000304"/>
        <s v="OL-000305"/>
        <s v="OL-000306"/>
        <s v="OL-000307"/>
        <s v="OL-000308"/>
        <s v="OL-000309"/>
        <s v="OL-000310"/>
        <s v="OL-000311"/>
        <s v="OL-000312"/>
        <s v="OL-000313"/>
        <s v="OL-000314"/>
        <s v="OL-000315"/>
        <s v="OL-000316"/>
        <s v="OL-000317"/>
        <s v="OL-000318"/>
        <s v="OL-000319"/>
        <s v="OL-000320"/>
        <s v="OL-000321"/>
        <s v="OL-000322"/>
        <s v="OL-000323"/>
        <s v="OL-000324"/>
        <s v="OL-000325"/>
        <s v="OL-000326"/>
        <s v="OL-000327"/>
        <s v="OL-000328"/>
        <s v="OL-000329"/>
        <s v="OL-000330"/>
        <s v="OL-000331"/>
        <s v="OL-000332"/>
        <s v="OL-000333"/>
        <s v="OL-000334"/>
        <s v="OL-000335"/>
        <s v="OL-000336"/>
        <s v="OL-000337"/>
        <s v="OL-000338"/>
        <s v="OL-000339"/>
        <s v="OL-000340"/>
        <s v="OL-000341"/>
        <s v="OL-000342"/>
        <s v="OL-000343"/>
        <s v="OL-000344"/>
        <s v="OL-000345"/>
        <s v="OL-000346"/>
        <s v="OL-000347"/>
        <s v="OL-000348"/>
        <s v="OL-000349"/>
        <s v="OL-000350"/>
        <s v="OL-000351"/>
        <s v="OL-000352"/>
        <s v="OL-000353"/>
        <s v="OL-000354"/>
        <s v="OL-000355"/>
        <s v="OL-000356"/>
        <s v="OL-000357"/>
        <s v="OL-000358"/>
        <s v="OL-000359"/>
        <s v="OL-000360"/>
        <s v="OL-000361"/>
        <s v="OL-000362"/>
        <s v="OL-000363"/>
        <s v="OL-000364"/>
        <s v="OL-000365"/>
        <s v="OL-000366"/>
        <s v="OL-000367"/>
        <s v="OL-000368"/>
        <s v="OL-000369"/>
        <s v="OL-000370"/>
        <s v="OL-000371"/>
        <s v="OL-000372"/>
        <s v="OL-000373"/>
        <s v="OL-000374"/>
        <s v="OL-000375"/>
        <s v="OL-000376"/>
        <s v="OL-000377"/>
        <s v="OL-000378"/>
        <s v="OL-000379"/>
        <s v="OL-000380"/>
        <s v="OL-000381"/>
        <s v="OL-000382"/>
        <s v="OL-000383"/>
        <s v="OL-000384"/>
        <s v="OL-000385"/>
        <s v="OL-000386"/>
        <s v="OL-000387"/>
        <s v="OL-000388"/>
        <s v="OL-000389"/>
        <s v="OL-000390"/>
        <s v="OL-000391"/>
        <s v="OL-000392"/>
        <s v="OL-000393"/>
        <s v="OL-000394"/>
        <s v="OL-000395"/>
        <s v="OL-000396"/>
        <s v="OL-000397"/>
        <s v="OL-000398"/>
        <s v="OL-000399"/>
        <s v="OL-000400"/>
        <s v="OL-000401"/>
        <s v="OL-000402"/>
        <s v="OL-000403"/>
        <s v="OL-000404"/>
        <s v="OL-000405"/>
        <s v="OL-000406"/>
        <s v="OL-000407"/>
        <s v="OL-000408"/>
        <s v="OL-000409"/>
        <s v="OL-000410"/>
        <s v="OL-000411"/>
        <s v="OL-000412"/>
        <s v="OL-000413"/>
        <s v="OL-000414"/>
        <s v="OL-000415"/>
        <s v="OL-000416"/>
        <s v="OL-000417"/>
        <s v="OL-000418"/>
        <s v="OL-000419"/>
        <s v="OL-000420"/>
        <s v="OL-000421"/>
        <s v="OL-000422"/>
        <s v="OL-000423"/>
        <s v="OL-000424"/>
        <s v="OL-000425"/>
        <s v="OL-000426"/>
        <s v="OL-000427"/>
        <s v="OL-000428"/>
        <s v="OL-000429"/>
        <s v="OL-000430"/>
        <s v="OL-000431"/>
        <s v="OL-000432"/>
        <s v="OL-000433"/>
        <s v="OL-000434"/>
        <s v="OL-000435"/>
        <s v="OL-000436"/>
        <s v="OL-000437"/>
        <s v="OL-000438"/>
        <s v="OL-000439"/>
        <s v="OL-000440"/>
        <s v="OL-000441"/>
        <s v="OL-000442"/>
        <s v="OL-000443"/>
        <s v="OL-000444"/>
        <s v="OL-000445"/>
        <s v="OL-000446"/>
        <s v="OL-000447"/>
        <s v="OL-000448"/>
        <s v="OL-000449"/>
        <s v="OL-000450"/>
        <s v="OL-000451"/>
        <s v="OL-000452"/>
        <s v="OL-000453"/>
        <s v="OL-000454"/>
        <s v="OL-000455"/>
        <s v="OL-000456"/>
        <s v="OL-000457"/>
        <s v="OL-000458"/>
        <s v="OL-000459"/>
        <s v="OL-000460"/>
        <s v="OL-000461"/>
        <s v="OL-000462"/>
        <s v="OL-000463"/>
        <s v="OL-000464"/>
        <s v="OL-000465"/>
        <s v="OL-000466"/>
        <s v="OL-000467"/>
        <s v="OL-000468"/>
        <s v="OL-000469"/>
        <s v="OL-000470"/>
        <s v="OL-000471"/>
        <s v="OL-000472"/>
        <s v="OL-000473"/>
        <s v="OL-000474"/>
        <s v="OL-000475"/>
        <s v="OL-000476"/>
        <s v="OL-000477"/>
        <s v="OL-000478"/>
        <s v="OL-000479"/>
        <s v="OL-000480"/>
        <s v="OL-000481"/>
        <s v="OL-000482"/>
        <s v="OL-000483"/>
        <s v="OL-000484"/>
        <s v="OL-000485"/>
        <s v="OL-000486"/>
        <s v="OL-000487"/>
        <s v="OL-000488"/>
        <s v="OL-000489"/>
        <s v="OL-000490"/>
        <s v="OL-000491"/>
        <s v="OL-000492"/>
        <s v="OL-000493"/>
        <s v="OL-000494"/>
        <s v="OL-000495"/>
        <s v="OL-000496"/>
        <s v="OL-000497"/>
        <s v="OL-000498"/>
        <s v="OL-000499"/>
        <s v="OL-000500"/>
        <s v="OL-000501"/>
        <s v="OL-000502"/>
        <s v="OL-000503"/>
        <s v="OL-000504"/>
        <s v="OL-000505"/>
        <s v="OL-000506"/>
        <s v="OL-000507"/>
        <s v="OL-000508"/>
        <s v="OL-000509"/>
        <s v="OL-000510"/>
        <s v="OL-000511"/>
        <s v="OL-000512"/>
        <s v="OL-000513"/>
        <s v="OL-000514"/>
        <s v="OL-000515"/>
        <s v="OL-000516"/>
        <s v="OL-000517"/>
        <s v="OL-000518"/>
        <s v="OL-000519"/>
        <s v="OL-000520"/>
        <s v="OL-000521"/>
        <s v="OL-000522"/>
        <s v="OL-000523"/>
        <s v="OL-000524"/>
        <s v="OL-000525"/>
        <s v="OL-000526"/>
        <s v="OL-000527"/>
        <s v="OL-000528"/>
        <s v="OL-000529"/>
        <s v="OL-000530"/>
        <s v="OL-000531"/>
        <s v="OL-000532"/>
        <s v="OL-000533"/>
        <s v="OL-000534"/>
        <s v="OL-000535"/>
        <s v="OL-000536"/>
        <s v="OL-000537"/>
        <s v="OL-000538"/>
        <s v="OL-000539"/>
        <s v="OL-000540"/>
        <s v="OL-000541"/>
        <s v="OL-000542"/>
        <s v="OL-000543"/>
        <s v="OL-000544"/>
        <s v="OL-000545"/>
        <s v="OL-000546"/>
        <s v="OL-000547"/>
        <s v="OL-000548"/>
        <s v="OL-000549"/>
        <s v="OL-000550"/>
        <s v="OL-000551"/>
        <s v="OL-000552"/>
        <s v="OL-000553"/>
        <s v="OL-000554"/>
        <s v="OL-000555"/>
        <s v="OL-000556"/>
        <s v="OL-000557"/>
        <s v="OL-000558"/>
        <s v="OL-000559"/>
        <s v="OL-000560"/>
        <s v="OL-000561"/>
        <s v="OL-000562"/>
        <s v="OL-000563"/>
        <s v="OL-000564"/>
        <s v="OL-000565"/>
        <s v="OL-000566"/>
        <s v="OL-000567"/>
        <s v="OL-000568"/>
        <s v="OL-000569"/>
        <s v="OL-000570"/>
        <s v="OL-000571"/>
        <s v="OL-000572"/>
        <s v="OL-000573"/>
        <s v="OL-000574"/>
        <s v="OL-000575"/>
        <s v="OL-000576"/>
        <s v="OL-000577"/>
        <s v="OL-000578"/>
        <s v="OL-000579"/>
        <s v="OL-000580"/>
        <s v="OL-000581"/>
        <s v="OL-000582"/>
        <s v="OL-000583"/>
        <s v="OL-000584"/>
        <s v="OL-000585"/>
        <s v="OL-000586"/>
        <s v="OL-000587"/>
        <s v="OL-000588"/>
        <s v="OL-000589"/>
        <s v="OL-000590"/>
        <s v="OL-000591"/>
        <s v="OL-000592"/>
        <s v="OL-000593"/>
        <s v="OL-000594"/>
        <s v="OL-000595"/>
        <s v="OL-000596"/>
        <s v="OL-000597"/>
        <s v="OL-000598"/>
        <s v="OL-000599"/>
        <s v="OL-000600"/>
        <s v="OL-000601"/>
        <s v="OL-000602"/>
        <s v="OL-000603"/>
        <s v="OL-000604"/>
        <s v="OL-000605"/>
        <s v="OL-000606"/>
        <s v="OL-000607"/>
        <s v="OL-000608"/>
        <s v="OL-000609"/>
        <s v="OL-000610"/>
        <s v="OL-000611"/>
        <s v="OL-000612"/>
        <s v="OL-000613"/>
        <s v="OL-000614"/>
        <s v="OL-000615"/>
        <s v="OL-000616"/>
        <s v="OL-000617"/>
        <s v="OL-000618"/>
        <s v="OL-000619"/>
        <s v="OL-000620"/>
        <s v="OL-000621"/>
        <s v="OL-000622"/>
        <s v="OL-000623"/>
        <s v="OL-000624"/>
        <s v="OL-000625"/>
        <s v="OL-000626"/>
        <s v="OL-000627"/>
        <s v="OL-000628"/>
        <s v="OL-000629"/>
        <s v="OL-000630"/>
        <s v="OL-000631"/>
        <s v="OL-000632"/>
        <s v="OL-000633"/>
        <s v="OL-000634"/>
        <s v="OL-000635"/>
        <s v="OL-000636"/>
        <s v="OL-000637"/>
        <s v="OL-000638"/>
        <s v="OL-000639"/>
        <s v="OL-000640"/>
        <s v="OL-000641"/>
        <s v="OL-000642"/>
        <s v="OL-000643"/>
        <s v="OL-000644"/>
        <s v="OL-000645"/>
        <s v="OL-000646"/>
        <s v="OL-000647"/>
        <s v="OL-000648"/>
        <s v="OL-000649"/>
        <s v="OL-000650"/>
        <s v="OL-000651"/>
        <s v="OL-000652"/>
        <s v="OL-000653"/>
        <s v="OL-000654"/>
        <s v="OL-000655"/>
        <s v="OL-000656"/>
        <s v="OL-000657"/>
        <s v="OL-000658"/>
        <s v="OL-000659"/>
        <s v="OL-000660"/>
        <s v="OL-000661"/>
        <s v="OL-000662"/>
        <s v="OL-000663"/>
        <s v="OL-000664"/>
        <s v="OL-000665"/>
        <s v="OL-000666"/>
        <s v="OL-000667"/>
        <s v="OL-000668"/>
        <s v="OL-000669"/>
        <s v="OL-000670"/>
        <s v="OL-000671"/>
        <s v="OL-000672"/>
        <s v="OL-000673"/>
        <s v="OL-000674"/>
        <s v="OL-000675"/>
        <s v="OL-000676"/>
        <s v="OL-000677"/>
        <s v="OL-000678"/>
        <s v="OL-000679"/>
        <s v="OL-000680"/>
        <s v="OL-000681"/>
        <s v="OL-000682"/>
        <s v="OL-000683"/>
        <s v="OL-000684"/>
        <s v="OL-000685"/>
        <s v="OL-000686"/>
        <s v="OL-000687"/>
        <s v="OL-000688"/>
        <s v="OL-000689"/>
        <s v="OL-000690"/>
        <s v="OL-000691"/>
        <s v="OL-000692"/>
        <s v="OL-000693"/>
        <s v="OL-000694"/>
        <s v="OL-000695"/>
        <s v="OL-000696"/>
        <s v="OL-000697"/>
        <s v="OL-000698"/>
        <s v="OL-000699"/>
        <s v="OL-000700"/>
        <s v="OL-000701"/>
        <s v="OL-000702"/>
        <s v="OL-000703"/>
        <s v="OL-000704"/>
        <s v="OL-000705"/>
        <s v="OL-000706"/>
        <s v="OL-000707"/>
        <s v="OL-000708"/>
        <s v="OL-000709"/>
        <s v="OL-000710"/>
        <s v="OL-000711"/>
        <s v="OL-000712"/>
        <s v="OL-000713"/>
        <s v="OL-000714"/>
        <s v="OL-000715"/>
        <s v="OL-000716"/>
        <s v="OL-000717"/>
        <s v="OL-000718"/>
        <s v="OL-000719"/>
        <s v="OL-000720"/>
        <s v="OL-000721"/>
        <s v="OL-000722"/>
        <s v="OL-000723"/>
        <s v="OL-000724"/>
        <s v="OL-000725"/>
        <s v="OL-000726"/>
        <s v="OL-000727"/>
        <s v="OL-000728"/>
        <s v="OL-000729"/>
        <s v="OL-000730"/>
        <s v="OL-000731"/>
        <s v="OL-000732"/>
        <s v="OL-000733"/>
        <s v="OL-000734"/>
        <s v="OL-000735"/>
        <s v="OL-000736"/>
        <s v="OL-000737"/>
        <s v="OL-000738"/>
        <s v="OL-000739"/>
        <s v="OL-000740"/>
        <s v="OL-000741"/>
        <s v="OL-000742"/>
        <s v="OL-000743"/>
        <s v="OL-000744"/>
        <s v="OL-000745"/>
        <s v="OL-000746"/>
        <s v="OL-000747"/>
        <s v="OL-000748"/>
        <s v="OL-000749"/>
        <s v="OL-000750"/>
        <s v="OL-000751"/>
        <s v="OL-000752"/>
        <s v="OL-000753"/>
        <s v="OL-000754"/>
        <s v="OL-000755"/>
        <s v="OL-000756"/>
        <s v="OL-000757"/>
        <s v="OL-000758"/>
        <s v="OL-000759"/>
        <s v="OL-000760"/>
        <s v="OL-000761"/>
        <s v="OL-000762"/>
        <s v="OL-000763"/>
        <s v="OL-000764"/>
        <s v="OL-000765"/>
        <s v="OL-000766"/>
        <s v="OL-000767"/>
        <s v="OL-000768"/>
        <s v="OL-000769"/>
        <s v="OL-000770"/>
        <s v="OL-000771"/>
        <s v="OL-000772"/>
        <s v="OL-000773"/>
        <s v="OL-000774"/>
        <s v="OL-000775"/>
        <s v="OL-000776"/>
        <s v="OL-000777"/>
        <s v="OL-000778"/>
        <s v="OL-000779"/>
        <s v="OL-000780"/>
        <s v="OL-000781"/>
        <s v="OL-000782"/>
        <s v="OL-000783"/>
        <s v="OL-000784"/>
        <s v="OL-000785"/>
        <s v="OL-000786"/>
        <s v="OL-000787"/>
        <s v="OL-000788"/>
        <s v="OL-000789"/>
        <s v="OL-000790"/>
        <s v="OL-000791"/>
        <s v="OL-000792"/>
        <s v="OL-000793"/>
        <s v="OL-000794"/>
        <s v="OL-000795"/>
        <s v="OL-000796"/>
        <s v="OL-000797"/>
        <s v="OL-000798"/>
        <s v="OL-000799"/>
        <s v="OL-000800"/>
        <s v="OL-000801"/>
        <s v="OL-000802"/>
        <s v="OL-000803"/>
        <s v="OL-000804"/>
        <s v="OL-000805"/>
        <s v="OL-000806"/>
        <s v="OL-000807"/>
        <s v="OL-000808"/>
        <s v="OL-000809"/>
        <s v="OL-000810"/>
        <s v="OL-000811"/>
        <s v="OL-000812"/>
        <s v="OL-000813"/>
        <s v="OL-000814"/>
        <s v="OL-000815"/>
        <s v="OL-000816"/>
        <s v="OL-000817"/>
        <s v="OL-000818"/>
        <s v="OL-000819"/>
        <s v="OL-000820"/>
        <s v="OL-000821"/>
        <s v="OL-000822"/>
        <s v="OL-000823"/>
        <s v="OL-000824"/>
        <s v="OL-000825"/>
        <s v="OL-000826"/>
        <s v="OL-000827"/>
        <s v="OL-000828"/>
        <s v="OL-000829"/>
        <s v="OL-000830"/>
        <s v="OL-000831"/>
        <s v="OL-000832"/>
        <s v="OL-000833"/>
        <s v="OL-000834"/>
        <s v="OL-000835"/>
        <s v="OL-000836"/>
        <s v="OL-000837"/>
        <s v="OL-000838"/>
        <s v="OL-000839"/>
        <s v="OL-000840"/>
        <s v="OL-000841"/>
        <s v="OL-000842"/>
        <s v="OL-000843"/>
        <s v="OL-000844"/>
        <s v="OL-000845"/>
        <s v="OL-000846"/>
        <s v="OL-000847"/>
        <s v="OL-000848"/>
        <s v="OL-000849"/>
        <s v="OL-000850"/>
        <s v="OL-000851"/>
        <s v="OL-000852"/>
        <s v="OL-000853"/>
        <s v="OL-000854"/>
        <s v="OL-000855"/>
        <s v="OL-000856"/>
        <s v="OL-000857"/>
        <s v="OL-000858"/>
        <s v="OL-000859"/>
        <s v="OL-000860"/>
        <s v="OL-000861"/>
        <s v="OL-000862"/>
        <s v="OL-000863"/>
        <s v="OL-000864"/>
        <s v="OL-000865"/>
        <s v="OL-000866"/>
        <s v="OL-000867"/>
        <s v="OL-000868"/>
        <s v="OL-000869"/>
        <s v="OL-000870"/>
        <s v="OL-000871"/>
        <s v="OL-000872"/>
        <s v="OL-000873"/>
        <s v="OL-000874"/>
        <s v="OL-000875"/>
        <s v="OL-000876"/>
        <s v="OL-000877"/>
        <s v="OL-000878"/>
        <s v="OL-000879"/>
        <s v="OL-000880"/>
        <s v="OL-000881"/>
        <s v="OL-000882"/>
        <s v="OL-000883"/>
      </sharedItems>
    </cacheField>
    <cacheField name="Order_ID" numFmtId="0">
      <sharedItems/>
    </cacheField>
    <cacheField name="Order_Date" numFmtId="164">
      <sharedItems containsSemiMixedTypes="0" containsNonDate="0" containsDate="1" containsString="0" minDate="2025-01-01T00:00:00" maxDate="2026-01-01T00:00:00"/>
    </cacheField>
    <cacheField name="Customer_ID_Raw" numFmtId="0">
      <sharedItems/>
    </cacheField>
    <cacheField name="Customer_Info" numFmtId="0">
      <sharedItems/>
    </cacheField>
    <cacheField name="Customer_Name" numFmtId="0">
      <sharedItems/>
    </cacheField>
    <cacheField name="City" numFmtId="0">
      <sharedItems/>
    </cacheField>
    <cacheField name="Customer_Segment" numFmtId="0">
      <sharedItems/>
    </cacheField>
    <cacheField name="Comma count" numFmtId="0">
      <sharedItems containsSemiMixedTypes="0" containsString="0" containsNumber="1" containsInteger="1" minValue="2" maxValue="2"/>
    </cacheField>
    <cacheField name="Product_ID" numFmtId="0">
      <sharedItems/>
    </cacheField>
    <cacheField name="Quantity" numFmtId="3">
      <sharedItems containsSemiMixedTypes="0" containsString="0" containsNumber="1" containsInteger="1" minValue="1" maxValue="4"/>
    </cacheField>
    <cacheField name="Unit_Price" numFmtId="165">
      <sharedItems containsSemiMixedTypes="0" containsString="0" containsNumber="1" minValue="25.01" maxValue="300.56"/>
    </cacheField>
    <cacheField name="Discount_Pct" numFmtId="166">
      <sharedItems containsSemiMixedTypes="0" containsString="0" containsNumber="1" minValue="0" maxValue="0.15"/>
    </cacheField>
    <cacheField name="Sales_Channel_Raw" numFmtId="0">
      <sharedItems/>
    </cacheField>
    <cacheField name="Sales_Channel_Clean" numFmtId="0">
      <sharedItems/>
    </cacheField>
    <cacheField name="Payment_Method_Raw" numFmtId="0">
      <sharedItems containsBlank="1"/>
    </cacheField>
    <cacheField name="Payment_Method_Clean" numFmtId="0">
      <sharedItems/>
    </cacheField>
    <cacheField name="Store_Raw" numFmtId="0">
      <sharedItems/>
    </cacheField>
    <cacheField name="Region" numFmtId="0">
      <sharedItems/>
    </cacheField>
    <cacheField name="Customer_Segment2" numFmtId="0">
      <sharedItems/>
    </cacheField>
    <cacheField name="Unit_Cost" numFmtId="167">
      <sharedItems containsSemiMixedTypes="0" containsString="0" containsNumber="1" minValue="14.24" maxValue="161.84"/>
    </cacheField>
    <cacheField name="Category" numFmtId="0">
      <sharedItems count="5">
        <s v="Fitness"/>
        <s v="Accessories"/>
        <s v="Office"/>
        <s v="Electronics"/>
        <s v="Home"/>
      </sharedItems>
    </cacheField>
    <cacheField name="Gross_Sales" numFmtId="167">
      <sharedItems containsSemiMixedTypes="0" containsString="0" containsNumber="1" minValue="25.01" maxValue="1202.24"/>
    </cacheField>
    <cacheField name="Discount_Amount" numFmtId="167">
      <sharedItems containsSemiMixedTypes="0" containsString="0" containsNumber="1" minValue="0" maxValue="180.33599999999998"/>
    </cacheField>
    <cacheField name="Net_Sales" numFmtId="167">
      <sharedItems containsSemiMixedTypes="0" containsString="0" containsNumber="1" minValue="21.258500000000002" maxValue="1200.6400000000001"/>
    </cacheField>
    <cacheField name="Total_Cost" numFmtId="167">
      <sharedItems containsSemiMixedTypes="0" containsString="0" containsNumber="1" minValue="14.24" maxValue="647.36"/>
    </cacheField>
    <cacheField name="Profit" numFmtId="167">
      <sharedItems containsSemiMixedTypes="0" containsString="0" containsNumber="1" minValue="4.3985000000000021" maxValue="566.80000000000007"/>
    </cacheField>
    <cacheField name="Profit_margin" numFmtId="9">
      <sharedItems containsSemiMixedTypes="0" containsString="0" containsNumber="1" minValue="0.19459713900479492" maxValue="0.48639964949432257"/>
    </cacheField>
    <cacheField name="Return_Status" numFmtId="167">
      <sharedItems count="2">
        <s v="No"/>
        <s v="Yes"/>
      </sharedItems>
    </cacheField>
    <cacheField name="Return_Reason" numFmtId="167">
      <sharedItems/>
    </cacheField>
    <cacheField name="Return_Date" numFmtId="14">
      <sharedItems containsDate="1" containsMixedTypes="1" minDate="2025-01-15T00:00:00" maxDate="2026-01-13T00:00:00"/>
    </cacheField>
    <cacheField name="Refund_Status" numFmtId="167">
      <sharedItems/>
    </cacheField>
    <cacheField name="Delivery_Status" numFmtId="167">
      <sharedItems count="2">
        <s v="On time"/>
        <s v="Late"/>
      </sharedItems>
    </cacheField>
    <cacheField name="Delivery_Date" numFmtId="14">
      <sharedItems containsSemiMixedTypes="0" containsNonDate="0" containsDate="1" containsString="0" minDate="2025-01-09T00:00:00" maxDate="2026-01-1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DELL" refreshedDate="46311.582443981482" createdVersion="5" refreshedVersion="5" minRefreshableVersion="3" recordCount="136">
  <cacheSource type="worksheet">
    <worksheetSource name="ReturnsRawTable"/>
  </cacheSource>
  <cacheFields count="6">
    <cacheField name="Return_ID" numFmtId="0">
      <sharedItems/>
    </cacheField>
    <cacheField name="Order_Line_ID" numFmtId="0">
      <sharedItems/>
    </cacheField>
    <cacheField name="Return_Date" numFmtId="164">
      <sharedItems containsSemiMixedTypes="0" containsNonDate="0" containsDate="1" containsString="0" minDate="2025-01-15T00:00:00" maxDate="2026-01-13T00:00:00"/>
    </cacheField>
    <cacheField name="Return_Reason_Raw" numFmtId="0">
      <sharedItems count="5">
        <s v="Wrong Item"/>
        <s v="Damaged"/>
        <s v="Late Delivery"/>
        <s v="Not as Described"/>
        <s v="Changed Mind"/>
      </sharedItems>
    </cacheField>
    <cacheField name="Refund_Status" numFmtId="0">
      <sharedItems/>
    </cacheField>
    <cacheField name="Refund_Amount_Raw" numFmtId="165">
      <sharedItems containsSemiMixedTypes="0" containsString="0" containsNumber="1" minValue="25.01" maxValue="1082.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0">
  <r>
    <s v="ORD-00001"/>
    <x v="0"/>
    <d v="2025-12-24T00:00:00"/>
    <n v="4"/>
    <n v="3"/>
    <x v="0"/>
    <n v="1"/>
  </r>
  <r>
    <s v="ORD-00002"/>
    <x v="1"/>
    <d v="2025-07-06T00:00:00"/>
    <n v="3"/>
    <n v="3"/>
    <x v="0"/>
    <n v="1"/>
  </r>
  <r>
    <s v="ORD-00003"/>
    <x v="2"/>
    <d v="2025-02-16T00:00:00"/>
    <n v="5"/>
    <n v="7"/>
    <x v="1"/>
    <n v="0"/>
  </r>
  <r>
    <s v="ORD-00004"/>
    <x v="0"/>
    <d v="2025-05-16T00:00:00"/>
    <n v="4"/>
    <n v="6"/>
    <x v="1"/>
    <n v="0"/>
  </r>
  <r>
    <s v="ORD-00005"/>
    <x v="2"/>
    <d v="2025-01-12T00:00:00"/>
    <n v="5"/>
    <n v="10"/>
    <x v="1"/>
    <n v="0"/>
  </r>
  <r>
    <s v="ORD-00006"/>
    <x v="2"/>
    <d v="2025-12-11T00:00:00"/>
    <n v="4"/>
    <n v="6"/>
    <x v="1"/>
    <n v="0"/>
  </r>
  <r>
    <s v="ORD-00007"/>
    <x v="0"/>
    <d v="2025-04-21T00:00:00"/>
    <n v="4"/>
    <n v="4"/>
    <x v="0"/>
    <n v="1"/>
  </r>
  <r>
    <s v="ORD-00008"/>
    <x v="0"/>
    <d v="2025-01-24T00:00:00"/>
    <n v="5"/>
    <n v="8"/>
    <x v="1"/>
    <n v="0"/>
  </r>
  <r>
    <s v="ORD-00009"/>
    <x v="2"/>
    <d v="2025-01-31T00:00:00"/>
    <n v="4"/>
    <n v="7"/>
    <x v="1"/>
    <n v="0"/>
  </r>
  <r>
    <s v="ORD-00010"/>
    <x v="2"/>
    <d v="2025-06-02T00:00:00"/>
    <n v="4"/>
    <n v="9"/>
    <x v="1"/>
    <n v="0"/>
  </r>
  <r>
    <s v="ORD-00011"/>
    <x v="0"/>
    <d v="2025-11-18T00:00:00"/>
    <n v="4"/>
    <n v="5"/>
    <x v="1"/>
    <n v="0"/>
  </r>
  <r>
    <s v="ORD-00012"/>
    <x v="2"/>
    <d v="2025-03-02T01:00:00"/>
    <n v="5"/>
    <n v="1"/>
    <x v="0"/>
    <n v="1"/>
  </r>
  <r>
    <s v="ORD-00013"/>
    <x v="1"/>
    <d v="2025-12-20T00:00:00"/>
    <n v="4"/>
    <n v="1"/>
    <x v="0"/>
    <n v="1"/>
  </r>
  <r>
    <s v="ORD-00014"/>
    <x v="2"/>
    <d v="2025-07-06T00:00:00"/>
    <n v="4"/>
    <n v="10"/>
    <x v="1"/>
    <n v="0"/>
  </r>
  <r>
    <s v="ORD-00015"/>
    <x v="2"/>
    <d v="2025-09-06T00:00:00"/>
    <n v="5"/>
    <n v="5"/>
    <x v="0"/>
    <n v="1"/>
  </r>
  <r>
    <s v="ORD-00016"/>
    <x v="0"/>
    <d v="2025-08-20T00:00:00"/>
    <n v="3"/>
    <n v="3"/>
    <x v="0"/>
    <n v="1"/>
  </r>
  <r>
    <s v="ORD-00017"/>
    <x v="1"/>
    <d v="2025-12-06T00:00:00"/>
    <n v="4"/>
    <n v="10"/>
    <x v="1"/>
    <n v="0"/>
  </r>
  <r>
    <s v="ORD-00018"/>
    <x v="2"/>
    <d v="2025-11-10T00:00:00"/>
    <n v="3"/>
    <n v="9"/>
    <x v="1"/>
    <n v="0"/>
  </r>
  <r>
    <s v="ORD-00019"/>
    <x v="0"/>
    <d v="2025-03-06T01:00:00"/>
    <n v="4"/>
    <n v="7"/>
    <x v="1"/>
    <n v="0"/>
  </r>
  <r>
    <s v="ORD-00020"/>
    <x v="1"/>
    <d v="2025-12-17T00:00:00"/>
    <n v="3"/>
    <n v="10"/>
    <x v="1"/>
    <n v="0"/>
  </r>
  <r>
    <s v="ORD-00021"/>
    <x v="1"/>
    <d v="2025-11-04T00:00:00"/>
    <n v="4"/>
    <n v="5"/>
    <x v="1"/>
    <n v="0"/>
  </r>
  <r>
    <s v="ORD-00022"/>
    <x v="2"/>
    <d v="2025-07-20T00:00:00"/>
    <n v="3"/>
    <n v="7"/>
    <x v="1"/>
    <n v="0"/>
  </r>
  <r>
    <s v="ORD-00023"/>
    <x v="0"/>
    <d v="2025-12-19T00:00:00"/>
    <n v="4"/>
    <n v="6"/>
    <x v="1"/>
    <n v="0"/>
  </r>
  <r>
    <s v="ORD-00024"/>
    <x v="2"/>
    <d v="2025-09-06T00:00:00"/>
    <n v="3"/>
    <n v="3"/>
    <x v="0"/>
    <n v="1"/>
  </r>
  <r>
    <s v="ORD-00025"/>
    <x v="0"/>
    <d v="2025-04-25T00:00:00"/>
    <n v="4"/>
    <n v="6"/>
    <x v="1"/>
    <n v="0"/>
  </r>
  <r>
    <s v="ORD-00026"/>
    <x v="0"/>
    <d v="2025-07-26T00:00:00"/>
    <n v="5"/>
    <n v="7"/>
    <x v="1"/>
    <n v="0"/>
  </r>
  <r>
    <s v="ORD-00027"/>
    <x v="1"/>
    <d v="2025-10-18T00:00:00"/>
    <n v="5"/>
    <n v="6"/>
    <x v="1"/>
    <n v="0"/>
  </r>
  <r>
    <s v="ORD-00028"/>
    <x v="1"/>
    <d v="2025-10-24T00:00:00"/>
    <n v="3"/>
    <n v="9"/>
    <x v="1"/>
    <n v="0"/>
  </r>
  <r>
    <s v="ORD-00029"/>
    <x v="2"/>
    <d v="2025-12-01T00:00:00"/>
    <n v="4"/>
    <n v="4"/>
    <x v="0"/>
    <n v="1"/>
  </r>
  <r>
    <s v="ORD-00030"/>
    <x v="2"/>
    <d v="2025-04-18T00:00:00"/>
    <n v="4"/>
    <n v="2"/>
    <x v="0"/>
    <n v="1"/>
  </r>
  <r>
    <s v="ORD-00031"/>
    <x v="1"/>
    <d v="2025-10-26T00:00:00"/>
    <n v="3"/>
    <n v="3"/>
    <x v="0"/>
    <n v="1"/>
  </r>
  <r>
    <s v="ORD-00032"/>
    <x v="1"/>
    <d v="2025-05-04T00:00:00"/>
    <n v="5"/>
    <n v="3"/>
    <x v="0"/>
    <n v="1"/>
  </r>
  <r>
    <s v="ORD-00033"/>
    <x v="2"/>
    <d v="2025-06-21T00:00:00"/>
    <n v="5"/>
    <n v="5"/>
    <x v="0"/>
    <n v="1"/>
  </r>
  <r>
    <s v="ORD-00034"/>
    <x v="0"/>
    <d v="2025-09-02T00:00:00"/>
    <n v="3"/>
    <n v="6"/>
    <x v="1"/>
    <n v="0"/>
  </r>
  <r>
    <s v="ORD-00035"/>
    <x v="2"/>
    <d v="2025-07-03T00:00:00"/>
    <n v="3"/>
    <n v="2"/>
    <x v="0"/>
    <n v="1"/>
  </r>
  <r>
    <s v="ORD-00036"/>
    <x v="0"/>
    <d v="2025-09-04T00:00:00"/>
    <n v="5"/>
    <n v="1"/>
    <x v="0"/>
    <n v="1"/>
  </r>
  <r>
    <s v="ORD-00037"/>
    <x v="0"/>
    <d v="2025-04-23T00:00:00"/>
    <n v="3"/>
    <n v="1"/>
    <x v="0"/>
    <n v="1"/>
  </r>
  <r>
    <s v="ORD-00038"/>
    <x v="1"/>
    <d v="2025-06-18T00:00:00"/>
    <n v="5"/>
    <n v="7"/>
    <x v="1"/>
    <n v="0"/>
  </r>
  <r>
    <s v="ORD-00039"/>
    <x v="0"/>
    <d v="2025-02-26T01:00:00"/>
    <n v="4"/>
    <n v="6"/>
    <x v="1"/>
    <n v="0"/>
  </r>
  <r>
    <s v="ORD-00040"/>
    <x v="0"/>
    <d v="2025-07-20T00:00:00"/>
    <n v="3"/>
    <n v="8"/>
    <x v="1"/>
    <n v="0"/>
  </r>
  <r>
    <s v="ORD-00041"/>
    <x v="2"/>
    <d v="2025-02-12T00:00:00"/>
    <n v="5"/>
    <n v="10"/>
    <x v="1"/>
    <n v="0"/>
  </r>
  <r>
    <s v="ORD-00042"/>
    <x v="1"/>
    <d v="2025-05-05T00:00:00"/>
    <n v="3"/>
    <n v="5"/>
    <x v="1"/>
    <n v="0"/>
  </r>
  <r>
    <s v="ORD-00043"/>
    <x v="0"/>
    <d v="2025-10-26T00:00:00"/>
    <n v="4"/>
    <n v="4"/>
    <x v="0"/>
    <n v="1"/>
  </r>
  <r>
    <s v="ORD-00044"/>
    <x v="1"/>
    <d v="2025-08-12T00:00:00"/>
    <n v="5"/>
    <n v="4"/>
    <x v="0"/>
    <n v="1"/>
  </r>
  <r>
    <s v="ORD-00045"/>
    <x v="0"/>
    <d v="2025-01-21T00:00:00"/>
    <n v="5"/>
    <n v="5"/>
    <x v="0"/>
    <n v="1"/>
  </r>
  <r>
    <s v="ORD-00046"/>
    <x v="1"/>
    <d v="2025-08-11T00:00:00"/>
    <n v="5"/>
    <n v="10"/>
    <x v="1"/>
    <n v="0"/>
  </r>
  <r>
    <s v="ORD-00047"/>
    <x v="1"/>
    <d v="2025-11-01T00:00:00"/>
    <n v="4"/>
    <n v="5"/>
    <x v="1"/>
    <n v="0"/>
  </r>
  <r>
    <s v="ORD-00048"/>
    <x v="2"/>
    <d v="2025-03-04T01:00:00"/>
    <n v="3"/>
    <n v="8"/>
    <x v="1"/>
    <n v="0"/>
  </r>
  <r>
    <s v="ORD-00049"/>
    <x v="0"/>
    <d v="2025-06-07T00:00:00"/>
    <n v="4"/>
    <n v="9"/>
    <x v="1"/>
    <n v="0"/>
  </r>
  <r>
    <s v="ORD-00050"/>
    <x v="1"/>
    <d v="2025-02-28T01:00:00"/>
    <n v="5"/>
    <n v="1"/>
    <x v="0"/>
    <n v="1"/>
  </r>
  <r>
    <s v="ORD-00051"/>
    <x v="0"/>
    <d v="2025-11-06T00:00:00"/>
    <n v="3"/>
    <n v="6"/>
    <x v="1"/>
    <n v="0"/>
  </r>
  <r>
    <s v="ORD-00052"/>
    <x v="0"/>
    <d v="2025-12-13T00:00:00"/>
    <n v="5"/>
    <n v="4"/>
    <x v="0"/>
    <n v="1"/>
  </r>
  <r>
    <s v="ORD-00053"/>
    <x v="1"/>
    <d v="2025-03-14T01:00:00"/>
    <n v="5"/>
    <n v="10"/>
    <x v="1"/>
    <n v="0"/>
  </r>
  <r>
    <s v="ORD-00054"/>
    <x v="0"/>
    <d v="2025-04-12T00:00:00"/>
    <n v="4"/>
    <n v="3"/>
    <x v="0"/>
    <n v="1"/>
  </r>
  <r>
    <s v="ORD-00055"/>
    <x v="1"/>
    <d v="2025-04-11T00:00:00"/>
    <n v="3"/>
    <n v="3"/>
    <x v="0"/>
    <n v="1"/>
  </r>
  <r>
    <s v="ORD-00056"/>
    <x v="0"/>
    <d v="2025-10-19T00:00:00"/>
    <n v="4"/>
    <n v="5"/>
    <x v="1"/>
    <n v="0"/>
  </r>
  <r>
    <s v="ORD-00057"/>
    <x v="1"/>
    <d v="2025-03-16T01:00:00"/>
    <n v="4"/>
    <n v="10"/>
    <x v="1"/>
    <n v="0"/>
  </r>
  <r>
    <s v="ORD-00058"/>
    <x v="0"/>
    <d v="2025-12-14T00:00:00"/>
    <n v="5"/>
    <n v="9"/>
    <x v="1"/>
    <n v="0"/>
  </r>
  <r>
    <s v="ORD-00059"/>
    <x v="0"/>
    <d v="2026-01-01T00:00:00"/>
    <n v="3"/>
    <n v="2"/>
    <x v="0"/>
    <n v="1"/>
  </r>
  <r>
    <s v="ORD-00060"/>
    <x v="1"/>
    <d v="2025-08-17T00:00:00"/>
    <n v="4"/>
    <n v="4"/>
    <x v="0"/>
    <n v="1"/>
  </r>
  <r>
    <s v="ORD-00061"/>
    <x v="1"/>
    <d v="2025-02-14T00:00:00"/>
    <n v="5"/>
    <n v="4"/>
    <x v="0"/>
    <n v="1"/>
  </r>
  <r>
    <s v="ORD-00062"/>
    <x v="0"/>
    <d v="2025-08-07T00:00:00"/>
    <n v="4"/>
    <n v="2"/>
    <x v="0"/>
    <n v="1"/>
  </r>
  <r>
    <s v="ORD-00063"/>
    <x v="1"/>
    <d v="2025-11-27T00:00:00"/>
    <n v="4"/>
    <n v="4"/>
    <x v="0"/>
    <n v="1"/>
  </r>
  <r>
    <s v="ORD-00064"/>
    <x v="2"/>
    <d v="2025-09-07T00:00:00"/>
    <n v="5"/>
    <n v="7"/>
    <x v="1"/>
    <n v="0"/>
  </r>
  <r>
    <s v="ORD-00065"/>
    <x v="1"/>
    <d v="2025-05-19T00:00:00"/>
    <n v="5"/>
    <n v="4"/>
    <x v="0"/>
    <n v="1"/>
  </r>
  <r>
    <s v="ORD-00066"/>
    <x v="0"/>
    <d v="2025-01-13T00:00:00"/>
    <n v="3"/>
    <n v="3"/>
    <x v="0"/>
    <n v="1"/>
  </r>
  <r>
    <s v="ORD-00067"/>
    <x v="0"/>
    <d v="2025-09-12T00:00:00"/>
    <n v="4"/>
    <n v="6"/>
    <x v="1"/>
    <n v="0"/>
  </r>
  <r>
    <s v="ORD-00068"/>
    <x v="2"/>
    <d v="2025-09-14T00:00:00"/>
    <n v="3"/>
    <n v="10"/>
    <x v="1"/>
    <n v="0"/>
  </r>
  <r>
    <s v="ORD-00069"/>
    <x v="0"/>
    <d v="2025-11-10T00:00:00"/>
    <n v="3"/>
    <n v="10"/>
    <x v="1"/>
    <n v="0"/>
  </r>
  <r>
    <s v="ORD-00070"/>
    <x v="2"/>
    <d v="2025-11-19T00:00:00"/>
    <n v="5"/>
    <n v="9"/>
    <x v="1"/>
    <n v="0"/>
  </r>
  <r>
    <s v="ORD-00071"/>
    <x v="0"/>
    <d v="2025-01-23T00:00:00"/>
    <n v="4"/>
    <n v="6"/>
    <x v="1"/>
    <n v="0"/>
  </r>
  <r>
    <s v="ORD-00072"/>
    <x v="0"/>
    <d v="2025-12-11T00:00:00"/>
    <n v="5"/>
    <n v="6"/>
    <x v="1"/>
    <n v="0"/>
  </r>
  <r>
    <s v="ORD-00073"/>
    <x v="2"/>
    <d v="2025-03-09T01:00:00"/>
    <n v="4"/>
    <n v="5"/>
    <x v="1"/>
    <n v="0"/>
  </r>
  <r>
    <s v="ORD-00074"/>
    <x v="0"/>
    <d v="2025-08-22T00:00:00"/>
    <n v="3"/>
    <n v="2"/>
    <x v="0"/>
    <n v="1"/>
  </r>
  <r>
    <s v="ORD-00075"/>
    <x v="0"/>
    <d v="2025-04-06T01:00:00"/>
    <n v="5"/>
    <n v="4"/>
    <x v="0"/>
    <n v="1"/>
  </r>
  <r>
    <s v="ORD-00076"/>
    <x v="0"/>
    <d v="2025-10-25T00:00:00"/>
    <n v="3"/>
    <n v="2"/>
    <x v="0"/>
    <n v="1"/>
  </r>
  <r>
    <s v="ORD-00077"/>
    <x v="0"/>
    <d v="2025-03-29T01:00:00"/>
    <n v="5"/>
    <n v="3"/>
    <x v="0"/>
    <n v="1"/>
  </r>
  <r>
    <s v="ORD-00078"/>
    <x v="1"/>
    <d v="2025-03-04T01:00:00"/>
    <n v="4"/>
    <n v="9"/>
    <x v="1"/>
    <n v="0"/>
  </r>
  <r>
    <s v="ORD-00079"/>
    <x v="2"/>
    <d v="2025-07-14T00:00:00"/>
    <n v="5"/>
    <n v="1"/>
    <x v="0"/>
    <n v="1"/>
  </r>
  <r>
    <s v="ORD-00080"/>
    <x v="1"/>
    <d v="2025-02-19T00:00:00"/>
    <n v="5"/>
    <n v="4"/>
    <x v="0"/>
    <n v="1"/>
  </r>
  <r>
    <s v="ORD-00081"/>
    <x v="0"/>
    <d v="2025-06-17T00:00:00"/>
    <n v="4"/>
    <n v="2"/>
    <x v="0"/>
    <n v="1"/>
  </r>
  <r>
    <s v="ORD-00082"/>
    <x v="1"/>
    <d v="2025-08-03T00:00:00"/>
    <n v="5"/>
    <n v="8"/>
    <x v="1"/>
    <n v="0"/>
  </r>
  <r>
    <s v="ORD-00083"/>
    <x v="0"/>
    <d v="2025-02-21T00:00:00"/>
    <n v="5"/>
    <n v="1"/>
    <x v="0"/>
    <n v="1"/>
  </r>
  <r>
    <s v="ORD-00084"/>
    <x v="2"/>
    <d v="2025-06-22T00:00:00"/>
    <n v="3"/>
    <n v="7"/>
    <x v="1"/>
    <n v="0"/>
  </r>
  <r>
    <s v="ORD-00085"/>
    <x v="1"/>
    <d v="2025-01-16T00:00:00"/>
    <n v="4"/>
    <n v="9"/>
    <x v="1"/>
    <n v="0"/>
  </r>
  <r>
    <s v="ORD-00086"/>
    <x v="1"/>
    <d v="2025-05-09T00:00:00"/>
    <n v="4"/>
    <n v="3"/>
    <x v="0"/>
    <n v="1"/>
  </r>
  <r>
    <s v="ORD-00087"/>
    <x v="0"/>
    <d v="2025-09-18T00:00:00"/>
    <n v="5"/>
    <n v="6"/>
    <x v="1"/>
    <n v="0"/>
  </r>
  <r>
    <s v="ORD-00088"/>
    <x v="1"/>
    <d v="2025-04-11T00:00:00"/>
    <n v="4"/>
    <n v="6"/>
    <x v="1"/>
    <n v="0"/>
  </r>
  <r>
    <s v="ORD-00089"/>
    <x v="0"/>
    <d v="2025-05-31T00:00:00"/>
    <n v="5"/>
    <n v="5"/>
    <x v="0"/>
    <n v="1"/>
  </r>
  <r>
    <s v="ORD-00090"/>
    <x v="2"/>
    <d v="2025-11-11T00:00:00"/>
    <n v="5"/>
    <n v="5"/>
    <x v="0"/>
    <n v="1"/>
  </r>
  <r>
    <s v="ORD-00091"/>
    <x v="2"/>
    <d v="2025-04-09T00:00:00"/>
    <n v="3"/>
    <n v="3"/>
    <x v="0"/>
    <n v="1"/>
  </r>
  <r>
    <s v="ORD-00092"/>
    <x v="0"/>
    <d v="2025-01-19T00:00:00"/>
    <n v="4"/>
    <n v="4"/>
    <x v="0"/>
    <n v="1"/>
  </r>
  <r>
    <s v="ORD-00093"/>
    <x v="0"/>
    <d v="2025-04-24T00:00:00"/>
    <n v="4"/>
    <n v="7"/>
    <x v="1"/>
    <n v="0"/>
  </r>
  <r>
    <s v="ORD-00094"/>
    <x v="1"/>
    <d v="2025-02-21T00:00:00"/>
    <n v="3"/>
    <n v="9"/>
    <x v="1"/>
    <n v="0"/>
  </r>
  <r>
    <s v="ORD-00095"/>
    <x v="0"/>
    <d v="2025-04-20T00:00:00"/>
    <n v="3"/>
    <n v="9"/>
    <x v="1"/>
    <n v="0"/>
  </r>
  <r>
    <s v="ORD-00096"/>
    <x v="2"/>
    <d v="2025-12-25T00:00:00"/>
    <n v="4"/>
    <n v="8"/>
    <x v="1"/>
    <n v="0"/>
  </r>
  <r>
    <s v="ORD-00097"/>
    <x v="1"/>
    <d v="2025-09-22T00:00:00"/>
    <n v="4"/>
    <n v="6"/>
    <x v="1"/>
    <n v="0"/>
  </r>
  <r>
    <s v="ORD-00098"/>
    <x v="1"/>
    <d v="2025-01-09T00:00:00"/>
    <n v="4"/>
    <n v="8"/>
    <x v="1"/>
    <n v="0"/>
  </r>
  <r>
    <s v="ORD-00099"/>
    <x v="0"/>
    <d v="2025-07-18T00:00:00"/>
    <n v="5"/>
    <n v="3"/>
    <x v="0"/>
    <n v="1"/>
  </r>
  <r>
    <s v="ORD-00100"/>
    <x v="2"/>
    <d v="2025-11-18T00:00:00"/>
    <n v="4"/>
    <n v="5"/>
    <x v="1"/>
    <n v="0"/>
  </r>
  <r>
    <s v="ORD-00101"/>
    <x v="0"/>
    <d v="2025-05-27T00:00:00"/>
    <n v="3"/>
    <n v="9"/>
    <x v="1"/>
    <n v="0"/>
  </r>
  <r>
    <s v="ORD-00102"/>
    <x v="1"/>
    <d v="2025-10-12T00:00:00"/>
    <n v="4"/>
    <n v="8"/>
    <x v="1"/>
    <n v="0"/>
  </r>
  <r>
    <s v="ORD-00103"/>
    <x v="1"/>
    <d v="2025-11-18T00:00:00"/>
    <n v="4"/>
    <n v="2"/>
    <x v="0"/>
    <n v="1"/>
  </r>
  <r>
    <s v="ORD-00104"/>
    <x v="0"/>
    <d v="2025-04-02T01:00:00"/>
    <n v="5"/>
    <n v="5"/>
    <x v="0"/>
    <n v="1"/>
  </r>
  <r>
    <s v="ORD-00105"/>
    <x v="1"/>
    <d v="2025-09-04T00:00:00"/>
    <n v="3"/>
    <n v="4"/>
    <x v="1"/>
    <n v="0"/>
  </r>
  <r>
    <s v="ORD-00106"/>
    <x v="1"/>
    <d v="2025-11-30T00:00:00"/>
    <n v="4"/>
    <n v="5"/>
    <x v="1"/>
    <n v="0"/>
  </r>
  <r>
    <s v="ORD-00107"/>
    <x v="2"/>
    <d v="2025-01-20T00:00:00"/>
    <n v="5"/>
    <n v="6"/>
    <x v="1"/>
    <n v="0"/>
  </r>
  <r>
    <s v="ORD-00108"/>
    <x v="0"/>
    <d v="2025-02-13T00:00:00"/>
    <n v="3"/>
    <n v="2"/>
    <x v="0"/>
    <n v="1"/>
  </r>
  <r>
    <s v="ORD-00109"/>
    <x v="0"/>
    <d v="2025-08-13T00:00:00"/>
    <n v="3"/>
    <n v="6"/>
    <x v="1"/>
    <n v="0"/>
  </r>
  <r>
    <s v="ORD-00110"/>
    <x v="2"/>
    <d v="2025-03-21T01:00:00"/>
    <n v="5"/>
    <n v="10"/>
    <x v="1"/>
    <n v="0"/>
  </r>
  <r>
    <s v="ORD-00111"/>
    <x v="0"/>
    <d v="2025-01-30T00:00:00"/>
    <n v="4"/>
    <n v="5"/>
    <x v="1"/>
    <n v="0"/>
  </r>
  <r>
    <s v="ORD-00112"/>
    <x v="2"/>
    <d v="2025-07-09T00:00:00"/>
    <n v="3"/>
    <n v="9"/>
    <x v="1"/>
    <n v="0"/>
  </r>
  <r>
    <s v="ORD-00113"/>
    <x v="0"/>
    <d v="2025-10-25T00:00:00"/>
    <n v="3"/>
    <n v="5"/>
    <x v="1"/>
    <n v="0"/>
  </r>
  <r>
    <s v="ORD-00114"/>
    <x v="2"/>
    <d v="2025-05-11T00:00:00"/>
    <n v="3"/>
    <n v="7"/>
    <x v="1"/>
    <n v="0"/>
  </r>
  <r>
    <s v="ORD-00115"/>
    <x v="1"/>
    <d v="2025-02-07T00:00:00"/>
    <n v="4"/>
    <n v="6"/>
    <x v="1"/>
    <n v="0"/>
  </r>
  <r>
    <s v="ORD-00116"/>
    <x v="2"/>
    <d v="2025-05-10T00:00:00"/>
    <n v="5"/>
    <n v="6"/>
    <x v="1"/>
    <n v="0"/>
  </r>
  <r>
    <s v="ORD-00117"/>
    <x v="1"/>
    <d v="2025-08-21T00:00:00"/>
    <n v="5"/>
    <n v="2"/>
    <x v="0"/>
    <n v="1"/>
  </r>
  <r>
    <s v="ORD-00118"/>
    <x v="2"/>
    <d v="2025-09-21T00:00:00"/>
    <n v="3"/>
    <n v="4"/>
    <x v="1"/>
    <n v="0"/>
  </r>
  <r>
    <s v="ORD-00119"/>
    <x v="1"/>
    <d v="2025-06-28T00:00:00"/>
    <n v="4"/>
    <n v="9"/>
    <x v="1"/>
    <n v="0"/>
  </r>
  <r>
    <s v="ORD-00120"/>
    <x v="1"/>
    <d v="2025-02-19T00:00:00"/>
    <n v="5"/>
    <n v="3"/>
    <x v="0"/>
    <n v="1"/>
  </r>
  <r>
    <s v="ORD-00121"/>
    <x v="2"/>
    <d v="2025-04-30T00:00:00"/>
    <n v="3"/>
    <n v="10"/>
    <x v="1"/>
    <n v="0"/>
  </r>
  <r>
    <s v="ORD-00122"/>
    <x v="2"/>
    <d v="2025-10-04T00:00:00"/>
    <n v="4"/>
    <n v="5"/>
    <x v="1"/>
    <n v="0"/>
  </r>
  <r>
    <s v="ORD-00123"/>
    <x v="2"/>
    <d v="2025-11-11T00:00:00"/>
    <n v="5"/>
    <n v="7"/>
    <x v="1"/>
    <n v="0"/>
  </r>
  <r>
    <s v="ORD-00124"/>
    <x v="0"/>
    <d v="2025-03-20T01:00:00"/>
    <n v="3"/>
    <n v="1"/>
    <x v="0"/>
    <n v="1"/>
  </r>
  <r>
    <s v="ORD-00125"/>
    <x v="0"/>
    <d v="2025-02-14T00:00:00"/>
    <n v="3"/>
    <n v="5"/>
    <x v="1"/>
    <n v="0"/>
  </r>
  <r>
    <s v="ORD-00126"/>
    <x v="1"/>
    <d v="2025-09-07T00:00:00"/>
    <n v="4"/>
    <n v="1"/>
    <x v="0"/>
    <n v="1"/>
  </r>
  <r>
    <s v="ORD-00127"/>
    <x v="0"/>
    <d v="2025-09-04T00:00:00"/>
    <n v="5"/>
    <n v="9"/>
    <x v="1"/>
    <n v="0"/>
  </r>
  <r>
    <s v="ORD-00128"/>
    <x v="1"/>
    <d v="2025-05-09T00:00:00"/>
    <n v="3"/>
    <n v="3"/>
    <x v="0"/>
    <n v="1"/>
  </r>
  <r>
    <s v="ORD-00129"/>
    <x v="0"/>
    <d v="2025-01-31T00:00:00"/>
    <n v="5"/>
    <n v="6"/>
    <x v="1"/>
    <n v="0"/>
  </r>
  <r>
    <s v="ORD-00130"/>
    <x v="0"/>
    <d v="2025-12-14T00:00:00"/>
    <n v="4"/>
    <n v="6"/>
    <x v="1"/>
    <n v="0"/>
  </r>
  <r>
    <s v="ORD-00131"/>
    <x v="0"/>
    <d v="2025-02-15T00:00:00"/>
    <n v="4"/>
    <n v="1"/>
    <x v="0"/>
    <n v="1"/>
  </r>
  <r>
    <s v="ORD-00132"/>
    <x v="0"/>
    <d v="2025-10-23T00:00:00"/>
    <n v="3"/>
    <n v="5"/>
    <x v="1"/>
    <n v="0"/>
  </r>
  <r>
    <s v="ORD-00133"/>
    <x v="0"/>
    <d v="2025-03-30T01:00:00"/>
    <n v="4"/>
    <n v="9"/>
    <x v="1"/>
    <n v="0"/>
  </r>
  <r>
    <s v="ORD-00134"/>
    <x v="0"/>
    <d v="2025-01-31T00:00:00"/>
    <n v="4"/>
    <n v="1"/>
    <x v="0"/>
    <n v="1"/>
  </r>
  <r>
    <s v="ORD-00135"/>
    <x v="2"/>
    <d v="2025-02-04T00:00:00"/>
    <n v="3"/>
    <n v="2"/>
    <x v="0"/>
    <n v="1"/>
  </r>
  <r>
    <s v="ORD-00136"/>
    <x v="2"/>
    <d v="2025-07-13T00:00:00"/>
    <n v="4"/>
    <n v="2"/>
    <x v="0"/>
    <n v="1"/>
  </r>
  <r>
    <s v="ORD-00137"/>
    <x v="1"/>
    <d v="2025-08-20T00:00:00"/>
    <n v="3"/>
    <n v="2"/>
    <x v="0"/>
    <n v="1"/>
  </r>
  <r>
    <s v="ORD-00138"/>
    <x v="0"/>
    <d v="2025-08-30T00:00:00"/>
    <n v="4"/>
    <n v="3"/>
    <x v="0"/>
    <n v="1"/>
  </r>
  <r>
    <s v="ORD-00139"/>
    <x v="1"/>
    <d v="2025-12-19T00:00:00"/>
    <n v="3"/>
    <n v="9"/>
    <x v="1"/>
    <n v="0"/>
  </r>
  <r>
    <s v="ORD-00140"/>
    <x v="0"/>
    <d v="2025-07-08T00:00:00"/>
    <n v="3"/>
    <n v="9"/>
    <x v="1"/>
    <n v="0"/>
  </r>
  <r>
    <s v="ORD-00141"/>
    <x v="0"/>
    <d v="2025-10-09T00:00:00"/>
    <n v="4"/>
    <n v="5"/>
    <x v="1"/>
    <n v="0"/>
  </r>
  <r>
    <s v="ORD-00142"/>
    <x v="1"/>
    <d v="2025-11-07T00:00:00"/>
    <n v="4"/>
    <n v="4"/>
    <x v="0"/>
    <n v="1"/>
  </r>
  <r>
    <s v="ORD-00143"/>
    <x v="0"/>
    <d v="2025-02-26T01:00:00"/>
    <n v="3"/>
    <n v="5"/>
    <x v="1"/>
    <n v="0"/>
  </r>
  <r>
    <s v="ORD-00144"/>
    <x v="1"/>
    <d v="2025-09-20T00:00:00"/>
    <n v="3"/>
    <n v="3"/>
    <x v="0"/>
    <n v="1"/>
  </r>
  <r>
    <s v="ORD-00145"/>
    <x v="0"/>
    <d v="2025-06-14T00:00:00"/>
    <n v="5"/>
    <n v="7"/>
    <x v="1"/>
    <n v="0"/>
  </r>
  <r>
    <s v="ORD-00146"/>
    <x v="0"/>
    <d v="2025-08-20T00:00:00"/>
    <n v="4"/>
    <n v="9"/>
    <x v="1"/>
    <n v="0"/>
  </r>
  <r>
    <s v="ORD-00147"/>
    <x v="0"/>
    <d v="2025-06-30T00:00:00"/>
    <n v="5"/>
    <n v="10"/>
    <x v="1"/>
    <n v="0"/>
  </r>
  <r>
    <s v="ORD-00148"/>
    <x v="0"/>
    <d v="2025-06-30T00:00:00"/>
    <n v="4"/>
    <n v="5"/>
    <x v="1"/>
    <n v="0"/>
  </r>
  <r>
    <s v="ORD-00149"/>
    <x v="2"/>
    <d v="2025-08-02T00:00:00"/>
    <n v="5"/>
    <n v="10"/>
    <x v="1"/>
    <n v="0"/>
  </r>
  <r>
    <s v="ORD-00150"/>
    <x v="2"/>
    <d v="2025-07-15T00:00:00"/>
    <n v="3"/>
    <n v="5"/>
    <x v="1"/>
    <n v="0"/>
  </r>
  <r>
    <s v="ORD-00151"/>
    <x v="1"/>
    <d v="2025-07-11T00:00:00"/>
    <n v="3"/>
    <n v="7"/>
    <x v="1"/>
    <n v="0"/>
  </r>
  <r>
    <s v="ORD-00152"/>
    <x v="2"/>
    <d v="2025-12-03T00:00:00"/>
    <n v="3"/>
    <n v="1"/>
    <x v="0"/>
    <n v="1"/>
  </r>
  <r>
    <s v="ORD-00153"/>
    <x v="1"/>
    <d v="2025-10-07T00:00:00"/>
    <n v="5"/>
    <n v="2"/>
    <x v="0"/>
    <n v="1"/>
  </r>
  <r>
    <s v="ORD-00154"/>
    <x v="0"/>
    <d v="2025-11-04T00:00:00"/>
    <n v="4"/>
    <n v="2"/>
    <x v="0"/>
    <n v="1"/>
  </r>
  <r>
    <s v="ORD-00155"/>
    <x v="2"/>
    <d v="2025-12-14T00:00:00"/>
    <n v="4"/>
    <n v="6"/>
    <x v="1"/>
    <n v="0"/>
  </r>
  <r>
    <s v="ORD-00156"/>
    <x v="1"/>
    <d v="2025-06-03T00:00:00"/>
    <n v="5"/>
    <n v="9"/>
    <x v="1"/>
    <n v="0"/>
  </r>
  <r>
    <s v="ORD-00157"/>
    <x v="0"/>
    <d v="2025-09-11T00:00:00"/>
    <n v="4"/>
    <n v="8"/>
    <x v="1"/>
    <n v="0"/>
  </r>
  <r>
    <s v="ORD-00158"/>
    <x v="1"/>
    <d v="2025-09-28T00:00:00"/>
    <n v="4"/>
    <n v="3"/>
    <x v="0"/>
    <n v="1"/>
  </r>
  <r>
    <s v="ORD-00159"/>
    <x v="0"/>
    <d v="2025-07-19T00:00:00"/>
    <n v="3"/>
    <n v="10"/>
    <x v="1"/>
    <n v="0"/>
  </r>
  <r>
    <s v="ORD-00160"/>
    <x v="1"/>
    <d v="2025-10-27T00:00:00"/>
    <n v="5"/>
    <n v="6"/>
    <x v="1"/>
    <n v="0"/>
  </r>
  <r>
    <s v="ORD-00161"/>
    <x v="0"/>
    <d v="2025-08-12T00:00:00"/>
    <n v="3"/>
    <n v="2"/>
    <x v="0"/>
    <n v="1"/>
  </r>
  <r>
    <s v="ORD-00162"/>
    <x v="0"/>
    <d v="2025-02-15T00:00:00"/>
    <n v="5"/>
    <n v="7"/>
    <x v="1"/>
    <n v="0"/>
  </r>
  <r>
    <s v="ORD-00163"/>
    <x v="0"/>
    <d v="2025-10-08T00:00:00"/>
    <n v="3"/>
    <n v="10"/>
    <x v="1"/>
    <n v="0"/>
  </r>
  <r>
    <s v="ORD-00164"/>
    <x v="0"/>
    <d v="2025-10-01T00:00:00"/>
    <n v="3"/>
    <n v="1"/>
    <x v="0"/>
    <n v="1"/>
  </r>
  <r>
    <s v="ORD-00165"/>
    <x v="2"/>
    <d v="2025-06-22T00:00:00"/>
    <n v="4"/>
    <n v="9"/>
    <x v="1"/>
    <n v="0"/>
  </r>
  <r>
    <s v="ORD-00166"/>
    <x v="2"/>
    <d v="2025-01-26T00:00:00"/>
    <n v="5"/>
    <n v="4"/>
    <x v="0"/>
    <n v="1"/>
  </r>
  <r>
    <s v="ORD-00167"/>
    <x v="0"/>
    <d v="2025-09-08T00:00:00"/>
    <n v="5"/>
    <n v="6"/>
    <x v="1"/>
    <n v="0"/>
  </r>
  <r>
    <s v="ORD-00168"/>
    <x v="2"/>
    <d v="2025-12-15T00:00:00"/>
    <n v="5"/>
    <n v="6"/>
    <x v="1"/>
    <n v="0"/>
  </r>
  <r>
    <s v="ORD-00169"/>
    <x v="2"/>
    <d v="2025-04-30T00:00:00"/>
    <n v="5"/>
    <n v="7"/>
    <x v="1"/>
    <n v="0"/>
  </r>
  <r>
    <s v="ORD-00170"/>
    <x v="2"/>
    <d v="2025-05-28T00:00:00"/>
    <n v="5"/>
    <n v="5"/>
    <x v="0"/>
    <n v="1"/>
  </r>
  <r>
    <s v="ORD-00171"/>
    <x v="0"/>
    <d v="2025-04-11T00:00:00"/>
    <n v="3"/>
    <n v="10"/>
    <x v="1"/>
    <n v="0"/>
  </r>
  <r>
    <s v="ORD-00172"/>
    <x v="2"/>
    <d v="2025-05-02T00:00:00"/>
    <n v="4"/>
    <n v="1"/>
    <x v="0"/>
    <n v="1"/>
  </r>
  <r>
    <s v="ORD-00173"/>
    <x v="0"/>
    <d v="2025-02-06T00:00:00"/>
    <n v="3"/>
    <n v="9"/>
    <x v="1"/>
    <n v="0"/>
  </r>
  <r>
    <s v="ORD-00174"/>
    <x v="0"/>
    <d v="2025-12-04T00:00:00"/>
    <n v="4"/>
    <n v="8"/>
    <x v="1"/>
    <n v="0"/>
  </r>
  <r>
    <s v="ORD-00175"/>
    <x v="1"/>
    <d v="2025-11-02T00:00:00"/>
    <n v="5"/>
    <n v="4"/>
    <x v="0"/>
    <n v="1"/>
  </r>
  <r>
    <s v="ORD-00176"/>
    <x v="0"/>
    <d v="2025-08-17T00:00:00"/>
    <n v="5"/>
    <n v="5"/>
    <x v="0"/>
    <n v="1"/>
  </r>
  <r>
    <s v="ORD-00177"/>
    <x v="0"/>
    <d v="2025-10-27T00:00:00"/>
    <n v="3"/>
    <n v="9"/>
    <x v="1"/>
    <n v="0"/>
  </r>
  <r>
    <s v="ORD-00178"/>
    <x v="0"/>
    <d v="2025-02-23T00:00:00"/>
    <n v="4"/>
    <n v="5"/>
    <x v="1"/>
    <n v="0"/>
  </r>
  <r>
    <s v="ORD-00179"/>
    <x v="0"/>
    <d v="2025-11-02T00:00:00"/>
    <n v="5"/>
    <n v="7"/>
    <x v="1"/>
    <n v="0"/>
  </r>
  <r>
    <s v="ORD-00180"/>
    <x v="1"/>
    <d v="2025-09-29T00:00:00"/>
    <n v="5"/>
    <n v="7"/>
    <x v="1"/>
    <n v="0"/>
  </r>
  <r>
    <s v="ORD-00181"/>
    <x v="0"/>
    <d v="2025-04-28T00:00:00"/>
    <n v="4"/>
    <n v="9"/>
    <x v="1"/>
    <n v="0"/>
  </r>
  <r>
    <s v="ORD-00182"/>
    <x v="2"/>
    <d v="2025-01-16T00:00:00"/>
    <n v="3"/>
    <n v="3"/>
    <x v="0"/>
    <n v="1"/>
  </r>
  <r>
    <s v="ORD-00183"/>
    <x v="1"/>
    <d v="2025-07-05T00:00:00"/>
    <n v="4"/>
    <n v="3"/>
    <x v="0"/>
    <n v="1"/>
  </r>
  <r>
    <s v="ORD-00184"/>
    <x v="1"/>
    <d v="2025-05-19T00:00:00"/>
    <n v="3"/>
    <n v="9"/>
    <x v="1"/>
    <n v="0"/>
  </r>
  <r>
    <s v="ORD-00185"/>
    <x v="1"/>
    <d v="2025-07-03T00:00:00"/>
    <n v="4"/>
    <n v="5"/>
    <x v="1"/>
    <n v="0"/>
  </r>
  <r>
    <s v="ORD-00186"/>
    <x v="2"/>
    <d v="2025-06-27T00:00:00"/>
    <n v="5"/>
    <n v="4"/>
    <x v="0"/>
    <n v="1"/>
  </r>
  <r>
    <s v="ORD-00187"/>
    <x v="1"/>
    <d v="2025-04-05T01:00:00"/>
    <n v="5"/>
    <n v="3"/>
    <x v="0"/>
    <n v="1"/>
  </r>
  <r>
    <s v="ORD-00188"/>
    <x v="0"/>
    <d v="2025-04-01T01:00:00"/>
    <n v="4"/>
    <n v="9"/>
    <x v="1"/>
    <n v="0"/>
  </r>
  <r>
    <s v="ORD-00189"/>
    <x v="1"/>
    <d v="2025-09-06T00:00:00"/>
    <n v="4"/>
    <n v="5"/>
    <x v="1"/>
    <n v="0"/>
  </r>
  <r>
    <s v="ORD-00190"/>
    <x v="0"/>
    <d v="2025-08-14T00:00:00"/>
    <n v="4"/>
    <n v="10"/>
    <x v="1"/>
    <n v="0"/>
  </r>
  <r>
    <s v="ORD-00191"/>
    <x v="0"/>
    <d v="2025-09-26T00:00:00"/>
    <n v="3"/>
    <n v="6"/>
    <x v="1"/>
    <n v="0"/>
  </r>
  <r>
    <s v="ORD-00192"/>
    <x v="0"/>
    <d v="2025-02-07T00:00:00"/>
    <n v="5"/>
    <n v="2"/>
    <x v="0"/>
    <n v="1"/>
  </r>
  <r>
    <s v="ORD-00193"/>
    <x v="0"/>
    <d v="2025-01-22T00:00:00"/>
    <n v="5"/>
    <n v="6"/>
    <x v="1"/>
    <n v="0"/>
  </r>
  <r>
    <s v="ORD-00194"/>
    <x v="2"/>
    <d v="2025-09-16T00:00:00"/>
    <n v="3"/>
    <n v="5"/>
    <x v="1"/>
    <n v="0"/>
  </r>
  <r>
    <s v="ORD-00195"/>
    <x v="0"/>
    <d v="2025-05-19T00:00:00"/>
    <n v="4"/>
    <n v="3"/>
    <x v="0"/>
    <n v="1"/>
  </r>
  <r>
    <s v="ORD-00196"/>
    <x v="2"/>
    <d v="2025-02-20T00:00:00"/>
    <n v="5"/>
    <n v="10"/>
    <x v="1"/>
    <n v="0"/>
  </r>
  <r>
    <s v="ORD-00197"/>
    <x v="0"/>
    <d v="2025-09-15T00:00:00"/>
    <n v="5"/>
    <n v="4"/>
    <x v="0"/>
    <n v="1"/>
  </r>
  <r>
    <s v="ORD-00198"/>
    <x v="0"/>
    <d v="2025-08-19T00:00:00"/>
    <n v="5"/>
    <n v="2"/>
    <x v="0"/>
    <n v="1"/>
  </r>
  <r>
    <s v="ORD-00199"/>
    <x v="0"/>
    <d v="2025-10-13T00:00:00"/>
    <n v="4"/>
    <n v="5"/>
    <x v="1"/>
    <n v="0"/>
  </r>
  <r>
    <s v="ORD-00200"/>
    <x v="0"/>
    <d v="2025-12-20T00:00:00"/>
    <n v="5"/>
    <n v="7"/>
    <x v="1"/>
    <n v="0"/>
  </r>
  <r>
    <s v="ORD-00201"/>
    <x v="1"/>
    <d v="2025-04-29T00:00:00"/>
    <n v="3"/>
    <n v="9"/>
    <x v="1"/>
    <n v="0"/>
  </r>
  <r>
    <s v="ORD-00202"/>
    <x v="0"/>
    <d v="2025-12-09T00:00:00"/>
    <n v="4"/>
    <n v="4"/>
    <x v="0"/>
    <n v="1"/>
  </r>
  <r>
    <s v="ORD-00203"/>
    <x v="1"/>
    <d v="2025-04-02T01:00:00"/>
    <n v="5"/>
    <n v="8"/>
    <x v="1"/>
    <n v="0"/>
  </r>
  <r>
    <s v="ORD-00204"/>
    <x v="0"/>
    <d v="2025-07-13T00:00:00"/>
    <n v="4"/>
    <n v="3"/>
    <x v="0"/>
    <n v="1"/>
  </r>
  <r>
    <s v="ORD-00205"/>
    <x v="0"/>
    <d v="2025-07-06T00:00:00"/>
    <n v="5"/>
    <n v="4"/>
    <x v="0"/>
    <n v="1"/>
  </r>
  <r>
    <s v="ORD-00206"/>
    <x v="0"/>
    <d v="2025-05-10T00:00:00"/>
    <n v="3"/>
    <n v="7"/>
    <x v="1"/>
    <n v="0"/>
  </r>
  <r>
    <s v="ORD-00207"/>
    <x v="2"/>
    <d v="2025-02-05T00:00:00"/>
    <n v="5"/>
    <n v="2"/>
    <x v="0"/>
    <n v="1"/>
  </r>
  <r>
    <s v="ORD-00208"/>
    <x v="1"/>
    <d v="2025-07-08T00:00:00"/>
    <n v="3"/>
    <n v="5"/>
    <x v="1"/>
    <n v="0"/>
  </r>
  <r>
    <s v="ORD-00209"/>
    <x v="0"/>
    <d v="2025-04-07T00:00:00"/>
    <n v="3"/>
    <n v="7"/>
    <x v="1"/>
    <n v="0"/>
  </r>
  <r>
    <s v="ORD-00210"/>
    <x v="0"/>
    <d v="2025-07-09T00:00:00"/>
    <n v="3"/>
    <n v="9"/>
    <x v="1"/>
    <n v="0"/>
  </r>
  <r>
    <s v="ORD-00211"/>
    <x v="1"/>
    <d v="2025-03-03T01:00:00"/>
    <n v="3"/>
    <n v="8"/>
    <x v="1"/>
    <n v="0"/>
  </r>
  <r>
    <s v="ORD-00212"/>
    <x v="2"/>
    <d v="2025-09-19T00:00:00"/>
    <n v="3"/>
    <n v="8"/>
    <x v="1"/>
    <n v="0"/>
  </r>
  <r>
    <s v="ORD-00213"/>
    <x v="1"/>
    <d v="2025-01-27T00:00:00"/>
    <n v="5"/>
    <n v="5"/>
    <x v="0"/>
    <n v="1"/>
  </r>
  <r>
    <s v="ORD-00214"/>
    <x v="0"/>
    <d v="2025-12-29T00:00:00"/>
    <n v="4"/>
    <n v="2"/>
    <x v="0"/>
    <n v="1"/>
  </r>
  <r>
    <s v="ORD-00215"/>
    <x v="0"/>
    <d v="2025-04-21T00:00:00"/>
    <n v="5"/>
    <n v="2"/>
    <x v="0"/>
    <n v="1"/>
  </r>
  <r>
    <s v="ORD-00216"/>
    <x v="0"/>
    <d v="2025-08-25T00:00:00"/>
    <n v="4"/>
    <n v="10"/>
    <x v="1"/>
    <n v="0"/>
  </r>
  <r>
    <s v="ORD-00217"/>
    <x v="2"/>
    <d v="2025-07-02T00:00:00"/>
    <n v="3"/>
    <n v="6"/>
    <x v="1"/>
    <n v="0"/>
  </r>
  <r>
    <s v="ORD-00218"/>
    <x v="0"/>
    <d v="2025-02-08T00:00:00"/>
    <n v="4"/>
    <n v="9"/>
    <x v="1"/>
    <n v="0"/>
  </r>
  <r>
    <s v="ORD-00219"/>
    <x v="1"/>
    <d v="2025-11-06T00:00:00"/>
    <n v="3"/>
    <n v="3"/>
    <x v="0"/>
    <n v="1"/>
  </r>
  <r>
    <s v="ORD-00220"/>
    <x v="0"/>
    <d v="2025-03-09T01:00:00"/>
    <n v="4"/>
    <n v="5"/>
    <x v="1"/>
    <n v="0"/>
  </r>
  <r>
    <s v="ORD-00221"/>
    <x v="0"/>
    <d v="2025-07-21T00:00:00"/>
    <n v="5"/>
    <n v="6"/>
    <x v="1"/>
    <n v="0"/>
  </r>
  <r>
    <s v="ORD-00222"/>
    <x v="0"/>
    <d v="2026-01-06T00:00:00"/>
    <n v="3"/>
    <n v="7"/>
    <x v="1"/>
    <n v="0"/>
  </r>
  <r>
    <s v="ORD-00223"/>
    <x v="1"/>
    <d v="2025-08-31T00:00:00"/>
    <n v="4"/>
    <n v="6"/>
    <x v="1"/>
    <n v="0"/>
  </r>
  <r>
    <s v="ORD-00224"/>
    <x v="2"/>
    <d v="2025-06-12T00:00:00"/>
    <n v="3"/>
    <n v="5"/>
    <x v="1"/>
    <n v="0"/>
  </r>
  <r>
    <s v="ORD-00225"/>
    <x v="0"/>
    <d v="2025-09-18T00:00:00"/>
    <n v="3"/>
    <n v="3"/>
    <x v="0"/>
    <n v="1"/>
  </r>
  <r>
    <s v="ORD-00226"/>
    <x v="0"/>
    <d v="2025-05-31T00:00:00"/>
    <n v="4"/>
    <n v="8"/>
    <x v="1"/>
    <n v="0"/>
  </r>
  <r>
    <s v="ORD-00227"/>
    <x v="1"/>
    <d v="2025-07-20T00:00:00"/>
    <n v="3"/>
    <n v="5"/>
    <x v="1"/>
    <n v="0"/>
  </r>
  <r>
    <s v="ORD-00228"/>
    <x v="2"/>
    <d v="2025-03-30T01:00:00"/>
    <n v="5"/>
    <n v="8"/>
    <x v="1"/>
    <n v="0"/>
  </r>
  <r>
    <s v="ORD-00229"/>
    <x v="2"/>
    <d v="2025-01-30T00:00:00"/>
    <n v="3"/>
    <n v="8"/>
    <x v="1"/>
    <n v="0"/>
  </r>
  <r>
    <s v="ORD-00230"/>
    <x v="0"/>
    <d v="2025-07-16T00:00:00"/>
    <n v="4"/>
    <n v="7"/>
    <x v="1"/>
    <n v="0"/>
  </r>
  <r>
    <s v="ORD-00231"/>
    <x v="1"/>
    <d v="2025-04-04T01:00:00"/>
    <n v="3"/>
    <n v="5"/>
    <x v="1"/>
    <n v="0"/>
  </r>
  <r>
    <s v="ORD-00232"/>
    <x v="0"/>
    <d v="2025-04-28T00:00:00"/>
    <n v="4"/>
    <n v="7"/>
    <x v="1"/>
    <n v="0"/>
  </r>
  <r>
    <s v="ORD-00233"/>
    <x v="0"/>
    <d v="2025-06-26T00:00:00"/>
    <n v="4"/>
    <n v="9"/>
    <x v="1"/>
    <n v="0"/>
  </r>
  <r>
    <s v="ORD-00234"/>
    <x v="1"/>
    <d v="2025-01-26T00:00:00"/>
    <n v="5"/>
    <n v="1"/>
    <x v="0"/>
    <n v="1"/>
  </r>
  <r>
    <s v="ORD-00235"/>
    <x v="2"/>
    <d v="2025-09-05T00:00:00"/>
    <n v="5"/>
    <n v="4"/>
    <x v="0"/>
    <n v="1"/>
  </r>
  <r>
    <s v="ORD-00236"/>
    <x v="0"/>
    <d v="2025-08-25T00:00:00"/>
    <n v="5"/>
    <n v="7"/>
    <x v="1"/>
    <n v="0"/>
  </r>
  <r>
    <s v="ORD-00237"/>
    <x v="0"/>
    <d v="2025-06-17T00:00:00"/>
    <n v="5"/>
    <n v="6"/>
    <x v="1"/>
    <n v="0"/>
  </r>
  <r>
    <s v="ORD-00238"/>
    <x v="1"/>
    <d v="2025-04-07T00:00:00"/>
    <n v="5"/>
    <n v="10"/>
    <x v="1"/>
    <n v="0"/>
  </r>
  <r>
    <s v="ORD-00239"/>
    <x v="0"/>
    <d v="2025-02-04T00:00:00"/>
    <n v="5"/>
    <n v="9"/>
    <x v="1"/>
    <n v="0"/>
  </r>
  <r>
    <s v="ORD-00240"/>
    <x v="0"/>
    <d v="2025-06-06T00:00:00"/>
    <n v="3"/>
    <n v="3"/>
    <x v="0"/>
    <n v="1"/>
  </r>
  <r>
    <s v="ORD-00241"/>
    <x v="0"/>
    <d v="2025-09-29T00:00:00"/>
    <n v="4"/>
    <n v="5"/>
    <x v="1"/>
    <n v="0"/>
  </r>
  <r>
    <s v="ORD-00242"/>
    <x v="1"/>
    <d v="2025-02-20T00:00:00"/>
    <n v="4"/>
    <n v="3"/>
    <x v="0"/>
    <n v="1"/>
  </r>
  <r>
    <s v="ORD-00243"/>
    <x v="0"/>
    <d v="2025-12-16T00:00:00"/>
    <n v="3"/>
    <n v="5"/>
    <x v="1"/>
    <n v="0"/>
  </r>
  <r>
    <s v="ORD-00244"/>
    <x v="0"/>
    <d v="2025-11-28T00:00:00"/>
    <n v="4"/>
    <n v="3"/>
    <x v="0"/>
    <n v="1"/>
  </r>
  <r>
    <s v="ORD-00245"/>
    <x v="0"/>
    <d v="2025-02-24T01:00:00"/>
    <n v="3"/>
    <n v="9"/>
    <x v="1"/>
    <n v="0"/>
  </r>
  <r>
    <s v="ORD-00246"/>
    <x v="2"/>
    <d v="2025-02-07T00:00:00"/>
    <n v="5"/>
    <n v="8"/>
    <x v="1"/>
    <n v="0"/>
  </r>
  <r>
    <s v="ORD-00247"/>
    <x v="0"/>
    <d v="2025-04-19T00:00:00"/>
    <n v="3"/>
    <n v="3"/>
    <x v="0"/>
    <n v="1"/>
  </r>
  <r>
    <s v="ORD-00248"/>
    <x v="1"/>
    <d v="2025-06-03T00:00:00"/>
    <n v="5"/>
    <n v="2"/>
    <x v="0"/>
    <n v="1"/>
  </r>
  <r>
    <s v="ORD-00249"/>
    <x v="0"/>
    <d v="2025-02-23T00:00:00"/>
    <n v="5"/>
    <n v="3"/>
    <x v="0"/>
    <n v="1"/>
  </r>
  <r>
    <s v="ORD-00250"/>
    <x v="0"/>
    <d v="2025-07-23T00:00:00"/>
    <n v="3"/>
    <n v="5"/>
    <x v="1"/>
    <n v="0"/>
  </r>
  <r>
    <s v="ORD-00251"/>
    <x v="0"/>
    <d v="2025-09-15T00:00:00"/>
    <n v="5"/>
    <n v="5"/>
    <x v="0"/>
    <n v="1"/>
  </r>
  <r>
    <s v="ORD-00252"/>
    <x v="2"/>
    <d v="2025-01-29T00:00:00"/>
    <n v="3"/>
    <n v="2"/>
    <x v="0"/>
    <n v="1"/>
  </r>
  <r>
    <s v="ORD-00253"/>
    <x v="1"/>
    <d v="2025-07-23T00:00:00"/>
    <n v="5"/>
    <n v="1"/>
    <x v="0"/>
    <n v="1"/>
  </r>
  <r>
    <s v="ORD-00254"/>
    <x v="0"/>
    <d v="2025-03-01T01:00:00"/>
    <n v="3"/>
    <n v="3"/>
    <x v="0"/>
    <n v="1"/>
  </r>
  <r>
    <s v="ORD-00255"/>
    <x v="1"/>
    <d v="2025-09-27T00:00:00"/>
    <n v="4"/>
    <n v="7"/>
    <x v="1"/>
    <n v="0"/>
  </r>
  <r>
    <s v="ORD-00256"/>
    <x v="0"/>
    <d v="2025-11-10T00:00:00"/>
    <n v="3"/>
    <n v="6"/>
    <x v="1"/>
    <n v="0"/>
  </r>
  <r>
    <s v="ORD-00257"/>
    <x v="2"/>
    <d v="2025-12-08T00:00:00"/>
    <n v="5"/>
    <n v="3"/>
    <x v="0"/>
    <n v="1"/>
  </r>
  <r>
    <s v="ORD-00258"/>
    <x v="1"/>
    <d v="2025-11-14T00:00:00"/>
    <n v="5"/>
    <n v="3"/>
    <x v="0"/>
    <n v="1"/>
  </r>
  <r>
    <s v="ORD-00259"/>
    <x v="0"/>
    <d v="2025-08-28T00:00:00"/>
    <n v="5"/>
    <n v="3"/>
    <x v="0"/>
    <n v="1"/>
  </r>
  <r>
    <s v="ORD-00260"/>
    <x v="2"/>
    <d v="2025-10-01T00:00:00"/>
    <n v="4"/>
    <n v="10"/>
    <x v="1"/>
    <n v="0"/>
  </r>
  <r>
    <s v="ORD-00261"/>
    <x v="0"/>
    <d v="2025-05-17T00:00:00"/>
    <n v="4"/>
    <n v="1"/>
    <x v="0"/>
    <n v="1"/>
  </r>
  <r>
    <s v="ORD-00262"/>
    <x v="1"/>
    <d v="2025-07-06T00:00:00"/>
    <n v="5"/>
    <n v="3"/>
    <x v="0"/>
    <n v="1"/>
  </r>
  <r>
    <s v="ORD-00263"/>
    <x v="0"/>
    <d v="2025-04-07T00:00:00"/>
    <n v="5"/>
    <n v="9"/>
    <x v="1"/>
    <n v="0"/>
  </r>
  <r>
    <s v="ORD-00264"/>
    <x v="0"/>
    <d v="2025-03-03T01:00:00"/>
    <n v="4"/>
    <n v="2"/>
    <x v="0"/>
    <n v="1"/>
  </r>
  <r>
    <s v="ORD-00265"/>
    <x v="0"/>
    <d v="2026-01-02T00:00:00"/>
    <n v="3"/>
    <n v="7"/>
    <x v="1"/>
    <n v="0"/>
  </r>
  <r>
    <s v="ORD-00266"/>
    <x v="2"/>
    <d v="2025-05-07T00:00:00"/>
    <n v="4"/>
    <n v="5"/>
    <x v="1"/>
    <n v="0"/>
  </r>
  <r>
    <s v="ORD-00267"/>
    <x v="0"/>
    <d v="2025-12-31T00:00:00"/>
    <n v="5"/>
    <n v="4"/>
    <x v="0"/>
    <n v="1"/>
  </r>
  <r>
    <s v="ORD-00268"/>
    <x v="1"/>
    <d v="2025-06-11T00:00:00"/>
    <n v="5"/>
    <n v="9"/>
    <x v="1"/>
    <n v="0"/>
  </r>
  <r>
    <s v="ORD-00269"/>
    <x v="2"/>
    <d v="2025-07-17T00:00:00"/>
    <n v="5"/>
    <n v="2"/>
    <x v="0"/>
    <n v="1"/>
  </r>
  <r>
    <s v="ORD-00270"/>
    <x v="0"/>
    <d v="2025-09-19T00:00:00"/>
    <n v="4"/>
    <n v="5"/>
    <x v="1"/>
    <n v="0"/>
  </r>
  <r>
    <s v="ORD-00271"/>
    <x v="0"/>
    <d v="2025-03-03T01:00:00"/>
    <n v="5"/>
    <n v="5"/>
    <x v="0"/>
    <n v="1"/>
  </r>
  <r>
    <s v="ORD-00272"/>
    <x v="0"/>
    <d v="2025-01-13T00:00:00"/>
    <n v="5"/>
    <n v="10"/>
    <x v="1"/>
    <n v="0"/>
  </r>
  <r>
    <s v="ORD-00273"/>
    <x v="0"/>
    <d v="2025-11-22T00:00:00"/>
    <n v="3"/>
    <n v="3"/>
    <x v="0"/>
    <n v="1"/>
  </r>
  <r>
    <s v="ORD-00274"/>
    <x v="0"/>
    <d v="2025-08-11T00:00:00"/>
    <n v="4"/>
    <n v="6"/>
    <x v="1"/>
    <n v="0"/>
  </r>
  <r>
    <s v="ORD-00275"/>
    <x v="0"/>
    <d v="2025-04-27T00:00:00"/>
    <n v="4"/>
    <n v="1"/>
    <x v="0"/>
    <n v="1"/>
  </r>
  <r>
    <s v="ORD-00276"/>
    <x v="0"/>
    <d v="2025-03-05T01:00:00"/>
    <n v="4"/>
    <n v="8"/>
    <x v="1"/>
    <n v="0"/>
  </r>
  <r>
    <s v="ORD-00277"/>
    <x v="0"/>
    <d v="2025-07-25T00:00:00"/>
    <n v="4"/>
    <n v="8"/>
    <x v="1"/>
    <n v="0"/>
  </r>
  <r>
    <s v="ORD-00278"/>
    <x v="0"/>
    <d v="2025-11-29T00:00:00"/>
    <n v="5"/>
    <n v="6"/>
    <x v="1"/>
    <n v="0"/>
  </r>
  <r>
    <s v="ORD-00279"/>
    <x v="0"/>
    <d v="2025-07-02T00:00:00"/>
    <n v="4"/>
    <n v="3"/>
    <x v="0"/>
    <n v="1"/>
  </r>
  <r>
    <s v="ORD-00280"/>
    <x v="2"/>
    <d v="2025-10-26T00:00:00"/>
    <n v="3"/>
    <n v="8"/>
    <x v="1"/>
    <n v="0"/>
  </r>
  <r>
    <s v="ORD-00281"/>
    <x v="2"/>
    <d v="2025-11-12T00:00:00"/>
    <n v="3"/>
    <n v="3"/>
    <x v="0"/>
    <n v="1"/>
  </r>
  <r>
    <s v="ORD-00282"/>
    <x v="1"/>
    <d v="2025-03-16T01:00:00"/>
    <n v="5"/>
    <n v="5"/>
    <x v="0"/>
    <n v="1"/>
  </r>
  <r>
    <s v="ORD-00283"/>
    <x v="0"/>
    <d v="2025-09-30T00:00:00"/>
    <n v="3"/>
    <n v="10"/>
    <x v="1"/>
    <n v="0"/>
  </r>
  <r>
    <s v="ORD-00284"/>
    <x v="0"/>
    <d v="2025-11-30T00:00:00"/>
    <n v="4"/>
    <n v="5"/>
    <x v="1"/>
    <n v="0"/>
  </r>
  <r>
    <s v="ORD-00285"/>
    <x v="0"/>
    <d v="2025-09-28T00:00:00"/>
    <n v="4"/>
    <n v="8"/>
    <x v="1"/>
    <n v="0"/>
  </r>
  <r>
    <s v="ORD-00286"/>
    <x v="0"/>
    <d v="2025-07-15T00:00:00"/>
    <n v="5"/>
    <n v="1"/>
    <x v="0"/>
    <n v="1"/>
  </r>
  <r>
    <s v="ORD-00287"/>
    <x v="0"/>
    <d v="2025-11-29T00:00:00"/>
    <n v="3"/>
    <n v="5"/>
    <x v="1"/>
    <n v="0"/>
  </r>
  <r>
    <s v="ORD-00288"/>
    <x v="0"/>
    <d v="2025-12-02T00:00:00"/>
    <n v="3"/>
    <n v="1"/>
    <x v="0"/>
    <n v="1"/>
  </r>
  <r>
    <s v="ORD-00289"/>
    <x v="0"/>
    <d v="2025-05-10T00:00:00"/>
    <n v="4"/>
    <n v="5"/>
    <x v="1"/>
    <n v="0"/>
  </r>
  <r>
    <s v="ORD-00290"/>
    <x v="0"/>
    <d v="2025-03-19T01:00:00"/>
    <n v="3"/>
    <n v="1"/>
    <x v="0"/>
    <n v="1"/>
  </r>
  <r>
    <s v="ORD-00291"/>
    <x v="2"/>
    <d v="2025-10-24T00:00:00"/>
    <n v="4"/>
    <n v="9"/>
    <x v="1"/>
    <n v="0"/>
  </r>
  <r>
    <s v="ORD-00292"/>
    <x v="0"/>
    <d v="2025-07-02T00:00:00"/>
    <n v="5"/>
    <n v="7"/>
    <x v="1"/>
    <n v="0"/>
  </r>
  <r>
    <s v="ORD-00293"/>
    <x v="0"/>
    <d v="2025-09-03T00:00:00"/>
    <n v="3"/>
    <n v="10"/>
    <x v="1"/>
    <n v="0"/>
  </r>
  <r>
    <s v="ORD-00294"/>
    <x v="0"/>
    <d v="2025-06-15T00:00:00"/>
    <n v="3"/>
    <n v="7"/>
    <x v="1"/>
    <n v="0"/>
  </r>
  <r>
    <s v="ORD-00295"/>
    <x v="0"/>
    <d v="2025-05-14T00:00:00"/>
    <n v="4"/>
    <n v="2"/>
    <x v="0"/>
    <n v="1"/>
  </r>
  <r>
    <s v="ORD-00296"/>
    <x v="0"/>
    <d v="2025-10-09T00:00:00"/>
    <n v="5"/>
    <n v="5"/>
    <x v="0"/>
    <n v="1"/>
  </r>
  <r>
    <s v="ORD-00297"/>
    <x v="0"/>
    <d v="2025-03-24T01:00:00"/>
    <n v="5"/>
    <n v="9"/>
    <x v="1"/>
    <n v="0"/>
  </r>
  <r>
    <s v="ORD-00298"/>
    <x v="0"/>
    <d v="2025-09-25T00:00:00"/>
    <n v="5"/>
    <n v="1"/>
    <x v="0"/>
    <n v="1"/>
  </r>
  <r>
    <s v="ORD-00299"/>
    <x v="1"/>
    <d v="2025-05-24T00:00:00"/>
    <n v="4"/>
    <n v="9"/>
    <x v="1"/>
    <n v="0"/>
  </r>
  <r>
    <s v="ORD-00300"/>
    <x v="0"/>
    <d v="2025-10-16T00:00:00"/>
    <n v="3"/>
    <n v="3"/>
    <x v="0"/>
    <n v="1"/>
  </r>
  <r>
    <s v="ORD-00301"/>
    <x v="2"/>
    <d v="2025-11-17T00:00:00"/>
    <n v="3"/>
    <n v="9"/>
    <x v="1"/>
    <n v="0"/>
  </r>
  <r>
    <s v="ORD-00302"/>
    <x v="1"/>
    <d v="2025-11-10T00:00:00"/>
    <n v="4"/>
    <n v="7"/>
    <x v="1"/>
    <n v="0"/>
  </r>
  <r>
    <s v="ORD-00303"/>
    <x v="0"/>
    <d v="2025-05-24T00:00:00"/>
    <n v="5"/>
    <n v="5"/>
    <x v="0"/>
    <n v="1"/>
  </r>
  <r>
    <s v="ORD-00304"/>
    <x v="0"/>
    <d v="2025-06-28T00:00:00"/>
    <n v="4"/>
    <n v="9"/>
    <x v="1"/>
    <n v="0"/>
  </r>
  <r>
    <s v="ORD-00305"/>
    <x v="1"/>
    <d v="2025-05-28T00:00:00"/>
    <n v="5"/>
    <n v="3"/>
    <x v="0"/>
    <n v="1"/>
  </r>
  <r>
    <s v="ORD-00306"/>
    <x v="1"/>
    <d v="2025-06-26T00:00:00"/>
    <n v="5"/>
    <n v="6"/>
    <x v="1"/>
    <n v="0"/>
  </r>
  <r>
    <s v="ORD-00307"/>
    <x v="0"/>
    <d v="2025-11-03T00:00:00"/>
    <n v="4"/>
    <n v="7"/>
    <x v="1"/>
    <n v="0"/>
  </r>
  <r>
    <s v="ORD-00308"/>
    <x v="2"/>
    <d v="2025-11-05T00:00:00"/>
    <n v="3"/>
    <n v="8"/>
    <x v="1"/>
    <n v="0"/>
  </r>
  <r>
    <s v="ORD-00309"/>
    <x v="0"/>
    <d v="2025-04-19T00:00:00"/>
    <n v="4"/>
    <n v="10"/>
    <x v="1"/>
    <n v="0"/>
  </r>
  <r>
    <s v="ORD-00310"/>
    <x v="0"/>
    <d v="2025-12-09T00:00:00"/>
    <n v="5"/>
    <n v="7"/>
    <x v="1"/>
    <n v="0"/>
  </r>
  <r>
    <s v="ORD-00311"/>
    <x v="0"/>
    <d v="2025-08-07T00:00:00"/>
    <n v="3"/>
    <n v="3"/>
    <x v="0"/>
    <n v="1"/>
  </r>
  <r>
    <s v="ORD-00312"/>
    <x v="0"/>
    <d v="2025-02-14T00:00:00"/>
    <n v="5"/>
    <n v="4"/>
    <x v="0"/>
    <n v="1"/>
  </r>
  <r>
    <s v="ORD-00313"/>
    <x v="0"/>
    <d v="2026-01-10T00:00:00"/>
    <n v="4"/>
    <n v="10"/>
    <x v="1"/>
    <n v="0"/>
  </r>
  <r>
    <s v="ORD-00314"/>
    <x v="1"/>
    <d v="2025-10-18T00:00:00"/>
    <n v="4"/>
    <n v="5"/>
    <x v="1"/>
    <n v="0"/>
  </r>
  <r>
    <s v="ORD-00315"/>
    <x v="1"/>
    <d v="2025-10-06T00:00:00"/>
    <n v="4"/>
    <n v="9"/>
    <x v="1"/>
    <n v="0"/>
  </r>
  <r>
    <s v="ORD-00316"/>
    <x v="2"/>
    <d v="2025-11-30T00:00:00"/>
    <n v="4"/>
    <n v="3"/>
    <x v="0"/>
    <n v="1"/>
  </r>
  <r>
    <s v="ORD-00317"/>
    <x v="0"/>
    <d v="2025-04-22T00:00:00"/>
    <n v="4"/>
    <n v="2"/>
    <x v="0"/>
    <n v="1"/>
  </r>
  <r>
    <s v="ORD-00318"/>
    <x v="1"/>
    <d v="2025-08-11T00:00:00"/>
    <n v="3"/>
    <n v="7"/>
    <x v="1"/>
    <n v="0"/>
  </r>
  <r>
    <s v="ORD-00319"/>
    <x v="1"/>
    <d v="2025-11-26T00:00:00"/>
    <n v="3"/>
    <n v="10"/>
    <x v="1"/>
    <n v="0"/>
  </r>
  <r>
    <s v="ORD-00320"/>
    <x v="0"/>
    <d v="2025-10-01T00:00:00"/>
    <n v="4"/>
    <n v="6"/>
    <x v="1"/>
    <n v="0"/>
  </r>
  <r>
    <s v="ORD-00321"/>
    <x v="0"/>
    <d v="2025-06-01T00:00:00"/>
    <n v="4"/>
    <n v="8"/>
    <x v="1"/>
    <n v="0"/>
  </r>
  <r>
    <s v="ORD-00322"/>
    <x v="0"/>
    <d v="2025-04-05T01:00:00"/>
    <n v="3"/>
    <n v="7"/>
    <x v="1"/>
    <n v="0"/>
  </r>
  <r>
    <s v="ORD-00323"/>
    <x v="0"/>
    <d v="2025-12-22T00:00:00"/>
    <n v="5"/>
    <n v="2"/>
    <x v="0"/>
    <n v="1"/>
  </r>
  <r>
    <s v="ORD-00324"/>
    <x v="2"/>
    <d v="2025-05-10T00:00:00"/>
    <n v="4"/>
    <n v="4"/>
    <x v="0"/>
    <n v="1"/>
  </r>
  <r>
    <s v="ORD-00325"/>
    <x v="1"/>
    <d v="2025-01-12T00:00:00"/>
    <n v="3"/>
    <n v="10"/>
    <x v="1"/>
    <n v="0"/>
  </r>
  <r>
    <s v="ORD-00326"/>
    <x v="2"/>
    <d v="2025-03-27T01:00:00"/>
    <n v="3"/>
    <n v="6"/>
    <x v="1"/>
    <n v="0"/>
  </r>
  <r>
    <s v="ORD-00327"/>
    <x v="0"/>
    <d v="2025-10-05T00:00:00"/>
    <n v="4"/>
    <n v="7"/>
    <x v="1"/>
    <n v="0"/>
  </r>
  <r>
    <s v="ORD-00328"/>
    <x v="0"/>
    <d v="2025-12-09T00:00:00"/>
    <n v="3"/>
    <n v="6"/>
    <x v="1"/>
    <n v="0"/>
  </r>
  <r>
    <s v="ORD-00329"/>
    <x v="1"/>
    <d v="2025-04-30T00:00:00"/>
    <n v="4"/>
    <n v="3"/>
    <x v="0"/>
    <n v="1"/>
  </r>
  <r>
    <s v="ORD-00330"/>
    <x v="1"/>
    <d v="2025-10-04T00:00:00"/>
    <n v="5"/>
    <n v="3"/>
    <x v="0"/>
    <n v="1"/>
  </r>
  <r>
    <s v="ORD-00331"/>
    <x v="0"/>
    <d v="2025-02-18T00:00:00"/>
    <n v="5"/>
    <n v="2"/>
    <x v="0"/>
    <n v="1"/>
  </r>
  <r>
    <s v="ORD-00332"/>
    <x v="0"/>
    <d v="2025-08-02T00:00:00"/>
    <n v="5"/>
    <n v="4"/>
    <x v="0"/>
    <n v="1"/>
  </r>
  <r>
    <s v="ORD-00333"/>
    <x v="1"/>
    <d v="2025-03-20T01:00:00"/>
    <n v="4"/>
    <n v="5"/>
    <x v="1"/>
    <n v="0"/>
  </r>
  <r>
    <s v="ORD-00334"/>
    <x v="0"/>
    <d v="2025-06-14T00:00:00"/>
    <n v="3"/>
    <n v="3"/>
    <x v="0"/>
    <n v="1"/>
  </r>
  <r>
    <s v="ORD-00335"/>
    <x v="2"/>
    <d v="2025-05-03T00:00:00"/>
    <n v="3"/>
    <n v="10"/>
    <x v="1"/>
    <n v="0"/>
  </r>
  <r>
    <s v="ORD-00336"/>
    <x v="0"/>
    <d v="2025-02-17T00:00:00"/>
    <n v="4"/>
    <n v="7"/>
    <x v="1"/>
    <n v="0"/>
  </r>
  <r>
    <s v="ORD-00337"/>
    <x v="0"/>
    <d v="2025-12-25T00:00:00"/>
    <n v="4"/>
    <n v="4"/>
    <x v="0"/>
    <n v="1"/>
  </r>
  <r>
    <s v="ORD-00338"/>
    <x v="0"/>
    <d v="2025-08-15T00:00:00"/>
    <n v="4"/>
    <n v="6"/>
    <x v="1"/>
    <n v="0"/>
  </r>
  <r>
    <s v="ORD-00339"/>
    <x v="0"/>
    <d v="2025-11-04T00:00:00"/>
    <n v="5"/>
    <n v="3"/>
    <x v="0"/>
    <n v="1"/>
  </r>
  <r>
    <s v="ORD-00340"/>
    <x v="0"/>
    <d v="2025-01-18T00:00:00"/>
    <n v="5"/>
    <n v="4"/>
    <x v="0"/>
    <n v="1"/>
  </r>
  <r>
    <s v="ORD-00341"/>
    <x v="0"/>
    <d v="2025-02-18T00:00:00"/>
    <n v="3"/>
    <n v="5"/>
    <x v="1"/>
    <n v="0"/>
  </r>
  <r>
    <s v="ORD-00342"/>
    <x v="1"/>
    <d v="2025-04-06T01:00:00"/>
    <n v="5"/>
    <n v="6"/>
    <x v="1"/>
    <n v="0"/>
  </r>
  <r>
    <s v="ORD-00343"/>
    <x v="0"/>
    <d v="2025-07-11T00:00:00"/>
    <n v="4"/>
    <n v="9"/>
    <x v="1"/>
    <n v="0"/>
  </r>
  <r>
    <s v="ORD-00344"/>
    <x v="1"/>
    <d v="2025-08-12T00:00:00"/>
    <n v="3"/>
    <n v="3"/>
    <x v="0"/>
    <n v="1"/>
  </r>
  <r>
    <s v="ORD-00345"/>
    <x v="2"/>
    <d v="2025-04-27T00:00:00"/>
    <n v="3"/>
    <n v="8"/>
    <x v="1"/>
    <n v="0"/>
  </r>
  <r>
    <s v="ORD-00346"/>
    <x v="2"/>
    <d v="2025-06-03T00:00:00"/>
    <n v="5"/>
    <n v="10"/>
    <x v="1"/>
    <n v="0"/>
  </r>
  <r>
    <s v="ORD-00347"/>
    <x v="0"/>
    <d v="2025-08-30T00:00:00"/>
    <n v="4"/>
    <n v="4"/>
    <x v="0"/>
    <n v="1"/>
  </r>
  <r>
    <s v="ORD-00348"/>
    <x v="2"/>
    <d v="2025-02-05T00:00:00"/>
    <n v="3"/>
    <n v="2"/>
    <x v="0"/>
    <n v="1"/>
  </r>
  <r>
    <s v="ORD-00349"/>
    <x v="1"/>
    <d v="2025-06-15T00:00:00"/>
    <n v="4"/>
    <n v="7"/>
    <x v="1"/>
    <n v="0"/>
  </r>
  <r>
    <s v="ORD-00350"/>
    <x v="1"/>
    <d v="2025-09-18T00:00:00"/>
    <n v="4"/>
    <n v="3"/>
    <x v="0"/>
    <n v="1"/>
  </r>
  <r>
    <s v="ORD-00351"/>
    <x v="0"/>
    <d v="2025-02-26T01:00:00"/>
    <n v="5"/>
    <n v="1"/>
    <x v="0"/>
    <n v="1"/>
  </r>
  <r>
    <s v="ORD-00352"/>
    <x v="0"/>
    <d v="2025-06-26T00:00:00"/>
    <n v="4"/>
    <n v="8"/>
    <x v="1"/>
    <n v="0"/>
  </r>
  <r>
    <s v="ORD-00353"/>
    <x v="0"/>
    <d v="2025-10-04T00:00:00"/>
    <n v="5"/>
    <n v="9"/>
    <x v="1"/>
    <n v="0"/>
  </r>
  <r>
    <s v="ORD-00354"/>
    <x v="0"/>
    <d v="2025-01-13T00:00:00"/>
    <n v="5"/>
    <n v="10"/>
    <x v="1"/>
    <n v="0"/>
  </r>
  <r>
    <s v="ORD-00355"/>
    <x v="1"/>
    <d v="2025-05-05T00:00:00"/>
    <n v="5"/>
    <n v="7"/>
    <x v="1"/>
    <n v="0"/>
  </r>
  <r>
    <s v="ORD-00356"/>
    <x v="2"/>
    <d v="2025-08-06T00:00:00"/>
    <n v="5"/>
    <n v="9"/>
    <x v="1"/>
    <n v="0"/>
  </r>
  <r>
    <s v="ORD-00357"/>
    <x v="2"/>
    <d v="2025-06-19T00:00:00"/>
    <n v="4"/>
    <n v="1"/>
    <x v="0"/>
    <n v="1"/>
  </r>
  <r>
    <s v="ORD-00358"/>
    <x v="0"/>
    <d v="2025-04-01T01:00:00"/>
    <n v="4"/>
    <n v="6"/>
    <x v="1"/>
    <n v="0"/>
  </r>
  <r>
    <s v="ORD-00359"/>
    <x v="1"/>
    <d v="2025-08-26T00:00:00"/>
    <n v="5"/>
    <n v="10"/>
    <x v="1"/>
    <n v="0"/>
  </r>
  <r>
    <s v="ORD-00360"/>
    <x v="0"/>
    <d v="2025-03-07T01:00:00"/>
    <n v="3"/>
    <n v="4"/>
    <x v="1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83">
  <r>
    <x v="0"/>
    <s v="ORD-00001"/>
    <d v="2025-12-21T00:00:00"/>
    <s v="C0068"/>
    <s v="Amina Khan, Quebec City, Consumer"/>
    <s v="Amina Khan"/>
    <s v="Quebec City"/>
    <s v="Consumer"/>
    <n v="2"/>
    <s v="P037"/>
    <n v="1"/>
    <n v="236.51"/>
    <n v="0.15"/>
    <s v="Online"/>
    <s v="Online"/>
    <s v="CC"/>
    <s v="Credit Card"/>
    <s v="Vancouver West"/>
    <s v="Quebec"/>
    <s v="Consumer"/>
    <n v="142.84"/>
    <x v="0"/>
    <n v="236.51"/>
    <n v="35.476499999999994"/>
    <n v="201.0335"/>
    <n v="142.84"/>
    <n v="58.1935"/>
    <n v="0.28947165522164214"/>
    <x v="0"/>
    <s v=""/>
    <s v=""/>
    <s v=""/>
    <x v="0"/>
    <d v="2025-12-24T00:00:00"/>
  </r>
  <r>
    <x v="1"/>
    <s v="ORD-00001"/>
    <d v="2025-12-21T00:00:00"/>
    <s v="C0068"/>
    <s v="Amina Khan, Quebec City, Consumer"/>
    <s v="Amina Khan"/>
    <s v="Quebec City"/>
    <s v="Consumer"/>
    <n v="2"/>
    <s v="P041"/>
    <n v="2"/>
    <n v="238.47"/>
    <n v="0.1"/>
    <s v="Retail  Store"/>
    <s v="Retail Store"/>
    <s v="Credit Card"/>
    <s v="Credit Card"/>
    <s v="Calgary North"/>
    <s v="Quebec"/>
    <s v="Consumer"/>
    <n v="127.65"/>
    <x v="1"/>
    <n v="476.94"/>
    <n v="47.694000000000003"/>
    <n v="429.24599999999998"/>
    <n v="255.3"/>
    <n v="173.94599999999997"/>
    <n v="0.40523615828685644"/>
    <x v="0"/>
    <s v=""/>
    <s v=""/>
    <s v=""/>
    <x v="0"/>
    <d v="2025-12-24T00:00:00"/>
  </r>
  <r>
    <x v="2"/>
    <s v="ORD-00001"/>
    <d v="2025-12-21T00:00:00"/>
    <s v="C0068"/>
    <s v="Amina Khan, Quebec City, Consumer"/>
    <s v="Amina Khan"/>
    <s v="Quebec City"/>
    <s v="Consumer"/>
    <n v="2"/>
    <s v="P029"/>
    <n v="3"/>
    <n v="300.16000000000003"/>
    <n v="0"/>
    <s v="Marketplace"/>
    <s v="Marketplace"/>
    <s v="PayPal"/>
    <s v="PayPal"/>
    <s v="Montreal Central"/>
    <s v="Quebec"/>
    <s v="Consumer"/>
    <n v="158.46"/>
    <x v="2"/>
    <n v="900.48"/>
    <n v="0"/>
    <n v="900.48"/>
    <n v="475.38"/>
    <n v="425.1"/>
    <n v="0.47208155650319833"/>
    <x v="0"/>
    <s v=""/>
    <s v=""/>
    <s v=""/>
    <x v="0"/>
    <d v="2025-12-24T00:00:00"/>
  </r>
  <r>
    <x v="3"/>
    <s v="ORD-00002"/>
    <d v="2025-07-03T00:00:00"/>
    <s v="C0066"/>
    <s v="Omar Gagnon, Edmonton, Consumer"/>
    <s v="Omar Gagnon"/>
    <s v="Edmonton"/>
    <s v="Consumer"/>
    <n v="2"/>
    <s v="P031"/>
    <n v="2"/>
    <n v="208.81"/>
    <n v="0.15"/>
    <s v="Marketplace"/>
    <s v="Marketplace"/>
    <s v="Debit Card"/>
    <s v="Debit Card"/>
    <s v="Vancouver West"/>
    <s v="Alberta"/>
    <s v="Consumer"/>
    <n v="139.04"/>
    <x v="0"/>
    <n v="417.62"/>
    <n v="62.643000000000001"/>
    <n v="354.97699999999998"/>
    <n v="278.08"/>
    <n v="76.896999999999991"/>
    <n v="0.2166253024843863"/>
    <x v="0"/>
    <s v=""/>
    <s v=""/>
    <s v=""/>
    <x v="0"/>
    <d v="2025-07-06T00:00:00"/>
  </r>
  <r>
    <x v="4"/>
    <s v="ORD-00003"/>
    <d v="2025-02-09T00:00:00"/>
    <s v="C0001"/>
    <s v="Liam Brown, Edmonton, Small Business"/>
    <s v="Liam Brown"/>
    <s v="Edmonton"/>
    <s v="Small Business"/>
    <n v="2"/>
    <s v="P002"/>
    <n v="1"/>
    <n v="105.38"/>
    <n v="0"/>
    <s v="Retail Store"/>
    <s v="Retail Store"/>
    <s v="Credit Card"/>
    <s v="Credit Card"/>
    <s v="Vancouver West"/>
    <s v="Alberta"/>
    <s v="Small Business"/>
    <n v="67.290000000000006"/>
    <x v="3"/>
    <n v="105.38"/>
    <n v="0"/>
    <n v="105.38"/>
    <n v="67.290000000000006"/>
    <n v="38.089999999999989"/>
    <n v="0.36145378629721003"/>
    <x v="1"/>
    <s v="Wrong Item"/>
    <d v="2025-03-01T01:00:00"/>
    <s v="Refunded"/>
    <x v="1"/>
    <d v="2025-02-16T00:00:00"/>
  </r>
  <r>
    <x v="5"/>
    <s v="ORD-00003"/>
    <d v="2025-02-09T00:00:00"/>
    <s v="C0001"/>
    <s v="Liam Brown, Edmonton, Small Business"/>
    <s v="Liam Brown"/>
    <s v="Edmonton"/>
    <s v="Small Business"/>
    <n v="2"/>
    <s v="P037"/>
    <n v="1"/>
    <n v="236.51"/>
    <n v="0.1"/>
    <s v="Market place"/>
    <s v="Marketplace"/>
    <m/>
    <s v="Unknown"/>
    <s v="Online Fulfillment"/>
    <s v="Alberta"/>
    <s v="Small Business"/>
    <n v="142.84"/>
    <x v="0"/>
    <n v="236.51"/>
    <n v="23.651"/>
    <n v="212.85899999999998"/>
    <n v="142.84"/>
    <n v="70.018999999999977"/>
    <n v="0.32894545215377308"/>
    <x v="1"/>
    <s v="Damaged"/>
    <d v="2025-03-04T01:00:00"/>
    <s v="Refunded"/>
    <x v="1"/>
    <d v="2025-02-16T00:00:00"/>
  </r>
  <r>
    <x v="6"/>
    <s v="ORD-00003"/>
    <d v="2025-02-09T00:00:00"/>
    <s v="C0001"/>
    <s v="Liam Brown, Edmonton, Small Business"/>
    <s v="Liam Brown"/>
    <s v="Edmonton"/>
    <s v="Small Business"/>
    <n v="2"/>
    <s v="P030"/>
    <n v="1"/>
    <n v="75.75"/>
    <n v="0.05"/>
    <s v="Online"/>
    <s v="Online"/>
    <m/>
    <s v="Unknown"/>
    <s v="Calgary North"/>
    <s v="Alberta"/>
    <s v="Small Business"/>
    <n v="42.37"/>
    <x v="2"/>
    <n v="75.75"/>
    <n v="3.7875000000000001"/>
    <n v="71.962500000000006"/>
    <n v="42.37"/>
    <n v="29.592500000000008"/>
    <n v="0.41122112211221129"/>
    <x v="0"/>
    <s v=""/>
    <s v=""/>
    <s v=""/>
    <x v="1"/>
    <d v="2025-02-16T00:00:00"/>
  </r>
  <r>
    <x v="7"/>
    <s v="ORD-00003"/>
    <d v="2025-02-09T00:00:00"/>
    <s v="C0001"/>
    <s v="Liam Brown, Edmonton, Small Business"/>
    <s v="Liam Brown"/>
    <s v="Edmonton"/>
    <s v="Small Business"/>
    <n v="2"/>
    <s v="P036"/>
    <n v="2"/>
    <n v="210.2"/>
    <n v="0.1"/>
    <s v="Retail Store"/>
    <s v="Retail Store"/>
    <s v="PayPal"/>
    <s v="PayPal"/>
    <s v="Montreal Central"/>
    <s v="Alberta"/>
    <s v="Small Business"/>
    <n v="136.25"/>
    <x v="0"/>
    <n v="420.4"/>
    <n v="42.04"/>
    <n v="378.35999999999996"/>
    <n v="272.5"/>
    <n v="105.85999999999996"/>
    <n v="0.27978644677027159"/>
    <x v="1"/>
    <s v="Damaged"/>
    <d v="2025-02-23T00:00:00"/>
    <s v="Refunded"/>
    <x v="1"/>
    <d v="2025-02-16T00:00:00"/>
  </r>
  <r>
    <x v="8"/>
    <s v="ORD-00004"/>
    <d v="2025-05-10T00:00:00"/>
    <s v="C0044"/>
    <s v="Yara Tremblay, Edmonton, Corporate"/>
    <s v="Yara Tremblay"/>
    <s v="Edmonton"/>
    <s v="Corporate"/>
    <n v="2"/>
    <s v="P050"/>
    <n v="2"/>
    <n v="34.909999999999997"/>
    <n v="0.15"/>
    <s v="Online"/>
    <s v="Online"/>
    <s v="Credit Card"/>
    <s v="Credit Card"/>
    <s v="Vancouver West"/>
    <s v="Alberta"/>
    <s v="Corporate"/>
    <n v="19.670000000000002"/>
    <x v="1"/>
    <n v="69.819999999999993"/>
    <n v="10.472999999999999"/>
    <n v="59.346999999999994"/>
    <n v="39.340000000000003"/>
    <n v="20.006999999999991"/>
    <n v="0.33711897821288345"/>
    <x v="0"/>
    <s v=""/>
    <s v=""/>
    <s v=""/>
    <x v="1"/>
    <d v="2025-05-16T00:00:00"/>
  </r>
  <r>
    <x v="9"/>
    <s v="ORD-00004"/>
    <d v="2025-05-10T00:00:00"/>
    <s v="C0044"/>
    <s v="Yara Tremblay, Edmonton, Corporate"/>
    <s v="Yara Tremblay"/>
    <s v="Edmonton"/>
    <s v="Corporate"/>
    <n v="2"/>
    <s v="P018"/>
    <n v="3"/>
    <n v="142.16"/>
    <n v="0.05"/>
    <s v="Marketplace"/>
    <s v="Marketplace"/>
    <s v="CC"/>
    <s v="Credit Card"/>
    <s v="Vancouver West"/>
    <s v="Alberta"/>
    <s v="Corporate"/>
    <n v="85.34"/>
    <x v="4"/>
    <n v="426.48"/>
    <n v="21.324000000000002"/>
    <n v="405.15600000000001"/>
    <n v="256.02"/>
    <n v="149.13600000000002"/>
    <n v="0.36809525219915296"/>
    <x v="0"/>
    <s v=""/>
    <s v=""/>
    <s v=""/>
    <x v="1"/>
    <d v="2025-05-16T00:00:00"/>
  </r>
  <r>
    <x v="10"/>
    <s v="ORD-00004"/>
    <d v="2025-05-10T00:00:00"/>
    <s v="C0044"/>
    <s v="Yara Tremblay, Edmonton, Corporate"/>
    <s v="Yara Tremblay"/>
    <s v="Edmonton"/>
    <s v="Corporate"/>
    <n v="2"/>
    <s v="P036"/>
    <n v="4"/>
    <n v="210.2"/>
    <n v="0.05"/>
    <s v="Marketplace"/>
    <s v="Marketplace"/>
    <s v="CC"/>
    <s v="Credit Card"/>
    <s v="Calgary North"/>
    <s v="Alberta"/>
    <s v="Corporate"/>
    <n v="136.25"/>
    <x v="0"/>
    <n v="840.8"/>
    <n v="42.04"/>
    <n v="798.76"/>
    <n v="545"/>
    <n v="253.76"/>
    <n v="0.31769242325604685"/>
    <x v="0"/>
    <s v=""/>
    <s v=""/>
    <s v=""/>
    <x v="1"/>
    <d v="2025-05-16T00:00:00"/>
  </r>
  <r>
    <x v="11"/>
    <s v="ORD-00004"/>
    <d v="2025-05-10T00:00:00"/>
    <s v="C0044"/>
    <s v="Yara Tremblay, Edmonton, Corporate"/>
    <s v="Yara Tremblay"/>
    <s v="Edmonton"/>
    <s v="Corporate"/>
    <n v="2"/>
    <s v="P025"/>
    <n v="2"/>
    <n v="115.28"/>
    <n v="0.1"/>
    <s v="Online"/>
    <s v="Online"/>
    <m/>
    <s v="Unknown"/>
    <s v="Vancouver West"/>
    <s v="Alberta"/>
    <s v="Corporate"/>
    <n v="61.65"/>
    <x v="2"/>
    <n v="230.56"/>
    <n v="23.056000000000001"/>
    <n v="207.50399999999999"/>
    <n v="123.3"/>
    <n v="84.203999999999994"/>
    <n v="0.40579458709229699"/>
    <x v="0"/>
    <s v=""/>
    <s v=""/>
    <s v=""/>
    <x v="1"/>
    <d v="2025-05-16T00:00:00"/>
  </r>
  <r>
    <x v="12"/>
    <s v="ORD-00005"/>
    <d v="2025-01-02T00:00:00"/>
    <s v="C0050"/>
    <s v="Maya Dubois, Regina, Corporate"/>
    <s v="Maya Dubois"/>
    <s v="Regina"/>
    <s v="Corporate"/>
    <n v="2"/>
    <s v="P009"/>
    <n v="2"/>
    <n v="147.46"/>
    <n v="0"/>
    <s v="Online"/>
    <s v="Online"/>
    <s v="CC"/>
    <s v="Credit Card"/>
    <s v="Calgary North"/>
    <s v="Saskatchewan"/>
    <s v="Corporate"/>
    <n v="100.95"/>
    <x v="3"/>
    <n v="294.92"/>
    <n v="0"/>
    <n v="294.92"/>
    <n v="201.9"/>
    <n v="93.02000000000001"/>
    <n v="0.31540756815407572"/>
    <x v="0"/>
    <s v=""/>
    <s v=""/>
    <s v=""/>
    <x v="1"/>
    <d v="2025-01-12T00:00:00"/>
  </r>
  <r>
    <x v="13"/>
    <s v="ORD-00006"/>
    <d v="2025-12-05T00:00:00"/>
    <s v="C0074"/>
    <s v="Daniel Johnson, Ottawa, Small Business"/>
    <s v="Daniel Johnson"/>
    <s v="Ottawa"/>
    <s v="Small Business"/>
    <n v="2"/>
    <s v="P044"/>
    <n v="3"/>
    <n v="208.89"/>
    <n v="0.15"/>
    <s v="Retail  Store"/>
    <s v="Retail Store"/>
    <s v="Debit Card"/>
    <s v="Debit Card"/>
    <s v="Vancouver West"/>
    <s v="Ontario"/>
    <s v="Small Business"/>
    <n v="133.05000000000001"/>
    <x v="1"/>
    <n v="626.66999999999996"/>
    <n v="94.000499999999988"/>
    <n v="532.66949999999997"/>
    <n v="399.15000000000003"/>
    <n v="133.51949999999994"/>
    <n v="0.25066105718461434"/>
    <x v="0"/>
    <s v=""/>
    <s v=""/>
    <s v=""/>
    <x v="1"/>
    <d v="2025-12-11T00:00:00"/>
  </r>
  <r>
    <x v="14"/>
    <s v="ORD-00007"/>
    <d v="2025-04-17T00:00:00"/>
    <s v="C0165"/>
    <s v="Ethan Dubois, Calgary, Consumer"/>
    <s v="Ethan Dubois"/>
    <s v="Calgary"/>
    <s v="Consumer"/>
    <n v="2"/>
    <s v="P002"/>
    <n v="3"/>
    <n v="105.38"/>
    <n v="0.05"/>
    <s v="Market place"/>
    <s v="Marketplace"/>
    <s v="Gift Card"/>
    <s v="Gift Card"/>
    <s v="Vancouver West"/>
    <s v="Alberta"/>
    <s v="Consumer"/>
    <n v="67.290000000000006"/>
    <x v="3"/>
    <n v="316.14"/>
    <n v="15.807"/>
    <n v="300.33299999999997"/>
    <n v="201.87"/>
    <n v="98.462999999999965"/>
    <n v="0.32784609083916844"/>
    <x v="0"/>
    <s v=""/>
    <s v=""/>
    <s v=""/>
    <x v="0"/>
    <d v="2025-04-21T00:00:00"/>
  </r>
  <r>
    <x v="15"/>
    <s v="ORD-00007"/>
    <d v="2025-04-17T00:00:00"/>
    <s v="C0165"/>
    <s v="Ethan Dubois, Calgary, Consumer"/>
    <s v="Ethan Dubois"/>
    <s v="Calgary"/>
    <s v="Consumer"/>
    <n v="2"/>
    <s v="P005"/>
    <n v="1"/>
    <n v="42.72"/>
    <n v="0"/>
    <s v="Market place"/>
    <s v="Marketplace"/>
    <s v="PayPal"/>
    <s v="PayPal"/>
    <s v="Toronto Downtown"/>
    <s v="Alberta"/>
    <s v="Consumer"/>
    <n v="24.46"/>
    <x v="3"/>
    <n v="42.72"/>
    <n v="0"/>
    <n v="42.72"/>
    <n v="24.46"/>
    <n v="18.259999999999998"/>
    <n v="0.42743445692883891"/>
    <x v="0"/>
    <s v=""/>
    <s v=""/>
    <s v=""/>
    <x v="0"/>
    <d v="2025-04-21T00:00:00"/>
  </r>
  <r>
    <x v="16"/>
    <s v="ORD-00008"/>
    <d v="2025-01-16T00:00:00"/>
    <s v="C0042"/>
    <s v="Liam Khan, Toronto, Small Business"/>
    <s v="Liam Khan"/>
    <s v="Toronto"/>
    <s v="Small Business"/>
    <n v="2"/>
    <s v="P004"/>
    <n v="3"/>
    <n v="195.38"/>
    <n v="0.15"/>
    <s v="Online"/>
    <s v="Online"/>
    <s v="CC"/>
    <s v="Credit Card"/>
    <s v="Calgary North"/>
    <s v="Ontario"/>
    <s v="Small Business"/>
    <n v="114.29"/>
    <x v="3"/>
    <n v="586.14"/>
    <n v="87.920999999999992"/>
    <n v="498.21899999999999"/>
    <n v="342.87"/>
    <n v="155.34899999999999"/>
    <n v="0.31180866245566707"/>
    <x v="0"/>
    <s v=""/>
    <s v=""/>
    <s v=""/>
    <x v="1"/>
    <d v="2025-01-24T00:00:00"/>
  </r>
  <r>
    <x v="17"/>
    <s v="ORD-00008"/>
    <d v="2025-01-16T00:00:00"/>
    <s v="C0042"/>
    <s v="Liam Khan, Toronto, Small Business"/>
    <s v="Liam Khan"/>
    <s v="Toronto"/>
    <s v="Small Business"/>
    <n v="2"/>
    <s v="P040"/>
    <n v="3"/>
    <n v="33.369999999999997"/>
    <n v="0.15"/>
    <s v="Online"/>
    <s v="Online"/>
    <s v="PayPal"/>
    <s v="PayPal"/>
    <s v="Montreal Central"/>
    <s v="Ontario"/>
    <s v="Small Business"/>
    <n v="18.670000000000002"/>
    <x v="0"/>
    <n v="100.10999999999999"/>
    <n v="15.016499999999997"/>
    <n v="85.093499999999992"/>
    <n v="56.010000000000005"/>
    <n v="29.083499999999987"/>
    <n v="0.34178286238079275"/>
    <x v="0"/>
    <s v=""/>
    <s v=""/>
    <s v=""/>
    <x v="1"/>
    <d v="2025-01-24T00:00:00"/>
  </r>
  <r>
    <x v="18"/>
    <s v="ORD-00008"/>
    <d v="2025-01-16T00:00:00"/>
    <s v="C0042"/>
    <s v="Liam Khan, Toronto, Small Business"/>
    <s v="Liam Khan"/>
    <s v="Toronto"/>
    <s v="Small Business"/>
    <n v="2"/>
    <s v="P001"/>
    <n v="3"/>
    <n v="133.24"/>
    <n v="0.15"/>
    <s v="Online"/>
    <s v="Online"/>
    <s v="Credit Card"/>
    <s v="Credit Card"/>
    <s v="Toronto Downtown"/>
    <s v="Ontario"/>
    <s v="Small Business"/>
    <n v="77.540000000000006"/>
    <x v="3"/>
    <n v="399.72"/>
    <n v="59.957999999999998"/>
    <n v="339.76200000000006"/>
    <n v="232.62"/>
    <n v="107.14200000000005"/>
    <n v="0.31534427040104551"/>
    <x v="0"/>
    <s v=""/>
    <s v=""/>
    <s v=""/>
    <x v="1"/>
    <d v="2025-01-24T00:00:00"/>
  </r>
  <r>
    <x v="19"/>
    <s v="ORD-00008"/>
    <d v="2025-01-16T00:00:00"/>
    <s v="C0042"/>
    <s v="Liam Khan, Toronto, Small Business"/>
    <s v="Liam Khan"/>
    <s v="Toronto"/>
    <s v="Small Business"/>
    <n v="2"/>
    <s v="P006"/>
    <n v="3"/>
    <n v="88.61"/>
    <n v="0.05"/>
    <s v="Online"/>
    <s v="Online"/>
    <s v="PayPal"/>
    <s v="PayPal"/>
    <s v="Toronto Downtown"/>
    <s v="Ontario"/>
    <s v="Small Business"/>
    <n v="49.75"/>
    <x v="3"/>
    <n v="265.83"/>
    <n v="13.291499999999999"/>
    <n v="252.5385"/>
    <n v="149.25"/>
    <n v="103.2885"/>
    <n v="0.40900100380734028"/>
    <x v="0"/>
    <s v=""/>
    <s v=""/>
    <s v=""/>
    <x v="1"/>
    <d v="2025-01-24T00:00:00"/>
  </r>
  <r>
    <x v="20"/>
    <s v="ORD-00009"/>
    <d v="2025-01-24T00:00:00"/>
    <s v="C0022"/>
    <s v="Ethan Martin, Ottawa, Consumer"/>
    <s v="Ethan Martin"/>
    <s v="Ottawa"/>
    <s v="Consumer"/>
    <n v="2"/>
    <s v="P035"/>
    <n v="4"/>
    <n v="251.17"/>
    <n v="0.05"/>
    <s v="Market place"/>
    <s v="Marketplace"/>
    <s v="Debit Card"/>
    <s v="Debit Card"/>
    <s v="Vancouver West"/>
    <s v="Ontario"/>
    <s v="Consumer"/>
    <n v="151.59"/>
    <x v="0"/>
    <n v="1004.68"/>
    <n v="50.234000000000002"/>
    <n v="954.44599999999991"/>
    <n v="606.36"/>
    <n v="348.0859999999999"/>
    <n v="0.36469952202639011"/>
    <x v="0"/>
    <s v=""/>
    <s v=""/>
    <s v=""/>
    <x v="1"/>
    <d v="2025-01-31T00:00:00"/>
  </r>
  <r>
    <x v="21"/>
    <s v="ORD-00009"/>
    <d v="2025-01-24T00:00:00"/>
    <s v="C0022"/>
    <s v="Ethan Martin, Ottawa, Consumer"/>
    <s v="Ethan Martin"/>
    <s v="Ottawa"/>
    <s v="Consumer"/>
    <n v="2"/>
    <s v="P016"/>
    <n v="4"/>
    <n v="103.3"/>
    <n v="0.1"/>
    <s v="Retail  Store"/>
    <s v="Retail Store"/>
    <m/>
    <s v="Unknown"/>
    <s v="Calgary North"/>
    <s v="Ontario"/>
    <s v="Consumer"/>
    <n v="70.180000000000007"/>
    <x v="4"/>
    <n v="413.2"/>
    <n v="41.32"/>
    <n v="371.88"/>
    <n v="280.72000000000003"/>
    <n v="91.159999999999968"/>
    <n v="0.24513283855006984"/>
    <x v="0"/>
    <s v=""/>
    <s v=""/>
    <s v=""/>
    <x v="1"/>
    <d v="2025-01-31T00:00:00"/>
  </r>
  <r>
    <x v="22"/>
    <s v="ORD-00009"/>
    <d v="2025-01-24T00:00:00"/>
    <s v="C0022"/>
    <s v="Ethan Martin, Ottawa, Consumer"/>
    <s v="Ethan Martin"/>
    <s v="Ottawa"/>
    <s v="Consumer"/>
    <n v="2"/>
    <s v="P048"/>
    <n v="2"/>
    <n v="287.16000000000003"/>
    <n v="0"/>
    <s v="Online"/>
    <s v="Online"/>
    <m/>
    <s v="Unknown"/>
    <s v="Vancouver West"/>
    <s v="Ontario"/>
    <s v="Consumer"/>
    <n v="148.21"/>
    <x v="1"/>
    <n v="574.32000000000005"/>
    <n v="0"/>
    <n v="574.32000000000005"/>
    <n v="296.42"/>
    <n v="277.90000000000003"/>
    <n v="0.48387658448251847"/>
    <x v="0"/>
    <s v=""/>
    <s v=""/>
    <s v=""/>
    <x v="1"/>
    <d v="2025-01-31T00:00:00"/>
  </r>
  <r>
    <x v="23"/>
    <s v="ORD-00009"/>
    <d v="2025-01-24T00:00:00"/>
    <s v="C0022"/>
    <s v="Ethan Martin, Ottawa, Consumer"/>
    <s v="Ethan Martin"/>
    <s v="Ottawa"/>
    <s v="Consumer"/>
    <n v="2"/>
    <s v="P031"/>
    <n v="2"/>
    <n v="208.81"/>
    <n v="0"/>
    <s v="Retail  Store"/>
    <s v="Retail Store"/>
    <s v="CC"/>
    <s v="Credit Card"/>
    <s v="Calgary North"/>
    <s v="Ontario"/>
    <s v="Consumer"/>
    <n v="139.04"/>
    <x v="0"/>
    <n v="417.62"/>
    <n v="0"/>
    <n v="417.62"/>
    <n v="278.08"/>
    <n v="139.54000000000002"/>
    <n v="0.3341315071117284"/>
    <x v="0"/>
    <s v=""/>
    <s v=""/>
    <s v=""/>
    <x v="1"/>
    <d v="2025-01-31T00:00:00"/>
  </r>
  <r>
    <x v="24"/>
    <s v="ORD-00010"/>
    <d v="2025-05-24T00:00:00"/>
    <s v="C0048"/>
    <s v="Daniel Brown, Ottawa, Small Business"/>
    <s v="Daniel Brown"/>
    <s v="Ottawa"/>
    <s v="Small Business"/>
    <n v="2"/>
    <s v="P050"/>
    <n v="3"/>
    <n v="34.909999999999997"/>
    <n v="0.1"/>
    <s v="Retail  Store"/>
    <s v="Retail Store"/>
    <s v="CC"/>
    <s v="Credit Card"/>
    <s v="Vancouver West"/>
    <s v="Ontario"/>
    <s v="Small Business"/>
    <n v="19.670000000000002"/>
    <x v="1"/>
    <n v="104.72999999999999"/>
    <n v="10.472999999999999"/>
    <n v="94.256999999999991"/>
    <n v="59.010000000000005"/>
    <n v="35.246999999999986"/>
    <n v="0.37394570164550101"/>
    <x v="0"/>
    <s v=""/>
    <s v=""/>
    <s v=""/>
    <x v="1"/>
    <d v="2025-06-02T00:00:00"/>
  </r>
  <r>
    <x v="25"/>
    <s v="ORD-00010"/>
    <d v="2025-05-24T00:00:00"/>
    <s v="C0048"/>
    <s v="Daniel Brown, Ottawa, Small Business"/>
    <s v="Daniel Brown"/>
    <s v="Ottawa"/>
    <s v="Small Business"/>
    <n v="2"/>
    <s v="P007"/>
    <n v="3"/>
    <n v="25.15"/>
    <n v="0"/>
    <s v="Retail  Store"/>
    <s v="Retail Store"/>
    <s v="Credit Card"/>
    <s v="Credit Card"/>
    <s v="Online Fulfillment"/>
    <s v="Ontario"/>
    <s v="Small Business"/>
    <n v="14.24"/>
    <x v="3"/>
    <n v="75.449999999999989"/>
    <n v="0"/>
    <n v="75.449999999999989"/>
    <n v="42.72"/>
    <n v="32.72999999999999"/>
    <n v="0.43379721669980115"/>
    <x v="0"/>
    <s v=""/>
    <s v=""/>
    <s v=""/>
    <x v="1"/>
    <d v="2025-06-02T00:00:00"/>
  </r>
  <r>
    <x v="26"/>
    <s v="ORD-00010"/>
    <d v="2025-05-24T00:00:00"/>
    <s v="C0048"/>
    <s v="Daniel Brown, Ottawa, Small Business"/>
    <s v="Daniel Brown"/>
    <s v="Ottawa"/>
    <s v="Small Business"/>
    <n v="2"/>
    <s v="P003"/>
    <n v="4"/>
    <n v="265.73"/>
    <n v="0"/>
    <s v="Market place"/>
    <s v="Marketplace"/>
    <s v="PayPal"/>
    <s v="PayPal"/>
    <s v="Toronto Downtown"/>
    <s v="Ontario"/>
    <s v="Small Business"/>
    <n v="154.16999999999999"/>
    <x v="3"/>
    <n v="1062.92"/>
    <n v="0"/>
    <n v="1062.92"/>
    <n v="616.67999999999995"/>
    <n v="446.24000000000012"/>
    <n v="0.41982463402701997"/>
    <x v="0"/>
    <s v=""/>
    <s v=""/>
    <s v=""/>
    <x v="1"/>
    <d v="2025-06-02T00:00:00"/>
  </r>
  <r>
    <x v="27"/>
    <s v="ORD-00010"/>
    <d v="2025-05-24T00:00:00"/>
    <s v="C0048"/>
    <s v="Daniel Brown, Ottawa, Small Business"/>
    <s v="Daniel Brown"/>
    <s v="Ottawa"/>
    <s v="Small Business"/>
    <n v="2"/>
    <s v="P044"/>
    <n v="2"/>
    <n v="208.89"/>
    <n v="0"/>
    <s v="Online"/>
    <s v="Online"/>
    <m/>
    <s v="Unknown"/>
    <s v="Calgary North"/>
    <s v="Ontario"/>
    <s v="Small Business"/>
    <n v="133.05000000000001"/>
    <x v="1"/>
    <n v="417.78"/>
    <n v="0"/>
    <n v="417.78"/>
    <n v="266.10000000000002"/>
    <n v="151.67999999999995"/>
    <n v="0.36306189860692223"/>
    <x v="0"/>
    <s v=""/>
    <s v=""/>
    <s v=""/>
    <x v="1"/>
    <d v="2025-06-02T00:00:00"/>
  </r>
  <r>
    <x v="28"/>
    <s v="ORD-00011"/>
    <d v="2025-11-13T00:00:00"/>
    <s v="C0062"/>
    <s v="Emma Tremblay, Calgary, Consumer"/>
    <s v="Emma Tremblay"/>
    <s v="Calgary"/>
    <s v="Consumer"/>
    <n v="2"/>
    <s v="P034"/>
    <n v="1"/>
    <n v="141.46"/>
    <n v="0"/>
    <s v="Retail Store"/>
    <s v="Retail Store"/>
    <s v="Debit Card"/>
    <s v="Debit Card"/>
    <s v="Online Fulfillment"/>
    <s v="Alberta"/>
    <s v="Consumer"/>
    <n v="78.650000000000006"/>
    <x v="0"/>
    <n v="141.46"/>
    <n v="0"/>
    <n v="141.46"/>
    <n v="78.650000000000006"/>
    <n v="62.81"/>
    <n v="0.44401244167962672"/>
    <x v="0"/>
    <s v=""/>
    <s v=""/>
    <s v=""/>
    <x v="1"/>
    <d v="2025-11-18T00:00:00"/>
  </r>
  <r>
    <x v="29"/>
    <s v="ORD-00012"/>
    <d v="2025-03-01T01:00:00"/>
    <s v="C0024"/>
    <s v="Emma Gagnon, Calgary, Small Business"/>
    <s v="Emma Gagnon"/>
    <s v="Calgary"/>
    <s v="Small Business"/>
    <n v="2"/>
    <s v="P009"/>
    <n v="2"/>
    <n v="147.46"/>
    <n v="0"/>
    <s v="Retail Store"/>
    <s v="Retail Store"/>
    <s v="Debit Card"/>
    <s v="Debit Card"/>
    <s v="Toronto Downtown"/>
    <s v="Alberta"/>
    <s v="Small Business"/>
    <n v="100.95"/>
    <x v="3"/>
    <n v="294.92"/>
    <n v="0"/>
    <n v="294.92"/>
    <n v="201.9"/>
    <n v="93.02000000000001"/>
    <n v="0.31540756815407572"/>
    <x v="0"/>
    <s v=""/>
    <s v=""/>
    <s v=""/>
    <x v="0"/>
    <d v="2025-03-02T01:00:00"/>
  </r>
  <r>
    <x v="30"/>
    <s v="ORD-00012"/>
    <d v="2025-03-01T01:00:00"/>
    <s v="C0024"/>
    <s v="Emma Gagnon, Calgary, Small Business"/>
    <s v="Emma Gagnon"/>
    <s v="Calgary"/>
    <s v="Small Business"/>
    <n v="2"/>
    <s v="P007"/>
    <n v="1"/>
    <n v="25.15"/>
    <n v="0.05"/>
    <s v="Retail Store"/>
    <s v="Retail Store"/>
    <m/>
    <s v="Unknown"/>
    <s v="Vancouver West"/>
    <s v="Alberta"/>
    <s v="Small Business"/>
    <n v="14.24"/>
    <x v="3"/>
    <n v="25.15"/>
    <n v="1.2575000000000001"/>
    <n v="23.892499999999998"/>
    <n v="14.24"/>
    <n v="9.6524999999999981"/>
    <n v="0.403997070210317"/>
    <x v="0"/>
    <s v=""/>
    <s v=""/>
    <s v=""/>
    <x v="0"/>
    <d v="2025-03-02T01:00:00"/>
  </r>
  <r>
    <x v="31"/>
    <s v="ORD-00013"/>
    <d v="2025-12-19T00:00:00"/>
    <s v="C0137"/>
    <s v="Ethan Martin, Ottawa, Consumer"/>
    <s v="Ethan Martin"/>
    <s v="Ottawa"/>
    <s v="Consumer"/>
    <n v="2"/>
    <s v="P041"/>
    <n v="1"/>
    <n v="238.47"/>
    <n v="0.05"/>
    <s v="Market place"/>
    <s v="Marketplace"/>
    <s v="CC"/>
    <s v="Credit Card"/>
    <s v="Online Fulfillment"/>
    <s v="Ontario"/>
    <s v="Consumer"/>
    <n v="127.65"/>
    <x v="1"/>
    <n v="238.47"/>
    <n v="11.923500000000001"/>
    <n v="226.54650000000001"/>
    <n v="127.65"/>
    <n v="98.896500000000003"/>
    <n v="0.43653951837702193"/>
    <x v="0"/>
    <s v=""/>
    <s v=""/>
    <s v=""/>
    <x v="0"/>
    <d v="2025-12-20T00:00:00"/>
  </r>
  <r>
    <x v="32"/>
    <s v="ORD-00014"/>
    <d v="2025-06-26T00:00:00"/>
    <s v="C0044"/>
    <s v="Yara Tremblay, Edmonton, Corporate"/>
    <s v="Yara Tremblay"/>
    <s v="Edmonton"/>
    <s v="Corporate"/>
    <n v="2"/>
    <s v="P042"/>
    <n v="2"/>
    <n v="102.78"/>
    <n v="0.05"/>
    <s v="Retail  Store"/>
    <s v="Retail Store"/>
    <s v="CC"/>
    <s v="Credit Card"/>
    <s v="Online Fulfillment"/>
    <s v="Alberta"/>
    <s v="Corporate"/>
    <n v="62.65"/>
    <x v="1"/>
    <n v="205.56"/>
    <n v="10.278"/>
    <n v="195.28200000000001"/>
    <n v="125.3"/>
    <n v="69.982000000000014"/>
    <n v="0.35836380209133462"/>
    <x v="0"/>
    <s v=""/>
    <s v=""/>
    <s v=""/>
    <x v="1"/>
    <d v="2025-07-06T00:00:00"/>
  </r>
  <r>
    <x v="33"/>
    <s v="ORD-00014"/>
    <d v="2025-06-26T00:00:00"/>
    <s v="C0044"/>
    <s v="Yara Tremblay, Edmonton, Corporate"/>
    <s v="Yara Tremblay"/>
    <s v="Edmonton"/>
    <s v="Corporate"/>
    <n v="2"/>
    <s v="P031"/>
    <n v="2"/>
    <n v="208.81"/>
    <n v="0.05"/>
    <s v="Online"/>
    <s v="Online"/>
    <s v="CC"/>
    <s v="Credit Card"/>
    <s v="Calgary North"/>
    <s v="Alberta"/>
    <s v="Corporate"/>
    <n v="139.04"/>
    <x v="0"/>
    <n v="417.62"/>
    <n v="20.881"/>
    <n v="396.73900000000003"/>
    <n v="278.08"/>
    <n v="118.65900000000005"/>
    <n v="0.29908579695971416"/>
    <x v="0"/>
    <s v=""/>
    <s v=""/>
    <s v=""/>
    <x v="1"/>
    <d v="2025-07-06T00:00:00"/>
  </r>
  <r>
    <x v="34"/>
    <s v="ORD-00014"/>
    <d v="2025-06-26T00:00:00"/>
    <s v="C0044"/>
    <s v="Yara Tremblay, Edmonton, Corporate"/>
    <s v="Yara Tremblay"/>
    <s v="Edmonton"/>
    <s v="Corporate"/>
    <n v="2"/>
    <s v="P024"/>
    <n v="4"/>
    <n v="263.04000000000002"/>
    <n v="0.15"/>
    <s v="Online"/>
    <s v="Online"/>
    <s v="Gift Card"/>
    <s v="Gift Card"/>
    <s v="Vancouver West"/>
    <s v="Alberta"/>
    <s v="Corporate"/>
    <n v="161.84"/>
    <x v="2"/>
    <n v="1052.1600000000001"/>
    <n v="157.82400000000001"/>
    <n v="894.33600000000001"/>
    <n v="647.36"/>
    <n v="246.976"/>
    <n v="0.27615571776155717"/>
    <x v="0"/>
    <s v=""/>
    <s v=""/>
    <s v=""/>
    <x v="1"/>
    <d v="2025-07-06T00:00:00"/>
  </r>
  <r>
    <x v="35"/>
    <s v="ORD-00014"/>
    <d v="2025-06-26T00:00:00"/>
    <s v="C0044"/>
    <s v="Yara Tremblay, Edmonton, Corporate"/>
    <s v="Yara Tremblay"/>
    <s v="Edmonton"/>
    <s v="Corporate"/>
    <n v="2"/>
    <s v="P017"/>
    <n v="1"/>
    <n v="234.37"/>
    <n v="0"/>
    <s v="Retail Store"/>
    <s v="Retail Store"/>
    <s v="Debit Card"/>
    <s v="Debit Card"/>
    <s v="Montreal Central"/>
    <s v="Alberta"/>
    <s v="Corporate"/>
    <n v="129.41999999999999"/>
    <x v="4"/>
    <n v="234.37"/>
    <n v="0"/>
    <n v="234.37"/>
    <n v="129.41999999999999"/>
    <n v="104.95000000000002"/>
    <n v="0.44779621965268601"/>
    <x v="0"/>
    <s v=""/>
    <s v=""/>
    <s v=""/>
    <x v="1"/>
    <d v="2025-07-06T00:00:00"/>
  </r>
  <r>
    <x v="36"/>
    <s v="ORD-00015"/>
    <d v="2025-09-01T00:00:00"/>
    <s v="C0059"/>
    <s v="Sofia Martin, Ottawa, Consumer"/>
    <s v="Sofia Martin"/>
    <s v="Ottawa"/>
    <s v="Consumer"/>
    <n v="2"/>
    <s v="P003"/>
    <n v="4"/>
    <n v="265.73"/>
    <n v="0.15"/>
    <s v="Online"/>
    <s v="Online"/>
    <s v="Credit Card"/>
    <s v="Credit Card"/>
    <s v="Toronto Downtown"/>
    <s v="Ontario"/>
    <s v="Consumer"/>
    <n v="154.16999999999999"/>
    <x v="3"/>
    <n v="1062.92"/>
    <n v="159.43800000000002"/>
    <n v="903.48200000000008"/>
    <n v="616.67999999999995"/>
    <n v="286.80200000000013"/>
    <n v="0.31744074591414118"/>
    <x v="0"/>
    <s v=""/>
    <s v=""/>
    <s v=""/>
    <x v="0"/>
    <d v="2025-09-06T00:00:00"/>
  </r>
  <r>
    <x v="37"/>
    <s v="ORD-00016"/>
    <d v="2025-08-17T00:00:00"/>
    <s v="C0034"/>
    <s v="Omar Brown, Halifax, Consumer"/>
    <s v="Omar Brown"/>
    <s v="Halifax"/>
    <s v="Consumer"/>
    <n v="2"/>
    <s v="P041"/>
    <n v="3"/>
    <n v="238.47"/>
    <n v="0.15"/>
    <s v="Market place"/>
    <s v="Marketplace"/>
    <m/>
    <s v="Unknown"/>
    <s v="Vancouver West"/>
    <s v="Nova Scotia"/>
    <s v="Consumer"/>
    <n v="127.65"/>
    <x v="1"/>
    <n v="715.41"/>
    <n v="107.3115"/>
    <n v="608.09849999999994"/>
    <n v="382.95000000000005"/>
    <n v="225.1484999999999"/>
    <n v="0.37025004995078908"/>
    <x v="0"/>
    <s v=""/>
    <s v=""/>
    <s v=""/>
    <x v="0"/>
    <d v="2025-08-20T00:00:00"/>
  </r>
  <r>
    <x v="38"/>
    <s v="ORD-00017"/>
    <d v="2025-11-26T00:00:00"/>
    <s v="C0104"/>
    <s v="Yara Ali, Ottawa, Small Business"/>
    <s v="Yara Ali"/>
    <s v="Ottawa"/>
    <s v="Small Business"/>
    <n v="2"/>
    <s v="P036"/>
    <n v="4"/>
    <n v="210.2"/>
    <n v="0"/>
    <s v="Market place"/>
    <s v="Marketplace"/>
    <s v="Debit Card"/>
    <s v="Debit Card"/>
    <s v="Calgary North"/>
    <s v="Ontario"/>
    <s v="Small Business"/>
    <n v="136.25"/>
    <x v="0"/>
    <n v="840.8"/>
    <n v="0"/>
    <n v="840.8"/>
    <n v="545"/>
    <n v="295.79999999999995"/>
    <n v="0.35180780209324447"/>
    <x v="1"/>
    <s v="Wrong Item"/>
    <d v="2025-12-26T00:00:00"/>
    <s v="Refunded"/>
    <x v="1"/>
    <d v="2025-12-06T00:00:00"/>
  </r>
  <r>
    <x v="39"/>
    <s v="ORD-00017"/>
    <d v="2025-11-26T00:00:00"/>
    <s v="C0104"/>
    <s v="Yara Ali, Ottawa, Small Business"/>
    <s v="Yara Ali"/>
    <s v="Ottawa"/>
    <s v="Small Business"/>
    <n v="2"/>
    <s v="P030"/>
    <n v="4"/>
    <n v="75.75"/>
    <n v="0.05"/>
    <s v="Online"/>
    <s v="Online"/>
    <s v="CC"/>
    <s v="Credit Card"/>
    <s v="Vancouver West"/>
    <s v="Ontario"/>
    <s v="Small Business"/>
    <n v="42.37"/>
    <x v="2"/>
    <n v="303"/>
    <n v="15.15"/>
    <n v="287.85000000000002"/>
    <n v="169.48"/>
    <n v="118.37000000000003"/>
    <n v="0.41122112211221129"/>
    <x v="0"/>
    <s v=""/>
    <s v=""/>
    <s v=""/>
    <x v="1"/>
    <d v="2025-12-06T00:00:00"/>
  </r>
  <r>
    <x v="40"/>
    <s v="ORD-00018"/>
    <d v="2025-11-01T00:00:00"/>
    <s v="C0031"/>
    <s v="Adam Brown, Edmonton, Small Business"/>
    <s v="Adam Brown"/>
    <s v="Edmonton"/>
    <s v="Small Business"/>
    <n v="2"/>
    <s v="P001"/>
    <n v="1"/>
    <n v="133.24"/>
    <n v="0.15"/>
    <s v="Online"/>
    <s v="Online"/>
    <m/>
    <s v="Unknown"/>
    <s v="Calgary North"/>
    <s v="Alberta"/>
    <s v="Small Business"/>
    <n v="77.540000000000006"/>
    <x v="3"/>
    <n v="133.24"/>
    <n v="19.986000000000001"/>
    <n v="113.254"/>
    <n v="77.540000000000006"/>
    <n v="35.713999999999999"/>
    <n v="0.3153442704010454"/>
    <x v="1"/>
    <s v="Wrong Item"/>
    <d v="2025-11-11T00:00:00"/>
    <s v="Pending"/>
    <x v="1"/>
    <d v="2025-11-10T00:00:00"/>
  </r>
  <r>
    <x v="41"/>
    <s v="ORD-00018"/>
    <d v="2025-11-01T00:00:00"/>
    <s v="C0031"/>
    <s v="Adam Brown, Edmonton, Small Business"/>
    <s v="Adam Brown"/>
    <s v="Edmonton"/>
    <s v="Small Business"/>
    <n v="2"/>
    <s v="P047"/>
    <n v="4"/>
    <n v="228.81"/>
    <n v="0.15"/>
    <s v="Retail  Store"/>
    <s v="Retail Store"/>
    <s v="CC"/>
    <s v="Credit Card"/>
    <s v="Montreal Central"/>
    <s v="Alberta"/>
    <s v="Small Business"/>
    <n v="130.9"/>
    <x v="1"/>
    <n v="915.24"/>
    <n v="137.286"/>
    <n v="777.95399999999995"/>
    <n v="523.6"/>
    <n v="254.35399999999993"/>
    <n v="0.32695249333508142"/>
    <x v="0"/>
    <s v=""/>
    <s v=""/>
    <s v=""/>
    <x v="1"/>
    <d v="2025-11-10T00:00:00"/>
  </r>
  <r>
    <x v="42"/>
    <s v="ORD-00018"/>
    <d v="2025-11-01T00:00:00"/>
    <s v="C0031"/>
    <s v="Adam Brown, Edmonton, Small Business"/>
    <s v="Adam Brown"/>
    <s v="Edmonton"/>
    <s v="Small Business"/>
    <n v="2"/>
    <s v="P041"/>
    <n v="2"/>
    <n v="238.47"/>
    <n v="0.05"/>
    <s v="Retail  Store"/>
    <s v="Retail Store"/>
    <s v="Credit Card"/>
    <s v="Credit Card"/>
    <s v="Montreal Central"/>
    <s v="Alberta"/>
    <s v="Small Business"/>
    <n v="127.65"/>
    <x v="1"/>
    <n v="476.94"/>
    <n v="23.847000000000001"/>
    <n v="453.09300000000002"/>
    <n v="255.3"/>
    <n v="197.79300000000001"/>
    <n v="0.43653951837702193"/>
    <x v="0"/>
    <s v=""/>
    <s v=""/>
    <s v=""/>
    <x v="1"/>
    <d v="2025-11-10T00:00:00"/>
  </r>
  <r>
    <x v="43"/>
    <s v="ORD-00018"/>
    <d v="2025-11-01T00:00:00"/>
    <s v="C0031"/>
    <s v="Adam Brown, Edmonton, Small Business"/>
    <s v="Adam Brown"/>
    <s v="Edmonton"/>
    <s v="Small Business"/>
    <n v="2"/>
    <s v="P007"/>
    <n v="4"/>
    <n v="25.15"/>
    <n v="0.1"/>
    <s v="Online"/>
    <s v="Online"/>
    <s v="CC"/>
    <s v="Credit Card"/>
    <s v="Vancouver West"/>
    <s v="Alberta"/>
    <s v="Small Business"/>
    <n v="14.24"/>
    <x v="3"/>
    <n v="100.6"/>
    <n v="10.06"/>
    <n v="90.539999999999992"/>
    <n v="56.96"/>
    <n v="33.579999999999991"/>
    <n v="0.37088579633311236"/>
    <x v="0"/>
    <s v=""/>
    <s v=""/>
    <s v=""/>
    <x v="1"/>
    <d v="2025-11-10T00:00:00"/>
  </r>
  <r>
    <x v="44"/>
    <s v="ORD-00019"/>
    <d v="2025-02-27T01:00:00"/>
    <s v="C0143"/>
    <s v="Noah Brown, Ottawa, Consumer"/>
    <s v="Noah Brown"/>
    <s v="Ottawa"/>
    <s v="Consumer"/>
    <n v="2"/>
    <s v="P022"/>
    <n v="4"/>
    <n v="61.81"/>
    <n v="0.1"/>
    <s v="Market place"/>
    <s v="Marketplace"/>
    <s v="Debit Card"/>
    <s v="Debit Card"/>
    <s v="Toronto Downtown"/>
    <s v="Ontario"/>
    <s v="Consumer"/>
    <n v="33.19"/>
    <x v="2"/>
    <n v="247.24"/>
    <n v="24.724000000000004"/>
    <n v="222.51600000000002"/>
    <n v="132.76"/>
    <n v="89.756000000000029"/>
    <n v="0.40336874651710447"/>
    <x v="0"/>
    <s v=""/>
    <s v=""/>
    <s v=""/>
    <x v="1"/>
    <d v="2025-03-06T01:00:00"/>
  </r>
  <r>
    <x v="45"/>
    <s v="ORD-00019"/>
    <d v="2025-02-27T01:00:00"/>
    <s v="C0143"/>
    <s v="Noah Brown, Ottawa, Consumer"/>
    <s v="Noah Brown"/>
    <s v="Ottawa"/>
    <s v="Consumer"/>
    <n v="2"/>
    <s v="P014"/>
    <n v="1"/>
    <n v="91.75"/>
    <n v="0"/>
    <s v="Market place"/>
    <s v="Marketplace"/>
    <s v="CC"/>
    <s v="Credit Card"/>
    <s v="Calgary North"/>
    <s v="Ontario"/>
    <s v="Consumer"/>
    <n v="58.27"/>
    <x v="4"/>
    <n v="91.75"/>
    <n v="0"/>
    <n v="91.75"/>
    <n v="58.27"/>
    <n v="33.479999999999997"/>
    <n v="0.3649046321525885"/>
    <x v="0"/>
    <s v=""/>
    <s v=""/>
    <s v=""/>
    <x v="1"/>
    <d v="2025-03-06T01:00:00"/>
  </r>
  <r>
    <x v="46"/>
    <s v="ORD-00020"/>
    <d v="2025-12-07T00:00:00"/>
    <s v="C0140"/>
    <s v="Amina Martin, Quebec City, Consumer"/>
    <s v="Amina Martin"/>
    <s v="Quebec City"/>
    <s v="Consumer"/>
    <n v="2"/>
    <s v="P022"/>
    <n v="1"/>
    <n v="61.81"/>
    <n v="0"/>
    <s v="Online"/>
    <s v="Online"/>
    <s v="Gift Card"/>
    <s v="Gift Card"/>
    <s v="Calgary North"/>
    <s v="Quebec"/>
    <s v="Consumer"/>
    <n v="33.19"/>
    <x v="2"/>
    <n v="61.81"/>
    <n v="0"/>
    <n v="61.81"/>
    <n v="33.19"/>
    <n v="28.620000000000005"/>
    <n v="0.46303187186539402"/>
    <x v="1"/>
    <s v="Damaged"/>
    <d v="2025-12-27T00:00:00"/>
    <s v="Pending"/>
    <x v="1"/>
    <d v="2025-12-17T00:00:00"/>
  </r>
  <r>
    <x v="47"/>
    <s v="ORD-00021"/>
    <d v="2025-10-30T00:00:00"/>
    <s v="C0079"/>
    <s v="Liam Singh, Edmonton, Small Business"/>
    <s v="Liam Singh"/>
    <s v="Edmonton"/>
    <s v="Small Business"/>
    <n v="2"/>
    <s v="P007"/>
    <n v="2"/>
    <n v="25.15"/>
    <n v="0.1"/>
    <s v="Online"/>
    <s v="Online"/>
    <s v="CC"/>
    <s v="Credit Card"/>
    <s v="Montreal Central"/>
    <s v="Alberta"/>
    <s v="Small Business"/>
    <n v="14.24"/>
    <x v="3"/>
    <n v="50.3"/>
    <n v="5.03"/>
    <n v="45.269999999999996"/>
    <n v="28.48"/>
    <n v="16.789999999999996"/>
    <n v="0.37088579633311236"/>
    <x v="1"/>
    <s v="Wrong Item"/>
    <d v="2025-11-19T00:00:00"/>
    <s v="Pending"/>
    <x v="1"/>
    <d v="2025-11-04T00:00:00"/>
  </r>
  <r>
    <x v="48"/>
    <s v="ORD-00021"/>
    <d v="2025-10-30T00:00:00"/>
    <s v="C0079"/>
    <s v="Liam Singh, Edmonton, Small Business"/>
    <s v="Liam Singh"/>
    <s v="Edmonton"/>
    <s v="Small Business"/>
    <n v="2"/>
    <s v="P024"/>
    <n v="3"/>
    <n v="263.04000000000002"/>
    <n v="0.1"/>
    <s v="Marketplace"/>
    <s v="Marketplace"/>
    <s v="PayPal"/>
    <s v="PayPal"/>
    <s v="Toronto Downtown"/>
    <s v="Alberta"/>
    <s v="Small Business"/>
    <n v="161.84"/>
    <x v="2"/>
    <n v="789.12000000000012"/>
    <n v="78.91200000000002"/>
    <n v="710.20800000000008"/>
    <n v="485.52"/>
    <n v="224.6880000000001"/>
    <n v="0.31636928899702632"/>
    <x v="0"/>
    <s v=""/>
    <s v=""/>
    <s v=""/>
    <x v="1"/>
    <d v="2025-11-04T00:00:00"/>
  </r>
  <r>
    <x v="49"/>
    <s v="ORD-00021"/>
    <d v="2025-10-30T00:00:00"/>
    <s v="C0079"/>
    <s v="Liam Singh, Edmonton, Small Business"/>
    <s v="Liam Singh"/>
    <s v="Edmonton"/>
    <s v="Small Business"/>
    <n v="2"/>
    <s v="P031"/>
    <n v="3"/>
    <n v="208.81"/>
    <n v="0.15"/>
    <s v="Online"/>
    <s v="Online"/>
    <s v="CC"/>
    <s v="Credit Card"/>
    <s v="Toronto Downtown"/>
    <s v="Alberta"/>
    <s v="Small Business"/>
    <n v="139.04"/>
    <x v="0"/>
    <n v="626.43000000000006"/>
    <n v="93.964500000000001"/>
    <n v="532.46550000000002"/>
    <n v="417.12"/>
    <n v="115.34550000000002"/>
    <n v="0.21662530248438633"/>
    <x v="0"/>
    <s v=""/>
    <s v=""/>
    <s v=""/>
    <x v="1"/>
    <d v="2025-11-04T00:00:00"/>
  </r>
  <r>
    <x v="50"/>
    <s v="ORD-00022"/>
    <d v="2025-07-13T00:00:00"/>
    <s v="C0142"/>
    <s v="Liam Gagnon, Toronto, Consumer"/>
    <s v="Liam Gagnon"/>
    <s v="Toronto"/>
    <s v="Consumer"/>
    <n v="2"/>
    <s v="P047"/>
    <n v="3"/>
    <n v="228.81"/>
    <n v="0.1"/>
    <s v="Marketplace"/>
    <s v="Marketplace"/>
    <m/>
    <s v="Unknown"/>
    <s v="Online Fulfillment"/>
    <s v="Ontario"/>
    <s v="Consumer"/>
    <n v="130.9"/>
    <x v="1"/>
    <n v="686.43000000000006"/>
    <n v="68.643000000000015"/>
    <n v="617.78700000000003"/>
    <n v="392.70000000000005"/>
    <n v="225.08699999999999"/>
    <n v="0.3643440214831325"/>
    <x v="0"/>
    <s v=""/>
    <s v=""/>
    <s v=""/>
    <x v="1"/>
    <d v="2025-07-20T00:00:00"/>
  </r>
  <r>
    <x v="51"/>
    <s v="ORD-00022"/>
    <d v="2025-07-13T00:00:00"/>
    <s v="C0142"/>
    <s v="Liam Gagnon, Toronto, Consumer"/>
    <s v="Liam Gagnon"/>
    <s v="Toronto"/>
    <s v="Consumer"/>
    <n v="2"/>
    <s v="P019"/>
    <n v="2"/>
    <n v="183.73"/>
    <n v="0"/>
    <s v="Retail  Store"/>
    <s v="Retail Store"/>
    <m/>
    <s v="Unknown"/>
    <s v="Calgary North"/>
    <s v="Ontario"/>
    <s v="Consumer"/>
    <n v="98.11"/>
    <x v="4"/>
    <n v="367.46"/>
    <n v="0"/>
    <n v="367.46"/>
    <n v="196.22"/>
    <n v="171.23999999999998"/>
    <n v="0.46600990584009139"/>
    <x v="0"/>
    <s v=""/>
    <s v=""/>
    <s v=""/>
    <x v="1"/>
    <d v="2025-07-20T00:00:00"/>
  </r>
  <r>
    <x v="52"/>
    <s v="ORD-00023"/>
    <d v="2025-12-13T00:00:00"/>
    <s v="C0056"/>
    <s v="Noah Singh, Ottawa, Small Business"/>
    <s v="Noah Singh"/>
    <s v="Ottawa"/>
    <s v="Small Business"/>
    <n v="2"/>
    <s v="P039"/>
    <n v="1"/>
    <n v="154.47"/>
    <n v="0.05"/>
    <s v="Online"/>
    <s v="Online"/>
    <s v="Debit Card"/>
    <s v="Debit Card"/>
    <s v="Online Fulfillment"/>
    <s v="Ontario"/>
    <s v="Small Business"/>
    <n v="102.57"/>
    <x v="0"/>
    <n v="154.47"/>
    <n v="7.7235000000000005"/>
    <n v="146.7465"/>
    <n v="102.57"/>
    <n v="44.176500000000004"/>
    <n v="0.30103954779159986"/>
    <x v="1"/>
    <s v="Late Delivery"/>
    <d v="2026-01-07T00:00:00"/>
    <s v="Refunded"/>
    <x v="1"/>
    <d v="2025-12-19T00:00:00"/>
  </r>
  <r>
    <x v="53"/>
    <s v="ORD-00023"/>
    <d v="2025-12-13T00:00:00"/>
    <s v="C0056"/>
    <s v="Noah Singh, Ottawa, Small Business"/>
    <s v="Noah Singh"/>
    <s v="Ottawa"/>
    <s v="Small Business"/>
    <n v="2"/>
    <s v="P002"/>
    <n v="4"/>
    <n v="105.38"/>
    <n v="0.05"/>
    <s v="Market place"/>
    <s v="Marketplace"/>
    <m/>
    <s v="Unknown"/>
    <s v="Online Fulfillment"/>
    <s v="Ontario"/>
    <s v="Small Business"/>
    <n v="67.290000000000006"/>
    <x v="3"/>
    <n v="421.52"/>
    <n v="21.076000000000001"/>
    <n v="400.44399999999996"/>
    <n v="269.16000000000003"/>
    <n v="131.28399999999993"/>
    <n v="0.32784609083916838"/>
    <x v="0"/>
    <s v=""/>
    <s v=""/>
    <s v=""/>
    <x v="1"/>
    <d v="2025-12-19T00:00:00"/>
  </r>
  <r>
    <x v="54"/>
    <s v="ORD-00023"/>
    <d v="2025-12-13T00:00:00"/>
    <s v="C0056"/>
    <s v="Noah Singh, Ottawa, Small Business"/>
    <s v="Noah Singh"/>
    <s v="Ottawa"/>
    <s v="Small Business"/>
    <n v="2"/>
    <s v="P027"/>
    <n v="4"/>
    <n v="244.25"/>
    <n v="0.1"/>
    <s v="Marketplace"/>
    <s v="Marketplace"/>
    <s v="CC"/>
    <s v="Credit Card"/>
    <s v="Vancouver West"/>
    <s v="Ontario"/>
    <s v="Small Business"/>
    <n v="150.96"/>
    <x v="2"/>
    <n v="977"/>
    <n v="97.7"/>
    <n v="879.3"/>
    <n v="603.84"/>
    <n v="275.45999999999992"/>
    <n v="0.31327192084612754"/>
    <x v="1"/>
    <s v="Damaged"/>
    <d v="2025-12-27T00:00:00"/>
    <s v="Refunded"/>
    <x v="1"/>
    <d v="2025-12-19T00:00:00"/>
  </r>
  <r>
    <x v="55"/>
    <s v="ORD-00024"/>
    <d v="2025-09-03T00:00:00"/>
    <s v="C0128"/>
    <s v="Sofia Gagnon, Montreal, Corporate"/>
    <s v="Sofia Gagnon"/>
    <s v="Montreal"/>
    <s v="Corporate"/>
    <n v="2"/>
    <s v="P003"/>
    <n v="2"/>
    <n v="265.73"/>
    <n v="0.1"/>
    <s v="Online"/>
    <s v="Online"/>
    <s v="PayPal"/>
    <s v="PayPal"/>
    <s v="Vancouver West"/>
    <s v="Quebec"/>
    <s v="Corporate"/>
    <n v="154.16999999999999"/>
    <x v="3"/>
    <n v="531.46"/>
    <n v="53.146000000000008"/>
    <n v="478.31400000000002"/>
    <n v="308.33999999999997"/>
    <n v="169.97400000000005"/>
    <n v="0.35536070447446666"/>
    <x v="0"/>
    <s v=""/>
    <s v=""/>
    <s v=""/>
    <x v="0"/>
    <d v="2025-09-06T00:00:00"/>
  </r>
  <r>
    <x v="56"/>
    <s v="ORD-00024"/>
    <d v="2025-09-03T00:00:00"/>
    <s v="C0128"/>
    <s v="Sofia Gagnon, Montreal, Corporate"/>
    <s v="Sofia Gagnon"/>
    <s v="Montreal"/>
    <s v="Corporate"/>
    <n v="2"/>
    <s v="P040"/>
    <n v="4"/>
    <n v="33.369999999999997"/>
    <n v="0.05"/>
    <s v="Online"/>
    <s v="Online"/>
    <m/>
    <s v="Unknown"/>
    <s v="Online Fulfillment"/>
    <s v="Quebec"/>
    <s v="Corporate"/>
    <n v="18.670000000000002"/>
    <x v="0"/>
    <n v="133.47999999999999"/>
    <n v="6.6739999999999995"/>
    <n v="126.80599999999998"/>
    <n v="74.680000000000007"/>
    <n v="52.125999999999976"/>
    <n v="0.41106887686702509"/>
    <x v="0"/>
    <s v=""/>
    <s v=""/>
    <s v=""/>
    <x v="0"/>
    <d v="2025-09-06T00:00:00"/>
  </r>
  <r>
    <x v="57"/>
    <s v="ORD-00024"/>
    <d v="2025-09-03T00:00:00"/>
    <s v="C0128"/>
    <s v="Sofia Gagnon, Montreal, Corporate"/>
    <s v="Sofia Gagnon"/>
    <s v="Montreal"/>
    <s v="Corporate"/>
    <n v="2"/>
    <s v="P040"/>
    <n v="1"/>
    <n v="33.369999999999997"/>
    <n v="0"/>
    <s v="Market place"/>
    <s v="Marketplace"/>
    <s v="Credit Card"/>
    <s v="Credit Card"/>
    <s v="Calgary North"/>
    <s v="Quebec"/>
    <s v="Corporate"/>
    <n v="18.670000000000002"/>
    <x v="0"/>
    <n v="33.369999999999997"/>
    <n v="0"/>
    <n v="33.369999999999997"/>
    <n v="18.670000000000002"/>
    <n v="14.699999999999996"/>
    <n v="0.44051543302367385"/>
    <x v="0"/>
    <s v=""/>
    <s v=""/>
    <s v=""/>
    <x v="0"/>
    <d v="2025-09-06T00:00:00"/>
  </r>
  <r>
    <x v="58"/>
    <s v="ORD-00025"/>
    <d v="2025-04-19T00:00:00"/>
    <s v="C0034"/>
    <s v="Omar Brown, Halifax, Consumer"/>
    <s v="Omar Brown"/>
    <s v="Halifax"/>
    <s v="Consumer"/>
    <n v="2"/>
    <s v="P012"/>
    <n v="3"/>
    <n v="186.92"/>
    <n v="0.1"/>
    <s v="Marketplace"/>
    <s v="Marketplace"/>
    <s v="Debit Card"/>
    <s v="Debit Card"/>
    <s v="Online Fulfillment"/>
    <s v="Nova Scotia"/>
    <s v="Consumer"/>
    <n v="114.11"/>
    <x v="4"/>
    <n v="560.76"/>
    <n v="56.076000000000001"/>
    <n v="504.68399999999997"/>
    <n v="342.33"/>
    <n v="162.35399999999998"/>
    <n v="0.32169436716836675"/>
    <x v="0"/>
    <s v=""/>
    <s v=""/>
    <s v=""/>
    <x v="1"/>
    <d v="2025-04-25T00:00:00"/>
  </r>
  <r>
    <x v="59"/>
    <s v="ORD-00025"/>
    <d v="2025-04-19T00:00:00"/>
    <s v="C0034"/>
    <s v="Omar Brown, Halifax, Consumer"/>
    <s v="Omar Brown"/>
    <s v="Halifax"/>
    <s v="Consumer"/>
    <n v="2"/>
    <s v="P025"/>
    <n v="1"/>
    <n v="115.28"/>
    <n v="0"/>
    <s v="Retail Store"/>
    <s v="Retail Store"/>
    <s v="CC"/>
    <s v="Credit Card"/>
    <s v="Montreal Central"/>
    <s v="Nova Scotia"/>
    <s v="Consumer"/>
    <n v="61.65"/>
    <x v="2"/>
    <n v="115.28"/>
    <n v="0"/>
    <n v="115.28"/>
    <n v="61.65"/>
    <n v="53.63"/>
    <n v="0.46521512838306733"/>
    <x v="1"/>
    <s v="Late Delivery"/>
    <d v="2025-05-05T00:00:00"/>
    <s v="Refunded"/>
    <x v="1"/>
    <d v="2025-04-25T00:00:00"/>
  </r>
  <r>
    <x v="60"/>
    <s v="ORD-00026"/>
    <d v="2025-07-19T00:00:00"/>
    <s v="C0085"/>
    <s v="Maya Johnson, Calgary, Consumer"/>
    <s v="Maya Johnson"/>
    <s v="Calgary"/>
    <s v="Consumer"/>
    <n v="2"/>
    <s v="P021"/>
    <n v="4"/>
    <n v="25.01"/>
    <n v="0"/>
    <s v="Retail  Store"/>
    <s v="Retail Store"/>
    <s v="CC"/>
    <s v="Credit Card"/>
    <s v="Calgary North"/>
    <s v="Alberta"/>
    <s v="Consumer"/>
    <n v="16.86"/>
    <x v="2"/>
    <n v="100.04"/>
    <n v="0"/>
    <n v="100.04"/>
    <n v="67.44"/>
    <n v="32.600000000000009"/>
    <n v="0.32586965213914443"/>
    <x v="0"/>
    <s v=""/>
    <s v=""/>
    <s v=""/>
    <x v="1"/>
    <d v="2025-07-26T00:00:00"/>
  </r>
  <r>
    <x v="61"/>
    <s v="ORD-00026"/>
    <d v="2025-07-19T00:00:00"/>
    <s v="C0085"/>
    <s v="Maya Johnson, Calgary, Consumer"/>
    <s v="Maya Johnson"/>
    <s v="Calgary"/>
    <s v="Consumer"/>
    <n v="2"/>
    <s v="P047"/>
    <n v="2"/>
    <n v="228.81"/>
    <n v="0.05"/>
    <s v="Online"/>
    <s v="Online"/>
    <s v="Gift Card"/>
    <s v="Gift Card"/>
    <s v="Calgary North"/>
    <s v="Alberta"/>
    <s v="Consumer"/>
    <n v="130.9"/>
    <x v="1"/>
    <n v="457.62"/>
    <n v="22.881"/>
    <n v="434.73900000000003"/>
    <n v="261.8"/>
    <n v="172.93900000000002"/>
    <n v="0.39779959929980979"/>
    <x v="1"/>
    <s v="Late Delivery"/>
    <d v="2025-08-02T00:00:00"/>
    <s v="Refunded"/>
    <x v="1"/>
    <d v="2025-07-26T00:00:00"/>
  </r>
  <r>
    <x v="62"/>
    <s v="ORD-00027"/>
    <d v="2025-10-12T00:00:00"/>
    <s v="C0126"/>
    <s v="Emma Tremblay, Quebec City, Corporate"/>
    <s v="Emma Tremblay"/>
    <s v="Quebec City"/>
    <s v="Corporate"/>
    <n v="2"/>
    <s v="P007"/>
    <n v="4"/>
    <n v="25.15"/>
    <n v="0"/>
    <s v="Market place"/>
    <s v="Marketplace"/>
    <m/>
    <s v="Unknown"/>
    <s v="Vancouver West"/>
    <s v="Quebec"/>
    <s v="Corporate"/>
    <n v="14.24"/>
    <x v="3"/>
    <n v="100.6"/>
    <n v="0"/>
    <n v="100.6"/>
    <n v="56.96"/>
    <n v="43.639999999999993"/>
    <n v="0.43379721669980115"/>
    <x v="0"/>
    <s v=""/>
    <s v=""/>
    <s v=""/>
    <x v="1"/>
    <d v="2025-10-18T00:00:00"/>
  </r>
  <r>
    <x v="63"/>
    <s v="ORD-00027"/>
    <d v="2025-10-12T00:00:00"/>
    <s v="C0126"/>
    <s v="Emma Tremblay, Quebec City, Corporate"/>
    <s v="Emma Tremblay"/>
    <s v="Quebec City"/>
    <s v="Corporate"/>
    <n v="2"/>
    <s v="P021"/>
    <n v="2"/>
    <n v="25.01"/>
    <n v="0"/>
    <s v="Retail Store"/>
    <s v="Retail Store"/>
    <s v="Credit Card"/>
    <s v="Credit Card"/>
    <s v="Toronto Downtown"/>
    <s v="Quebec"/>
    <s v="Corporate"/>
    <n v="16.86"/>
    <x v="2"/>
    <n v="50.02"/>
    <n v="0"/>
    <n v="50.02"/>
    <n v="33.72"/>
    <n v="16.300000000000004"/>
    <n v="0.32586965213914443"/>
    <x v="0"/>
    <s v=""/>
    <s v=""/>
    <s v=""/>
    <x v="1"/>
    <d v="2025-10-18T00:00:00"/>
  </r>
  <r>
    <x v="64"/>
    <s v="ORD-00028"/>
    <d v="2025-10-15T00:00:00"/>
    <s v="C0164"/>
    <s v="Daniel Wilson, Calgary, Consumer"/>
    <s v="Daniel Wilson"/>
    <s v="Calgary"/>
    <s v="Consumer"/>
    <n v="2"/>
    <s v="P036"/>
    <n v="1"/>
    <n v="210.2"/>
    <n v="0.1"/>
    <s v="Online"/>
    <s v="Online"/>
    <m/>
    <s v="Unknown"/>
    <s v="Online Fulfillment"/>
    <s v="Alberta"/>
    <s v="Consumer"/>
    <n v="136.25"/>
    <x v="0"/>
    <n v="210.2"/>
    <n v="21.02"/>
    <n v="189.17999999999998"/>
    <n v="136.25"/>
    <n v="52.929999999999978"/>
    <n v="0.27978644677027159"/>
    <x v="0"/>
    <s v=""/>
    <s v=""/>
    <s v=""/>
    <x v="1"/>
    <d v="2025-10-24T00:00:00"/>
  </r>
  <r>
    <x v="65"/>
    <s v="ORD-00029"/>
    <d v="2025-11-27T00:00:00"/>
    <s v="C0089"/>
    <s v="Omar Gagnon, Winnipeg, Small Business"/>
    <s v="Omar Gagnon"/>
    <s v="Winnipeg"/>
    <s v="Small Business"/>
    <n v="2"/>
    <s v="P040"/>
    <n v="2"/>
    <n v="33.369999999999997"/>
    <n v="0"/>
    <s v="Retail Store"/>
    <s v="Retail Store"/>
    <s v="Gift Card"/>
    <s v="Gift Card"/>
    <s v="Vancouver West"/>
    <s v="Manitoba"/>
    <s v="Small Business"/>
    <n v="18.670000000000002"/>
    <x v="0"/>
    <n v="66.739999999999995"/>
    <n v="0"/>
    <n v="66.739999999999995"/>
    <n v="37.340000000000003"/>
    <n v="29.399999999999991"/>
    <n v="0.44051543302367385"/>
    <x v="0"/>
    <s v=""/>
    <s v=""/>
    <s v=""/>
    <x v="0"/>
    <d v="2025-12-01T00:00:00"/>
  </r>
  <r>
    <x v="66"/>
    <s v="ORD-00029"/>
    <d v="2025-11-27T00:00:00"/>
    <s v="C0089"/>
    <s v="Omar Gagnon, Winnipeg, Small Business"/>
    <s v="Omar Gagnon"/>
    <s v="Winnipeg"/>
    <s v="Small Business"/>
    <n v="2"/>
    <s v="P019"/>
    <n v="2"/>
    <n v="183.73"/>
    <n v="0.1"/>
    <s v="Marketplace"/>
    <s v="Marketplace"/>
    <s v="CC"/>
    <s v="Credit Card"/>
    <s v="Calgary North"/>
    <s v="Manitoba"/>
    <s v="Small Business"/>
    <n v="98.11"/>
    <x v="4"/>
    <n v="367.46"/>
    <n v="36.746000000000002"/>
    <n v="330.714"/>
    <n v="196.22"/>
    <n v="134.494"/>
    <n v="0.40667767315565717"/>
    <x v="0"/>
    <s v=""/>
    <s v=""/>
    <s v=""/>
    <x v="0"/>
    <d v="2025-12-01T00:00:00"/>
  </r>
  <r>
    <x v="67"/>
    <s v="ORD-00030"/>
    <d v="2025-04-16T00:00:00"/>
    <s v="C0165"/>
    <s v="Ethan Dubois, Calgary, Consumer"/>
    <s v="Ethan Dubois"/>
    <s v="Calgary"/>
    <s v="Consumer"/>
    <n v="2"/>
    <s v="P023"/>
    <n v="3"/>
    <n v="82.77"/>
    <n v="0"/>
    <s v="Online"/>
    <s v="Online"/>
    <m/>
    <s v="Unknown"/>
    <s v="Vancouver West"/>
    <s v="Alberta"/>
    <s v="Consumer"/>
    <n v="46.51"/>
    <x v="2"/>
    <n v="248.31"/>
    <n v="0"/>
    <n v="248.31"/>
    <n v="139.53"/>
    <n v="108.78"/>
    <n v="0.43808143046997705"/>
    <x v="0"/>
    <s v=""/>
    <s v=""/>
    <s v=""/>
    <x v="0"/>
    <d v="2025-04-18T00:00:00"/>
  </r>
  <r>
    <x v="68"/>
    <s v="ORD-00030"/>
    <d v="2025-04-16T00:00:00"/>
    <s v="C0165"/>
    <s v="Ethan Dubois, Calgary, Consumer"/>
    <s v="Ethan Dubois"/>
    <s v="Calgary"/>
    <s v="Consumer"/>
    <n v="2"/>
    <s v="P012"/>
    <n v="1"/>
    <n v="186.92"/>
    <n v="0.05"/>
    <s v="Online"/>
    <s v="Online"/>
    <s v="CC"/>
    <s v="Credit Card"/>
    <s v="Online Fulfillment"/>
    <s v="Alberta"/>
    <s v="Consumer"/>
    <n v="114.11"/>
    <x v="4"/>
    <n v="186.92"/>
    <n v="9.3460000000000001"/>
    <n v="177.57399999999998"/>
    <n v="114.11"/>
    <n v="63.463999999999984"/>
    <n v="0.3573946636331895"/>
    <x v="0"/>
    <s v=""/>
    <s v=""/>
    <s v=""/>
    <x v="0"/>
    <d v="2025-04-18T00:00:00"/>
  </r>
  <r>
    <x v="69"/>
    <s v="ORD-00030"/>
    <d v="2025-04-16T00:00:00"/>
    <s v="C0165"/>
    <s v="Ethan Dubois, Calgary, Consumer"/>
    <s v="Ethan Dubois"/>
    <s v="Calgary"/>
    <s v="Consumer"/>
    <n v="2"/>
    <s v="P049"/>
    <n v="4"/>
    <n v="300.56"/>
    <n v="0.1"/>
    <s v="Retail  Store"/>
    <s v="Retail Store"/>
    <s v="Credit Card"/>
    <s v="Credit Card"/>
    <s v="Online Fulfillment"/>
    <s v="Alberta"/>
    <s v="Consumer"/>
    <n v="158.86000000000001"/>
    <x v="1"/>
    <n v="1202.24"/>
    <n v="120.224"/>
    <n v="1082.0160000000001"/>
    <n v="635.44000000000005"/>
    <n v="446.57600000000002"/>
    <n v="0.4127258746635909"/>
    <x v="0"/>
    <s v=""/>
    <s v=""/>
    <s v=""/>
    <x v="0"/>
    <d v="2025-04-18T00:00:00"/>
  </r>
  <r>
    <x v="70"/>
    <s v="ORD-00031"/>
    <d v="2025-10-23T00:00:00"/>
    <s v="C0177"/>
    <s v="Omar Gagnon, Montreal, Consumer"/>
    <s v="Omar Gagnon"/>
    <s v="Montreal"/>
    <s v="Consumer"/>
    <n v="2"/>
    <s v="P021"/>
    <n v="4"/>
    <n v="25.01"/>
    <n v="0.1"/>
    <s v="Retail  Store"/>
    <s v="Retail Store"/>
    <s v="Gift Card"/>
    <s v="Gift Card"/>
    <s v="Montreal Central"/>
    <s v="Quebec"/>
    <s v="Consumer"/>
    <n v="16.86"/>
    <x v="2"/>
    <n v="100.04"/>
    <n v="10.004000000000001"/>
    <n v="90.036000000000001"/>
    <n v="67.44"/>
    <n v="22.596000000000004"/>
    <n v="0.25096628015460487"/>
    <x v="0"/>
    <s v=""/>
    <s v=""/>
    <s v=""/>
    <x v="0"/>
    <d v="2025-10-26T00:00:00"/>
  </r>
  <r>
    <x v="71"/>
    <s v="ORD-00031"/>
    <d v="2025-10-23T00:00:00"/>
    <s v="C0177"/>
    <s v="Omar Gagnon, Montreal, Consumer"/>
    <s v="Omar Gagnon"/>
    <s v="Montreal"/>
    <s v="Consumer"/>
    <n v="2"/>
    <s v="P034"/>
    <n v="4"/>
    <n v="141.46"/>
    <n v="0"/>
    <s v="Retail Store"/>
    <s v="Retail Store"/>
    <s v="Debit Card"/>
    <s v="Debit Card"/>
    <s v="Calgary North"/>
    <s v="Quebec"/>
    <s v="Consumer"/>
    <n v="78.650000000000006"/>
    <x v="0"/>
    <n v="565.84"/>
    <n v="0"/>
    <n v="565.84"/>
    <n v="314.60000000000002"/>
    <n v="251.24"/>
    <n v="0.44401244167962672"/>
    <x v="0"/>
    <s v=""/>
    <s v=""/>
    <s v=""/>
    <x v="0"/>
    <d v="2025-10-26T00:00:00"/>
  </r>
  <r>
    <x v="72"/>
    <s v="ORD-00032"/>
    <d v="2025-05-01T00:00:00"/>
    <s v="C0037"/>
    <s v="Maya Dubois, Winnipeg, Small Business"/>
    <s v="Maya Dubois"/>
    <s v="Winnipeg"/>
    <s v="Small Business"/>
    <n v="2"/>
    <s v="P026"/>
    <n v="3"/>
    <n v="228.91"/>
    <n v="0.15"/>
    <s v="Marketplace"/>
    <s v="Marketplace"/>
    <s v="Credit Card"/>
    <s v="Credit Card"/>
    <s v="Montreal Central"/>
    <s v="Manitoba"/>
    <s v="Small Business"/>
    <n v="149.4"/>
    <x v="2"/>
    <n v="686.73"/>
    <n v="103.0095"/>
    <n v="583.72050000000002"/>
    <n v="448.20000000000005"/>
    <n v="135.52049999999997"/>
    <n v="0.23216676474442813"/>
    <x v="0"/>
    <s v=""/>
    <s v=""/>
    <s v=""/>
    <x v="0"/>
    <d v="2025-05-04T00:00:00"/>
  </r>
  <r>
    <x v="73"/>
    <s v="ORD-00032"/>
    <d v="2025-05-01T00:00:00"/>
    <s v="C0037"/>
    <s v="Maya Dubois, Winnipeg, Small Business"/>
    <s v="Maya Dubois"/>
    <s v="Winnipeg"/>
    <s v="Small Business"/>
    <n v="2"/>
    <s v="P050"/>
    <n v="3"/>
    <n v="34.909999999999997"/>
    <n v="0"/>
    <s v="Market place"/>
    <s v="Marketplace"/>
    <s v="Credit Card"/>
    <s v="Credit Card"/>
    <s v="Toronto Downtown"/>
    <s v="Manitoba"/>
    <s v="Small Business"/>
    <n v="19.670000000000002"/>
    <x v="1"/>
    <n v="104.72999999999999"/>
    <n v="0"/>
    <n v="104.72999999999999"/>
    <n v="59.010000000000005"/>
    <n v="45.719999999999985"/>
    <n v="0.43655113148095093"/>
    <x v="1"/>
    <s v="Damaged"/>
    <d v="2025-05-19T00:00:00"/>
    <s v="Refunded"/>
    <x v="0"/>
    <d v="2025-05-04T00:00:00"/>
  </r>
  <r>
    <x v="74"/>
    <s v="ORD-00032"/>
    <d v="2025-05-01T00:00:00"/>
    <s v="C0037"/>
    <s v="Maya Dubois, Winnipeg, Small Business"/>
    <s v="Maya Dubois"/>
    <s v="Winnipeg"/>
    <s v="Small Business"/>
    <n v="2"/>
    <s v="P047"/>
    <n v="4"/>
    <n v="228.81"/>
    <n v="0.15"/>
    <s v="Marketplace"/>
    <s v="Marketplace"/>
    <s v="Credit Card"/>
    <s v="Credit Card"/>
    <s v="Calgary North"/>
    <s v="Manitoba"/>
    <s v="Small Business"/>
    <n v="130.9"/>
    <x v="1"/>
    <n v="915.24"/>
    <n v="137.286"/>
    <n v="777.95399999999995"/>
    <n v="523.6"/>
    <n v="254.35399999999993"/>
    <n v="0.32695249333508142"/>
    <x v="0"/>
    <s v=""/>
    <s v=""/>
    <s v=""/>
    <x v="0"/>
    <d v="2025-05-04T00:00:00"/>
  </r>
  <r>
    <x v="75"/>
    <s v="ORD-00033"/>
    <d v="2025-06-16T00:00:00"/>
    <s v="C0149"/>
    <s v="Ethan Khan, Winnipeg, Consumer"/>
    <s v="Ethan Khan"/>
    <s v="Winnipeg"/>
    <s v="Consumer"/>
    <n v="2"/>
    <s v="P014"/>
    <n v="1"/>
    <n v="91.75"/>
    <n v="0"/>
    <s v="Market place"/>
    <s v="Marketplace"/>
    <s v="Debit Card"/>
    <s v="Debit Card"/>
    <s v="Calgary North"/>
    <s v="Manitoba"/>
    <s v="Consumer"/>
    <n v="58.27"/>
    <x v="4"/>
    <n v="91.75"/>
    <n v="0"/>
    <n v="91.75"/>
    <n v="58.27"/>
    <n v="33.479999999999997"/>
    <n v="0.3649046321525885"/>
    <x v="0"/>
    <s v=""/>
    <s v=""/>
    <s v=""/>
    <x v="0"/>
    <d v="2025-06-21T00:00:00"/>
  </r>
  <r>
    <x v="76"/>
    <s v="ORD-00034"/>
    <d v="2025-08-27T00:00:00"/>
    <s v="C0047"/>
    <s v="Emma Gagnon, Quebec City, Consumer"/>
    <s v="Emma Gagnon"/>
    <s v="Quebec City"/>
    <s v="Consumer"/>
    <n v="2"/>
    <s v="P003"/>
    <n v="3"/>
    <n v="265.73"/>
    <n v="0"/>
    <s v="Retail Store"/>
    <s v="Retail Store"/>
    <s v="Gift Card"/>
    <s v="Gift Card"/>
    <s v="Toronto Downtown"/>
    <s v="Quebec"/>
    <s v="Consumer"/>
    <n v="154.16999999999999"/>
    <x v="3"/>
    <n v="797.19"/>
    <n v="0"/>
    <n v="797.19"/>
    <n v="462.51"/>
    <n v="334.68000000000006"/>
    <n v="0.41982463402701997"/>
    <x v="0"/>
    <s v=""/>
    <s v=""/>
    <s v=""/>
    <x v="1"/>
    <d v="2025-09-02T00:00:00"/>
  </r>
  <r>
    <x v="77"/>
    <s v="ORD-00034"/>
    <d v="2025-08-27T00:00:00"/>
    <s v="C0047"/>
    <s v="Emma Gagnon, Quebec City, Consumer"/>
    <s v="Emma Gagnon"/>
    <s v="Quebec City"/>
    <s v="Consumer"/>
    <n v="2"/>
    <s v="P019"/>
    <n v="1"/>
    <n v="183.73"/>
    <n v="0.1"/>
    <s v="Market place"/>
    <s v="Marketplace"/>
    <s v="PayPal"/>
    <s v="PayPal"/>
    <s v="Online Fulfillment"/>
    <s v="Quebec"/>
    <s v="Consumer"/>
    <n v="98.11"/>
    <x v="4"/>
    <n v="183.73"/>
    <n v="18.373000000000001"/>
    <n v="165.357"/>
    <n v="98.11"/>
    <n v="67.247"/>
    <n v="0.40667767315565717"/>
    <x v="0"/>
    <s v=""/>
    <s v=""/>
    <s v=""/>
    <x v="1"/>
    <d v="2025-09-02T00:00:00"/>
  </r>
  <r>
    <x v="78"/>
    <s v="ORD-00035"/>
    <d v="2025-07-01T00:00:00"/>
    <s v="C0047"/>
    <s v="Emma Gagnon, Quebec City, Consumer"/>
    <s v="Emma Gagnon"/>
    <s v="Quebec City"/>
    <s v="Consumer"/>
    <n v="2"/>
    <s v="P001"/>
    <n v="1"/>
    <n v="133.24"/>
    <n v="0.05"/>
    <s v="Retail  Store"/>
    <s v="Retail Store"/>
    <s v="CC"/>
    <s v="Credit Card"/>
    <s v="Montreal Central"/>
    <s v="Quebec"/>
    <s v="Consumer"/>
    <n v="77.540000000000006"/>
    <x v="3"/>
    <n v="133.24"/>
    <n v="6.6620000000000008"/>
    <n v="126.578"/>
    <n v="77.540000000000006"/>
    <n v="49.037999999999997"/>
    <n v="0.38741329456935641"/>
    <x v="0"/>
    <s v=""/>
    <s v=""/>
    <s v=""/>
    <x v="0"/>
    <d v="2025-07-03T00:00:00"/>
  </r>
  <r>
    <x v="79"/>
    <s v="ORD-00035"/>
    <d v="2025-07-01T00:00:00"/>
    <s v="C0047"/>
    <s v="Emma Gagnon, Quebec City, Consumer"/>
    <s v="Emma Gagnon"/>
    <s v="Quebec City"/>
    <s v="Consumer"/>
    <n v="2"/>
    <s v="P030"/>
    <n v="3"/>
    <n v="75.75"/>
    <n v="0"/>
    <s v="Retail  Store"/>
    <s v="Retail Store"/>
    <s v="Debit Card"/>
    <s v="Debit Card"/>
    <s v="Vancouver West"/>
    <s v="Quebec"/>
    <s v="Consumer"/>
    <n v="42.37"/>
    <x v="2"/>
    <n v="227.25"/>
    <n v="0"/>
    <n v="227.25"/>
    <n v="127.10999999999999"/>
    <n v="100.14000000000001"/>
    <n v="0.44066006600660074"/>
    <x v="0"/>
    <s v=""/>
    <s v=""/>
    <s v=""/>
    <x v="0"/>
    <d v="2025-07-03T00:00:00"/>
  </r>
  <r>
    <x v="80"/>
    <s v="ORD-00036"/>
    <d v="2025-09-03T00:00:00"/>
    <s v="C0054"/>
    <s v="Emma Khan, Toronto, Consumer"/>
    <s v="Emma Khan"/>
    <s v="Toronto"/>
    <s v="Consumer"/>
    <n v="2"/>
    <s v="P032"/>
    <n v="4"/>
    <n v="214.38"/>
    <n v="0"/>
    <s v="Marketplace"/>
    <s v="Marketplace"/>
    <s v="Credit Card"/>
    <s v="Credit Card"/>
    <s v="Online Fulfillment"/>
    <s v="Ontario"/>
    <s v="Consumer"/>
    <n v="131.51"/>
    <x v="0"/>
    <n v="857.52"/>
    <n v="0"/>
    <n v="857.52"/>
    <n v="526.04"/>
    <n v="331.48"/>
    <n v="0.38655658177068758"/>
    <x v="0"/>
    <s v=""/>
    <s v=""/>
    <s v=""/>
    <x v="0"/>
    <d v="2025-09-04T00:00:00"/>
  </r>
  <r>
    <x v="81"/>
    <s v="ORD-00036"/>
    <d v="2025-09-03T00:00:00"/>
    <s v="C0054"/>
    <s v="Emma Khan, Toronto, Consumer"/>
    <s v="Emma Khan"/>
    <s v="Toronto"/>
    <s v="Consumer"/>
    <n v="2"/>
    <s v="P047"/>
    <n v="1"/>
    <n v="228.81"/>
    <n v="0"/>
    <s v="Marketplace"/>
    <s v="Marketplace"/>
    <s v="Gift Card"/>
    <s v="Gift Card"/>
    <s v="Online Fulfillment"/>
    <s v="Ontario"/>
    <s v="Consumer"/>
    <n v="130.9"/>
    <x v="1"/>
    <n v="228.81"/>
    <n v="0"/>
    <n v="228.81"/>
    <n v="130.9"/>
    <n v="97.91"/>
    <n v="0.42790961933481925"/>
    <x v="0"/>
    <s v=""/>
    <s v=""/>
    <s v=""/>
    <x v="0"/>
    <d v="2025-09-04T00:00:00"/>
  </r>
  <r>
    <x v="82"/>
    <s v="ORD-00037"/>
    <d v="2025-04-22T00:00:00"/>
    <s v="C0172"/>
    <s v="Adam Wilson, Edmonton, Consumer"/>
    <s v="Adam Wilson"/>
    <s v="Edmonton"/>
    <s v="Consumer"/>
    <n v="2"/>
    <s v="P038"/>
    <n v="2"/>
    <n v="182.94"/>
    <n v="0"/>
    <s v="Online"/>
    <s v="Online"/>
    <s v="Gift Card"/>
    <s v="Gift Card"/>
    <s v="Toronto Downtown"/>
    <s v="Alberta"/>
    <s v="Consumer"/>
    <n v="118.95"/>
    <x v="0"/>
    <n v="365.88"/>
    <n v="0"/>
    <n v="365.88"/>
    <n v="237.9"/>
    <n v="127.97999999999999"/>
    <n v="0.34978681534929484"/>
    <x v="0"/>
    <s v=""/>
    <s v=""/>
    <s v=""/>
    <x v="0"/>
    <d v="2025-04-23T00:00:00"/>
  </r>
  <r>
    <x v="83"/>
    <s v="ORD-00037"/>
    <d v="2025-04-22T00:00:00"/>
    <s v="C0172"/>
    <s v="Adam Wilson, Edmonton, Consumer"/>
    <s v="Adam Wilson"/>
    <s v="Edmonton"/>
    <s v="Consumer"/>
    <n v="2"/>
    <s v="P026"/>
    <n v="3"/>
    <n v="228.91"/>
    <n v="0"/>
    <s v="Market place"/>
    <s v="Marketplace"/>
    <s v="Gift Card"/>
    <s v="Gift Card"/>
    <s v="Online Fulfillment"/>
    <s v="Alberta"/>
    <s v="Consumer"/>
    <n v="149.4"/>
    <x v="2"/>
    <n v="686.73"/>
    <n v="0"/>
    <n v="686.73"/>
    <n v="448.20000000000005"/>
    <n v="238.52999999999997"/>
    <n v="0.34734175003276391"/>
    <x v="0"/>
    <s v=""/>
    <s v=""/>
    <s v=""/>
    <x v="0"/>
    <d v="2025-04-23T00:00:00"/>
  </r>
  <r>
    <x v="84"/>
    <s v="ORD-00037"/>
    <d v="2025-04-22T00:00:00"/>
    <s v="C0172"/>
    <s v="Adam Wilson, Edmonton, Consumer"/>
    <s v="Adam Wilson"/>
    <s v="Edmonton"/>
    <s v="Consumer"/>
    <n v="2"/>
    <s v="P028"/>
    <n v="2"/>
    <n v="52.79"/>
    <n v="0.05"/>
    <s v="Online"/>
    <s v="Online"/>
    <s v="CC"/>
    <s v="Credit Card"/>
    <s v="Calgary North"/>
    <s v="Alberta"/>
    <s v="Consumer"/>
    <n v="28.17"/>
    <x v="2"/>
    <n v="105.58"/>
    <n v="5.2789999999999999"/>
    <n v="100.301"/>
    <n v="56.34"/>
    <n v="43.960999999999999"/>
    <n v="0.43829074485797748"/>
    <x v="0"/>
    <s v=""/>
    <s v=""/>
    <s v=""/>
    <x v="0"/>
    <d v="2025-04-23T00:00:00"/>
  </r>
  <r>
    <x v="85"/>
    <s v="ORD-00037"/>
    <d v="2025-04-22T00:00:00"/>
    <s v="C0172"/>
    <s v="Adam Wilson, Edmonton, Consumer"/>
    <s v="Adam Wilson"/>
    <s v="Edmonton"/>
    <s v="Consumer"/>
    <n v="2"/>
    <s v="P032"/>
    <n v="2"/>
    <n v="214.38"/>
    <n v="0.15"/>
    <s v="Retail  Store"/>
    <s v="Retail Store"/>
    <s v="CC"/>
    <s v="Credit Card"/>
    <s v="Toronto Downtown"/>
    <s v="Alberta"/>
    <s v="Consumer"/>
    <n v="131.51"/>
    <x v="0"/>
    <n v="428.76"/>
    <n v="64.313999999999993"/>
    <n v="364.44600000000003"/>
    <n v="263.02"/>
    <n v="101.42600000000004"/>
    <n v="0.27830186090669135"/>
    <x v="0"/>
    <s v=""/>
    <s v=""/>
    <s v=""/>
    <x v="0"/>
    <d v="2025-04-23T00:00:00"/>
  </r>
  <r>
    <x v="86"/>
    <s v="ORD-00038"/>
    <d v="2025-06-11T00:00:00"/>
    <s v="C0178"/>
    <s v="Daniel Johnson, Edmonton, Corporate"/>
    <s v="Daniel Johnson"/>
    <s v="Edmonton"/>
    <s v="Corporate"/>
    <n v="2"/>
    <s v="P003"/>
    <n v="1"/>
    <n v="265.73"/>
    <n v="0.05"/>
    <s v="Market place"/>
    <s v="Marketplace"/>
    <s v="PayPal"/>
    <s v="PayPal"/>
    <s v="Montreal Central"/>
    <s v="Alberta"/>
    <s v="Corporate"/>
    <n v="154.16999999999999"/>
    <x v="3"/>
    <n v="265.73"/>
    <n v="13.286500000000002"/>
    <n v="252.44350000000003"/>
    <n v="154.16999999999999"/>
    <n v="98.273500000000041"/>
    <n v="0.38928908844949478"/>
    <x v="1"/>
    <s v="Wrong Item"/>
    <d v="2025-06-30T00:00:00"/>
    <s v="Pending"/>
    <x v="1"/>
    <d v="2025-06-18T00:00:00"/>
  </r>
  <r>
    <x v="87"/>
    <s v="ORD-00038"/>
    <d v="2025-06-11T00:00:00"/>
    <s v="C0178"/>
    <s v="Daniel Johnson, Edmonton, Corporate"/>
    <s v="Daniel Johnson"/>
    <s v="Edmonton"/>
    <s v="Corporate"/>
    <n v="2"/>
    <s v="P006"/>
    <n v="1"/>
    <n v="88.61"/>
    <n v="0"/>
    <s v="Online"/>
    <s v="Online"/>
    <s v="CC"/>
    <s v="Credit Card"/>
    <s v="Calgary North"/>
    <s v="Alberta"/>
    <s v="Corporate"/>
    <n v="49.75"/>
    <x v="3"/>
    <n v="88.61"/>
    <n v="0"/>
    <n v="88.61"/>
    <n v="49.75"/>
    <n v="38.86"/>
    <n v="0.43855095361697327"/>
    <x v="0"/>
    <s v=""/>
    <s v=""/>
    <s v=""/>
    <x v="1"/>
    <d v="2025-06-18T00:00:00"/>
  </r>
  <r>
    <x v="88"/>
    <s v="ORD-00039"/>
    <d v="2025-02-20T00:00:00"/>
    <s v="C0056"/>
    <s v="Noah Singh, Ottawa, Small Business"/>
    <s v="Noah Singh"/>
    <s v="Ottawa"/>
    <s v="Small Business"/>
    <n v="2"/>
    <s v="P007"/>
    <n v="4"/>
    <n v="25.15"/>
    <n v="0.15"/>
    <s v="Online"/>
    <s v="Online"/>
    <s v="CC"/>
    <s v="Credit Card"/>
    <s v="Online Fulfillment"/>
    <s v="Ontario"/>
    <s v="Small Business"/>
    <n v="14.24"/>
    <x v="3"/>
    <n v="100.6"/>
    <n v="15.089999999999998"/>
    <n v="85.509999999999991"/>
    <n v="56.96"/>
    <n v="28.54999999999999"/>
    <n v="0.33387907847035425"/>
    <x v="0"/>
    <s v=""/>
    <s v=""/>
    <s v=""/>
    <x v="1"/>
    <d v="2025-02-26T01:00:00"/>
  </r>
  <r>
    <x v="89"/>
    <s v="ORD-00040"/>
    <d v="2025-07-12T00:00:00"/>
    <s v="C0154"/>
    <s v="Ethan Dubois, Winnipeg, Corporate"/>
    <s v="Ethan Dubois"/>
    <s v="Winnipeg"/>
    <s v="Corporate"/>
    <n v="2"/>
    <s v="P016"/>
    <n v="4"/>
    <n v="103.3"/>
    <n v="0.05"/>
    <s v="Online"/>
    <s v="Online"/>
    <s v="Credit Card"/>
    <s v="Credit Card"/>
    <s v="Vancouver West"/>
    <s v="Manitoba"/>
    <s v="Corporate"/>
    <n v="70.180000000000007"/>
    <x v="4"/>
    <n v="413.2"/>
    <n v="20.66"/>
    <n v="392.53999999999996"/>
    <n v="280.72000000000003"/>
    <n v="111.81999999999994"/>
    <n v="0.28486268915269769"/>
    <x v="0"/>
    <s v=""/>
    <s v=""/>
    <s v=""/>
    <x v="1"/>
    <d v="2025-07-20T00:00:00"/>
  </r>
  <r>
    <x v="90"/>
    <s v="ORD-00041"/>
    <d v="2025-02-02T00:00:00"/>
    <s v="C0111"/>
    <s v="Yara Singh, Edmonton, Corporate"/>
    <s v="Yara Singh"/>
    <s v="Edmonton"/>
    <s v="Corporate"/>
    <n v="2"/>
    <s v="P018"/>
    <n v="1"/>
    <n v="142.16"/>
    <n v="0"/>
    <s v="Online"/>
    <s v="Online"/>
    <s v="Gift Card"/>
    <s v="Gift Card"/>
    <s v="Online Fulfillment"/>
    <s v="Alberta"/>
    <s v="Corporate"/>
    <n v="85.34"/>
    <x v="4"/>
    <n v="142.16"/>
    <n v="0"/>
    <n v="142.16"/>
    <n v="85.34"/>
    <n v="56.819999999999993"/>
    <n v="0.39969048958919523"/>
    <x v="0"/>
    <s v=""/>
    <s v=""/>
    <s v=""/>
    <x v="1"/>
    <d v="2025-02-12T00:00:00"/>
  </r>
  <r>
    <x v="91"/>
    <s v="ORD-00041"/>
    <d v="2025-02-02T00:00:00"/>
    <s v="C0111"/>
    <s v="Yara Singh, Edmonton, Corporate"/>
    <s v="Yara Singh"/>
    <s v="Edmonton"/>
    <s v="Corporate"/>
    <n v="2"/>
    <s v="P030"/>
    <n v="3"/>
    <n v="75.75"/>
    <n v="0"/>
    <s v="Market place"/>
    <s v="Marketplace"/>
    <s v="CC"/>
    <s v="Credit Card"/>
    <s v="Online Fulfillment"/>
    <s v="Alberta"/>
    <s v="Corporate"/>
    <n v="42.37"/>
    <x v="2"/>
    <n v="227.25"/>
    <n v="0"/>
    <n v="227.25"/>
    <n v="127.10999999999999"/>
    <n v="100.14000000000001"/>
    <n v="0.44066006600660074"/>
    <x v="0"/>
    <s v=""/>
    <s v=""/>
    <s v=""/>
    <x v="1"/>
    <d v="2025-02-12T00:00:00"/>
  </r>
  <r>
    <x v="92"/>
    <s v="ORD-00041"/>
    <d v="2025-02-02T00:00:00"/>
    <s v="C0111"/>
    <s v="Yara Singh, Edmonton, Corporate"/>
    <s v="Yara Singh"/>
    <s v="Edmonton"/>
    <s v="Corporate"/>
    <n v="2"/>
    <s v="P012"/>
    <n v="3"/>
    <n v="186.92"/>
    <n v="0"/>
    <s v="Retail  Store"/>
    <s v="Retail Store"/>
    <s v="Debit Card"/>
    <s v="Debit Card"/>
    <s v="Montreal Central"/>
    <s v="Alberta"/>
    <s v="Corporate"/>
    <n v="114.11"/>
    <x v="4"/>
    <n v="560.76"/>
    <n v="0"/>
    <n v="560.76"/>
    <n v="342.33"/>
    <n v="218.43"/>
    <n v="0.38952493045153008"/>
    <x v="0"/>
    <s v=""/>
    <s v=""/>
    <s v=""/>
    <x v="1"/>
    <d v="2025-02-12T00:00:00"/>
  </r>
  <r>
    <x v="93"/>
    <s v="ORD-00042"/>
    <d v="2025-04-30T00:00:00"/>
    <s v="C0152"/>
    <s v="Daniel Khan, Halifax, Small Business"/>
    <s v="Daniel Khan"/>
    <s v="Halifax"/>
    <s v="Small Business"/>
    <n v="2"/>
    <s v="P022"/>
    <n v="3"/>
    <n v="61.81"/>
    <n v="0"/>
    <s v="Marketplace"/>
    <s v="Marketplace"/>
    <s v="Credit Card"/>
    <s v="Credit Card"/>
    <s v="Toronto Downtown"/>
    <s v="Nova Scotia"/>
    <s v="Small Business"/>
    <n v="33.19"/>
    <x v="2"/>
    <n v="185.43"/>
    <n v="0"/>
    <n v="185.43"/>
    <n v="99.57"/>
    <n v="85.860000000000014"/>
    <n v="0.46303187186539402"/>
    <x v="0"/>
    <s v=""/>
    <s v=""/>
    <s v=""/>
    <x v="1"/>
    <d v="2025-05-05T00:00:00"/>
  </r>
  <r>
    <x v="94"/>
    <s v="ORD-00042"/>
    <d v="2025-04-30T00:00:00"/>
    <s v="C0152"/>
    <s v="Daniel Khan, Halifax, Small Business"/>
    <s v="Daniel Khan"/>
    <s v="Halifax"/>
    <s v="Small Business"/>
    <n v="2"/>
    <s v="P045"/>
    <n v="1"/>
    <n v="72.81"/>
    <n v="0.15"/>
    <s v="Marketplace"/>
    <s v="Marketplace"/>
    <m/>
    <s v="Unknown"/>
    <s v="Montreal Central"/>
    <s v="Nova Scotia"/>
    <s v="Small Business"/>
    <n v="37.99"/>
    <x v="1"/>
    <n v="72.81"/>
    <n v="10.9215"/>
    <n v="61.888500000000001"/>
    <n v="37.99"/>
    <n v="23.898499999999999"/>
    <n v="0.38615413202775956"/>
    <x v="0"/>
    <s v=""/>
    <s v=""/>
    <s v=""/>
    <x v="1"/>
    <d v="2025-05-05T00:00:00"/>
  </r>
  <r>
    <x v="95"/>
    <s v="ORD-00042"/>
    <d v="2025-04-30T00:00:00"/>
    <s v="C0152"/>
    <s v="Daniel Khan, Halifax, Small Business"/>
    <s v="Daniel Khan"/>
    <s v="Halifax"/>
    <s v="Small Business"/>
    <n v="2"/>
    <s v="P048"/>
    <n v="1"/>
    <n v="287.16000000000003"/>
    <n v="0"/>
    <s v="Retail Store"/>
    <s v="Retail Store"/>
    <s v="Gift Card"/>
    <s v="Gift Card"/>
    <s v="Montreal Central"/>
    <s v="Nova Scotia"/>
    <s v="Small Business"/>
    <n v="148.21"/>
    <x v="1"/>
    <n v="287.16000000000003"/>
    <n v="0"/>
    <n v="287.16000000000003"/>
    <n v="148.21"/>
    <n v="138.95000000000002"/>
    <n v="0.48387658448251847"/>
    <x v="0"/>
    <s v=""/>
    <s v=""/>
    <s v=""/>
    <x v="1"/>
    <d v="2025-05-05T00:00:00"/>
  </r>
  <r>
    <x v="96"/>
    <s v="ORD-00043"/>
    <d v="2025-10-22T00:00:00"/>
    <s v="C0088"/>
    <s v="Yara Johnson, Quebec City, Consumer"/>
    <s v="Yara Johnson"/>
    <s v="Quebec City"/>
    <s v="Consumer"/>
    <n v="2"/>
    <s v="P020"/>
    <n v="3"/>
    <n v="56.99"/>
    <n v="0.15"/>
    <s v="Market place"/>
    <s v="Marketplace"/>
    <s v="CC"/>
    <s v="Credit Card"/>
    <s v="Montreal Central"/>
    <s v="Quebec"/>
    <s v="Consumer"/>
    <n v="33.65"/>
    <x v="4"/>
    <n v="170.97"/>
    <n v="25.645499999999998"/>
    <n v="145.3245"/>
    <n v="100.94999999999999"/>
    <n v="44.374500000000012"/>
    <n v="0.30534768741678114"/>
    <x v="0"/>
    <s v=""/>
    <s v=""/>
    <s v=""/>
    <x v="0"/>
    <d v="2025-10-26T00:00:00"/>
  </r>
  <r>
    <x v="97"/>
    <s v="ORD-00044"/>
    <d v="2025-08-08T00:00:00"/>
    <s v="C0140"/>
    <s v="Amina Martin, Quebec City, Consumer"/>
    <s v="Amina Martin"/>
    <s v="Quebec City"/>
    <s v="Consumer"/>
    <n v="2"/>
    <s v="P001"/>
    <n v="2"/>
    <n v="133.24"/>
    <n v="0"/>
    <s v="Online"/>
    <s v="Online"/>
    <m/>
    <s v="Unknown"/>
    <s v="Montreal Central"/>
    <s v="Quebec"/>
    <s v="Consumer"/>
    <n v="77.540000000000006"/>
    <x v="3"/>
    <n v="266.48"/>
    <n v="0"/>
    <n v="266.48"/>
    <n v="155.08000000000001"/>
    <n v="111.4"/>
    <n v="0.41804262984088864"/>
    <x v="0"/>
    <s v=""/>
    <s v=""/>
    <s v=""/>
    <x v="0"/>
    <d v="2025-08-12T00:00:00"/>
  </r>
  <r>
    <x v="98"/>
    <s v="ORD-00045"/>
    <d v="2025-01-16T00:00:00"/>
    <s v="C0080"/>
    <s v="Maya Dubois, Winnipeg, Small Business"/>
    <s v="Maya Dubois"/>
    <s v="Winnipeg"/>
    <s v="Small Business"/>
    <n v="2"/>
    <s v="P016"/>
    <n v="4"/>
    <n v="103.3"/>
    <n v="0.05"/>
    <s v="Market place"/>
    <s v="Marketplace"/>
    <s v="Credit Card"/>
    <s v="Credit Card"/>
    <s v="Calgary North"/>
    <s v="Manitoba"/>
    <s v="Small Business"/>
    <n v="70.180000000000007"/>
    <x v="4"/>
    <n v="413.2"/>
    <n v="20.66"/>
    <n v="392.53999999999996"/>
    <n v="280.72000000000003"/>
    <n v="111.81999999999994"/>
    <n v="0.28486268915269769"/>
    <x v="0"/>
    <s v=""/>
    <s v=""/>
    <s v=""/>
    <x v="0"/>
    <d v="2025-01-21T00:00:00"/>
  </r>
  <r>
    <x v="99"/>
    <s v="ORD-00045"/>
    <d v="2025-01-16T00:00:00"/>
    <s v="C0080"/>
    <s v="Maya Dubois, Winnipeg, Small Business"/>
    <s v="Maya Dubois"/>
    <s v="Winnipeg"/>
    <s v="Small Business"/>
    <n v="2"/>
    <s v="P046"/>
    <n v="4"/>
    <n v="180.37"/>
    <n v="0.05"/>
    <s v="Marketplace"/>
    <s v="Marketplace"/>
    <s v="PayPal"/>
    <s v="PayPal"/>
    <s v="Vancouver West"/>
    <s v="Manitoba"/>
    <s v="Small Business"/>
    <n v="107.55"/>
    <x v="1"/>
    <n v="721.48"/>
    <n v="36.074000000000005"/>
    <n v="685.40600000000006"/>
    <n v="430.2"/>
    <n v="255.20600000000007"/>
    <n v="0.37234281579093276"/>
    <x v="0"/>
    <s v=""/>
    <s v=""/>
    <s v=""/>
    <x v="0"/>
    <d v="2025-01-21T00:00:00"/>
  </r>
  <r>
    <x v="100"/>
    <s v="ORD-00045"/>
    <d v="2025-01-16T00:00:00"/>
    <s v="C0080"/>
    <s v="Maya Dubois, Winnipeg, Small Business"/>
    <s v="Maya Dubois"/>
    <s v="Winnipeg"/>
    <s v="Small Business"/>
    <n v="2"/>
    <s v="P030"/>
    <n v="2"/>
    <n v="75.75"/>
    <n v="0.05"/>
    <s v="Market place"/>
    <s v="Marketplace"/>
    <m/>
    <s v="Unknown"/>
    <s v="Online Fulfillment"/>
    <s v="Manitoba"/>
    <s v="Small Business"/>
    <n v="42.37"/>
    <x v="2"/>
    <n v="151.5"/>
    <n v="7.5750000000000002"/>
    <n v="143.92500000000001"/>
    <n v="84.74"/>
    <n v="59.185000000000016"/>
    <n v="0.41122112211221129"/>
    <x v="0"/>
    <s v=""/>
    <s v=""/>
    <s v=""/>
    <x v="0"/>
    <d v="2025-01-21T00:00:00"/>
  </r>
  <r>
    <x v="101"/>
    <s v="ORD-00045"/>
    <d v="2025-01-16T00:00:00"/>
    <s v="C0080"/>
    <s v="Maya Dubois, Winnipeg, Small Business"/>
    <s v="Maya Dubois"/>
    <s v="Winnipeg"/>
    <s v="Small Business"/>
    <n v="2"/>
    <s v="P044"/>
    <n v="4"/>
    <n v="208.89"/>
    <n v="0.15"/>
    <s v="Online"/>
    <s v="Online"/>
    <m/>
    <s v="Unknown"/>
    <s v="Vancouver West"/>
    <s v="Manitoba"/>
    <s v="Small Business"/>
    <n v="133.05000000000001"/>
    <x v="1"/>
    <n v="835.56"/>
    <n v="125.33399999999999"/>
    <n v="710.226"/>
    <n v="532.20000000000005"/>
    <n v="178.02599999999995"/>
    <n v="0.2506610571846144"/>
    <x v="0"/>
    <s v=""/>
    <s v=""/>
    <s v=""/>
    <x v="0"/>
    <d v="2025-01-21T00:00:00"/>
  </r>
  <r>
    <x v="102"/>
    <s v="ORD-00046"/>
    <d v="2025-08-01T00:00:00"/>
    <s v="C0129"/>
    <s v="Emma Brown, Toronto, Corporate"/>
    <s v="Emma Brown"/>
    <s v="Toronto"/>
    <s v="Corporate"/>
    <n v="2"/>
    <s v="P016"/>
    <n v="3"/>
    <n v="103.3"/>
    <n v="0.05"/>
    <s v="Online"/>
    <s v="Online"/>
    <s v="Debit Card"/>
    <s v="Debit Card"/>
    <s v="Vancouver West"/>
    <s v="Ontario"/>
    <s v="Corporate"/>
    <n v="70.180000000000007"/>
    <x v="4"/>
    <n v="309.89999999999998"/>
    <n v="15.494999999999999"/>
    <n v="294.40499999999997"/>
    <n v="210.54000000000002"/>
    <n v="83.864999999999952"/>
    <n v="0.28486268915269769"/>
    <x v="0"/>
    <s v=""/>
    <s v=""/>
    <s v=""/>
    <x v="1"/>
    <d v="2025-08-11T00:00:00"/>
  </r>
  <r>
    <x v="103"/>
    <s v="ORD-00046"/>
    <d v="2025-08-01T00:00:00"/>
    <s v="C0129"/>
    <s v="Emma Brown, Toronto, Corporate"/>
    <s v="Emma Brown"/>
    <s v="Toronto"/>
    <s v="Corporate"/>
    <n v="2"/>
    <s v="P001"/>
    <n v="1"/>
    <n v="133.24"/>
    <n v="0"/>
    <s v="Online"/>
    <s v="Online"/>
    <s v="Debit Card"/>
    <s v="Debit Card"/>
    <s v="Online Fulfillment"/>
    <s v="Ontario"/>
    <s v="Corporate"/>
    <n v="77.540000000000006"/>
    <x v="3"/>
    <n v="133.24"/>
    <n v="0"/>
    <n v="133.24"/>
    <n v="77.540000000000006"/>
    <n v="55.7"/>
    <n v="0.41804262984088864"/>
    <x v="0"/>
    <s v=""/>
    <s v=""/>
    <s v=""/>
    <x v="1"/>
    <d v="2025-08-11T00:00:00"/>
  </r>
  <r>
    <x v="104"/>
    <s v="ORD-00047"/>
    <d v="2025-10-27T00:00:00"/>
    <s v="c0128"/>
    <s v="Sofia Gagnon, Montreal, Corporate"/>
    <s v="Sofia Gagnon"/>
    <s v="Montreal"/>
    <s v="Corporate"/>
    <n v="2"/>
    <s v="P031"/>
    <n v="2"/>
    <n v="208.81"/>
    <n v="0"/>
    <s v="Online"/>
    <s v="Online"/>
    <s v="PayPal"/>
    <s v="PayPal"/>
    <s v="Toronto Downtown"/>
    <s v="Quebec"/>
    <s v="Corporate"/>
    <n v="139.04"/>
    <x v="0"/>
    <n v="417.62"/>
    <n v="0"/>
    <n v="417.62"/>
    <n v="278.08"/>
    <n v="139.54000000000002"/>
    <n v="0.3341315071117284"/>
    <x v="0"/>
    <s v=""/>
    <s v=""/>
    <s v=""/>
    <x v="1"/>
    <d v="2025-11-01T00:00:00"/>
  </r>
  <r>
    <x v="105"/>
    <s v="ORD-00048"/>
    <d v="2025-02-24T01:00:00"/>
    <s v="C0144"/>
    <s v="Noah Gagnon, Regina, Corporate"/>
    <s v="Noah Gagnon"/>
    <s v="Regina"/>
    <s v="Corporate"/>
    <n v="2"/>
    <s v="P024"/>
    <n v="1"/>
    <n v="263.04000000000002"/>
    <n v="0.05"/>
    <s v="Retail Store"/>
    <s v="Retail Store"/>
    <m/>
    <s v="Unknown"/>
    <s v="Toronto Downtown"/>
    <s v="Saskatchewan"/>
    <s v="Corporate"/>
    <n v="161.84"/>
    <x v="2"/>
    <n v="263.04000000000002"/>
    <n v="13.152000000000001"/>
    <n v="249.88800000000003"/>
    <n v="161.84"/>
    <n v="88.04800000000003"/>
    <n v="0.35234985273402492"/>
    <x v="0"/>
    <s v=""/>
    <s v=""/>
    <s v=""/>
    <x v="1"/>
    <d v="2025-03-04T01:00:00"/>
  </r>
  <r>
    <x v="106"/>
    <s v="ORD-00048"/>
    <d v="2025-02-24T01:00:00"/>
    <s v="C0144"/>
    <s v="Noah Gagnon, Regina, Corporate"/>
    <s v="Noah Gagnon"/>
    <s v="Regina"/>
    <s v="Corporate"/>
    <n v="2"/>
    <s v="P016"/>
    <n v="2"/>
    <n v="103.3"/>
    <n v="0.1"/>
    <s v="Online"/>
    <s v="Online"/>
    <s v="CC"/>
    <s v="Credit Card"/>
    <s v="Vancouver West"/>
    <s v="Saskatchewan"/>
    <s v="Corporate"/>
    <n v="70.180000000000007"/>
    <x v="4"/>
    <n v="206.6"/>
    <n v="20.66"/>
    <n v="185.94"/>
    <n v="140.36000000000001"/>
    <n v="45.579999999999984"/>
    <n v="0.24513283855006984"/>
    <x v="0"/>
    <s v=""/>
    <s v=""/>
    <s v=""/>
    <x v="1"/>
    <d v="2025-03-04T01:00:00"/>
  </r>
  <r>
    <x v="107"/>
    <s v="ORD-00048"/>
    <d v="2025-02-24T01:00:00"/>
    <s v="C0144"/>
    <s v="Noah Gagnon, Regina, Corporate"/>
    <s v="Noah Gagnon"/>
    <s v="Regina"/>
    <s v="Corporate"/>
    <n v="2"/>
    <s v="P015"/>
    <n v="1"/>
    <n v="273.89"/>
    <n v="0"/>
    <s v="Marketplace"/>
    <s v="Marketplace"/>
    <m/>
    <s v="Unknown"/>
    <s v="Toronto Downtown"/>
    <s v="Saskatchewan"/>
    <s v="Corporate"/>
    <n v="140.66999999999999"/>
    <x v="4"/>
    <n v="273.89"/>
    <n v="0"/>
    <n v="273.89"/>
    <n v="140.66999999999999"/>
    <n v="133.22"/>
    <n v="0.48639964949432257"/>
    <x v="0"/>
    <s v=""/>
    <s v=""/>
    <s v=""/>
    <x v="1"/>
    <d v="2025-03-04T01:00:00"/>
  </r>
  <r>
    <x v="108"/>
    <s v="ORD-00049"/>
    <d v="2025-05-29T00:00:00"/>
    <s v="C0028"/>
    <s v="Liam Singh, Vancouver, Corporate"/>
    <s v="Liam Singh"/>
    <s v="Vancouver"/>
    <s v="Corporate"/>
    <n v="2"/>
    <s v="P015"/>
    <n v="3"/>
    <n v="273.89"/>
    <n v="0.05"/>
    <s v="Online"/>
    <s v="Online"/>
    <s v="Credit Card"/>
    <s v="Credit Card"/>
    <s v="Toronto Downtown"/>
    <s v="British Columbia"/>
    <s v="Corporate"/>
    <n v="140.66999999999999"/>
    <x v="4"/>
    <n v="821.67"/>
    <n v="41.083500000000001"/>
    <n v="780.5865"/>
    <n v="422.01"/>
    <n v="358.57650000000001"/>
    <n v="0.45936805209928688"/>
    <x v="0"/>
    <s v=""/>
    <s v=""/>
    <s v=""/>
    <x v="1"/>
    <d v="2025-06-07T00:00:00"/>
  </r>
  <r>
    <x v="109"/>
    <s v="ORD-00049"/>
    <d v="2025-05-29T00:00:00"/>
    <s v="C0028"/>
    <s v="Liam Singh, Vancouver, Corporate"/>
    <s v="Liam Singh"/>
    <s v="Vancouver"/>
    <s v="Corporate"/>
    <n v="2"/>
    <s v="P018"/>
    <n v="1"/>
    <n v="142.16"/>
    <n v="0.1"/>
    <s v="Retail  Store"/>
    <s v="Retail Store"/>
    <s v="Gift Card"/>
    <s v="Gift Card"/>
    <s v="Calgary North"/>
    <s v="British Columbia"/>
    <s v="Corporate"/>
    <n v="85.34"/>
    <x v="4"/>
    <n v="142.16"/>
    <n v="14.216000000000001"/>
    <n v="127.94399999999999"/>
    <n v="85.34"/>
    <n v="42.603999999999985"/>
    <n v="0.33298943287688354"/>
    <x v="0"/>
    <s v=""/>
    <s v=""/>
    <s v=""/>
    <x v="1"/>
    <d v="2025-06-07T00:00:00"/>
  </r>
  <r>
    <x v="110"/>
    <s v="ORD-00050"/>
    <d v="2025-02-27T01:00:00"/>
    <s v="C0091"/>
    <s v="Emma Ali, Edmonton, Small Business"/>
    <s v="Emma Ali"/>
    <s v="Edmonton"/>
    <s v="Small Business"/>
    <n v="2"/>
    <s v="P042"/>
    <n v="2"/>
    <n v="102.78"/>
    <n v="0.1"/>
    <s v="Retail  Store"/>
    <s v="Retail Store"/>
    <s v="Gift Card"/>
    <s v="Gift Card"/>
    <s v="Toronto Downtown"/>
    <s v="Alberta"/>
    <s v="Small Business"/>
    <n v="62.65"/>
    <x v="1"/>
    <n v="205.56"/>
    <n v="20.556000000000001"/>
    <n v="185.00399999999999"/>
    <n v="125.3"/>
    <n v="59.703999999999994"/>
    <n v="0.32271734665196428"/>
    <x v="0"/>
    <s v=""/>
    <s v=""/>
    <s v=""/>
    <x v="0"/>
    <d v="2025-02-28T01:00:00"/>
  </r>
  <r>
    <x v="111"/>
    <s v="ORD-00050"/>
    <d v="2025-02-27T01:00:00"/>
    <s v="C0091"/>
    <s v="Emma Ali, Edmonton, Small Business"/>
    <s v="Emma Ali"/>
    <s v="Edmonton"/>
    <s v="Small Business"/>
    <n v="2"/>
    <s v="P031"/>
    <n v="3"/>
    <n v="208.81"/>
    <n v="0"/>
    <s v="Retail  Store"/>
    <s v="Retail Store"/>
    <s v="Debit Card"/>
    <s v="Debit Card"/>
    <s v="Calgary North"/>
    <s v="Alberta"/>
    <s v="Small Business"/>
    <n v="139.04"/>
    <x v="0"/>
    <n v="626.43000000000006"/>
    <n v="0"/>
    <n v="626.43000000000006"/>
    <n v="417.12"/>
    <n v="209.31000000000006"/>
    <n v="0.3341315071117284"/>
    <x v="0"/>
    <s v=""/>
    <s v=""/>
    <s v=""/>
    <x v="0"/>
    <d v="2025-02-28T01:00:00"/>
  </r>
  <r>
    <x v="112"/>
    <s v="ORD-00050"/>
    <d v="2025-02-27T01:00:00"/>
    <s v="C0091"/>
    <s v="Emma Ali, Edmonton, Small Business"/>
    <s v="Emma Ali"/>
    <s v="Edmonton"/>
    <s v="Small Business"/>
    <n v="2"/>
    <s v="P037"/>
    <n v="3"/>
    <n v="236.51"/>
    <n v="0.15"/>
    <s v="Online"/>
    <s v="Online"/>
    <s v="PayPal"/>
    <s v="PayPal"/>
    <s v="Vancouver West"/>
    <s v="Alberta"/>
    <s v="Small Business"/>
    <n v="142.84"/>
    <x v="0"/>
    <n v="709.53"/>
    <n v="106.42949999999999"/>
    <n v="603.10050000000001"/>
    <n v="428.52"/>
    <n v="174.58050000000003"/>
    <n v="0.2894716552216422"/>
    <x v="0"/>
    <s v=""/>
    <s v=""/>
    <s v=""/>
    <x v="0"/>
    <d v="2025-02-28T01:00:00"/>
  </r>
  <r>
    <x v="113"/>
    <s v="ORD-00050"/>
    <d v="2025-02-27T01:00:00"/>
    <s v="C0091"/>
    <s v="Emma Ali, Edmonton, Small Business"/>
    <s v="Emma Ali"/>
    <s v="Edmonton"/>
    <s v="Small Business"/>
    <n v="2"/>
    <s v="P024"/>
    <n v="3"/>
    <n v="263.04000000000002"/>
    <n v="0.05"/>
    <s v="Retail Store"/>
    <s v="Retail Store"/>
    <s v="Gift Card"/>
    <s v="Gift Card"/>
    <s v="Vancouver West"/>
    <s v="Alberta"/>
    <s v="Small Business"/>
    <n v="161.84"/>
    <x v="2"/>
    <n v="789.12000000000012"/>
    <n v="39.45600000000001"/>
    <n v="749.6640000000001"/>
    <n v="485.52"/>
    <n v="264.14400000000012"/>
    <n v="0.35234985273402497"/>
    <x v="1"/>
    <s v="Damaged"/>
    <d v="2025-03-18T01:00:00"/>
    <s v="Refunded"/>
    <x v="0"/>
    <d v="2025-02-28T01:00:00"/>
  </r>
  <r>
    <x v="114"/>
    <s v="ORD-00051"/>
    <d v="2025-10-31T00:00:00"/>
    <s v="C0083"/>
    <s v="Noah Singh, Montreal, Small Business"/>
    <s v="Noah Singh"/>
    <s v="Montreal"/>
    <s v="Small Business"/>
    <n v="2"/>
    <s v="P022"/>
    <n v="1"/>
    <n v="61.81"/>
    <n v="0.05"/>
    <s v="Online"/>
    <s v="Online"/>
    <m/>
    <s v="Unknown"/>
    <s v="Online Fulfillment"/>
    <s v="Quebec"/>
    <s v="Small Business"/>
    <n v="33.19"/>
    <x v="2"/>
    <n v="61.81"/>
    <n v="3.0905000000000005"/>
    <n v="58.719500000000004"/>
    <n v="33.19"/>
    <n v="25.529500000000006"/>
    <n v="0.43477039143725688"/>
    <x v="1"/>
    <s v="Late Delivery"/>
    <d v="2025-11-09T00:00:00"/>
    <s v="Refunded"/>
    <x v="1"/>
    <d v="2025-11-06T00:00:00"/>
  </r>
  <r>
    <x v="115"/>
    <s v="ORD-00052"/>
    <d v="2025-12-09T00:00:00"/>
    <s v="C0078"/>
    <s v="Sofia Tremblay, Calgary, Corporate"/>
    <s v="Sofia Tremblay"/>
    <s v="Calgary"/>
    <s v="Corporate"/>
    <n v="2"/>
    <s v="P029"/>
    <n v="2"/>
    <n v="300.16000000000003"/>
    <n v="0.1"/>
    <s v="Online"/>
    <s v="Online"/>
    <m/>
    <s v="Unknown"/>
    <s v="Calgary North"/>
    <s v="Alberta"/>
    <s v="Corporate"/>
    <n v="158.46"/>
    <x v="2"/>
    <n v="600.32000000000005"/>
    <n v="60.032000000000011"/>
    <n v="540.28800000000001"/>
    <n v="316.92"/>
    <n v="223.36799999999999"/>
    <n v="0.41342395167022034"/>
    <x v="1"/>
    <s v="Not as Described"/>
    <d v="2025-12-30T00:00:00"/>
    <s v="Pending"/>
    <x v="0"/>
    <d v="2025-12-13T00:00:00"/>
  </r>
  <r>
    <x v="116"/>
    <s v="ORD-00053"/>
    <d v="2025-03-04T01:00:00"/>
    <s v="C0142"/>
    <s v="Liam Gagnon, Toronto, Consumer"/>
    <s v="Liam Gagnon"/>
    <s v="Toronto"/>
    <s v="Consumer"/>
    <n v="2"/>
    <s v="P022"/>
    <n v="2"/>
    <n v="61.81"/>
    <n v="0"/>
    <s v="Online"/>
    <s v="Online"/>
    <s v="Gift Card"/>
    <s v="Gift Card"/>
    <s v="Montreal Central"/>
    <s v="Ontario"/>
    <s v="Consumer"/>
    <n v="33.19"/>
    <x v="2"/>
    <n v="123.62"/>
    <n v="0"/>
    <n v="123.62"/>
    <n v="66.38"/>
    <n v="57.240000000000009"/>
    <n v="0.46303187186539402"/>
    <x v="0"/>
    <s v=""/>
    <s v=""/>
    <s v=""/>
    <x v="1"/>
    <d v="2025-03-14T01:00:00"/>
  </r>
  <r>
    <x v="117"/>
    <s v="ORD-00053"/>
    <d v="2025-03-04T01:00:00"/>
    <s v="C0142"/>
    <s v="Liam Gagnon, Toronto, Consumer"/>
    <s v="Liam Gagnon"/>
    <s v="Toronto"/>
    <s v="Consumer"/>
    <n v="2"/>
    <s v="P036"/>
    <n v="4"/>
    <n v="210.2"/>
    <n v="0"/>
    <s v="Retail  Store"/>
    <s v="Retail Store"/>
    <m/>
    <s v="Unknown"/>
    <s v="Montreal Central"/>
    <s v="Ontario"/>
    <s v="Consumer"/>
    <n v="136.25"/>
    <x v="0"/>
    <n v="840.8"/>
    <n v="0"/>
    <n v="840.8"/>
    <n v="545"/>
    <n v="295.79999999999995"/>
    <n v="0.35180780209324447"/>
    <x v="1"/>
    <s v="Damaged"/>
    <d v="2025-03-23T01:00:00"/>
    <s v="Refunded"/>
    <x v="1"/>
    <d v="2025-03-14T01:00:00"/>
  </r>
  <r>
    <x v="118"/>
    <s v="ORD-00054"/>
    <d v="2025-04-09T00:00:00"/>
    <s v="C0159"/>
    <s v="Yara Ali, Montreal, Consumer"/>
    <s v="Yara Ali"/>
    <s v="Montreal"/>
    <s v="Consumer"/>
    <n v="2"/>
    <s v="P016"/>
    <n v="2"/>
    <n v="103.3"/>
    <n v="0"/>
    <s v="Marketplace"/>
    <s v="Marketplace"/>
    <s v="CC"/>
    <s v="Credit Card"/>
    <s v="Toronto Downtown"/>
    <s v="Quebec"/>
    <s v="Consumer"/>
    <n v="70.180000000000007"/>
    <x v="4"/>
    <n v="206.6"/>
    <n v="0"/>
    <n v="206.6"/>
    <n v="140.36000000000001"/>
    <n v="66.239999999999981"/>
    <n v="0.32061955469506281"/>
    <x v="0"/>
    <s v=""/>
    <s v=""/>
    <s v=""/>
    <x v="0"/>
    <d v="2025-04-12T00:00:00"/>
  </r>
  <r>
    <x v="119"/>
    <s v="ORD-00054"/>
    <d v="2025-04-09T00:00:00"/>
    <s v="c0159"/>
    <s v="Yara Ali, Montreal, Consumer"/>
    <s v="Yara Ali"/>
    <s v="Montreal"/>
    <s v="Consumer"/>
    <n v="2"/>
    <s v="P049"/>
    <n v="3"/>
    <n v="300.56"/>
    <n v="0"/>
    <s v="Retail Store"/>
    <s v="Retail Store"/>
    <s v="PayPal"/>
    <s v="PayPal"/>
    <s v="Vancouver West"/>
    <s v="Quebec"/>
    <s v="Consumer"/>
    <n v="158.86000000000001"/>
    <x v="1"/>
    <n v="901.68000000000006"/>
    <n v="0"/>
    <n v="901.68000000000006"/>
    <n v="476.58000000000004"/>
    <n v="425.1"/>
    <n v="0.47145328719723184"/>
    <x v="0"/>
    <s v=""/>
    <s v=""/>
    <s v=""/>
    <x v="0"/>
    <d v="2025-04-12T00:00:00"/>
  </r>
  <r>
    <x v="120"/>
    <s v="ORD-00054"/>
    <d v="2025-04-09T00:00:00"/>
    <s v="C0159"/>
    <s v="Yara Ali, Montreal, Consumer"/>
    <s v="Yara Ali"/>
    <s v="Montreal"/>
    <s v="Consumer"/>
    <n v="2"/>
    <s v="P031"/>
    <n v="4"/>
    <n v="208.81"/>
    <n v="0"/>
    <s v="Retail Store"/>
    <s v="Retail Store"/>
    <s v="CC"/>
    <s v="Credit Card"/>
    <s v="Toronto Downtown"/>
    <s v="Quebec"/>
    <s v="Consumer"/>
    <n v="139.04"/>
    <x v="0"/>
    <n v="835.24"/>
    <n v="0"/>
    <n v="835.24"/>
    <n v="556.16"/>
    <n v="279.08000000000004"/>
    <n v="0.3341315071117284"/>
    <x v="0"/>
    <s v=""/>
    <s v=""/>
    <s v=""/>
    <x v="0"/>
    <d v="2025-04-12T00:00:00"/>
  </r>
  <r>
    <x v="121"/>
    <s v="ORD-00055"/>
    <d v="2025-04-08T00:00:00"/>
    <s v="C0090"/>
    <s v="Emma Singh, Winnipeg, Small Business"/>
    <s v="Emma Singh"/>
    <s v="Winnipeg"/>
    <s v="Small Business"/>
    <n v="2"/>
    <s v="P031"/>
    <n v="1"/>
    <n v="208.81"/>
    <n v="0"/>
    <s v="Market place"/>
    <s v="Marketplace"/>
    <s v="PayPal"/>
    <s v="PayPal"/>
    <s v="Vancouver West"/>
    <s v="Manitoba"/>
    <s v="Small Business"/>
    <n v="139.04"/>
    <x v="0"/>
    <n v="208.81"/>
    <n v="0"/>
    <n v="208.81"/>
    <n v="139.04"/>
    <n v="69.77000000000001"/>
    <n v="0.3341315071117284"/>
    <x v="0"/>
    <s v=""/>
    <s v=""/>
    <s v=""/>
    <x v="0"/>
    <d v="2025-04-11T00:00:00"/>
  </r>
  <r>
    <x v="122"/>
    <s v="ORD-00055"/>
    <d v="2025-04-08T00:00:00"/>
    <s v="C0090"/>
    <s v="Emma Singh, Winnipeg, Small Business"/>
    <s v="Emma Singh"/>
    <s v="Winnipeg"/>
    <s v="Small Business"/>
    <n v="2"/>
    <s v="P032"/>
    <n v="2"/>
    <n v="214.38"/>
    <n v="0.1"/>
    <s v="Market place"/>
    <s v="Marketplace"/>
    <s v="Gift Card"/>
    <s v="Gift Card"/>
    <s v="Online Fulfillment"/>
    <s v="Manitoba"/>
    <s v="Small Business"/>
    <n v="131.51"/>
    <x v="0"/>
    <n v="428.76"/>
    <n v="42.876000000000005"/>
    <n v="385.88400000000001"/>
    <n v="263.02"/>
    <n v="122.86400000000003"/>
    <n v="0.31839620196743068"/>
    <x v="0"/>
    <s v=""/>
    <s v=""/>
    <s v=""/>
    <x v="0"/>
    <d v="2025-04-11T00:00:00"/>
  </r>
  <r>
    <x v="123"/>
    <s v="ORD-00055"/>
    <d v="2025-04-08T00:00:00"/>
    <s v="C0090"/>
    <s v="Emma Singh, Winnipeg, Small Business"/>
    <s v="Emma Singh"/>
    <s v="Winnipeg"/>
    <s v="Small Business"/>
    <n v="2"/>
    <s v="P032"/>
    <n v="2"/>
    <n v="214.38"/>
    <n v="0.15"/>
    <s v="Online"/>
    <s v="Online"/>
    <s v="CC"/>
    <s v="Credit Card"/>
    <s v="Calgary North"/>
    <s v="Manitoba"/>
    <s v="Small Business"/>
    <n v="131.51"/>
    <x v="0"/>
    <n v="428.76"/>
    <n v="64.313999999999993"/>
    <n v="364.44600000000003"/>
    <n v="263.02"/>
    <n v="101.42600000000004"/>
    <n v="0.27830186090669135"/>
    <x v="0"/>
    <s v=""/>
    <s v=""/>
    <s v=""/>
    <x v="0"/>
    <d v="2025-04-11T00:00:00"/>
  </r>
  <r>
    <x v="124"/>
    <s v="ORD-00056"/>
    <d v="2025-10-14T00:00:00"/>
    <s v="C0119"/>
    <s v="Noah Khan, Vancouver, Consumer"/>
    <s v="Noah Khan"/>
    <s v="Vancouver"/>
    <s v="Consumer"/>
    <n v="2"/>
    <s v="P014"/>
    <n v="4"/>
    <n v="91.75"/>
    <n v="0"/>
    <s v="Online"/>
    <s v="Online"/>
    <s v="Credit Card"/>
    <s v="Credit Card"/>
    <s v="Calgary North"/>
    <s v="British Columbia"/>
    <s v="Consumer"/>
    <n v="58.27"/>
    <x v="4"/>
    <n v="367"/>
    <n v="0"/>
    <n v="367"/>
    <n v="233.08"/>
    <n v="133.91999999999999"/>
    <n v="0.3649046321525885"/>
    <x v="0"/>
    <s v=""/>
    <s v=""/>
    <s v=""/>
    <x v="1"/>
    <d v="2025-10-19T00:00:00"/>
  </r>
  <r>
    <x v="125"/>
    <s v="ORD-00056"/>
    <d v="2025-10-14T00:00:00"/>
    <s v="C0119"/>
    <s v="Noah Khan, Vancouver, Consumer"/>
    <s v="Noah Khan"/>
    <s v="Vancouver"/>
    <s v="Consumer"/>
    <n v="2"/>
    <s v="P045"/>
    <n v="3"/>
    <n v="72.81"/>
    <n v="0.15"/>
    <s v="Retail Store"/>
    <s v="Retail Store"/>
    <s v="Gift Card"/>
    <s v="Gift Card"/>
    <s v="Toronto Downtown"/>
    <s v="British Columbia"/>
    <s v="Consumer"/>
    <n v="37.99"/>
    <x v="1"/>
    <n v="218.43"/>
    <n v="32.764499999999998"/>
    <n v="185.66550000000001"/>
    <n v="113.97"/>
    <n v="71.69550000000001"/>
    <n v="0.38615413202775961"/>
    <x v="0"/>
    <s v=""/>
    <s v=""/>
    <s v=""/>
    <x v="1"/>
    <d v="2025-10-19T00:00:00"/>
  </r>
  <r>
    <x v="126"/>
    <s v="ORD-00056"/>
    <d v="2025-10-14T00:00:00"/>
    <s v="C0119"/>
    <s v="Noah Khan, Vancouver, Consumer"/>
    <s v="Noah Khan"/>
    <s v="Vancouver"/>
    <s v="Consumer"/>
    <n v="2"/>
    <s v="P029"/>
    <n v="2"/>
    <n v="300.16000000000003"/>
    <n v="0"/>
    <s v="Marketplace"/>
    <s v="Marketplace"/>
    <s v="CC"/>
    <s v="Credit Card"/>
    <s v="Vancouver West"/>
    <s v="British Columbia"/>
    <s v="Consumer"/>
    <n v="158.46"/>
    <x v="2"/>
    <n v="600.32000000000005"/>
    <n v="0"/>
    <n v="600.32000000000005"/>
    <n v="316.92"/>
    <n v="283.40000000000003"/>
    <n v="0.47208155650319833"/>
    <x v="0"/>
    <s v=""/>
    <s v=""/>
    <s v=""/>
    <x v="1"/>
    <d v="2025-10-19T00:00:00"/>
  </r>
  <r>
    <x v="127"/>
    <s v="ORD-00056"/>
    <d v="2025-10-14T00:00:00"/>
    <s v="C0119"/>
    <s v="Noah Khan, Vancouver, Consumer"/>
    <s v="Noah Khan"/>
    <s v="Vancouver"/>
    <s v="Consumer"/>
    <n v="2"/>
    <s v="P041"/>
    <n v="4"/>
    <n v="238.47"/>
    <n v="0"/>
    <s v="Retail  Store"/>
    <s v="Retail Store"/>
    <s v="CC"/>
    <s v="Credit Card"/>
    <s v="Vancouver West"/>
    <s v="British Columbia"/>
    <s v="Consumer"/>
    <n v="127.65"/>
    <x v="1"/>
    <n v="953.88"/>
    <n v="0"/>
    <n v="953.88"/>
    <n v="510.6"/>
    <n v="443.28"/>
    <n v="0.46471254245817079"/>
    <x v="0"/>
    <s v=""/>
    <s v=""/>
    <s v=""/>
    <x v="1"/>
    <d v="2025-10-19T00:00:00"/>
  </r>
  <r>
    <x v="128"/>
    <s v="ORD-00057"/>
    <d v="2025-03-06T01:00:00"/>
    <s v="C0051"/>
    <s v="Emma Tremblay, Calgary, Consumer"/>
    <s v="Emma Tremblay"/>
    <s v="Calgary"/>
    <s v="Consumer"/>
    <n v="2"/>
    <s v="P038"/>
    <n v="4"/>
    <n v="182.94"/>
    <n v="0.15"/>
    <s v="Market place"/>
    <s v="Marketplace"/>
    <s v="PayPal"/>
    <s v="PayPal"/>
    <s v="Calgary North"/>
    <s v="Alberta"/>
    <s v="Consumer"/>
    <n v="118.95"/>
    <x v="0"/>
    <n v="731.76"/>
    <n v="109.764"/>
    <n v="621.99599999999998"/>
    <n v="475.8"/>
    <n v="146.19599999999997"/>
    <n v="0.23504331217564095"/>
    <x v="0"/>
    <s v=""/>
    <s v=""/>
    <s v=""/>
    <x v="1"/>
    <d v="2025-03-16T01:00:00"/>
  </r>
  <r>
    <x v="129"/>
    <s v="ORD-00057"/>
    <d v="2025-03-06T01:00:00"/>
    <s v="C0051"/>
    <s v="Emma Tremblay, Calgary, Consumer"/>
    <s v="Emma Tremblay"/>
    <s v="Calgary"/>
    <s v="Consumer"/>
    <n v="2"/>
    <s v="P047"/>
    <n v="2"/>
    <n v="228.81"/>
    <n v="0"/>
    <s v="Retail Store"/>
    <s v="Retail Store"/>
    <s v="Credit Card"/>
    <s v="Credit Card"/>
    <s v="Toronto Downtown"/>
    <s v="Alberta"/>
    <s v="Consumer"/>
    <n v="130.9"/>
    <x v="1"/>
    <n v="457.62"/>
    <n v="0"/>
    <n v="457.62"/>
    <n v="261.8"/>
    <n v="195.82"/>
    <n v="0.42790961933481925"/>
    <x v="0"/>
    <s v=""/>
    <s v=""/>
    <s v=""/>
    <x v="1"/>
    <d v="2025-03-16T01:00:00"/>
  </r>
  <r>
    <x v="130"/>
    <s v="ORD-00058"/>
    <d v="2025-12-05T00:00:00"/>
    <s v="C0032"/>
    <s v="Ethan Brown, Regina, Corporate"/>
    <s v="Ethan Brown"/>
    <s v="Regina"/>
    <s v="Corporate"/>
    <n v="2"/>
    <s v="P009"/>
    <n v="3"/>
    <n v="147.46"/>
    <n v="0"/>
    <s v="Online"/>
    <s v="Online"/>
    <s v="Gift Card"/>
    <s v="Gift Card"/>
    <s v="Vancouver West"/>
    <s v="Saskatchewan"/>
    <s v="Corporate"/>
    <n v="100.95"/>
    <x v="3"/>
    <n v="442.38"/>
    <n v="0"/>
    <n v="442.38"/>
    <n v="302.85000000000002"/>
    <n v="139.52999999999997"/>
    <n v="0.31540756815407561"/>
    <x v="0"/>
    <s v=""/>
    <s v=""/>
    <s v=""/>
    <x v="1"/>
    <d v="2025-12-14T00:00:00"/>
  </r>
  <r>
    <x v="131"/>
    <s v="ORD-00058"/>
    <d v="2025-12-05T00:00:00"/>
    <s v="C0032"/>
    <s v="Ethan Brown, Regina, Corporate"/>
    <s v="Ethan Brown"/>
    <s v="Regina"/>
    <s v="Corporate"/>
    <n v="2"/>
    <s v="P050"/>
    <n v="2"/>
    <n v="34.909999999999997"/>
    <n v="0.15"/>
    <s v="Marketplace"/>
    <s v="Marketplace"/>
    <s v="CC"/>
    <s v="Credit Card"/>
    <s v="Calgary North"/>
    <s v="Saskatchewan"/>
    <s v="Corporate"/>
    <n v="19.670000000000002"/>
    <x v="1"/>
    <n v="69.819999999999993"/>
    <n v="10.472999999999999"/>
    <n v="59.346999999999994"/>
    <n v="39.340000000000003"/>
    <n v="20.006999999999991"/>
    <n v="0.33711897821288345"/>
    <x v="0"/>
    <s v=""/>
    <s v=""/>
    <s v=""/>
    <x v="1"/>
    <d v="2025-12-14T00:00:00"/>
  </r>
  <r>
    <x v="132"/>
    <s v="ORD-00059"/>
    <d v="2025-12-30T00:00:00"/>
    <s v="C0111"/>
    <s v="Yara Singh, Edmonton, Corporate"/>
    <s v="Yara Singh"/>
    <s v="Edmonton"/>
    <s v="Corporate"/>
    <n v="2"/>
    <s v="P034"/>
    <n v="4"/>
    <n v="141.46"/>
    <n v="0.15"/>
    <s v="Market place"/>
    <s v="Marketplace"/>
    <s v="Gift Card"/>
    <s v="Gift Card"/>
    <s v="Calgary North"/>
    <s v="Alberta"/>
    <s v="Corporate"/>
    <n v="78.650000000000006"/>
    <x v="0"/>
    <n v="565.84"/>
    <n v="84.876000000000005"/>
    <n v="480.96400000000006"/>
    <n v="314.60000000000002"/>
    <n v="166.36400000000003"/>
    <n v="0.34589699021132564"/>
    <x v="0"/>
    <s v=""/>
    <s v=""/>
    <s v=""/>
    <x v="0"/>
    <d v="2026-01-01T00:00:00"/>
  </r>
  <r>
    <x v="133"/>
    <s v="ORD-00060"/>
    <d v="2025-08-13T00:00:00"/>
    <s v="C0082"/>
    <s v="Adam Dubois, Calgary, Small Business"/>
    <s v="Adam Dubois"/>
    <s v="Calgary"/>
    <s v="Small Business"/>
    <n v="2"/>
    <s v="P019"/>
    <n v="1"/>
    <n v="183.73"/>
    <n v="0"/>
    <s v="Online"/>
    <s v="Online"/>
    <m/>
    <s v="Unknown"/>
    <s v="Calgary North"/>
    <s v="Alberta"/>
    <s v="Small Business"/>
    <n v="98.11"/>
    <x v="4"/>
    <n v="183.73"/>
    <n v="0"/>
    <n v="183.73"/>
    <n v="98.11"/>
    <n v="85.61999999999999"/>
    <n v="0.46600990584009139"/>
    <x v="0"/>
    <s v=""/>
    <s v=""/>
    <s v=""/>
    <x v="0"/>
    <d v="2025-08-17T00:00:00"/>
  </r>
  <r>
    <x v="134"/>
    <s v="ORD-00060"/>
    <d v="2025-08-13T00:00:00"/>
    <s v="C0082"/>
    <s v="Adam Dubois, Calgary, Small Business"/>
    <s v="Adam Dubois"/>
    <s v="Calgary"/>
    <s v="Small Business"/>
    <n v="2"/>
    <s v="P012"/>
    <n v="2"/>
    <n v="186.92"/>
    <n v="0"/>
    <s v="Online"/>
    <s v="Online"/>
    <s v="PayPal"/>
    <s v="PayPal"/>
    <s v="Montreal Central"/>
    <s v="Alberta"/>
    <s v="Small Business"/>
    <n v="114.11"/>
    <x v="4"/>
    <n v="373.84"/>
    <n v="0"/>
    <n v="373.84"/>
    <n v="228.22"/>
    <n v="145.61999999999998"/>
    <n v="0.38952493045153003"/>
    <x v="0"/>
    <s v=""/>
    <s v=""/>
    <s v=""/>
    <x v="0"/>
    <d v="2025-08-17T00:00:00"/>
  </r>
  <r>
    <x v="135"/>
    <s v="ORD-00061"/>
    <d v="2025-02-10T00:00:00"/>
    <s v="C0070"/>
    <s v="Maya Martin, Vancouver, Small Business"/>
    <s v="Maya Martin"/>
    <s v="Vancouver"/>
    <s v="Small Business"/>
    <n v="2"/>
    <s v="P044"/>
    <n v="3"/>
    <n v="208.89"/>
    <n v="0"/>
    <s v="Online"/>
    <s v="Online"/>
    <s v="CC"/>
    <s v="Credit Card"/>
    <s v="Montreal Central"/>
    <s v="British Columbia"/>
    <s v="Small Business"/>
    <n v="133.05000000000001"/>
    <x v="1"/>
    <n v="626.66999999999996"/>
    <n v="0"/>
    <n v="626.66999999999996"/>
    <n v="399.15000000000003"/>
    <n v="227.51999999999992"/>
    <n v="0.36306189860692223"/>
    <x v="0"/>
    <s v=""/>
    <s v=""/>
    <s v=""/>
    <x v="0"/>
    <d v="2025-02-14T00:00:00"/>
  </r>
  <r>
    <x v="136"/>
    <s v="ORD-00062"/>
    <d v="2025-08-05T00:00:00"/>
    <s v="C0035"/>
    <s v="Sofia Singh, Vancouver, Consumer"/>
    <s v="Sofia Singh"/>
    <s v="Vancouver"/>
    <s v="Consumer"/>
    <n v="2"/>
    <s v="P045"/>
    <n v="4"/>
    <n v="72.81"/>
    <n v="0.1"/>
    <s v="Retail Store"/>
    <s v="Retail Store"/>
    <s v="PayPal"/>
    <s v="PayPal"/>
    <s v="Online Fulfillment"/>
    <s v="British Columbia"/>
    <s v="Consumer"/>
    <n v="37.99"/>
    <x v="1"/>
    <n v="291.24"/>
    <n v="29.124000000000002"/>
    <n v="262.11599999999999"/>
    <n v="151.96"/>
    <n v="110.15599999999998"/>
    <n v="0.42025668024843954"/>
    <x v="0"/>
    <s v=""/>
    <s v=""/>
    <s v=""/>
    <x v="0"/>
    <d v="2025-08-07T00:00:00"/>
  </r>
  <r>
    <x v="137"/>
    <s v="ORD-00062"/>
    <d v="2025-08-05T00:00:00"/>
    <s v="C0035"/>
    <s v="Sofia Singh, Vancouver, Consumer"/>
    <s v="Sofia Singh"/>
    <s v="Vancouver"/>
    <s v="Consumer"/>
    <n v="2"/>
    <s v="P028"/>
    <n v="1"/>
    <n v="52.79"/>
    <n v="0.1"/>
    <s v="Retail Store"/>
    <s v="Retail Store"/>
    <s v="Credit Card"/>
    <s v="Credit Card"/>
    <s v="Vancouver West"/>
    <s v="British Columbia"/>
    <s v="Consumer"/>
    <n v="28.17"/>
    <x v="2"/>
    <n v="52.79"/>
    <n v="5.2789999999999999"/>
    <n v="47.510999999999996"/>
    <n v="28.17"/>
    <n v="19.340999999999994"/>
    <n v="0.40708467512786506"/>
    <x v="0"/>
    <s v=""/>
    <s v=""/>
    <s v=""/>
    <x v="0"/>
    <d v="2025-08-07T00:00:00"/>
  </r>
  <r>
    <x v="138"/>
    <s v="ORD-00062"/>
    <d v="2025-08-05T00:00:00"/>
    <s v="C0035"/>
    <s v="Sofia Singh, Vancouver, Consumer"/>
    <s v="Sofia Singh"/>
    <s v="Vancouver"/>
    <s v="Consumer"/>
    <n v="2"/>
    <s v="P021"/>
    <n v="4"/>
    <n v="25.01"/>
    <n v="0.15"/>
    <s v="Retail Store"/>
    <s v="Retail Store"/>
    <s v="PayPal"/>
    <s v="PayPal"/>
    <s v="Online Fulfillment"/>
    <s v="British Columbia"/>
    <s v="Consumer"/>
    <n v="16.86"/>
    <x v="2"/>
    <n v="100.04"/>
    <n v="15.006"/>
    <n v="85.034000000000006"/>
    <n v="67.44"/>
    <n v="17.594000000000008"/>
    <n v="0.20690547310487578"/>
    <x v="0"/>
    <s v=""/>
    <s v=""/>
    <s v=""/>
    <x v="0"/>
    <d v="2025-08-07T00:00:00"/>
  </r>
  <r>
    <x v="139"/>
    <s v="ORD-00062"/>
    <d v="2025-08-05T00:00:00"/>
    <s v="C0035"/>
    <s v="Sofia Singh, Vancouver, Consumer"/>
    <s v="Sofia Singh"/>
    <s v="Vancouver"/>
    <s v="Consumer"/>
    <n v="2"/>
    <s v="P041"/>
    <n v="4"/>
    <n v="238.47"/>
    <n v="0.05"/>
    <s v="Market place"/>
    <s v="Marketplace"/>
    <s v="Debit Card"/>
    <s v="Debit Card"/>
    <s v="Montreal Central"/>
    <s v="British Columbia"/>
    <s v="Consumer"/>
    <n v="127.65"/>
    <x v="1"/>
    <n v="953.88"/>
    <n v="47.694000000000003"/>
    <n v="906.18600000000004"/>
    <n v="510.6"/>
    <n v="395.58600000000001"/>
    <n v="0.43653951837702193"/>
    <x v="0"/>
    <s v=""/>
    <s v=""/>
    <s v=""/>
    <x v="0"/>
    <d v="2025-08-07T00:00:00"/>
  </r>
  <r>
    <x v="140"/>
    <s v="ORD-00063"/>
    <d v="2025-11-23T00:00:00"/>
    <s v="C0179"/>
    <s v="Yara Ali, Montreal, Consumer"/>
    <s v="Yara Ali"/>
    <s v="Montreal"/>
    <s v="Consumer"/>
    <n v="2"/>
    <s v="P004"/>
    <n v="4"/>
    <n v="195.38"/>
    <n v="0.1"/>
    <s v="Retail  Store"/>
    <s v="Retail Store"/>
    <s v="Credit Card"/>
    <s v="Credit Card"/>
    <s v="Online Fulfillment"/>
    <s v="Quebec"/>
    <s v="Consumer"/>
    <n v="114.29"/>
    <x v="3"/>
    <n v="781.52"/>
    <n v="78.152000000000001"/>
    <n v="703.36799999999994"/>
    <n v="457.16"/>
    <n v="246.20799999999991"/>
    <n v="0.35004151454146326"/>
    <x v="0"/>
    <s v=""/>
    <s v=""/>
    <s v=""/>
    <x v="0"/>
    <d v="2025-11-27T00:00:00"/>
  </r>
  <r>
    <x v="141"/>
    <s v="ORD-00063"/>
    <d v="2025-11-23T00:00:00"/>
    <s v="C0179"/>
    <s v="Yara Ali, Montreal, Consumer"/>
    <s v="Yara Ali"/>
    <s v="Montreal"/>
    <s v="Consumer"/>
    <n v="2"/>
    <s v="P031"/>
    <n v="1"/>
    <n v="208.81"/>
    <n v="0.15"/>
    <s v="Online"/>
    <s v="Online"/>
    <s v="CC"/>
    <s v="Credit Card"/>
    <s v="Vancouver West"/>
    <s v="Quebec"/>
    <s v="Consumer"/>
    <n v="139.04"/>
    <x v="0"/>
    <n v="208.81"/>
    <n v="31.3215"/>
    <n v="177.48849999999999"/>
    <n v="139.04"/>
    <n v="38.448499999999996"/>
    <n v="0.2166253024843863"/>
    <x v="0"/>
    <s v=""/>
    <s v=""/>
    <s v=""/>
    <x v="0"/>
    <d v="2025-11-27T00:00:00"/>
  </r>
  <r>
    <x v="142"/>
    <s v="ORD-00063"/>
    <d v="2025-11-23T00:00:00"/>
    <s v="C0179"/>
    <s v="Yara Ali, Montreal, Consumer"/>
    <s v="Yara Ali"/>
    <s v="Montreal"/>
    <s v="Consumer"/>
    <n v="2"/>
    <s v="P019"/>
    <n v="4"/>
    <n v="183.73"/>
    <n v="0"/>
    <s v="Marketplace"/>
    <s v="Marketplace"/>
    <m/>
    <s v="Unknown"/>
    <s v="Calgary North"/>
    <s v="Quebec"/>
    <s v="Consumer"/>
    <n v="98.11"/>
    <x v="4"/>
    <n v="734.92"/>
    <n v="0"/>
    <n v="734.92"/>
    <n v="392.44"/>
    <n v="342.47999999999996"/>
    <n v="0.46600990584009139"/>
    <x v="0"/>
    <s v=""/>
    <s v=""/>
    <s v=""/>
    <x v="0"/>
    <d v="2025-11-27T00:00:00"/>
  </r>
  <r>
    <x v="143"/>
    <s v="ORD-00064"/>
    <d v="2025-08-31T00:00:00"/>
    <s v="C0109"/>
    <s v="Sofia Khan, Edmonton, Small Business"/>
    <s v="Sofia Khan"/>
    <s v="Edmonton"/>
    <s v="Small Business"/>
    <n v="2"/>
    <s v="P018"/>
    <n v="2"/>
    <n v="142.16"/>
    <n v="0.1"/>
    <s v="Marketplace"/>
    <s v="Marketplace"/>
    <s v="Gift Card"/>
    <s v="Gift Card"/>
    <s v="Montreal Central"/>
    <s v="Alberta"/>
    <s v="Small Business"/>
    <n v="85.34"/>
    <x v="4"/>
    <n v="284.32"/>
    <n v="28.432000000000002"/>
    <n v="255.88799999999998"/>
    <n v="170.68"/>
    <n v="85.20799999999997"/>
    <n v="0.33298943287688354"/>
    <x v="0"/>
    <s v=""/>
    <s v=""/>
    <s v=""/>
    <x v="1"/>
    <d v="2025-09-07T00:00:00"/>
  </r>
  <r>
    <x v="144"/>
    <s v="ORD-00065"/>
    <d v="2025-05-15T00:00:00"/>
    <s v="C0135"/>
    <s v="Emma Wilson, Edmonton, Corporate"/>
    <s v="Emma Wilson"/>
    <s v="Edmonton"/>
    <s v="Corporate"/>
    <n v="2"/>
    <s v="P018"/>
    <n v="3"/>
    <n v="142.16"/>
    <n v="0"/>
    <s v="Marketplace"/>
    <s v="Marketplace"/>
    <s v="Credit Card"/>
    <s v="Credit Card"/>
    <s v="Montreal Central"/>
    <s v="Alberta"/>
    <s v="Corporate"/>
    <n v="85.34"/>
    <x v="4"/>
    <n v="426.48"/>
    <n v="0"/>
    <n v="426.48"/>
    <n v="256.02"/>
    <n v="170.46000000000004"/>
    <n v="0.39969048958919534"/>
    <x v="0"/>
    <s v=""/>
    <s v=""/>
    <s v=""/>
    <x v="0"/>
    <d v="2025-05-19T00:00:00"/>
  </r>
  <r>
    <x v="145"/>
    <s v="ORD-00065"/>
    <d v="2025-05-15T00:00:00"/>
    <s v="C0135"/>
    <s v="Emma Wilson, Edmonton, Corporate"/>
    <s v="Emma Wilson"/>
    <s v="Edmonton"/>
    <s v="Corporate"/>
    <n v="2"/>
    <s v="P041"/>
    <n v="3"/>
    <n v="238.47"/>
    <n v="0.05"/>
    <s v="Online"/>
    <s v="Online"/>
    <s v="CC"/>
    <s v="Credit Card"/>
    <s v="Calgary North"/>
    <s v="Alberta"/>
    <s v="Corporate"/>
    <n v="127.65"/>
    <x v="1"/>
    <n v="715.41"/>
    <n v="35.770499999999998"/>
    <n v="679.6395"/>
    <n v="382.95000000000005"/>
    <n v="296.68949999999995"/>
    <n v="0.43653951837702187"/>
    <x v="0"/>
    <s v=""/>
    <s v=""/>
    <s v=""/>
    <x v="0"/>
    <d v="2025-05-19T00:00:00"/>
  </r>
  <r>
    <x v="146"/>
    <s v="ORD-00065"/>
    <d v="2025-05-15T00:00:00"/>
    <s v="C0135"/>
    <s v="Emma Wilson, Edmonton, Corporate"/>
    <s v="Emma Wilson"/>
    <s v="Edmonton"/>
    <s v="Corporate"/>
    <n v="2"/>
    <s v="P028"/>
    <n v="1"/>
    <n v="52.79"/>
    <n v="0"/>
    <s v="Retail  Store"/>
    <s v="Retail Store"/>
    <m/>
    <s v="Unknown"/>
    <s v="Calgary North"/>
    <s v="Alberta"/>
    <s v="Corporate"/>
    <n v="28.17"/>
    <x v="2"/>
    <n v="52.79"/>
    <n v="0"/>
    <n v="52.79"/>
    <n v="28.17"/>
    <n v="24.619999999999997"/>
    <n v="0.46637620761507859"/>
    <x v="0"/>
    <s v=""/>
    <s v=""/>
    <s v=""/>
    <x v="0"/>
    <d v="2025-05-19T00:00:00"/>
  </r>
  <r>
    <x v="147"/>
    <s v="ORD-00065"/>
    <d v="2025-05-15T00:00:00"/>
    <s v="C0135"/>
    <s v="Emma Wilson, Edmonton, Corporate"/>
    <s v="Emma Wilson"/>
    <s v="Edmonton"/>
    <s v="Corporate"/>
    <n v="2"/>
    <s v="P031"/>
    <n v="2"/>
    <n v="208.81"/>
    <n v="0.15"/>
    <s v="Online"/>
    <s v="Online"/>
    <s v="Credit Card"/>
    <s v="Credit Card"/>
    <s v="Vancouver West"/>
    <s v="Alberta"/>
    <s v="Corporate"/>
    <n v="139.04"/>
    <x v="0"/>
    <n v="417.62"/>
    <n v="62.643000000000001"/>
    <n v="354.97699999999998"/>
    <n v="278.08"/>
    <n v="76.896999999999991"/>
    <n v="0.2166253024843863"/>
    <x v="0"/>
    <s v=""/>
    <s v=""/>
    <s v=""/>
    <x v="0"/>
    <d v="2025-05-19T00:00:00"/>
  </r>
  <r>
    <x v="148"/>
    <s v="ORD-00066"/>
    <d v="2025-01-10T00:00:00"/>
    <s v="C0077"/>
    <s v="Yara Dubois, Ottawa, Consumer"/>
    <s v="Yara Dubois"/>
    <s v="Ottawa"/>
    <s v="Consumer"/>
    <n v="2"/>
    <s v="P047"/>
    <n v="3"/>
    <n v="228.81"/>
    <n v="0.05"/>
    <s v="Market place"/>
    <s v="Marketplace"/>
    <s v="PayPal"/>
    <s v="PayPal"/>
    <s v="Toronto Downtown"/>
    <s v="Ontario"/>
    <s v="Consumer"/>
    <n v="130.9"/>
    <x v="1"/>
    <n v="686.43000000000006"/>
    <n v="34.321500000000007"/>
    <n v="652.10850000000005"/>
    <n v="392.70000000000005"/>
    <n v="259.4085"/>
    <n v="0.39779959929980974"/>
    <x v="0"/>
    <s v=""/>
    <s v=""/>
    <s v=""/>
    <x v="0"/>
    <d v="2025-01-13T00:00:00"/>
  </r>
  <r>
    <x v="149"/>
    <s v="ORD-00067"/>
    <d v="2025-09-06T00:00:00"/>
    <s v="C0003"/>
    <s v="Noah Gagnon, Calgary, Small Business"/>
    <s v="Noah Gagnon"/>
    <s v="Calgary"/>
    <s v="Small Business"/>
    <n v="2"/>
    <s v="P048"/>
    <n v="4"/>
    <n v="287.16000000000003"/>
    <n v="0"/>
    <s v="Marketplace"/>
    <s v="Marketplace"/>
    <s v="Gift Card"/>
    <s v="Gift Card"/>
    <s v="Vancouver West"/>
    <s v="Alberta"/>
    <s v="Small Business"/>
    <n v="148.21"/>
    <x v="1"/>
    <n v="1148.6400000000001"/>
    <n v="0"/>
    <n v="1148.6400000000001"/>
    <n v="592.84"/>
    <n v="555.80000000000007"/>
    <n v="0.48387658448251847"/>
    <x v="0"/>
    <s v=""/>
    <s v=""/>
    <s v=""/>
    <x v="1"/>
    <d v="2025-09-12T00:00:00"/>
  </r>
  <r>
    <x v="150"/>
    <s v="ORD-00067"/>
    <d v="2025-09-06T00:00:00"/>
    <s v="C0003"/>
    <s v="Noah Gagnon, Calgary, Small Business"/>
    <s v="Noah Gagnon"/>
    <s v="Calgary"/>
    <s v="Small Business"/>
    <n v="2"/>
    <s v="P008"/>
    <n v="4"/>
    <n v="110.88"/>
    <n v="0.15"/>
    <s v="Marketplace"/>
    <s v="Marketplace"/>
    <s v="CC"/>
    <s v="Credit Card"/>
    <s v="Vancouver West"/>
    <s v="Alberta"/>
    <s v="Small Business"/>
    <n v="57.09"/>
    <x v="3"/>
    <n v="443.52"/>
    <n v="66.527999999999992"/>
    <n v="376.99199999999996"/>
    <n v="228.36"/>
    <n v="148.63199999999995"/>
    <n v="0.39425770308123237"/>
    <x v="1"/>
    <s v="Damaged"/>
    <d v="2025-09-15T00:00:00"/>
    <s v="Refunded"/>
    <x v="1"/>
    <d v="2025-09-12T00:00:00"/>
  </r>
  <r>
    <x v="151"/>
    <s v="ORD-00067"/>
    <d v="2025-09-06T00:00:00"/>
    <s v="C0003"/>
    <s v="Noah Gagnon, Calgary, Small Business"/>
    <s v="Noah Gagnon"/>
    <s v="Calgary"/>
    <s v="Small Business"/>
    <n v="2"/>
    <s v="P001"/>
    <n v="1"/>
    <n v="133.24"/>
    <n v="0"/>
    <s v="Retail  Store"/>
    <s v="Retail Store"/>
    <s v="Gift Card"/>
    <s v="Gift Card"/>
    <s v="Online Fulfillment"/>
    <s v="Alberta"/>
    <s v="Small Business"/>
    <n v="77.540000000000006"/>
    <x v="3"/>
    <n v="133.24"/>
    <n v="0"/>
    <n v="133.24"/>
    <n v="77.540000000000006"/>
    <n v="55.7"/>
    <n v="0.41804262984088864"/>
    <x v="0"/>
    <s v=""/>
    <s v=""/>
    <s v=""/>
    <x v="1"/>
    <d v="2025-09-12T00:00:00"/>
  </r>
  <r>
    <x v="152"/>
    <s v="ORD-00068"/>
    <d v="2025-09-04T00:00:00"/>
    <s v="C0171"/>
    <s v="Yara Gagnon, Winnipeg, Corporate"/>
    <s v="Yara Gagnon"/>
    <s v="Winnipeg"/>
    <s v="Corporate"/>
    <n v="2"/>
    <s v="P001"/>
    <n v="2"/>
    <n v="133.24"/>
    <n v="0.05"/>
    <s v="Online"/>
    <s v="Online"/>
    <s v="PayPal"/>
    <s v="PayPal"/>
    <s v="Calgary North"/>
    <s v="Manitoba"/>
    <s v="Corporate"/>
    <n v="77.540000000000006"/>
    <x v="3"/>
    <n v="266.48"/>
    <n v="13.324000000000002"/>
    <n v="253.15600000000001"/>
    <n v="155.08000000000001"/>
    <n v="98.075999999999993"/>
    <n v="0.38741329456935641"/>
    <x v="0"/>
    <s v=""/>
    <s v=""/>
    <s v=""/>
    <x v="1"/>
    <d v="2025-09-14T00:00:00"/>
  </r>
  <r>
    <x v="153"/>
    <s v="ORD-00068"/>
    <d v="2025-09-04T00:00:00"/>
    <s v="C0171"/>
    <s v="Yara Gagnon, Winnipeg, Corporate"/>
    <s v="Yara Gagnon"/>
    <s v="Winnipeg"/>
    <s v="Corporate"/>
    <n v="2"/>
    <s v="P015"/>
    <n v="1"/>
    <n v="273.89"/>
    <n v="0.1"/>
    <s v="Online"/>
    <s v="Online"/>
    <m/>
    <s v="Unknown"/>
    <s v="Montreal Central"/>
    <s v="Manitoba"/>
    <s v="Corporate"/>
    <n v="140.66999999999999"/>
    <x v="4"/>
    <n v="273.89"/>
    <n v="27.388999999999999"/>
    <n v="246.50099999999998"/>
    <n v="140.66999999999999"/>
    <n v="105.83099999999999"/>
    <n v="0.42933294388258059"/>
    <x v="1"/>
    <s v="Damaged"/>
    <d v="2025-09-24T00:00:00"/>
    <s v="Refunded"/>
    <x v="1"/>
    <d v="2025-09-14T00:00:00"/>
  </r>
  <r>
    <x v="154"/>
    <s v="ORD-00069"/>
    <d v="2025-10-31T00:00:00"/>
    <s v="C0029"/>
    <s v="Sara Dubois, Edmonton, Consumer"/>
    <s v="Sara Dubois"/>
    <s v="Edmonton"/>
    <s v="Consumer"/>
    <n v="2"/>
    <s v="P008"/>
    <n v="3"/>
    <n v="110.88"/>
    <n v="0.05"/>
    <s v="Online"/>
    <s v="Online"/>
    <s v="CC"/>
    <s v="Credit Card"/>
    <s v="Toronto Downtown"/>
    <s v="Alberta"/>
    <s v="Consumer"/>
    <n v="57.09"/>
    <x v="3"/>
    <n v="332.64"/>
    <n v="16.632000000000001"/>
    <n v="316.00799999999998"/>
    <n v="171.27"/>
    <n v="144.73799999999997"/>
    <n v="0.45802005012531322"/>
    <x v="0"/>
    <s v=""/>
    <s v=""/>
    <s v=""/>
    <x v="1"/>
    <d v="2025-11-10T00:00:00"/>
  </r>
  <r>
    <x v="155"/>
    <s v="ORD-00069"/>
    <d v="2025-10-31T00:00:00"/>
    <s v="C0029"/>
    <s v="Sara Dubois, Edmonton, Consumer"/>
    <s v="Sara Dubois"/>
    <s v="Edmonton"/>
    <s v="Consumer"/>
    <n v="2"/>
    <s v="P026"/>
    <n v="4"/>
    <n v="228.91"/>
    <n v="0.1"/>
    <s v="Marketplace"/>
    <s v="Marketplace"/>
    <m/>
    <s v="Unknown"/>
    <s v="Online Fulfillment"/>
    <s v="Alberta"/>
    <s v="Consumer"/>
    <n v="149.4"/>
    <x v="2"/>
    <n v="915.64"/>
    <n v="91.564000000000007"/>
    <n v="824.07600000000002"/>
    <n v="597.6"/>
    <n v="226.476"/>
    <n v="0.27482416670307108"/>
    <x v="1"/>
    <s v="Wrong Item"/>
    <d v="2025-11-14T00:00:00"/>
    <s v="Refunded"/>
    <x v="1"/>
    <d v="2025-11-10T00:00:00"/>
  </r>
  <r>
    <x v="156"/>
    <s v="ORD-00069"/>
    <d v="2025-10-31T00:00:00"/>
    <s v="C0029"/>
    <s v="Sara Dubois, Edmonton, Consumer"/>
    <s v="Sara Dubois"/>
    <s v="Edmonton"/>
    <s v="Consumer"/>
    <n v="2"/>
    <s v="P026"/>
    <n v="2"/>
    <n v="228.91"/>
    <n v="0.05"/>
    <s v="Online"/>
    <s v="Online"/>
    <m/>
    <s v="Unknown"/>
    <s v="Vancouver West"/>
    <s v="Alberta"/>
    <s v="Consumer"/>
    <n v="149.4"/>
    <x v="2"/>
    <n v="457.82"/>
    <n v="22.891000000000002"/>
    <n v="434.92899999999997"/>
    <n v="298.8"/>
    <n v="136.12899999999996"/>
    <n v="0.312991315823962"/>
    <x v="0"/>
    <s v=""/>
    <s v=""/>
    <s v=""/>
    <x v="1"/>
    <d v="2025-11-10T00:00:00"/>
  </r>
  <r>
    <x v="157"/>
    <s v="ORD-00070"/>
    <d v="2025-11-10T00:00:00"/>
    <s v="C0075"/>
    <s v="Sara Tremblay, Winnipeg, Corporate"/>
    <s v="Sara Tremblay"/>
    <s v="Winnipeg"/>
    <s v="Corporate"/>
    <n v="2"/>
    <s v="P018"/>
    <n v="4"/>
    <n v="142.16"/>
    <n v="0.1"/>
    <s v="Market place"/>
    <s v="Marketplace"/>
    <s v="CC"/>
    <s v="Credit Card"/>
    <s v="Calgary North"/>
    <s v="Manitoba"/>
    <s v="Corporate"/>
    <n v="85.34"/>
    <x v="4"/>
    <n v="568.64"/>
    <n v="56.864000000000004"/>
    <n v="511.77599999999995"/>
    <n v="341.36"/>
    <n v="170.41599999999994"/>
    <n v="0.33298943287688354"/>
    <x v="0"/>
    <s v=""/>
    <s v=""/>
    <s v=""/>
    <x v="1"/>
    <d v="2025-11-19T00:00:00"/>
  </r>
  <r>
    <x v="158"/>
    <s v="ORD-00070"/>
    <d v="2025-11-10T00:00:00"/>
    <s v="C0075"/>
    <s v="Sara Tremblay, Winnipeg, Corporate"/>
    <s v="Sara Tremblay"/>
    <s v="Winnipeg"/>
    <s v="Corporate"/>
    <n v="2"/>
    <s v="P028"/>
    <n v="4"/>
    <n v="52.79"/>
    <n v="0.05"/>
    <s v="Retail  Store"/>
    <s v="Retail Store"/>
    <s v="Debit Card"/>
    <s v="Debit Card"/>
    <s v="Online Fulfillment"/>
    <s v="Manitoba"/>
    <s v="Corporate"/>
    <n v="28.17"/>
    <x v="2"/>
    <n v="211.16"/>
    <n v="10.558"/>
    <n v="200.602"/>
    <n v="112.68"/>
    <n v="87.921999999999997"/>
    <n v="0.43829074485797748"/>
    <x v="0"/>
    <s v=""/>
    <s v=""/>
    <s v=""/>
    <x v="1"/>
    <d v="2025-11-19T00:00:00"/>
  </r>
  <r>
    <x v="159"/>
    <s v="ORD-00070"/>
    <d v="2025-11-10T00:00:00"/>
    <s v="C0075"/>
    <s v="Sara Tremblay, Winnipeg, Corporate"/>
    <s v="Sara Tremblay"/>
    <s v="Winnipeg"/>
    <s v="Corporate"/>
    <n v="2"/>
    <s v="P038"/>
    <n v="3"/>
    <n v="182.94"/>
    <n v="0.1"/>
    <s v="Market place"/>
    <s v="Marketplace"/>
    <s v="CC"/>
    <s v="Credit Card"/>
    <s v="Toronto Downtown"/>
    <s v="Manitoba"/>
    <s v="Corporate"/>
    <n v="118.95"/>
    <x v="0"/>
    <n v="548.81999999999994"/>
    <n v="54.881999999999998"/>
    <n v="493.93799999999993"/>
    <n v="356.85"/>
    <n v="137.08799999999991"/>
    <n v="0.27754090594366082"/>
    <x v="1"/>
    <s v="Late Delivery"/>
    <d v="2025-11-24T00:00:00"/>
    <s v="Pending"/>
    <x v="1"/>
    <d v="2025-11-19T00:00:00"/>
  </r>
  <r>
    <x v="160"/>
    <s v="ORD-00070"/>
    <d v="2025-11-10T00:00:00"/>
    <s v="C0075"/>
    <s v="Sara Tremblay, Winnipeg, Corporate"/>
    <s v="Sara Tremblay"/>
    <s v="Winnipeg"/>
    <s v="Corporate"/>
    <n v="2"/>
    <s v="P040"/>
    <n v="4"/>
    <n v="33.369999999999997"/>
    <n v="0.15"/>
    <s v="Market place"/>
    <s v="Marketplace"/>
    <s v="Credit Card"/>
    <s v="Credit Card"/>
    <s v="Montreal Central"/>
    <s v="Manitoba"/>
    <s v="Corporate"/>
    <n v="18.670000000000002"/>
    <x v="0"/>
    <n v="133.47999999999999"/>
    <n v="20.021999999999998"/>
    <n v="113.458"/>
    <n v="74.680000000000007"/>
    <n v="38.777999999999992"/>
    <n v="0.34178286238079281"/>
    <x v="0"/>
    <s v=""/>
    <s v=""/>
    <s v=""/>
    <x v="1"/>
    <d v="2025-11-19T00:00:00"/>
  </r>
  <r>
    <x v="161"/>
    <s v="ORD-00071"/>
    <d v="2025-01-17T00:00:00"/>
    <s v="C0141"/>
    <s v="Emma Tremblay, Halifax, Consumer"/>
    <s v="Emma Tremblay"/>
    <s v="Halifax"/>
    <s v="Consumer"/>
    <n v="2"/>
    <s v="P018"/>
    <n v="4"/>
    <n v="142.16"/>
    <n v="0"/>
    <s v="Online"/>
    <s v="Online"/>
    <m/>
    <s v="Unknown"/>
    <s v="Online Fulfillment"/>
    <s v="Nova Scotia"/>
    <s v="Consumer"/>
    <n v="85.34"/>
    <x v="4"/>
    <n v="568.64"/>
    <n v="0"/>
    <n v="568.64"/>
    <n v="341.36"/>
    <n v="227.27999999999997"/>
    <n v="0.39969048958919523"/>
    <x v="0"/>
    <s v=""/>
    <s v=""/>
    <s v=""/>
    <x v="1"/>
    <d v="2025-01-23T00:00:00"/>
  </r>
  <r>
    <x v="162"/>
    <s v="ORD-00071"/>
    <d v="2025-01-17T00:00:00"/>
    <s v="C0141"/>
    <s v="Emma Tremblay, Halifax, Consumer"/>
    <s v="Emma Tremblay"/>
    <s v="Halifax"/>
    <s v="Consumer"/>
    <n v="2"/>
    <s v="P035"/>
    <n v="4"/>
    <n v="251.17"/>
    <n v="0"/>
    <s v="Retail  Store"/>
    <s v="Retail Store"/>
    <s v="CC"/>
    <s v="Credit Card"/>
    <s v="Montreal Central"/>
    <s v="Nova Scotia"/>
    <s v="Consumer"/>
    <n v="151.59"/>
    <x v="0"/>
    <n v="1004.68"/>
    <n v="0"/>
    <n v="1004.68"/>
    <n v="606.36"/>
    <n v="398.31999999999994"/>
    <n v="0.39646454592507063"/>
    <x v="0"/>
    <s v=""/>
    <s v=""/>
    <s v=""/>
    <x v="1"/>
    <d v="2025-01-23T00:00:00"/>
  </r>
  <r>
    <x v="163"/>
    <s v="ORD-00072"/>
    <d v="2025-12-05T00:00:00"/>
    <s v="C0129"/>
    <s v="Emma Brown, Toronto, Corporate"/>
    <s v="Emma Brown"/>
    <s v="Toronto"/>
    <s v="Corporate"/>
    <n v="2"/>
    <s v="P002"/>
    <n v="4"/>
    <n v="105.38"/>
    <n v="0"/>
    <s v="Online"/>
    <s v="Online"/>
    <m/>
    <s v="Unknown"/>
    <s v="Toronto Downtown"/>
    <s v="Ontario"/>
    <s v="Corporate"/>
    <n v="67.290000000000006"/>
    <x v="3"/>
    <n v="421.52"/>
    <n v="0"/>
    <n v="421.52"/>
    <n v="269.16000000000003"/>
    <n v="152.35999999999996"/>
    <n v="0.36145378629721003"/>
    <x v="1"/>
    <s v="Damaged"/>
    <d v="2025-12-28T00:00:00"/>
    <s v="Pending"/>
    <x v="1"/>
    <d v="2025-12-11T00:00:00"/>
  </r>
  <r>
    <x v="164"/>
    <s v="ORD-00072"/>
    <d v="2025-12-05T00:00:00"/>
    <s v="C0129"/>
    <s v="Emma Brown, Toronto, Corporate"/>
    <s v="Emma Brown"/>
    <s v="Toronto"/>
    <s v="Corporate"/>
    <n v="2"/>
    <s v="P011"/>
    <n v="1"/>
    <n v="275.76"/>
    <n v="0.15"/>
    <s v="Retail Store"/>
    <s v="Retail Store"/>
    <s v="Debit Card"/>
    <s v="Debit Card"/>
    <s v="Online Fulfillment"/>
    <s v="Ontario"/>
    <s v="Corporate"/>
    <n v="156.97"/>
    <x v="4"/>
    <n v="275.76"/>
    <n v="41.363999999999997"/>
    <n v="234.39599999999999"/>
    <n v="156.97"/>
    <n v="77.425999999999988"/>
    <n v="0.33032133654157919"/>
    <x v="0"/>
    <s v=""/>
    <s v=""/>
    <s v=""/>
    <x v="1"/>
    <d v="2025-12-11T00:00:00"/>
  </r>
  <r>
    <x v="165"/>
    <s v="ORD-00072"/>
    <d v="2025-12-05T00:00:00"/>
    <s v="C0129"/>
    <s v="Emma Brown, Toronto, Corporate"/>
    <s v="Emma Brown"/>
    <s v="Toronto"/>
    <s v="Corporate"/>
    <n v="2"/>
    <s v="P005"/>
    <n v="3"/>
    <n v="42.72"/>
    <n v="0.05"/>
    <s v="Retail Store"/>
    <s v="Retail Store"/>
    <s v="Gift Card"/>
    <s v="Gift Card"/>
    <s v="Toronto Downtown"/>
    <s v="Ontario"/>
    <s v="Corporate"/>
    <n v="24.46"/>
    <x v="3"/>
    <n v="128.16"/>
    <n v="6.4080000000000004"/>
    <n v="121.752"/>
    <n v="73.38"/>
    <n v="48.372"/>
    <n v="0.39729942834614629"/>
    <x v="0"/>
    <s v=""/>
    <s v=""/>
    <s v=""/>
    <x v="1"/>
    <d v="2025-12-11T00:00:00"/>
  </r>
  <r>
    <x v="166"/>
    <s v="ORD-00072"/>
    <d v="2025-12-05T00:00:00"/>
    <s v="C0129"/>
    <s v="Emma Brown, Toronto, Corporate"/>
    <s v="Emma Brown"/>
    <s v="Toronto"/>
    <s v="Corporate"/>
    <n v="2"/>
    <s v="P002"/>
    <n v="1"/>
    <n v="105.38"/>
    <n v="0"/>
    <s v="Marketplace"/>
    <s v="Marketplace"/>
    <s v="Debit Card"/>
    <s v="Debit Card"/>
    <s v="Toronto Downtown"/>
    <s v="Ontario"/>
    <s v="Corporate"/>
    <n v="67.290000000000006"/>
    <x v="3"/>
    <n v="105.38"/>
    <n v="0"/>
    <n v="105.38"/>
    <n v="67.290000000000006"/>
    <n v="38.089999999999989"/>
    <n v="0.36145378629721003"/>
    <x v="0"/>
    <s v=""/>
    <s v=""/>
    <s v=""/>
    <x v="1"/>
    <d v="2025-12-11T00:00:00"/>
  </r>
  <r>
    <x v="167"/>
    <s v="ORD-00073"/>
    <d v="2025-03-04T01:00:00"/>
    <s v="C0015"/>
    <s v="Adam Wilson, Halifax, Consumer"/>
    <s v="Adam Wilson"/>
    <s v="Halifax"/>
    <s v="Consumer"/>
    <n v="2"/>
    <s v="P016"/>
    <n v="3"/>
    <n v="103.3"/>
    <n v="0"/>
    <s v="Online"/>
    <s v="Online"/>
    <s v="Gift Card"/>
    <s v="Gift Card"/>
    <s v="Calgary North"/>
    <s v="Nova Scotia"/>
    <s v="Consumer"/>
    <n v="70.180000000000007"/>
    <x v="4"/>
    <n v="309.89999999999998"/>
    <n v="0"/>
    <n v="309.89999999999998"/>
    <n v="210.54000000000002"/>
    <n v="99.359999999999957"/>
    <n v="0.32061955469506281"/>
    <x v="0"/>
    <s v=""/>
    <s v=""/>
    <s v=""/>
    <x v="1"/>
    <d v="2025-03-09T01:00:00"/>
  </r>
  <r>
    <x v="168"/>
    <s v="ORD-00073"/>
    <d v="2025-03-04T01:00:00"/>
    <s v="C0015"/>
    <s v="Adam Wilson, Halifax, Consumer"/>
    <s v="Adam Wilson"/>
    <s v="Halifax"/>
    <s v="Consumer"/>
    <n v="2"/>
    <s v="P022"/>
    <n v="1"/>
    <n v="61.81"/>
    <n v="0"/>
    <s v="Online"/>
    <s v="Online"/>
    <s v="Gift Card"/>
    <s v="Gift Card"/>
    <s v="Online Fulfillment"/>
    <s v="Nova Scotia"/>
    <s v="Consumer"/>
    <n v="33.19"/>
    <x v="2"/>
    <n v="61.81"/>
    <n v="0"/>
    <n v="61.81"/>
    <n v="33.19"/>
    <n v="28.620000000000005"/>
    <n v="0.46303187186539402"/>
    <x v="0"/>
    <s v=""/>
    <s v=""/>
    <s v=""/>
    <x v="1"/>
    <d v="2025-03-09T01:00:00"/>
  </r>
  <r>
    <x v="169"/>
    <s v="ORD-00074"/>
    <d v="2025-08-20T00:00:00"/>
    <s v="C0154"/>
    <s v="Ethan Dubois, Winnipeg, Corporate"/>
    <s v="Ethan Dubois"/>
    <s v="Winnipeg"/>
    <s v="Corporate"/>
    <n v="2"/>
    <s v="P048"/>
    <n v="2"/>
    <n v="287.16000000000003"/>
    <n v="0.15"/>
    <s v="Marketplace"/>
    <s v="Marketplace"/>
    <s v="Debit Card"/>
    <s v="Debit Card"/>
    <s v="Montreal Central"/>
    <s v="Manitoba"/>
    <s v="Corporate"/>
    <n v="148.21"/>
    <x v="1"/>
    <n v="574.32000000000005"/>
    <n v="86.14800000000001"/>
    <n v="488.17200000000003"/>
    <n v="296.42"/>
    <n v="191.75200000000001"/>
    <n v="0.39279598174413938"/>
    <x v="0"/>
    <s v=""/>
    <s v=""/>
    <s v=""/>
    <x v="0"/>
    <d v="2025-08-22T00:00:00"/>
  </r>
  <r>
    <x v="170"/>
    <s v="ORD-00074"/>
    <d v="2025-08-20T00:00:00"/>
    <s v="C0154"/>
    <s v="Ethan Dubois, Winnipeg, Corporate"/>
    <s v="Ethan Dubois"/>
    <s v="Winnipeg"/>
    <s v="Corporate"/>
    <n v="2"/>
    <s v="P020"/>
    <n v="4"/>
    <n v="56.99"/>
    <n v="0.15"/>
    <s v="Online"/>
    <s v="Online"/>
    <s v="Debit Card"/>
    <s v="Debit Card"/>
    <s v="Calgary North"/>
    <s v="Manitoba"/>
    <s v="Corporate"/>
    <n v="33.65"/>
    <x v="4"/>
    <n v="227.96"/>
    <n v="34.194000000000003"/>
    <n v="193.76600000000002"/>
    <n v="134.6"/>
    <n v="59.166000000000025"/>
    <n v="0.30534768741678114"/>
    <x v="0"/>
    <s v=""/>
    <s v=""/>
    <s v=""/>
    <x v="0"/>
    <d v="2025-08-22T00:00:00"/>
  </r>
  <r>
    <x v="171"/>
    <s v="ORD-00074"/>
    <d v="2025-08-20T00:00:00"/>
    <s v="C0154"/>
    <s v="Ethan Dubois, Winnipeg, Corporate"/>
    <s v="Ethan Dubois"/>
    <s v="Winnipeg"/>
    <s v="Corporate"/>
    <n v="2"/>
    <s v="P033"/>
    <n v="2"/>
    <n v="160"/>
    <n v="0"/>
    <s v="Marketplace"/>
    <s v="Marketplace"/>
    <m/>
    <s v="Unknown"/>
    <s v="Toronto Downtown"/>
    <s v="Manitoba"/>
    <s v="Corporate"/>
    <n v="101.58"/>
    <x v="0"/>
    <n v="320"/>
    <n v="0"/>
    <n v="320"/>
    <n v="203.16"/>
    <n v="116.84"/>
    <n v="0.36512500000000003"/>
    <x v="0"/>
    <s v=""/>
    <s v=""/>
    <s v=""/>
    <x v="0"/>
    <d v="2025-08-22T00:00:00"/>
  </r>
  <r>
    <x v="172"/>
    <s v="ORD-00074"/>
    <d v="2025-08-20T00:00:00"/>
    <s v="C0154"/>
    <s v="Ethan Dubois, Winnipeg, Corporate"/>
    <s v="Ethan Dubois"/>
    <s v="Winnipeg"/>
    <s v="Corporate"/>
    <n v="2"/>
    <s v="P037"/>
    <n v="3"/>
    <n v="236.51"/>
    <n v="0.05"/>
    <s v="Market place"/>
    <s v="Marketplace"/>
    <s v="CC"/>
    <s v="Credit Card"/>
    <s v="Online Fulfillment"/>
    <s v="Manitoba"/>
    <s v="Corporate"/>
    <n v="142.84"/>
    <x v="0"/>
    <n v="709.53"/>
    <n v="35.476500000000001"/>
    <n v="674.05349999999999"/>
    <n v="428.52"/>
    <n v="245.5335"/>
    <n v="0.36426411256673247"/>
    <x v="0"/>
    <s v=""/>
    <s v=""/>
    <s v=""/>
    <x v="0"/>
    <d v="2025-08-22T00:00:00"/>
  </r>
  <r>
    <x v="173"/>
    <s v="ORD-00075"/>
    <d v="2025-04-02T01:00:00"/>
    <s v="C0048"/>
    <s v="Daniel Brown, Ottawa, Small Business"/>
    <s v="Daniel Brown"/>
    <s v="Ottawa"/>
    <s v="Small Business"/>
    <n v="2"/>
    <s v="P031"/>
    <n v="2"/>
    <n v="208.81"/>
    <n v="0.05"/>
    <s v="Retail Store"/>
    <s v="Retail Store"/>
    <s v="Debit Card"/>
    <s v="Debit Card"/>
    <s v="Toronto Downtown"/>
    <s v="Ontario"/>
    <s v="Small Business"/>
    <n v="139.04"/>
    <x v="0"/>
    <n v="417.62"/>
    <n v="20.881"/>
    <n v="396.73900000000003"/>
    <n v="278.08"/>
    <n v="118.65900000000005"/>
    <n v="0.29908579695971416"/>
    <x v="0"/>
    <s v=""/>
    <s v=""/>
    <s v=""/>
    <x v="0"/>
    <d v="2025-04-06T01:00:00"/>
  </r>
  <r>
    <x v="174"/>
    <s v="ORD-00075"/>
    <d v="2025-04-02T01:00:00"/>
    <s v="C0048"/>
    <s v="Daniel Brown, Ottawa, Small Business"/>
    <s v="Daniel Brown"/>
    <s v="Ottawa"/>
    <s v="Small Business"/>
    <n v="2"/>
    <s v="P029"/>
    <n v="1"/>
    <n v="300.16000000000003"/>
    <n v="0.05"/>
    <s v="Retail Store"/>
    <s v="Retail Store"/>
    <s v="PayPal"/>
    <s v="PayPal"/>
    <s v="Toronto Downtown"/>
    <s v="Ontario"/>
    <s v="Small Business"/>
    <n v="158.46"/>
    <x v="2"/>
    <n v="300.16000000000003"/>
    <n v="15.008000000000003"/>
    <n v="285.15200000000004"/>
    <n v="158.46"/>
    <n v="126.69200000000004"/>
    <n v="0.4442963752665246"/>
    <x v="0"/>
    <s v=""/>
    <s v=""/>
    <s v=""/>
    <x v="0"/>
    <d v="2025-04-06T01:00:00"/>
  </r>
  <r>
    <x v="175"/>
    <s v="ORD-00076"/>
    <d v="2025-10-23T00:00:00"/>
    <s v="C0095"/>
    <s v="Daniel Martin, Montreal, Consumer"/>
    <s v="Daniel Martin"/>
    <s v="Montreal"/>
    <s v="Consumer"/>
    <n v="2"/>
    <s v="P023"/>
    <n v="1"/>
    <n v="82.77"/>
    <n v="0.05"/>
    <s v="Marketplace"/>
    <s v="Marketplace"/>
    <s v="PayPal"/>
    <s v="PayPal"/>
    <s v="Calgary North"/>
    <s v="Quebec"/>
    <s v="Consumer"/>
    <n v="46.51"/>
    <x v="2"/>
    <n v="82.77"/>
    <n v="4.1384999999999996"/>
    <n v="78.631500000000003"/>
    <n v="46.51"/>
    <n v="32.121500000000005"/>
    <n v="0.40850676891576537"/>
    <x v="0"/>
    <s v=""/>
    <s v=""/>
    <s v=""/>
    <x v="0"/>
    <d v="2025-10-25T00:00:00"/>
  </r>
  <r>
    <x v="176"/>
    <s v="ORD-00076"/>
    <d v="2025-10-23T00:00:00"/>
    <s v="C0095"/>
    <s v="Daniel Martin, Montreal, Consumer"/>
    <s v="Daniel Martin"/>
    <s v="Montreal"/>
    <s v="Consumer"/>
    <n v="2"/>
    <s v="P038"/>
    <n v="1"/>
    <n v="182.94"/>
    <n v="0"/>
    <s v="Retail  Store"/>
    <s v="Retail Store"/>
    <m/>
    <s v="Unknown"/>
    <s v="Vancouver West"/>
    <s v="Quebec"/>
    <s v="Consumer"/>
    <n v="118.95"/>
    <x v="0"/>
    <n v="182.94"/>
    <n v="0"/>
    <n v="182.94"/>
    <n v="118.95"/>
    <n v="63.989999999999995"/>
    <n v="0.34978681534929484"/>
    <x v="0"/>
    <s v=""/>
    <s v=""/>
    <s v=""/>
    <x v="0"/>
    <d v="2025-10-25T00:00:00"/>
  </r>
  <r>
    <x v="177"/>
    <s v="ORD-00076"/>
    <d v="2025-10-23T00:00:00"/>
    <s v="C0095"/>
    <s v="Daniel Martin, Montreal, Consumer"/>
    <s v="Daniel Martin"/>
    <s v="Montreal"/>
    <s v="Consumer"/>
    <n v="2"/>
    <s v="P011"/>
    <n v="1"/>
    <n v="275.76"/>
    <n v="0.05"/>
    <s v="Retail Store"/>
    <s v="Retail Store"/>
    <s v="PayPal"/>
    <s v="PayPal"/>
    <s v="Vancouver West"/>
    <s v="Quebec"/>
    <s v="Consumer"/>
    <n v="156.97"/>
    <x v="4"/>
    <n v="275.76"/>
    <n v="13.788"/>
    <n v="261.97199999999998"/>
    <n v="156.97"/>
    <n v="105.00199999999998"/>
    <n v="0.40081382743193927"/>
    <x v="0"/>
    <s v=""/>
    <s v=""/>
    <s v=""/>
    <x v="0"/>
    <d v="2025-10-25T00:00:00"/>
  </r>
  <r>
    <x v="178"/>
    <s v="ORD-00077"/>
    <d v="2025-03-26T01:00:00"/>
    <s v="C0028"/>
    <s v="Liam Singh, Vancouver, Corporate"/>
    <s v="Liam Singh"/>
    <s v="Vancouver"/>
    <s v="Corporate"/>
    <n v="2"/>
    <s v="P037"/>
    <n v="3"/>
    <n v="236.51"/>
    <n v="0.1"/>
    <s v="Online"/>
    <s v="Online"/>
    <s v="Debit Card"/>
    <s v="Debit Card"/>
    <s v="Online Fulfillment"/>
    <s v="British Columbia"/>
    <s v="Corporate"/>
    <n v="142.84"/>
    <x v="0"/>
    <n v="709.53"/>
    <n v="70.953000000000003"/>
    <n v="638.577"/>
    <n v="428.52"/>
    <n v="210.05700000000002"/>
    <n v="0.32894545215377319"/>
    <x v="0"/>
    <s v=""/>
    <s v=""/>
    <s v=""/>
    <x v="0"/>
    <d v="2025-03-29T01:00:00"/>
  </r>
  <r>
    <x v="179"/>
    <s v="ORD-00077"/>
    <d v="2025-03-26T01:00:00"/>
    <s v="C0028"/>
    <s v="Liam Singh, Vancouver, Corporate"/>
    <s v="Liam Singh"/>
    <s v="Vancouver"/>
    <s v="Corporate"/>
    <n v="2"/>
    <s v="P045"/>
    <n v="4"/>
    <n v="72.81"/>
    <n v="0.1"/>
    <s v="Marketplace"/>
    <s v="Marketplace"/>
    <s v="PayPal"/>
    <s v="PayPal"/>
    <s v="Calgary North"/>
    <s v="British Columbia"/>
    <s v="Corporate"/>
    <n v="37.99"/>
    <x v="1"/>
    <n v="291.24"/>
    <n v="29.124000000000002"/>
    <n v="262.11599999999999"/>
    <n v="151.96"/>
    <n v="110.15599999999998"/>
    <n v="0.42025668024843954"/>
    <x v="0"/>
    <s v=""/>
    <s v=""/>
    <s v=""/>
    <x v="0"/>
    <d v="2025-03-29T01:00:00"/>
  </r>
  <r>
    <x v="180"/>
    <s v="ORD-00077"/>
    <d v="2025-03-26T01:00:00"/>
    <s v="C0028"/>
    <s v="Liam Singh, Vancouver, Corporate"/>
    <s v="Liam Singh"/>
    <s v="Vancouver"/>
    <s v="Corporate"/>
    <n v="2"/>
    <s v="P022"/>
    <n v="2"/>
    <n v="61.81"/>
    <n v="0.1"/>
    <s v="Marketplace"/>
    <s v="Marketplace"/>
    <m/>
    <s v="Unknown"/>
    <s v="Vancouver West"/>
    <s v="British Columbia"/>
    <s v="Corporate"/>
    <n v="33.19"/>
    <x v="2"/>
    <n v="123.62"/>
    <n v="12.362000000000002"/>
    <n v="111.25800000000001"/>
    <n v="66.38"/>
    <n v="44.878000000000014"/>
    <n v="0.40336874651710447"/>
    <x v="0"/>
    <s v=""/>
    <s v=""/>
    <s v=""/>
    <x v="0"/>
    <d v="2025-03-29T01:00:00"/>
  </r>
  <r>
    <x v="181"/>
    <s v="ORD-00078"/>
    <d v="2025-02-23T00:00:00"/>
    <s v="C0008"/>
    <s v="Omar Gagnon, Winnipeg, Small Business"/>
    <s v="Omar Gagnon"/>
    <s v="Winnipeg"/>
    <s v="Small Business"/>
    <n v="2"/>
    <s v="P049"/>
    <n v="1"/>
    <n v="300.56"/>
    <n v="0"/>
    <s v="Online"/>
    <s v="Online"/>
    <s v="PayPal"/>
    <s v="PayPal"/>
    <s v="Online Fulfillment"/>
    <s v="Manitoba"/>
    <s v="Small Business"/>
    <n v="158.86000000000001"/>
    <x v="1"/>
    <n v="300.56"/>
    <n v="0"/>
    <n v="300.56"/>
    <n v="158.86000000000001"/>
    <n v="141.69999999999999"/>
    <n v="0.47145328719723179"/>
    <x v="1"/>
    <s v="Late Delivery"/>
    <d v="2025-03-18T01:00:00"/>
    <s v="Refunded"/>
    <x v="1"/>
    <d v="2025-03-04T01:00:00"/>
  </r>
  <r>
    <x v="182"/>
    <s v="ORD-00078"/>
    <d v="2025-02-23T00:00:00"/>
    <s v="C0008"/>
    <s v="Omar Gagnon, Winnipeg, Small Business"/>
    <s v="Omar Gagnon"/>
    <s v="Winnipeg"/>
    <s v="Small Business"/>
    <n v="2"/>
    <s v="P002"/>
    <n v="4"/>
    <n v="105.38"/>
    <n v="0.15"/>
    <s v="Market place"/>
    <s v="Marketplace"/>
    <s v="CC"/>
    <s v="Credit Card"/>
    <s v="Calgary North"/>
    <s v="Manitoba"/>
    <s v="Small Business"/>
    <n v="67.290000000000006"/>
    <x v="3"/>
    <n v="421.52"/>
    <n v="63.227999999999994"/>
    <n v="358.29199999999997"/>
    <n v="269.16000000000003"/>
    <n v="89.131999999999948"/>
    <n v="0.24876916034965882"/>
    <x v="0"/>
    <s v=""/>
    <s v=""/>
    <s v=""/>
    <x v="1"/>
    <d v="2025-03-04T01:00:00"/>
  </r>
  <r>
    <x v="183"/>
    <s v="ORD-00078"/>
    <d v="2025-02-23T00:00:00"/>
    <s v="C0008"/>
    <s v="Omar Gagnon, Winnipeg, Small Business"/>
    <s v="Omar Gagnon"/>
    <s v="Winnipeg"/>
    <s v="Small Business"/>
    <n v="2"/>
    <s v="P019"/>
    <n v="4"/>
    <n v="183.73"/>
    <n v="0"/>
    <s v="Online"/>
    <s v="Online"/>
    <s v="Gift Card"/>
    <s v="Gift Card"/>
    <s v="Calgary North"/>
    <s v="Manitoba"/>
    <s v="Small Business"/>
    <n v="98.11"/>
    <x v="4"/>
    <n v="734.92"/>
    <n v="0"/>
    <n v="734.92"/>
    <n v="392.44"/>
    <n v="342.47999999999996"/>
    <n v="0.46600990584009139"/>
    <x v="0"/>
    <s v=""/>
    <s v=""/>
    <s v=""/>
    <x v="1"/>
    <d v="2025-03-04T01:00:00"/>
  </r>
  <r>
    <x v="184"/>
    <s v="ORD-00079"/>
    <d v="2025-07-13T00:00:00"/>
    <s v="C0092"/>
    <s v="Adam Gagnon, Edmonton, Consumer"/>
    <s v="Adam Gagnon"/>
    <s v="Edmonton"/>
    <s v="Consumer"/>
    <n v="2"/>
    <s v="P031"/>
    <n v="4"/>
    <n v="208.81"/>
    <n v="0.15"/>
    <s v="Retail  Store"/>
    <s v="Retail Store"/>
    <s v="Debit Card"/>
    <s v="Debit Card"/>
    <s v="Vancouver West"/>
    <s v="Alberta"/>
    <s v="Consumer"/>
    <n v="139.04"/>
    <x v="0"/>
    <n v="835.24"/>
    <n v="125.286"/>
    <n v="709.95399999999995"/>
    <n v="556.16"/>
    <n v="153.79399999999998"/>
    <n v="0.2166253024843863"/>
    <x v="0"/>
    <s v=""/>
    <s v=""/>
    <s v=""/>
    <x v="0"/>
    <d v="2025-07-14T00:00:00"/>
  </r>
  <r>
    <x v="185"/>
    <s v="ORD-00080"/>
    <d v="2025-02-15T00:00:00"/>
    <s v="C0054"/>
    <s v="Emma Khan, Toronto, Consumer"/>
    <s v="Emma Khan"/>
    <s v="Toronto"/>
    <s v="Consumer"/>
    <n v="2"/>
    <s v="P027"/>
    <n v="2"/>
    <n v="244.25"/>
    <n v="0"/>
    <s v="Marketplace"/>
    <s v="Marketplace"/>
    <s v="CC"/>
    <s v="Credit Card"/>
    <s v="Vancouver West"/>
    <s v="Ontario"/>
    <s v="Consumer"/>
    <n v="150.96"/>
    <x v="2"/>
    <n v="488.5"/>
    <n v="0"/>
    <n v="488.5"/>
    <n v="301.92"/>
    <n v="186.57999999999998"/>
    <n v="0.38194472876151481"/>
    <x v="0"/>
    <s v=""/>
    <s v=""/>
    <s v=""/>
    <x v="0"/>
    <d v="2025-02-19T00:00:00"/>
  </r>
  <r>
    <x v="186"/>
    <s v="ORD-00080"/>
    <d v="2025-02-15T00:00:00"/>
    <s v="C0054"/>
    <s v="Emma Khan, Toronto, Consumer"/>
    <s v="Emma Khan"/>
    <s v="Toronto"/>
    <s v="Consumer"/>
    <n v="2"/>
    <s v="P013"/>
    <n v="3"/>
    <n v="207.71"/>
    <n v="0.15"/>
    <s v="Online"/>
    <s v="Online"/>
    <s v="Debit Card"/>
    <s v="Debit Card"/>
    <s v="Vancouver West"/>
    <s v="Ontario"/>
    <s v="Consumer"/>
    <n v="132.97"/>
    <x v="4"/>
    <n v="623.13"/>
    <n v="93.469499999999996"/>
    <n v="529.66049999999996"/>
    <n v="398.90999999999997"/>
    <n v="130.75049999999999"/>
    <n v="0.24685718493261249"/>
    <x v="1"/>
    <s v="Damaged"/>
    <d v="2025-03-11T01:00:00"/>
    <s v="Refunded"/>
    <x v="0"/>
    <d v="2025-02-19T00:00:00"/>
  </r>
  <r>
    <x v="187"/>
    <s v="ORD-00080"/>
    <d v="2025-02-15T00:00:00"/>
    <s v="C0054"/>
    <s v="Emma Khan, Toronto, Consumer"/>
    <s v="Emma Khan"/>
    <s v="Toronto"/>
    <s v="Consumer"/>
    <n v="2"/>
    <s v="P033"/>
    <n v="1"/>
    <n v="160"/>
    <n v="0"/>
    <s v="Online"/>
    <s v="Online"/>
    <s v="PayPal"/>
    <s v="PayPal"/>
    <s v="Online Fulfillment"/>
    <s v="Ontario"/>
    <s v="Consumer"/>
    <n v="101.58"/>
    <x v="0"/>
    <n v="160"/>
    <n v="0"/>
    <n v="160"/>
    <n v="101.58"/>
    <n v="58.42"/>
    <n v="0.36512500000000003"/>
    <x v="1"/>
    <s v="Changed Mind"/>
    <d v="2025-03-06T01:00:00"/>
    <s v="Pending"/>
    <x v="0"/>
    <d v="2025-02-19T00:00:00"/>
  </r>
  <r>
    <x v="188"/>
    <s v="ORD-00081"/>
    <d v="2025-06-15T00:00:00"/>
    <s v="C0113"/>
    <s v="Omar Martin, Edmonton, Consumer"/>
    <s v="Omar Martin"/>
    <s v="Edmonton"/>
    <s v="Consumer"/>
    <n v="2"/>
    <s v="P031"/>
    <n v="4"/>
    <n v="208.81"/>
    <n v="0.05"/>
    <s v="Market place"/>
    <s v="Marketplace"/>
    <s v="PayPal"/>
    <s v="PayPal"/>
    <s v="Toronto Downtown"/>
    <s v="Alberta"/>
    <s v="Consumer"/>
    <n v="139.04"/>
    <x v="0"/>
    <n v="835.24"/>
    <n v="41.762"/>
    <n v="793.47800000000007"/>
    <n v="556.16"/>
    <n v="237.3180000000001"/>
    <n v="0.29908579695971416"/>
    <x v="0"/>
    <s v=""/>
    <s v=""/>
    <s v=""/>
    <x v="0"/>
    <d v="2025-06-17T00:00:00"/>
  </r>
  <r>
    <x v="189"/>
    <s v="ORD-00082"/>
    <d v="2025-07-26T00:00:00"/>
    <s v="C0017"/>
    <s v="Omar Gagnon, Quebec City, Corporate"/>
    <s v="Omar Gagnon"/>
    <s v="Quebec City"/>
    <s v="Corporate"/>
    <n v="2"/>
    <s v="P019"/>
    <n v="2"/>
    <n v="183.73"/>
    <n v="0.15"/>
    <s v="Retail  Store"/>
    <s v="Retail Store"/>
    <s v="Debit Card"/>
    <s v="Debit Card"/>
    <s v="Vancouver West"/>
    <s v="Quebec"/>
    <s v="Corporate"/>
    <n v="98.11"/>
    <x v="4"/>
    <n v="367.46"/>
    <n v="55.118999999999993"/>
    <n v="312.34100000000001"/>
    <n v="196.22"/>
    <n v="116.12100000000001"/>
    <n v="0.37177635981187229"/>
    <x v="0"/>
    <s v=""/>
    <s v=""/>
    <s v=""/>
    <x v="1"/>
    <d v="2025-08-03T00:00:00"/>
  </r>
  <r>
    <x v="190"/>
    <s v="ORD-00083"/>
    <d v="2025-02-20T00:00:00"/>
    <s v="C0106"/>
    <s v="Sofia Singh, Montreal, Small Business"/>
    <s v="Sofia Singh"/>
    <s v="Montreal"/>
    <s v="Small Business"/>
    <n v="2"/>
    <s v="P014"/>
    <n v="2"/>
    <n v="91.75"/>
    <n v="0"/>
    <s v="Marketplace"/>
    <s v="Marketplace"/>
    <s v="PayPal"/>
    <s v="PayPal"/>
    <s v="Vancouver West"/>
    <s v="Quebec"/>
    <s v="Small Business"/>
    <n v="58.27"/>
    <x v="4"/>
    <n v="183.5"/>
    <n v="0"/>
    <n v="183.5"/>
    <n v="116.54"/>
    <n v="66.959999999999994"/>
    <n v="0.3649046321525885"/>
    <x v="0"/>
    <s v=""/>
    <s v=""/>
    <s v=""/>
    <x v="0"/>
    <d v="2025-02-21T00:00:00"/>
  </r>
  <r>
    <x v="191"/>
    <s v="ORD-00083"/>
    <d v="2025-02-20T00:00:00"/>
    <s v="C0106"/>
    <s v="Sofia Singh, Montreal, Small Business"/>
    <s v="Sofia Singh"/>
    <s v="Montreal"/>
    <s v="Small Business"/>
    <n v="2"/>
    <s v="P035"/>
    <n v="4"/>
    <n v="251.17"/>
    <n v="0"/>
    <s v="Marketplace"/>
    <s v="Marketplace"/>
    <s v="Debit Card"/>
    <s v="Debit Card"/>
    <s v="Montreal Central"/>
    <s v="Quebec"/>
    <s v="Small Business"/>
    <n v="151.59"/>
    <x v="0"/>
    <n v="1004.68"/>
    <n v="0"/>
    <n v="1004.68"/>
    <n v="606.36"/>
    <n v="398.31999999999994"/>
    <n v="0.39646454592507063"/>
    <x v="0"/>
    <s v=""/>
    <s v=""/>
    <s v=""/>
    <x v="0"/>
    <d v="2025-02-21T00:00:00"/>
  </r>
  <r>
    <x v="192"/>
    <s v="ORD-00084"/>
    <d v="2025-06-15T00:00:00"/>
    <s v="C0084"/>
    <s v="Daniel Brown, Calgary, Small Business"/>
    <s v="Daniel Brown"/>
    <s v="Calgary"/>
    <s v="Small Business"/>
    <n v="2"/>
    <s v="P029"/>
    <n v="1"/>
    <n v="300.16000000000003"/>
    <n v="0"/>
    <s v="Online"/>
    <s v="Online"/>
    <s v="Debit Card"/>
    <s v="Debit Card"/>
    <s v="Montreal Central"/>
    <s v="Alberta"/>
    <s v="Small Business"/>
    <n v="158.46"/>
    <x v="2"/>
    <n v="300.16000000000003"/>
    <n v="0"/>
    <n v="300.16000000000003"/>
    <n v="158.46"/>
    <n v="141.70000000000002"/>
    <n v="0.47208155650319833"/>
    <x v="0"/>
    <s v=""/>
    <s v=""/>
    <s v=""/>
    <x v="1"/>
    <d v="2025-06-22T00:00:00"/>
  </r>
  <r>
    <x v="193"/>
    <s v="ORD-00084"/>
    <d v="2025-06-15T00:00:00"/>
    <s v="C0084"/>
    <s v="Daniel Brown, Calgary, Small Business"/>
    <s v="Daniel Brown"/>
    <s v="Calgary"/>
    <s v="Small Business"/>
    <n v="2"/>
    <s v="P007"/>
    <n v="4"/>
    <n v="25.15"/>
    <n v="0.15"/>
    <s v="Marketplace"/>
    <s v="Marketplace"/>
    <s v="Debit Card"/>
    <s v="Debit Card"/>
    <s v="Vancouver West"/>
    <s v="Alberta"/>
    <s v="Small Business"/>
    <n v="14.24"/>
    <x v="3"/>
    <n v="100.6"/>
    <n v="15.089999999999998"/>
    <n v="85.509999999999991"/>
    <n v="56.96"/>
    <n v="28.54999999999999"/>
    <n v="0.33387907847035425"/>
    <x v="0"/>
    <s v=""/>
    <s v=""/>
    <s v=""/>
    <x v="1"/>
    <d v="2025-06-22T00:00:00"/>
  </r>
  <r>
    <x v="194"/>
    <s v="ORD-00085"/>
    <d v="2025-01-07T00:00:00"/>
    <s v="C0162"/>
    <s v="Sara Singh, Vancouver, Small Business"/>
    <s v="Sara Singh"/>
    <s v="Vancouver"/>
    <s v="Small Business"/>
    <n v="2"/>
    <s v="P044"/>
    <n v="3"/>
    <n v="208.89"/>
    <n v="0"/>
    <s v="Market place"/>
    <s v="Marketplace"/>
    <s v="PayPal"/>
    <s v="PayPal"/>
    <s v="Online Fulfillment"/>
    <s v="British Columbia"/>
    <s v="Small Business"/>
    <n v="133.05000000000001"/>
    <x v="1"/>
    <n v="626.66999999999996"/>
    <n v="0"/>
    <n v="626.66999999999996"/>
    <n v="399.15000000000003"/>
    <n v="227.51999999999992"/>
    <n v="0.36306189860692223"/>
    <x v="0"/>
    <s v=""/>
    <s v=""/>
    <s v=""/>
    <x v="1"/>
    <d v="2025-01-16T00:00:00"/>
  </r>
  <r>
    <x v="195"/>
    <s v="ORD-00086"/>
    <d v="2025-05-06T00:00:00"/>
    <s v="C0095"/>
    <s v="Daniel Martin, Montreal, Consumer"/>
    <s v="Daniel Martin"/>
    <s v="Montreal"/>
    <s v="Consumer"/>
    <n v="2"/>
    <s v="P010"/>
    <n v="1"/>
    <n v="37.82"/>
    <n v="0"/>
    <s v="Online"/>
    <s v="Online"/>
    <s v="Credit Card"/>
    <s v="Credit Card"/>
    <s v="Montreal Central"/>
    <s v="Quebec"/>
    <s v="Consumer"/>
    <n v="24.76"/>
    <x v="3"/>
    <n v="37.82"/>
    <n v="0"/>
    <n v="37.82"/>
    <n v="24.76"/>
    <n v="13.059999999999999"/>
    <n v="0.34531993654151238"/>
    <x v="0"/>
    <s v=""/>
    <s v=""/>
    <s v=""/>
    <x v="0"/>
    <d v="2025-05-09T00:00:00"/>
  </r>
  <r>
    <x v="196"/>
    <s v="ORD-00086"/>
    <d v="2025-05-06T00:00:00"/>
    <s v="C0095"/>
    <s v="Daniel Martin, Montreal, Consumer"/>
    <s v="Daniel Martin"/>
    <s v="Montreal"/>
    <s v="Consumer"/>
    <n v="2"/>
    <s v="P047"/>
    <n v="2"/>
    <n v="228.81"/>
    <n v="0"/>
    <s v="Marketplace"/>
    <s v="Marketplace"/>
    <m/>
    <s v="Unknown"/>
    <s v="Online Fulfillment"/>
    <s v="Quebec"/>
    <s v="Consumer"/>
    <n v="130.9"/>
    <x v="1"/>
    <n v="457.62"/>
    <n v="0"/>
    <n v="457.62"/>
    <n v="261.8"/>
    <n v="195.82"/>
    <n v="0.42790961933481925"/>
    <x v="0"/>
    <s v=""/>
    <s v=""/>
    <s v=""/>
    <x v="0"/>
    <d v="2025-05-09T00:00:00"/>
  </r>
  <r>
    <x v="197"/>
    <s v="ORD-00087"/>
    <d v="2025-09-12T00:00:00"/>
    <s v="C0160"/>
    <s v="Yara Johnson, Victoria, Corporate"/>
    <s v="Yara Johnson"/>
    <s v="Victoria"/>
    <s v="Corporate"/>
    <n v="2"/>
    <s v="P030"/>
    <n v="2"/>
    <n v="75.75"/>
    <n v="0.15"/>
    <s v="Online"/>
    <s v="Online"/>
    <s v="Debit Card"/>
    <s v="Debit Card"/>
    <s v="Online Fulfillment"/>
    <s v="British Columbia"/>
    <s v="Corporate"/>
    <n v="42.37"/>
    <x v="2"/>
    <n v="151.5"/>
    <n v="22.724999999999998"/>
    <n v="128.77500000000001"/>
    <n v="84.74"/>
    <n v="44.035000000000011"/>
    <n v="0.34195301883129497"/>
    <x v="1"/>
    <s v="Wrong Item"/>
    <d v="2025-10-02T00:00:00"/>
    <s v="Pending"/>
    <x v="1"/>
    <d v="2025-09-18T00:00:00"/>
  </r>
  <r>
    <x v="198"/>
    <s v="ORD-00087"/>
    <d v="2025-09-12T00:00:00"/>
    <s v="C0160"/>
    <s v="Yara Johnson, Victoria, Corporate"/>
    <s v="Yara Johnson"/>
    <s v="Victoria"/>
    <s v="Corporate"/>
    <n v="2"/>
    <s v="P023"/>
    <n v="2"/>
    <n v="82.77"/>
    <n v="0"/>
    <s v="Retail  Store"/>
    <s v="Retail Store"/>
    <s v="Debit Card"/>
    <s v="Debit Card"/>
    <s v="Vancouver West"/>
    <s v="British Columbia"/>
    <s v="Corporate"/>
    <n v="46.51"/>
    <x v="2"/>
    <n v="165.54"/>
    <n v="0"/>
    <n v="165.54"/>
    <n v="93.02"/>
    <n v="72.52"/>
    <n v="0.43808143046997705"/>
    <x v="0"/>
    <s v=""/>
    <s v=""/>
    <s v=""/>
    <x v="1"/>
    <d v="2025-09-18T00:00:00"/>
  </r>
  <r>
    <x v="199"/>
    <s v="ORD-00088"/>
    <d v="2025-04-05T01:00:00"/>
    <s v="C0174"/>
    <s v="Ethan Johnson, Calgary, Small Business"/>
    <s v="Ethan Johnson"/>
    <s v="Calgary"/>
    <s v="Small Business"/>
    <n v="2"/>
    <s v="P037"/>
    <n v="1"/>
    <n v="236.51"/>
    <n v="0"/>
    <s v="Retail  Store"/>
    <s v="Retail Store"/>
    <s v="Credit Card"/>
    <s v="Credit Card"/>
    <s v="Calgary North"/>
    <s v="Alberta"/>
    <s v="Small Business"/>
    <n v="142.84"/>
    <x v="0"/>
    <n v="236.51"/>
    <n v="0"/>
    <n v="236.51"/>
    <n v="142.84"/>
    <n v="93.669999999999987"/>
    <n v="0.39605090693839579"/>
    <x v="0"/>
    <s v=""/>
    <s v=""/>
    <s v=""/>
    <x v="1"/>
    <d v="2025-04-11T00:00:00"/>
  </r>
  <r>
    <x v="200"/>
    <s v="ORD-00088"/>
    <d v="2025-04-05T01:00:00"/>
    <s v="C0174"/>
    <s v="Ethan Johnson, Calgary, Small Business"/>
    <s v="Ethan Johnson"/>
    <s v="Calgary"/>
    <s v="Small Business"/>
    <n v="2"/>
    <s v="P031"/>
    <n v="1"/>
    <n v="208.81"/>
    <n v="0.1"/>
    <s v="Retail Store"/>
    <s v="Retail Store"/>
    <s v="Debit Card"/>
    <s v="Debit Card"/>
    <s v="Calgary North"/>
    <s v="Alberta"/>
    <s v="Small Business"/>
    <n v="139.04"/>
    <x v="0"/>
    <n v="208.81"/>
    <n v="20.881"/>
    <n v="187.929"/>
    <n v="139.04"/>
    <n v="48.88900000000001"/>
    <n v="0.26014611901303158"/>
    <x v="1"/>
    <s v="Wrong Item"/>
    <d v="2025-04-28T00:00:00"/>
    <s v="Refunded"/>
    <x v="1"/>
    <d v="2025-04-11T00:00:00"/>
  </r>
  <r>
    <x v="201"/>
    <s v="ORD-00088"/>
    <d v="2025-04-05T01:00:00"/>
    <s v="C0174"/>
    <s v="Ethan Johnson, Calgary, Small Business"/>
    <s v="Ethan Johnson"/>
    <s v="Calgary"/>
    <s v="Small Business"/>
    <n v="2"/>
    <s v="P040"/>
    <n v="1"/>
    <n v="33.369999999999997"/>
    <n v="0.15"/>
    <s v="Retail Store"/>
    <s v="Retail Store"/>
    <s v="Credit Card"/>
    <s v="Credit Card"/>
    <s v="Online Fulfillment"/>
    <s v="Alberta"/>
    <s v="Small Business"/>
    <n v="18.670000000000002"/>
    <x v="0"/>
    <n v="33.369999999999997"/>
    <n v="5.0054999999999996"/>
    <n v="28.3645"/>
    <n v="18.670000000000002"/>
    <n v="9.6944999999999979"/>
    <n v="0.34178286238079281"/>
    <x v="0"/>
    <s v=""/>
    <s v=""/>
    <s v=""/>
    <x v="1"/>
    <d v="2025-04-11T00:00:00"/>
  </r>
  <r>
    <x v="202"/>
    <s v="ORD-00089"/>
    <d v="2025-05-26T00:00:00"/>
    <s v="C0108"/>
    <s v="Sofia Martin, Quebec City, Consumer"/>
    <s v="Sofia Martin"/>
    <s v="Quebec City"/>
    <s v="Consumer"/>
    <n v="2"/>
    <s v="P026"/>
    <n v="1"/>
    <n v="228.91"/>
    <n v="0.15"/>
    <s v="Online"/>
    <s v="Online"/>
    <s v="PayPal"/>
    <s v="PayPal"/>
    <s v="Vancouver West"/>
    <s v="Quebec"/>
    <s v="Consumer"/>
    <n v="149.4"/>
    <x v="2"/>
    <n v="228.91"/>
    <n v="34.336500000000001"/>
    <n v="194.5735"/>
    <n v="149.4"/>
    <n v="45.17349999999999"/>
    <n v="0.23216676474442816"/>
    <x v="0"/>
    <s v=""/>
    <s v=""/>
    <s v=""/>
    <x v="0"/>
    <d v="2025-05-31T00:00:00"/>
  </r>
  <r>
    <x v="203"/>
    <s v="ORD-00090"/>
    <d v="2025-11-06T00:00:00"/>
    <s v="C0045"/>
    <s v="Sara Wilson, Victoria, Corporate"/>
    <s v="Sara Wilson"/>
    <s v="Victoria"/>
    <s v="Corporate"/>
    <n v="2"/>
    <s v="P049"/>
    <n v="3"/>
    <n v="300.56"/>
    <n v="0.15"/>
    <s v="Retail  Store"/>
    <s v="Retail Store"/>
    <s v="CC"/>
    <s v="Credit Card"/>
    <s v="Online Fulfillment"/>
    <s v="British Columbia"/>
    <s v="Corporate"/>
    <n v="158.86000000000001"/>
    <x v="1"/>
    <n v="901.68000000000006"/>
    <n v="135.25200000000001"/>
    <n v="766.42800000000011"/>
    <n v="476.58000000000004"/>
    <n v="289.84800000000007"/>
    <n v="0.37818033787909633"/>
    <x v="0"/>
    <s v=""/>
    <s v=""/>
    <s v=""/>
    <x v="0"/>
    <d v="2025-11-11T00:00:00"/>
  </r>
  <r>
    <x v="204"/>
    <s v="ORD-00090"/>
    <d v="2025-11-06T00:00:00"/>
    <s v="C0045"/>
    <s v="Sara Wilson, Victoria, Corporate"/>
    <s v="Sara Wilson"/>
    <s v="Victoria"/>
    <s v="Corporate"/>
    <n v="2"/>
    <s v="P031"/>
    <n v="2"/>
    <n v="208.81"/>
    <n v="0"/>
    <s v="Retail Store"/>
    <s v="Retail Store"/>
    <m/>
    <s v="Unknown"/>
    <s v="Calgary North"/>
    <s v="British Columbia"/>
    <s v="Corporate"/>
    <n v="139.04"/>
    <x v="0"/>
    <n v="417.62"/>
    <n v="0"/>
    <n v="417.62"/>
    <n v="278.08"/>
    <n v="139.54000000000002"/>
    <n v="0.3341315071117284"/>
    <x v="0"/>
    <s v=""/>
    <s v=""/>
    <s v=""/>
    <x v="0"/>
    <d v="2025-11-11T00:00:00"/>
  </r>
  <r>
    <x v="205"/>
    <s v="ORD-00090"/>
    <d v="2025-11-06T00:00:00"/>
    <s v="C0045"/>
    <s v="Sara Wilson, Victoria, Corporate"/>
    <s v="Sara Wilson"/>
    <s v="Victoria"/>
    <s v="Corporate"/>
    <n v="2"/>
    <s v="P013"/>
    <n v="3"/>
    <n v="207.71"/>
    <n v="0.05"/>
    <s v="Retail  Store"/>
    <s v="Retail Store"/>
    <s v="Credit Card"/>
    <s v="Credit Card"/>
    <s v="Calgary North"/>
    <s v="British Columbia"/>
    <s v="Corporate"/>
    <n v="132.97"/>
    <x v="4"/>
    <n v="623.13"/>
    <n v="31.156500000000001"/>
    <n v="591.97349999999994"/>
    <n v="398.90999999999997"/>
    <n v="193.06349999999998"/>
    <n v="0.3261353759923375"/>
    <x v="0"/>
    <s v=""/>
    <s v=""/>
    <s v=""/>
    <x v="0"/>
    <d v="2025-11-11T00:00:00"/>
  </r>
  <r>
    <x v="206"/>
    <s v="ORD-00090"/>
    <d v="2025-11-06T00:00:00"/>
    <s v="c0045"/>
    <s v="Sara Wilson, Victoria, Corporate"/>
    <s v="Sara Wilson"/>
    <s v="Victoria"/>
    <s v="Corporate"/>
    <n v="2"/>
    <s v="P006"/>
    <n v="3"/>
    <n v="88.61"/>
    <n v="0"/>
    <s v="Retail  Store"/>
    <s v="Retail Store"/>
    <s v="CC"/>
    <s v="Credit Card"/>
    <s v="Montreal Central"/>
    <s v="British Columbia"/>
    <s v="Corporate"/>
    <n v="49.75"/>
    <x v="3"/>
    <n v="265.83"/>
    <n v="0"/>
    <n v="265.83"/>
    <n v="149.25"/>
    <n v="116.57999999999998"/>
    <n v="0.43855095361697322"/>
    <x v="0"/>
    <s v=""/>
    <s v=""/>
    <s v=""/>
    <x v="0"/>
    <d v="2025-11-11T00:00:00"/>
  </r>
  <r>
    <x v="207"/>
    <s v="ORD-00091"/>
    <d v="2025-04-06T01:00:00"/>
    <s v="C0009"/>
    <s v="Ethan Johnson, Regina, Corporate"/>
    <s v="Ethan Johnson"/>
    <s v="Regina"/>
    <s v="Corporate"/>
    <n v="2"/>
    <s v="P005"/>
    <n v="3"/>
    <n v="42.72"/>
    <n v="0.1"/>
    <s v="Online"/>
    <s v="Online"/>
    <s v="Credit Card"/>
    <s v="Credit Card"/>
    <s v="Online Fulfillment"/>
    <s v="Saskatchewan"/>
    <s v="Corporate"/>
    <n v="24.46"/>
    <x v="3"/>
    <n v="128.16"/>
    <n v="12.816000000000001"/>
    <n v="115.34399999999999"/>
    <n v="73.38"/>
    <n v="41.963999999999999"/>
    <n v="0.36381606325426552"/>
    <x v="0"/>
    <s v=""/>
    <s v=""/>
    <s v=""/>
    <x v="0"/>
    <d v="2025-04-09T00:00:00"/>
  </r>
  <r>
    <x v="208"/>
    <s v="ORD-00091"/>
    <d v="2025-04-06T01:00:00"/>
    <s v="C0009"/>
    <s v="Ethan Johnson, Regina, Corporate"/>
    <s v="Ethan Johnson"/>
    <s v="Regina"/>
    <s v="Corporate"/>
    <n v="2"/>
    <s v="P007"/>
    <n v="1"/>
    <n v="25.15"/>
    <n v="0"/>
    <s v="Market place"/>
    <s v="Marketplace"/>
    <s v="PayPal"/>
    <s v="PayPal"/>
    <s v="Online Fulfillment"/>
    <s v="Saskatchewan"/>
    <s v="Corporate"/>
    <n v="14.24"/>
    <x v="3"/>
    <n v="25.15"/>
    <n v="0"/>
    <n v="25.15"/>
    <n v="14.24"/>
    <n v="10.909999999999998"/>
    <n v="0.43379721669980115"/>
    <x v="0"/>
    <s v=""/>
    <s v=""/>
    <s v=""/>
    <x v="0"/>
    <d v="2025-04-09T00:00:00"/>
  </r>
  <r>
    <x v="209"/>
    <s v="ORD-00092"/>
    <d v="2025-01-15T00:00:00"/>
    <s v="C0031"/>
    <s v="Adam Brown, Edmonton, Small Business"/>
    <s v="Adam Brown"/>
    <s v="Edmonton"/>
    <s v="Small Business"/>
    <n v="2"/>
    <s v="P001"/>
    <n v="2"/>
    <n v="133.24"/>
    <n v="0.1"/>
    <s v="Online"/>
    <s v="Online"/>
    <s v="PayPal"/>
    <s v="PayPal"/>
    <s v="Montreal Central"/>
    <s v="Alberta"/>
    <s v="Small Business"/>
    <n v="77.540000000000006"/>
    <x v="3"/>
    <n v="266.48"/>
    <n v="26.648000000000003"/>
    <n v="239.83200000000002"/>
    <n v="155.08000000000001"/>
    <n v="84.75200000000001"/>
    <n v="0.35338069982320958"/>
    <x v="0"/>
    <s v=""/>
    <s v=""/>
    <s v=""/>
    <x v="0"/>
    <d v="2025-01-19T00:00:00"/>
  </r>
  <r>
    <x v="210"/>
    <s v="ORD-00092"/>
    <d v="2025-01-15T00:00:00"/>
    <s v="C0031"/>
    <s v="Adam Brown, Edmonton, Small Business"/>
    <s v="Adam Brown"/>
    <s v="Edmonton"/>
    <s v="Small Business"/>
    <n v="2"/>
    <s v="P035"/>
    <n v="3"/>
    <n v="251.17"/>
    <n v="0.15"/>
    <s v="Online"/>
    <s v="Online"/>
    <s v="CC"/>
    <s v="Credit Card"/>
    <s v="Online Fulfillment"/>
    <s v="Alberta"/>
    <s v="Small Business"/>
    <n v="151.59"/>
    <x v="0"/>
    <n v="753.51"/>
    <n v="113.0265"/>
    <n v="640.48350000000005"/>
    <n v="454.77"/>
    <n v="185.71350000000007"/>
    <n v="0.28995828932361262"/>
    <x v="0"/>
    <s v=""/>
    <s v=""/>
    <s v=""/>
    <x v="0"/>
    <d v="2025-01-19T00:00:00"/>
  </r>
  <r>
    <x v="211"/>
    <s v="ORD-00092"/>
    <d v="2025-01-15T00:00:00"/>
    <s v="C0031"/>
    <s v="Adam Brown, Edmonton, Small Business"/>
    <s v="Adam Brown"/>
    <s v="Edmonton"/>
    <s v="Small Business"/>
    <n v="2"/>
    <s v="P006"/>
    <n v="3"/>
    <n v="88.61"/>
    <n v="0"/>
    <s v="Retail Store"/>
    <s v="Retail Store"/>
    <s v="CC"/>
    <s v="Credit Card"/>
    <s v="Vancouver West"/>
    <s v="Alberta"/>
    <s v="Small Business"/>
    <n v="49.75"/>
    <x v="3"/>
    <n v="265.83"/>
    <n v="0"/>
    <n v="265.83"/>
    <n v="149.25"/>
    <n v="116.57999999999998"/>
    <n v="0.43855095361697322"/>
    <x v="0"/>
    <s v=""/>
    <s v=""/>
    <s v=""/>
    <x v="0"/>
    <d v="2025-01-19T00:00:00"/>
  </r>
  <r>
    <x v="212"/>
    <s v="ORD-00093"/>
    <d v="2025-04-17T00:00:00"/>
    <s v="C0055"/>
    <s v="Adam Singh, Victoria, Consumer"/>
    <s v="Adam Singh"/>
    <s v="Victoria"/>
    <s v="Consumer"/>
    <n v="2"/>
    <s v="P025"/>
    <n v="4"/>
    <n v="115.28"/>
    <n v="0.15"/>
    <s v="Online"/>
    <s v="Online"/>
    <s v="PayPal"/>
    <s v="PayPal"/>
    <s v="Vancouver West"/>
    <s v="British Columbia"/>
    <s v="Consumer"/>
    <n v="61.65"/>
    <x v="2"/>
    <n v="461.12"/>
    <n v="69.167999999999992"/>
    <n v="391.952"/>
    <n v="246.6"/>
    <n v="145.352"/>
    <n v="0.37084132750949095"/>
    <x v="0"/>
    <s v=""/>
    <s v=""/>
    <s v=""/>
    <x v="1"/>
    <d v="2025-04-24T00:00:00"/>
  </r>
  <r>
    <x v="213"/>
    <s v="ORD-00094"/>
    <d v="2025-02-12T00:00:00"/>
    <s v="C0164"/>
    <s v="Daniel Wilson, Calgary, Consumer"/>
    <s v="Daniel Wilson"/>
    <s v="Calgary"/>
    <s v="Consumer"/>
    <n v="2"/>
    <s v="P025"/>
    <n v="4"/>
    <n v="115.28"/>
    <n v="0.15"/>
    <s v="Online"/>
    <s v="Online"/>
    <m/>
    <s v="Unknown"/>
    <s v="Online Fulfillment"/>
    <s v="Alberta"/>
    <s v="Consumer"/>
    <n v="61.65"/>
    <x v="2"/>
    <n v="461.12"/>
    <n v="69.167999999999992"/>
    <n v="391.952"/>
    <n v="246.6"/>
    <n v="145.352"/>
    <n v="0.37084132750949095"/>
    <x v="0"/>
    <s v=""/>
    <s v=""/>
    <s v=""/>
    <x v="1"/>
    <d v="2025-02-21T00:00:00"/>
  </r>
  <r>
    <x v="214"/>
    <s v="ORD-00094"/>
    <d v="2025-02-12T00:00:00"/>
    <s v="C0164"/>
    <s v="Daniel Wilson, Calgary, Consumer"/>
    <s v="Daniel Wilson"/>
    <s v="Calgary"/>
    <s v="Consumer"/>
    <n v="2"/>
    <s v="P033"/>
    <n v="1"/>
    <n v="160"/>
    <n v="0"/>
    <s v="Market place"/>
    <s v="Marketplace"/>
    <s v="Gift Card"/>
    <s v="Gift Card"/>
    <s v="Calgary North"/>
    <s v="Alberta"/>
    <s v="Consumer"/>
    <n v="101.58"/>
    <x v="0"/>
    <n v="160"/>
    <n v="0"/>
    <n v="160"/>
    <n v="101.58"/>
    <n v="58.42"/>
    <n v="0.36512500000000003"/>
    <x v="0"/>
    <s v=""/>
    <s v=""/>
    <s v=""/>
    <x v="1"/>
    <d v="2025-02-21T00:00:00"/>
  </r>
  <r>
    <x v="215"/>
    <s v="ORD-00095"/>
    <d v="2025-04-11T00:00:00"/>
    <s v="C0022"/>
    <s v="Ethan Martin, Ottawa, Consumer"/>
    <s v="Ethan Martin"/>
    <s v="Ottawa"/>
    <s v="Consumer"/>
    <n v="2"/>
    <s v="P005"/>
    <n v="2"/>
    <n v="42.72"/>
    <n v="0"/>
    <s v="Market place"/>
    <s v="Marketplace"/>
    <s v="Debit Card"/>
    <s v="Debit Card"/>
    <s v="Montreal Central"/>
    <s v="Ontario"/>
    <s v="Consumer"/>
    <n v="24.46"/>
    <x v="3"/>
    <n v="85.44"/>
    <n v="0"/>
    <n v="85.44"/>
    <n v="48.92"/>
    <n v="36.519999999999996"/>
    <n v="0.42743445692883891"/>
    <x v="0"/>
    <s v=""/>
    <s v=""/>
    <s v=""/>
    <x v="1"/>
    <d v="2025-04-20T00:00:00"/>
  </r>
  <r>
    <x v="216"/>
    <s v="ORD-00095"/>
    <d v="2025-04-11T00:00:00"/>
    <s v="C0022"/>
    <s v="Ethan Martin, Ottawa, Consumer"/>
    <s v="Ethan Martin"/>
    <s v="Ottawa"/>
    <s v="Consumer"/>
    <n v="2"/>
    <s v="P003"/>
    <n v="4"/>
    <n v="265.73"/>
    <n v="0"/>
    <s v="Online"/>
    <s v="Online"/>
    <s v="CC"/>
    <s v="Credit Card"/>
    <s v="Online Fulfillment"/>
    <s v="Ontario"/>
    <s v="Consumer"/>
    <n v="154.16999999999999"/>
    <x v="3"/>
    <n v="1062.92"/>
    <n v="0"/>
    <n v="1062.92"/>
    <n v="616.67999999999995"/>
    <n v="446.24000000000012"/>
    <n v="0.41982463402701997"/>
    <x v="0"/>
    <s v=""/>
    <s v=""/>
    <s v=""/>
    <x v="1"/>
    <d v="2025-04-20T00:00:00"/>
  </r>
  <r>
    <x v="217"/>
    <s v="ORD-00095"/>
    <d v="2025-04-11T00:00:00"/>
    <s v="C0022"/>
    <s v="Ethan Martin, Ottawa, Consumer"/>
    <s v="Ethan Martin"/>
    <s v="Ottawa"/>
    <s v="Consumer"/>
    <n v="2"/>
    <s v="P046"/>
    <n v="2"/>
    <n v="180.37"/>
    <n v="0"/>
    <s v="Retail Store"/>
    <s v="Retail Store"/>
    <s v="Gift Card"/>
    <s v="Gift Card"/>
    <s v="Online Fulfillment"/>
    <s v="Ontario"/>
    <s v="Consumer"/>
    <n v="107.55"/>
    <x v="1"/>
    <n v="360.74"/>
    <n v="0"/>
    <n v="360.74"/>
    <n v="215.1"/>
    <n v="145.64000000000001"/>
    <n v="0.40372567500138606"/>
    <x v="0"/>
    <s v=""/>
    <s v=""/>
    <s v=""/>
    <x v="1"/>
    <d v="2025-04-20T00:00:00"/>
  </r>
  <r>
    <x v="218"/>
    <s v="ORD-00096"/>
    <d v="2025-12-17T00:00:00"/>
    <s v="C0038"/>
    <s v="Sofia Dubois, Quebec City, Corporate"/>
    <s v="Sofia Dubois"/>
    <s v="Quebec City"/>
    <s v="Corporate"/>
    <n v="2"/>
    <s v="P042"/>
    <n v="4"/>
    <n v="102.78"/>
    <n v="0.1"/>
    <s v="Online"/>
    <s v="Online"/>
    <s v="Gift Card"/>
    <s v="Gift Card"/>
    <s v="Vancouver West"/>
    <s v="Quebec"/>
    <s v="Corporate"/>
    <n v="62.65"/>
    <x v="1"/>
    <n v="411.12"/>
    <n v="41.112000000000002"/>
    <n v="370.00799999999998"/>
    <n v="250.6"/>
    <n v="119.40799999999999"/>
    <n v="0.32271734665196428"/>
    <x v="0"/>
    <s v=""/>
    <s v=""/>
    <s v=""/>
    <x v="1"/>
    <d v="2025-12-25T00:00:00"/>
  </r>
  <r>
    <x v="219"/>
    <s v="ORD-00097"/>
    <d v="2025-09-16T00:00:00"/>
    <s v="C0012"/>
    <s v="Sofia Dubois, Quebec City, Corporate"/>
    <s v="Sofia Dubois"/>
    <s v="Quebec City"/>
    <s v="Corporate"/>
    <n v="2"/>
    <s v="P047"/>
    <n v="2"/>
    <n v="228.81"/>
    <n v="0.1"/>
    <s v="Market place"/>
    <s v="Marketplace"/>
    <s v="PayPal"/>
    <s v="PayPal"/>
    <s v="Montreal Central"/>
    <s v="Quebec"/>
    <s v="Corporate"/>
    <n v="130.9"/>
    <x v="1"/>
    <n v="457.62"/>
    <n v="45.762"/>
    <n v="411.858"/>
    <n v="261.8"/>
    <n v="150.05799999999999"/>
    <n v="0.3643440214831325"/>
    <x v="0"/>
    <s v=""/>
    <s v=""/>
    <s v=""/>
    <x v="1"/>
    <d v="2025-09-22T00:00:00"/>
  </r>
  <r>
    <x v="220"/>
    <s v="ORD-00098"/>
    <d v="2025-01-01T00:00:00"/>
    <s v="C0139"/>
    <s v="Sara Gagnon, Montreal, Small Business"/>
    <s v="Sara Gagnon"/>
    <s v="Montreal"/>
    <s v="Small Business"/>
    <n v="2"/>
    <s v="P033"/>
    <n v="1"/>
    <n v="160"/>
    <n v="0"/>
    <s v="Online"/>
    <s v="Online"/>
    <s v="PayPal"/>
    <s v="PayPal"/>
    <s v="Montreal Central"/>
    <s v="Quebec"/>
    <s v="Small Business"/>
    <n v="101.58"/>
    <x v="0"/>
    <n v="160"/>
    <n v="0"/>
    <n v="160"/>
    <n v="101.58"/>
    <n v="58.42"/>
    <n v="0.36512500000000003"/>
    <x v="0"/>
    <s v=""/>
    <s v=""/>
    <s v=""/>
    <x v="1"/>
    <d v="2025-01-09T00:00:00"/>
  </r>
  <r>
    <x v="221"/>
    <s v="ORD-00098"/>
    <d v="2025-01-01T00:00:00"/>
    <s v="C0139"/>
    <s v="Sara Gagnon, Montreal, Small Business"/>
    <s v="Sara Gagnon"/>
    <s v="Montreal"/>
    <s v="Small Business"/>
    <n v="2"/>
    <s v="P009"/>
    <n v="1"/>
    <n v="147.46"/>
    <n v="0"/>
    <s v="Retail Store"/>
    <s v="Retail Store"/>
    <m/>
    <s v="Unknown"/>
    <s v="Calgary North"/>
    <s v="Quebec"/>
    <s v="Small Business"/>
    <n v="100.95"/>
    <x v="3"/>
    <n v="147.46"/>
    <n v="0"/>
    <n v="147.46"/>
    <n v="100.95"/>
    <n v="46.510000000000005"/>
    <n v="0.31540756815407572"/>
    <x v="0"/>
    <s v=""/>
    <s v=""/>
    <s v=""/>
    <x v="1"/>
    <d v="2025-01-09T00:00:00"/>
  </r>
  <r>
    <x v="222"/>
    <s v="ORD-00098"/>
    <d v="2025-01-01T00:00:00"/>
    <s v="C0139"/>
    <s v="Sara Gagnon, Montreal, Small Business"/>
    <s v="Sara Gagnon"/>
    <s v="Montreal"/>
    <s v="Small Business"/>
    <n v="2"/>
    <s v="P050"/>
    <n v="4"/>
    <n v="34.909999999999997"/>
    <n v="0.05"/>
    <s v="Retail Store"/>
    <s v="Retail Store"/>
    <s v="Gift Card"/>
    <s v="Gift Card"/>
    <s v="Calgary North"/>
    <s v="Quebec"/>
    <s v="Small Business"/>
    <n v="19.670000000000002"/>
    <x v="1"/>
    <n v="139.63999999999999"/>
    <n v="6.9819999999999993"/>
    <n v="132.65799999999999"/>
    <n v="78.680000000000007"/>
    <n v="53.97799999999998"/>
    <n v="0.40689592787468515"/>
    <x v="0"/>
    <s v=""/>
    <s v=""/>
    <s v=""/>
    <x v="1"/>
    <d v="2025-01-09T00:00:00"/>
  </r>
  <r>
    <x v="223"/>
    <s v="ORD-00098"/>
    <d v="2025-01-01T00:00:00"/>
    <s v="C0139"/>
    <s v="Sara Gagnon, Montreal, Small Business"/>
    <s v="Sara Gagnon"/>
    <s v="Montreal"/>
    <s v="Small Business"/>
    <n v="2"/>
    <s v="P012"/>
    <n v="1"/>
    <n v="186.92"/>
    <n v="0.1"/>
    <s v="Retail  Store"/>
    <s v="Retail Store"/>
    <s v="Gift Card"/>
    <s v="Gift Card"/>
    <s v="Online Fulfillment"/>
    <s v="Quebec"/>
    <s v="Small Business"/>
    <n v="114.11"/>
    <x v="4"/>
    <n v="186.92"/>
    <n v="18.692"/>
    <n v="168.22799999999998"/>
    <n v="114.11"/>
    <n v="54.117999999999981"/>
    <n v="0.32169436716836669"/>
    <x v="0"/>
    <s v=""/>
    <s v=""/>
    <s v=""/>
    <x v="1"/>
    <d v="2025-01-09T00:00:00"/>
  </r>
  <r>
    <x v="224"/>
    <s v="ORD-00099"/>
    <d v="2025-07-15T00:00:00"/>
    <s v="C0081"/>
    <s v="Daniel Ali, Victoria, Consumer"/>
    <s v="Daniel Ali"/>
    <s v="Victoria"/>
    <s v="Consumer"/>
    <n v="2"/>
    <s v="P020"/>
    <n v="3"/>
    <n v="56.99"/>
    <n v="0.15"/>
    <s v="Retail Store"/>
    <s v="Retail Store"/>
    <s v="Credit Card"/>
    <s v="Credit Card"/>
    <s v="Online Fulfillment"/>
    <s v="British Columbia"/>
    <s v="Consumer"/>
    <n v="33.65"/>
    <x v="4"/>
    <n v="170.97"/>
    <n v="25.645499999999998"/>
    <n v="145.3245"/>
    <n v="100.94999999999999"/>
    <n v="44.374500000000012"/>
    <n v="0.30534768741678114"/>
    <x v="0"/>
    <s v=""/>
    <s v=""/>
    <s v=""/>
    <x v="0"/>
    <d v="2025-07-18T00:00:00"/>
  </r>
  <r>
    <x v="225"/>
    <s v="ORD-00099"/>
    <d v="2025-07-15T00:00:00"/>
    <s v="C0081"/>
    <s v="Daniel Ali, Victoria, Consumer"/>
    <s v="Daniel Ali"/>
    <s v="Victoria"/>
    <s v="Consumer"/>
    <n v="2"/>
    <s v="P026"/>
    <n v="4"/>
    <n v="228.91"/>
    <n v="0.05"/>
    <s v="Retail Store"/>
    <s v="Retail Store"/>
    <s v="PayPal"/>
    <s v="PayPal"/>
    <s v="Vancouver West"/>
    <s v="British Columbia"/>
    <s v="Consumer"/>
    <n v="149.4"/>
    <x v="2"/>
    <n v="915.64"/>
    <n v="45.782000000000004"/>
    <n v="869.85799999999995"/>
    <n v="597.6"/>
    <n v="272.25799999999992"/>
    <n v="0.312991315823962"/>
    <x v="0"/>
    <s v=""/>
    <s v=""/>
    <s v=""/>
    <x v="0"/>
    <d v="2025-07-18T00:00:00"/>
  </r>
  <r>
    <x v="226"/>
    <s v="ORD-00099"/>
    <d v="2025-07-15T00:00:00"/>
    <s v="C0081"/>
    <s v="Daniel Ali, Victoria, Consumer"/>
    <s v="Daniel Ali"/>
    <s v="Victoria"/>
    <s v="Consumer"/>
    <n v="2"/>
    <s v="P046"/>
    <n v="1"/>
    <n v="180.37"/>
    <n v="0.1"/>
    <s v="Marketplace"/>
    <s v="Marketplace"/>
    <s v="PayPal"/>
    <s v="PayPal"/>
    <s v="Vancouver West"/>
    <s v="British Columbia"/>
    <s v="Consumer"/>
    <n v="107.55"/>
    <x v="1"/>
    <n v="180.37"/>
    <n v="18.037000000000003"/>
    <n v="162.333"/>
    <n v="107.55"/>
    <n v="54.783000000000001"/>
    <n v="0.33747297222376227"/>
    <x v="1"/>
    <s v="Late Delivery"/>
    <d v="2025-08-01T00:00:00"/>
    <s v="Refunded"/>
    <x v="0"/>
    <d v="2025-07-18T00:00:00"/>
  </r>
  <r>
    <x v="227"/>
    <s v="ORD-00100"/>
    <d v="2025-11-13T00:00:00"/>
    <s v="C0037"/>
    <s v="Maya Dubois, Winnipeg, Small Business"/>
    <s v="Maya Dubois"/>
    <s v="Winnipeg"/>
    <s v="Small Business"/>
    <n v="2"/>
    <s v="P002"/>
    <n v="2"/>
    <n v="105.38"/>
    <n v="0.15"/>
    <s v="Retail  Store"/>
    <s v="Retail Store"/>
    <s v="PayPal"/>
    <s v="PayPal"/>
    <s v="Calgary North"/>
    <s v="Manitoba"/>
    <s v="Small Business"/>
    <n v="67.290000000000006"/>
    <x v="3"/>
    <n v="210.76"/>
    <n v="31.613999999999997"/>
    <n v="179.14599999999999"/>
    <n v="134.58000000000001"/>
    <n v="44.565999999999974"/>
    <n v="0.24876916034965882"/>
    <x v="0"/>
    <s v=""/>
    <s v=""/>
    <s v=""/>
    <x v="1"/>
    <d v="2025-11-18T00:00:00"/>
  </r>
  <r>
    <x v="228"/>
    <s v="ORD-00100"/>
    <d v="2025-11-13T00:00:00"/>
    <s v="C0037"/>
    <s v="Maya Dubois, Winnipeg, Small Business"/>
    <s v="Maya Dubois"/>
    <s v="Winnipeg"/>
    <s v="Small Business"/>
    <n v="2"/>
    <s v="P002"/>
    <n v="2"/>
    <n v="105.38"/>
    <n v="0.1"/>
    <s v="Marketplace"/>
    <s v="Marketplace"/>
    <s v="Gift Card"/>
    <s v="Gift Card"/>
    <s v="Toronto Downtown"/>
    <s v="Manitoba"/>
    <s v="Small Business"/>
    <n v="67.290000000000006"/>
    <x v="3"/>
    <n v="210.76"/>
    <n v="21.076000000000001"/>
    <n v="189.684"/>
    <n v="134.58000000000001"/>
    <n v="55.103999999999985"/>
    <n v="0.29050420699690005"/>
    <x v="0"/>
    <s v=""/>
    <s v=""/>
    <s v=""/>
    <x v="1"/>
    <d v="2025-11-18T00:00:00"/>
  </r>
  <r>
    <x v="229"/>
    <s v="ORD-00100"/>
    <d v="2025-11-13T00:00:00"/>
    <s v="C0037"/>
    <s v="Maya Dubois, Winnipeg, Small Business"/>
    <s v="Maya Dubois"/>
    <s v="Winnipeg"/>
    <s v="Small Business"/>
    <n v="2"/>
    <s v="P023"/>
    <n v="4"/>
    <n v="82.77"/>
    <n v="0.05"/>
    <s v="Marketplace"/>
    <s v="Marketplace"/>
    <s v="PayPal"/>
    <s v="PayPal"/>
    <s v="Toronto Downtown"/>
    <s v="Manitoba"/>
    <s v="Small Business"/>
    <n v="46.51"/>
    <x v="2"/>
    <n v="331.08"/>
    <n v="16.553999999999998"/>
    <n v="314.52600000000001"/>
    <n v="186.04"/>
    <n v="128.48600000000002"/>
    <n v="0.40850676891576537"/>
    <x v="0"/>
    <s v=""/>
    <s v=""/>
    <s v=""/>
    <x v="1"/>
    <d v="2025-11-18T00:00:00"/>
  </r>
  <r>
    <x v="230"/>
    <s v="ORD-00100"/>
    <d v="2025-11-13T00:00:00"/>
    <s v="C0037"/>
    <s v="Maya Dubois, Winnipeg, Small Business"/>
    <s v="Maya Dubois"/>
    <s v="Winnipeg"/>
    <s v="Small Business"/>
    <n v="2"/>
    <s v="P040"/>
    <n v="2"/>
    <n v="33.369999999999997"/>
    <n v="0"/>
    <s v="Marketplace"/>
    <s v="Marketplace"/>
    <s v="Credit Card"/>
    <s v="Credit Card"/>
    <s v="Calgary North"/>
    <s v="Manitoba"/>
    <s v="Small Business"/>
    <n v="18.670000000000002"/>
    <x v="0"/>
    <n v="66.739999999999995"/>
    <n v="0"/>
    <n v="66.739999999999995"/>
    <n v="37.340000000000003"/>
    <n v="29.399999999999991"/>
    <n v="0.44051543302367385"/>
    <x v="1"/>
    <s v="Changed Mind"/>
    <d v="2025-11-27T00:00:00"/>
    <s v="Refunded"/>
    <x v="1"/>
    <d v="2025-11-18T00:00:00"/>
  </r>
  <r>
    <x v="231"/>
    <s v="ORD-00101"/>
    <d v="2025-05-18T00:00:00"/>
    <s v="C0155"/>
    <s v="Amina Martin, Halifax, Consumer"/>
    <s v="Amina Martin"/>
    <s v="Halifax"/>
    <s v="Consumer"/>
    <n v="2"/>
    <s v="P037"/>
    <n v="2"/>
    <n v="236.51"/>
    <n v="0"/>
    <s v="Online"/>
    <s v="Online"/>
    <s v="Debit Card"/>
    <s v="Debit Card"/>
    <s v="Toronto Downtown"/>
    <s v="Nova Scotia"/>
    <s v="Consumer"/>
    <n v="142.84"/>
    <x v="0"/>
    <n v="473.02"/>
    <n v="0"/>
    <n v="473.02"/>
    <n v="285.68"/>
    <n v="187.33999999999997"/>
    <n v="0.39605090693839579"/>
    <x v="0"/>
    <s v=""/>
    <s v=""/>
    <s v=""/>
    <x v="1"/>
    <d v="2025-05-27T00:00:00"/>
  </r>
  <r>
    <x v="232"/>
    <s v="ORD-00101"/>
    <d v="2025-05-18T00:00:00"/>
    <s v="C0155"/>
    <s v="Amina Martin, Halifax, Consumer"/>
    <s v="Amina Martin"/>
    <s v="Halifax"/>
    <s v="Consumer"/>
    <n v="2"/>
    <s v="P028"/>
    <n v="1"/>
    <n v="52.79"/>
    <n v="0"/>
    <s v="Market place"/>
    <s v="Marketplace"/>
    <s v="Gift Card"/>
    <s v="Gift Card"/>
    <s v="Toronto Downtown"/>
    <s v="Nova Scotia"/>
    <s v="Consumer"/>
    <n v="28.17"/>
    <x v="2"/>
    <n v="52.79"/>
    <n v="0"/>
    <n v="52.79"/>
    <n v="28.17"/>
    <n v="24.619999999999997"/>
    <n v="0.46637620761507859"/>
    <x v="0"/>
    <s v=""/>
    <s v=""/>
    <s v=""/>
    <x v="1"/>
    <d v="2025-05-27T00:00:00"/>
  </r>
  <r>
    <x v="233"/>
    <s v="ORD-00102"/>
    <d v="2025-10-04T00:00:00"/>
    <s v="C0180"/>
    <s v="Yara Dubois, Quebec City, Small Business"/>
    <s v="Yara Dubois"/>
    <s v="Quebec City"/>
    <s v="Small Business"/>
    <n v="2"/>
    <s v="P032"/>
    <n v="2"/>
    <n v="214.38"/>
    <n v="0.15"/>
    <s v="Marketplace"/>
    <s v="Marketplace"/>
    <s v="Debit Card"/>
    <s v="Debit Card"/>
    <s v="Online Fulfillment"/>
    <s v="Quebec"/>
    <s v="Small Business"/>
    <n v="131.51"/>
    <x v="0"/>
    <n v="428.76"/>
    <n v="64.313999999999993"/>
    <n v="364.44600000000003"/>
    <n v="263.02"/>
    <n v="101.42600000000004"/>
    <n v="0.27830186090669135"/>
    <x v="0"/>
    <s v=""/>
    <s v=""/>
    <s v=""/>
    <x v="1"/>
    <d v="2025-10-12T00:00:00"/>
  </r>
  <r>
    <x v="234"/>
    <s v="ORD-00102"/>
    <d v="2025-10-04T00:00:00"/>
    <s v="C0180"/>
    <s v="Yara Dubois, Quebec City, Small Business"/>
    <s v="Yara Dubois"/>
    <s v="Quebec City"/>
    <s v="Small Business"/>
    <n v="2"/>
    <s v="P027"/>
    <n v="2"/>
    <n v="244.25"/>
    <n v="0.15"/>
    <s v="Online"/>
    <s v="Online"/>
    <s v="Debit Card"/>
    <s v="Debit Card"/>
    <s v="Montreal Central"/>
    <s v="Quebec"/>
    <s v="Small Business"/>
    <n v="150.96"/>
    <x v="2"/>
    <n v="488.5"/>
    <n v="73.274999999999991"/>
    <n v="415.22500000000002"/>
    <n v="301.92"/>
    <n v="113.30500000000001"/>
    <n v="0.27287615148413513"/>
    <x v="0"/>
    <s v=""/>
    <s v=""/>
    <s v=""/>
    <x v="1"/>
    <d v="2025-10-12T00:00:00"/>
  </r>
  <r>
    <x v="235"/>
    <s v="ORD-00102"/>
    <d v="2025-10-04T00:00:00"/>
    <s v="C0180"/>
    <s v="Yara Dubois, Quebec City, Small Business"/>
    <s v="Yara Dubois"/>
    <s v="Quebec City"/>
    <s v="Small Business"/>
    <n v="2"/>
    <s v="P048"/>
    <n v="1"/>
    <n v="287.16000000000003"/>
    <n v="0"/>
    <s v="Market place"/>
    <s v="Marketplace"/>
    <s v="Credit Card"/>
    <s v="Credit Card"/>
    <s v="Online Fulfillment"/>
    <s v="Quebec"/>
    <s v="Small Business"/>
    <n v="148.21"/>
    <x v="1"/>
    <n v="287.16000000000003"/>
    <n v="0"/>
    <n v="287.16000000000003"/>
    <n v="148.21"/>
    <n v="138.95000000000002"/>
    <n v="0.48387658448251847"/>
    <x v="1"/>
    <s v="Wrong Item"/>
    <d v="2025-10-27T00:00:00"/>
    <s v="Pending"/>
    <x v="1"/>
    <d v="2025-10-12T00:00:00"/>
  </r>
  <r>
    <x v="236"/>
    <s v="ORD-00103"/>
    <d v="2025-11-16T00:00:00"/>
    <s v="C0042"/>
    <s v="Liam Khan, Toronto, Small Business"/>
    <s v="Liam Khan"/>
    <s v="Toronto"/>
    <s v="Small Business"/>
    <n v="2"/>
    <s v="P035"/>
    <n v="1"/>
    <n v="251.17"/>
    <n v="0"/>
    <s v="Retail Store"/>
    <s v="Retail Store"/>
    <s v="PayPal"/>
    <s v="PayPal"/>
    <s v="Online Fulfillment"/>
    <s v="Ontario"/>
    <s v="Small Business"/>
    <n v="151.59"/>
    <x v="0"/>
    <n v="251.17"/>
    <n v="0"/>
    <n v="251.17"/>
    <n v="151.59"/>
    <n v="99.579999999999984"/>
    <n v="0.39646454592507063"/>
    <x v="0"/>
    <s v=""/>
    <s v=""/>
    <s v=""/>
    <x v="0"/>
    <d v="2025-11-18T00:00:00"/>
  </r>
  <r>
    <x v="237"/>
    <s v="ORD-00103"/>
    <d v="2025-11-16T00:00:00"/>
    <s v="C0042"/>
    <s v="Liam Khan, Toronto, Small Business"/>
    <s v="Liam Khan"/>
    <s v="Toronto"/>
    <s v="Small Business"/>
    <n v="2"/>
    <s v="P039"/>
    <n v="4"/>
    <n v="154.47"/>
    <n v="0.05"/>
    <s v="Retail  Store"/>
    <s v="Retail Store"/>
    <s v="Credit Card"/>
    <s v="Credit Card"/>
    <s v="Toronto Downtown"/>
    <s v="Ontario"/>
    <s v="Small Business"/>
    <n v="102.57"/>
    <x v="0"/>
    <n v="617.88"/>
    <n v="30.894000000000002"/>
    <n v="586.98599999999999"/>
    <n v="410.28"/>
    <n v="176.70600000000002"/>
    <n v="0.30103954779159986"/>
    <x v="0"/>
    <s v=""/>
    <s v=""/>
    <s v=""/>
    <x v="0"/>
    <d v="2025-11-18T00:00:00"/>
  </r>
  <r>
    <x v="238"/>
    <s v="ORD-00103"/>
    <d v="2025-11-16T00:00:00"/>
    <s v="C0042"/>
    <s v="Liam Khan, Toronto, Small Business"/>
    <s v="Liam Khan"/>
    <s v="Toronto"/>
    <s v="Small Business"/>
    <n v="2"/>
    <s v="P030"/>
    <n v="1"/>
    <n v="75.75"/>
    <n v="0"/>
    <s v="Retail  Store"/>
    <s v="Retail Store"/>
    <s v="Debit Card"/>
    <s v="Debit Card"/>
    <s v="Vancouver West"/>
    <s v="Ontario"/>
    <s v="Small Business"/>
    <n v="42.37"/>
    <x v="2"/>
    <n v="75.75"/>
    <n v="0"/>
    <n v="75.75"/>
    <n v="42.37"/>
    <n v="33.380000000000003"/>
    <n v="0.44066006600660068"/>
    <x v="0"/>
    <s v=""/>
    <s v=""/>
    <s v=""/>
    <x v="0"/>
    <d v="2025-11-18T00:00:00"/>
  </r>
  <r>
    <x v="239"/>
    <s v="ORD-00103"/>
    <d v="2025-11-16T00:00:00"/>
    <s v="C0042"/>
    <s v="Liam Khan, Toronto, Small Business"/>
    <s v="Liam Khan"/>
    <s v="Toronto"/>
    <s v="Small Business"/>
    <n v="2"/>
    <s v="P046"/>
    <n v="4"/>
    <n v="180.37"/>
    <n v="0"/>
    <s v="Retail  Store"/>
    <s v="Retail Store"/>
    <s v="Debit Card"/>
    <s v="Debit Card"/>
    <s v="Montreal Central"/>
    <s v="Ontario"/>
    <s v="Small Business"/>
    <n v="107.55"/>
    <x v="1"/>
    <n v="721.48"/>
    <n v="0"/>
    <n v="721.48"/>
    <n v="430.2"/>
    <n v="291.28000000000003"/>
    <n v="0.40372567500138606"/>
    <x v="0"/>
    <s v=""/>
    <s v=""/>
    <s v=""/>
    <x v="0"/>
    <d v="2025-11-18T00:00:00"/>
  </r>
  <r>
    <x v="240"/>
    <s v="ORD-00104"/>
    <d v="2025-03-28T01:00:00"/>
    <s v="C0173"/>
    <s v="Adam Johnson, Vancouver, Small Business"/>
    <s v="Adam Johnson"/>
    <s v="Vancouver"/>
    <s v="Small Business"/>
    <n v="2"/>
    <s v="P030"/>
    <n v="2"/>
    <n v="75.75"/>
    <n v="0"/>
    <s v="Online"/>
    <s v="Online"/>
    <s v="Gift Card"/>
    <s v="Gift Card"/>
    <s v="Toronto Downtown"/>
    <s v="British Columbia"/>
    <s v="Small Business"/>
    <n v="42.37"/>
    <x v="2"/>
    <n v="151.5"/>
    <n v="0"/>
    <n v="151.5"/>
    <n v="84.74"/>
    <n v="66.760000000000005"/>
    <n v="0.44066006600660068"/>
    <x v="1"/>
    <s v="Wrong Item"/>
    <d v="2025-04-04T01:00:00"/>
    <s v="Refunded"/>
    <x v="0"/>
    <d v="2025-04-02T01:00:00"/>
  </r>
  <r>
    <x v="241"/>
    <s v="ORD-00104"/>
    <d v="2025-03-28T01:00:00"/>
    <s v="C0173"/>
    <s v="Adam Johnson, Vancouver, Small Business"/>
    <s v="Adam Johnson"/>
    <s v="Vancouver"/>
    <s v="Small Business"/>
    <n v="2"/>
    <s v="P023"/>
    <n v="4"/>
    <n v="82.77"/>
    <n v="0.05"/>
    <s v="Market place"/>
    <s v="Marketplace"/>
    <s v="Debit Card"/>
    <s v="Debit Card"/>
    <s v="Toronto Downtown"/>
    <s v="British Columbia"/>
    <s v="Small Business"/>
    <n v="46.51"/>
    <x v="2"/>
    <n v="331.08"/>
    <n v="16.553999999999998"/>
    <n v="314.52600000000001"/>
    <n v="186.04"/>
    <n v="128.48600000000002"/>
    <n v="0.40850676891576537"/>
    <x v="0"/>
    <s v=""/>
    <s v=""/>
    <s v=""/>
    <x v="0"/>
    <d v="2025-04-02T01:00:00"/>
  </r>
  <r>
    <x v="242"/>
    <s v="ORD-00104"/>
    <d v="2025-03-28T01:00:00"/>
    <s v="C0173"/>
    <s v="Adam Johnson, Vancouver, Small Business"/>
    <s v="Adam Johnson"/>
    <s v="Vancouver"/>
    <s v="Small Business"/>
    <n v="2"/>
    <s v="P020"/>
    <n v="2"/>
    <n v="56.99"/>
    <n v="0.15"/>
    <s v="Online"/>
    <s v="Online"/>
    <m/>
    <s v="Unknown"/>
    <s v="Toronto Downtown"/>
    <s v="British Columbia"/>
    <s v="Small Business"/>
    <n v="33.65"/>
    <x v="4"/>
    <n v="113.98"/>
    <n v="17.097000000000001"/>
    <n v="96.88300000000001"/>
    <n v="67.3"/>
    <n v="29.583000000000013"/>
    <n v="0.30534768741678114"/>
    <x v="0"/>
    <s v=""/>
    <s v=""/>
    <s v=""/>
    <x v="0"/>
    <d v="2025-04-02T01:00:00"/>
  </r>
  <r>
    <x v="243"/>
    <s v="ORD-00104"/>
    <d v="2025-03-28T01:00:00"/>
    <s v="C0173"/>
    <s v="Adam Johnson, Vancouver, Small Business"/>
    <s v="Adam Johnson"/>
    <s v="Vancouver"/>
    <s v="Small Business"/>
    <n v="2"/>
    <s v="P044"/>
    <n v="2"/>
    <n v="208.89"/>
    <n v="0.05"/>
    <s v="Marketplace"/>
    <s v="Marketplace"/>
    <m/>
    <s v="Unknown"/>
    <s v="Toronto Downtown"/>
    <s v="British Columbia"/>
    <s v="Small Business"/>
    <n v="133.05000000000001"/>
    <x v="1"/>
    <n v="417.78"/>
    <n v="20.888999999999999"/>
    <n v="396.89099999999996"/>
    <n v="266.10000000000002"/>
    <n v="130.79099999999994"/>
    <n v="0.32953884063886546"/>
    <x v="0"/>
    <s v=""/>
    <s v=""/>
    <s v=""/>
    <x v="0"/>
    <d v="2025-04-02T01:00:00"/>
  </r>
  <r>
    <x v="244"/>
    <s v="ORD-00105"/>
    <d v="2025-08-31T00:00:00"/>
    <s v="C0167"/>
    <s v="Emma Singh, Calgary, Small Business"/>
    <s v="Emma Singh"/>
    <s v="Calgary"/>
    <s v="Small Business"/>
    <n v="2"/>
    <s v="P003"/>
    <n v="4"/>
    <n v="265.73"/>
    <n v="0.15"/>
    <s v="Retail  Store"/>
    <s v="Retail Store"/>
    <s v="Credit Card"/>
    <s v="Credit Card"/>
    <s v="Online Fulfillment"/>
    <s v="Alberta"/>
    <s v="Small Business"/>
    <n v="154.16999999999999"/>
    <x v="3"/>
    <n v="1062.92"/>
    <n v="159.43800000000002"/>
    <n v="903.48200000000008"/>
    <n v="616.67999999999995"/>
    <n v="286.80200000000013"/>
    <n v="0.31744074591414118"/>
    <x v="0"/>
    <s v=""/>
    <s v=""/>
    <s v=""/>
    <x v="1"/>
    <d v="2025-09-04T00:00:00"/>
  </r>
  <r>
    <x v="245"/>
    <s v="ORD-00105"/>
    <d v="2025-08-31T00:00:00"/>
    <s v="C0167"/>
    <s v="Emma Singh, Calgary, Small Business"/>
    <s v="Emma Singh"/>
    <s v="Calgary"/>
    <s v="Small Business"/>
    <n v="2"/>
    <s v="P045"/>
    <n v="3"/>
    <n v="72.81"/>
    <n v="0"/>
    <s v="Market place"/>
    <s v="Marketplace"/>
    <s v="Gift Card"/>
    <s v="Gift Card"/>
    <s v="Online Fulfillment"/>
    <s v="Alberta"/>
    <s v="Small Business"/>
    <n v="37.99"/>
    <x v="1"/>
    <n v="218.43"/>
    <n v="0"/>
    <n v="218.43"/>
    <n v="113.97"/>
    <n v="104.46000000000001"/>
    <n v="0.47823101222359571"/>
    <x v="1"/>
    <s v="Not as Described"/>
    <d v="2025-09-12T00:00:00"/>
    <s v="Refunded"/>
    <x v="1"/>
    <d v="2025-09-04T00:00:00"/>
  </r>
  <r>
    <x v="246"/>
    <s v="ORD-00106"/>
    <d v="2025-11-25T00:00:00"/>
    <s v="C0136"/>
    <s v="Sofia Gagnon, Quebec City, Corporate"/>
    <s v="Sofia Gagnon"/>
    <s v="Quebec City"/>
    <s v="Corporate"/>
    <n v="2"/>
    <s v="P025"/>
    <n v="2"/>
    <n v="115.28"/>
    <n v="0.15"/>
    <s v="Online"/>
    <s v="Online"/>
    <s v="Credit Card"/>
    <s v="Credit Card"/>
    <s v="Toronto Downtown"/>
    <s v="Quebec"/>
    <s v="Corporate"/>
    <n v="61.65"/>
    <x v="2"/>
    <n v="230.56"/>
    <n v="34.583999999999996"/>
    <n v="195.976"/>
    <n v="123.3"/>
    <n v="72.676000000000002"/>
    <n v="0.37084132750949095"/>
    <x v="0"/>
    <s v=""/>
    <s v=""/>
    <s v=""/>
    <x v="1"/>
    <d v="2025-11-30T00:00:00"/>
  </r>
  <r>
    <x v="247"/>
    <s v="ORD-00107"/>
    <d v="2025-01-14T00:00:00"/>
    <s v="c0104"/>
    <s v="Yara Ali, Ottawa, Small Business"/>
    <s v="Yara Ali"/>
    <s v="Ottawa"/>
    <s v="Small Business"/>
    <n v="2"/>
    <s v="P045"/>
    <n v="1"/>
    <n v="72.81"/>
    <n v="0.15"/>
    <s v="Retail  Store"/>
    <s v="Retail Store"/>
    <s v="Debit Card"/>
    <s v="Debit Card"/>
    <s v="Vancouver West"/>
    <s v="Ontario"/>
    <s v="Small Business"/>
    <n v="37.99"/>
    <x v="1"/>
    <n v="72.81"/>
    <n v="10.9215"/>
    <n v="61.888500000000001"/>
    <n v="37.99"/>
    <n v="23.898499999999999"/>
    <n v="0.38615413202775956"/>
    <x v="0"/>
    <s v=""/>
    <s v=""/>
    <s v=""/>
    <x v="1"/>
    <d v="2025-01-20T00:00:00"/>
  </r>
  <r>
    <x v="248"/>
    <s v="ORD-00107"/>
    <d v="2025-01-14T00:00:00"/>
    <s v="C0104"/>
    <s v="Yara Ali, Ottawa, Small Business"/>
    <s v="Yara Ali"/>
    <s v="Ottawa"/>
    <s v="Small Business"/>
    <n v="2"/>
    <s v="P012"/>
    <n v="1"/>
    <n v="186.92"/>
    <n v="0"/>
    <s v="Retail  Store"/>
    <s v="Retail Store"/>
    <s v="Debit Card"/>
    <s v="Debit Card"/>
    <s v="Calgary North"/>
    <s v="Ontario"/>
    <s v="Small Business"/>
    <n v="114.11"/>
    <x v="4"/>
    <n v="186.92"/>
    <n v="0"/>
    <n v="186.92"/>
    <n v="114.11"/>
    <n v="72.809999999999988"/>
    <n v="0.38952493045153003"/>
    <x v="0"/>
    <s v=""/>
    <s v=""/>
    <s v=""/>
    <x v="1"/>
    <d v="2025-01-20T00:00:00"/>
  </r>
  <r>
    <x v="249"/>
    <s v="ORD-00107"/>
    <d v="2025-01-14T00:00:00"/>
    <s v="C0104"/>
    <s v="Yara Ali, Ottawa, Small Business"/>
    <s v="Yara Ali"/>
    <s v="Ottawa"/>
    <s v="Small Business"/>
    <n v="2"/>
    <s v="P008"/>
    <n v="1"/>
    <n v="110.88"/>
    <n v="0.05"/>
    <s v="Market place"/>
    <s v="Marketplace"/>
    <s v="CC"/>
    <s v="Credit Card"/>
    <s v="Toronto Downtown"/>
    <s v="Ontario"/>
    <s v="Small Business"/>
    <n v="57.09"/>
    <x v="3"/>
    <n v="110.88"/>
    <n v="5.5440000000000005"/>
    <n v="105.336"/>
    <n v="57.09"/>
    <n v="48.245999999999995"/>
    <n v="0.45802005012531322"/>
    <x v="0"/>
    <s v=""/>
    <s v=""/>
    <s v=""/>
    <x v="1"/>
    <d v="2025-01-20T00:00:00"/>
  </r>
  <r>
    <x v="250"/>
    <s v="ORD-00108"/>
    <d v="2025-02-11T00:00:00"/>
    <s v="C0167"/>
    <s v="Emma Singh, Calgary, Small Business"/>
    <s v="Emma Singh"/>
    <s v="Calgary"/>
    <s v="Small Business"/>
    <n v="2"/>
    <s v="P018"/>
    <n v="1"/>
    <n v="142.16"/>
    <n v="0"/>
    <s v="Online"/>
    <s v="Online"/>
    <s v="Credit Card"/>
    <s v="Credit Card"/>
    <s v="Online Fulfillment"/>
    <s v="Alberta"/>
    <s v="Small Business"/>
    <n v="85.34"/>
    <x v="4"/>
    <n v="142.16"/>
    <n v="0"/>
    <n v="142.16"/>
    <n v="85.34"/>
    <n v="56.819999999999993"/>
    <n v="0.39969048958919523"/>
    <x v="0"/>
    <s v=""/>
    <s v=""/>
    <s v=""/>
    <x v="0"/>
    <d v="2025-02-13T00:00:00"/>
  </r>
  <r>
    <x v="251"/>
    <s v="ORD-00108"/>
    <d v="2025-02-11T00:00:00"/>
    <s v="C0167"/>
    <s v="Emma Singh, Calgary, Small Business"/>
    <s v="Emma Singh"/>
    <s v="Calgary"/>
    <s v="Small Business"/>
    <n v="2"/>
    <s v="P029"/>
    <n v="3"/>
    <n v="300.16000000000003"/>
    <n v="0.1"/>
    <s v="Retail  Store"/>
    <s v="Retail Store"/>
    <s v="CC"/>
    <s v="Credit Card"/>
    <s v="Montreal Central"/>
    <s v="Alberta"/>
    <s v="Small Business"/>
    <n v="158.46"/>
    <x v="2"/>
    <n v="900.48"/>
    <n v="90.048000000000002"/>
    <n v="810.43200000000002"/>
    <n v="475.38"/>
    <n v="335.05200000000002"/>
    <n v="0.41342395167022034"/>
    <x v="0"/>
    <s v=""/>
    <s v=""/>
    <s v=""/>
    <x v="0"/>
    <d v="2025-02-13T00:00:00"/>
  </r>
  <r>
    <x v="252"/>
    <s v="ORD-00108"/>
    <d v="2025-02-11T00:00:00"/>
    <s v="C0167"/>
    <s v="Emma Singh, Calgary, Small Business"/>
    <s v="Emma Singh"/>
    <s v="Calgary"/>
    <s v="Small Business"/>
    <n v="2"/>
    <s v="P025"/>
    <n v="3"/>
    <n v="115.28"/>
    <n v="0.15"/>
    <s v="Retail Store"/>
    <s v="Retail Store"/>
    <s v="Debit Card"/>
    <s v="Debit Card"/>
    <s v="Online Fulfillment"/>
    <s v="Alberta"/>
    <s v="Small Business"/>
    <n v="61.65"/>
    <x v="2"/>
    <n v="345.84000000000003"/>
    <n v="51.876000000000005"/>
    <n v="293.96400000000006"/>
    <n v="184.95"/>
    <n v="109.01400000000007"/>
    <n v="0.37084132750949111"/>
    <x v="0"/>
    <s v=""/>
    <s v=""/>
    <s v=""/>
    <x v="0"/>
    <d v="2025-02-13T00:00:00"/>
  </r>
  <r>
    <x v="253"/>
    <s v="ORD-00109"/>
    <d v="2025-08-07T00:00:00"/>
    <s v="C0160"/>
    <s v="Yara Johnson, Victoria, Corporate"/>
    <s v="Yara Johnson"/>
    <s v="Victoria"/>
    <s v="Corporate"/>
    <n v="2"/>
    <s v="P039"/>
    <n v="2"/>
    <n v="154.47"/>
    <n v="0"/>
    <s v="Retail Store"/>
    <s v="Retail Store"/>
    <s v="Credit Card"/>
    <s v="Credit Card"/>
    <s v="Toronto Downtown"/>
    <s v="British Columbia"/>
    <s v="Corporate"/>
    <n v="102.57"/>
    <x v="0"/>
    <n v="308.94"/>
    <n v="0"/>
    <n v="308.94"/>
    <n v="205.14"/>
    <n v="103.80000000000001"/>
    <n v="0.33598757040201988"/>
    <x v="1"/>
    <s v="Late Delivery"/>
    <d v="2025-08-22T00:00:00"/>
    <s v="Refunded"/>
    <x v="1"/>
    <d v="2025-08-13T00:00:00"/>
  </r>
  <r>
    <x v="254"/>
    <s v="ORD-00109"/>
    <d v="2025-08-07T00:00:00"/>
    <s v="C0160"/>
    <s v="Yara Johnson, Victoria, Corporate"/>
    <s v="Yara Johnson"/>
    <s v="Victoria"/>
    <s v="Corporate"/>
    <n v="2"/>
    <s v="P032"/>
    <n v="4"/>
    <n v="214.38"/>
    <n v="0"/>
    <s v="Market place"/>
    <s v="Marketplace"/>
    <s v="PayPal"/>
    <s v="PayPal"/>
    <s v="Montreal Central"/>
    <s v="British Columbia"/>
    <s v="Corporate"/>
    <n v="131.51"/>
    <x v="0"/>
    <n v="857.52"/>
    <n v="0"/>
    <n v="857.52"/>
    <n v="526.04"/>
    <n v="331.48"/>
    <n v="0.38655658177068758"/>
    <x v="1"/>
    <s v="Not as Described"/>
    <d v="2025-08-20T00:00:00"/>
    <s v="Pending"/>
    <x v="1"/>
    <d v="2025-08-13T00:00:00"/>
  </r>
  <r>
    <x v="255"/>
    <s v="ORD-00109"/>
    <d v="2025-08-07T00:00:00"/>
    <s v="C0160"/>
    <s v="Yara Johnson, Victoria, Corporate"/>
    <s v="Yara Johnson"/>
    <s v="Victoria"/>
    <s v="Corporate"/>
    <n v="2"/>
    <s v="P003"/>
    <n v="1"/>
    <n v="265.73"/>
    <n v="0.1"/>
    <s v="Market place"/>
    <s v="Marketplace"/>
    <s v="Gift Card"/>
    <s v="Gift Card"/>
    <s v="Vancouver West"/>
    <s v="British Columbia"/>
    <s v="Corporate"/>
    <n v="154.16999999999999"/>
    <x v="3"/>
    <n v="265.73"/>
    <n v="26.573000000000004"/>
    <n v="239.15700000000001"/>
    <n v="154.16999999999999"/>
    <n v="84.987000000000023"/>
    <n v="0.35536070447446666"/>
    <x v="0"/>
    <s v=""/>
    <s v=""/>
    <s v=""/>
    <x v="1"/>
    <d v="2025-08-13T00:00:00"/>
  </r>
  <r>
    <x v="256"/>
    <s v="ORD-00110"/>
    <d v="2025-03-11T01:00:00"/>
    <s v="C0150"/>
    <s v="Emma Brown, Vancouver, Corporate"/>
    <s v="Emma Brown"/>
    <s v="Vancouver"/>
    <s v="Corporate"/>
    <n v="2"/>
    <s v="P014"/>
    <n v="4"/>
    <n v="91.75"/>
    <n v="0"/>
    <s v="Online"/>
    <s v="Online"/>
    <m/>
    <s v="Unknown"/>
    <s v="Montreal Central"/>
    <s v="British Columbia"/>
    <s v="Corporate"/>
    <n v="58.27"/>
    <x v="4"/>
    <n v="367"/>
    <n v="0"/>
    <n v="367"/>
    <n v="233.08"/>
    <n v="133.91999999999999"/>
    <n v="0.3649046321525885"/>
    <x v="0"/>
    <s v=""/>
    <s v=""/>
    <s v=""/>
    <x v="1"/>
    <d v="2025-03-21T01:00:00"/>
  </r>
  <r>
    <x v="257"/>
    <s v="ORD-00110"/>
    <d v="2025-03-11T01:00:00"/>
    <s v="C0150"/>
    <s v="Emma Brown, Vancouver, Corporate"/>
    <s v="Emma Brown"/>
    <s v="Vancouver"/>
    <s v="Corporate"/>
    <n v="2"/>
    <s v="P008"/>
    <n v="1"/>
    <n v="110.88"/>
    <n v="0.05"/>
    <s v="Market place"/>
    <s v="Marketplace"/>
    <s v="CC"/>
    <s v="Credit Card"/>
    <s v="Montreal Central"/>
    <s v="British Columbia"/>
    <s v="Corporate"/>
    <n v="57.09"/>
    <x v="3"/>
    <n v="110.88"/>
    <n v="5.5440000000000005"/>
    <n v="105.336"/>
    <n v="57.09"/>
    <n v="48.245999999999995"/>
    <n v="0.45802005012531322"/>
    <x v="0"/>
    <s v=""/>
    <s v=""/>
    <s v=""/>
    <x v="1"/>
    <d v="2025-03-21T01:00:00"/>
  </r>
  <r>
    <x v="258"/>
    <s v="ORD-00110"/>
    <d v="2025-03-11T01:00:00"/>
    <s v="C0150"/>
    <s v="Emma Brown, Vancouver, Corporate"/>
    <s v="Emma Brown"/>
    <s v="Vancouver"/>
    <s v="Corporate"/>
    <n v="2"/>
    <s v="P032"/>
    <n v="4"/>
    <n v="214.38"/>
    <n v="0"/>
    <s v="Marketplace"/>
    <s v="Marketplace"/>
    <s v="CC"/>
    <s v="Credit Card"/>
    <s v="Vancouver West"/>
    <s v="British Columbia"/>
    <s v="Corporate"/>
    <n v="131.51"/>
    <x v="0"/>
    <n v="857.52"/>
    <n v="0"/>
    <n v="857.52"/>
    <n v="526.04"/>
    <n v="331.48"/>
    <n v="0.38655658177068758"/>
    <x v="0"/>
    <s v=""/>
    <s v=""/>
    <s v=""/>
    <x v="1"/>
    <d v="2025-03-21T01:00:00"/>
  </r>
  <r>
    <x v="259"/>
    <s v="ORD-00110"/>
    <d v="2025-03-11T01:00:00"/>
    <s v="C0150"/>
    <s v="Emma Brown, Vancouver, Corporate"/>
    <s v="Emma Brown"/>
    <s v="Vancouver"/>
    <s v="Corporate"/>
    <n v="2"/>
    <s v="P044"/>
    <n v="1"/>
    <n v="208.89"/>
    <n v="0.15"/>
    <s v="Retail  Store"/>
    <s v="Retail Store"/>
    <s v="Credit Card"/>
    <s v="Credit Card"/>
    <s v="Toronto Downtown"/>
    <s v="British Columbia"/>
    <s v="Corporate"/>
    <n v="133.05000000000001"/>
    <x v="1"/>
    <n v="208.89"/>
    <n v="31.333499999999997"/>
    <n v="177.5565"/>
    <n v="133.05000000000001"/>
    <n v="44.506499999999988"/>
    <n v="0.2506610571846144"/>
    <x v="0"/>
    <s v=""/>
    <s v=""/>
    <s v=""/>
    <x v="1"/>
    <d v="2025-03-21T01:00:00"/>
  </r>
  <r>
    <x v="260"/>
    <s v="ORD-00111"/>
    <d v="2025-01-25T00:00:00"/>
    <s v="C0121"/>
    <s v="Sara Gagnon, Halifax, Corporate"/>
    <s v="Sara Gagnon"/>
    <s v="Halifax"/>
    <s v="Corporate"/>
    <n v="2"/>
    <s v="P046"/>
    <n v="4"/>
    <n v="180.37"/>
    <n v="0"/>
    <s v="Online"/>
    <s v="Online"/>
    <s v="Gift Card"/>
    <s v="Gift Card"/>
    <s v="Calgary North"/>
    <s v="Nova Scotia"/>
    <s v="Corporate"/>
    <n v="107.55"/>
    <x v="1"/>
    <n v="721.48"/>
    <n v="0"/>
    <n v="721.48"/>
    <n v="430.2"/>
    <n v="291.28000000000003"/>
    <n v="0.40372567500138606"/>
    <x v="0"/>
    <s v=""/>
    <s v=""/>
    <s v=""/>
    <x v="1"/>
    <d v="2025-01-30T00:00:00"/>
  </r>
  <r>
    <x v="261"/>
    <s v="ORD-00111"/>
    <d v="2025-01-25T00:00:00"/>
    <s v="C0121"/>
    <s v="Sara Gagnon, Halifax, Corporate"/>
    <s v="Sara Gagnon"/>
    <s v="Halifax"/>
    <s v="Corporate"/>
    <n v="2"/>
    <s v="P013"/>
    <n v="4"/>
    <n v="207.71"/>
    <n v="0"/>
    <s v="Retail  Store"/>
    <s v="Retail Store"/>
    <s v="PayPal"/>
    <s v="PayPal"/>
    <s v="Calgary North"/>
    <s v="Nova Scotia"/>
    <s v="Corporate"/>
    <n v="132.97"/>
    <x v="4"/>
    <n v="830.84"/>
    <n v="0"/>
    <n v="830.84"/>
    <n v="531.88"/>
    <n v="298.96000000000004"/>
    <n v="0.35982860719272064"/>
    <x v="0"/>
    <s v=""/>
    <s v=""/>
    <s v=""/>
    <x v="1"/>
    <d v="2025-01-30T00:00:00"/>
  </r>
  <r>
    <x v="262"/>
    <s v="ORD-00111"/>
    <d v="2025-01-25T00:00:00"/>
    <s v="C0121"/>
    <s v="Sara Gagnon, Halifax, Corporate"/>
    <s v="Sara Gagnon"/>
    <s v="Halifax"/>
    <s v="Corporate"/>
    <n v="2"/>
    <s v="P005"/>
    <n v="4"/>
    <n v="42.72"/>
    <n v="0.05"/>
    <s v="Market place"/>
    <s v="Marketplace"/>
    <s v="Gift Card"/>
    <s v="Gift Card"/>
    <s v="Online Fulfillment"/>
    <s v="Nova Scotia"/>
    <s v="Corporate"/>
    <n v="24.46"/>
    <x v="3"/>
    <n v="170.88"/>
    <n v="8.5440000000000005"/>
    <n v="162.33599999999998"/>
    <n v="97.84"/>
    <n v="64.495999999999981"/>
    <n v="0.39729942834614618"/>
    <x v="0"/>
    <s v=""/>
    <s v=""/>
    <s v=""/>
    <x v="1"/>
    <d v="2025-01-30T00:00:00"/>
  </r>
  <r>
    <x v="263"/>
    <s v="ORD-00111"/>
    <d v="2025-01-25T00:00:00"/>
    <s v="C0121"/>
    <s v="Sara Gagnon, Halifax, Corporate"/>
    <s v="Sara Gagnon"/>
    <s v="Halifax"/>
    <s v="Corporate"/>
    <n v="2"/>
    <s v="P033"/>
    <n v="2"/>
    <n v="160"/>
    <n v="0"/>
    <s v="Retail  Store"/>
    <s v="Retail Store"/>
    <s v="Debit Card"/>
    <s v="Debit Card"/>
    <s v="Toronto Downtown"/>
    <s v="Nova Scotia"/>
    <s v="Corporate"/>
    <n v="101.58"/>
    <x v="0"/>
    <n v="320"/>
    <n v="0"/>
    <n v="320"/>
    <n v="203.16"/>
    <n v="116.84"/>
    <n v="0.36512500000000003"/>
    <x v="0"/>
    <s v=""/>
    <s v=""/>
    <s v=""/>
    <x v="1"/>
    <d v="2025-01-30T00:00:00"/>
  </r>
  <r>
    <x v="264"/>
    <s v="ORD-00112"/>
    <d v="2025-06-30T00:00:00"/>
    <s v="C0011"/>
    <s v="Liam Wilson, Montreal, Small Business"/>
    <s v="Liam Wilson"/>
    <s v="Montreal"/>
    <s v="Small Business"/>
    <n v="2"/>
    <s v="P045"/>
    <n v="1"/>
    <n v="72.81"/>
    <n v="0.1"/>
    <s v="Online"/>
    <s v="Online"/>
    <s v="Gift Card"/>
    <s v="Gift Card"/>
    <s v="Toronto Downtown"/>
    <s v="Quebec"/>
    <s v="Small Business"/>
    <n v="37.99"/>
    <x v="1"/>
    <n v="72.81"/>
    <n v="7.2810000000000006"/>
    <n v="65.528999999999996"/>
    <n v="37.99"/>
    <n v="27.538999999999994"/>
    <n v="0.42025668024843954"/>
    <x v="0"/>
    <s v=""/>
    <s v=""/>
    <s v=""/>
    <x v="1"/>
    <d v="2025-07-09T00:00:00"/>
  </r>
  <r>
    <x v="265"/>
    <s v="ORD-00112"/>
    <d v="2025-06-30T00:00:00"/>
    <s v="C0011"/>
    <s v="Liam Wilson, Montreal, Small Business"/>
    <s v="Liam Wilson"/>
    <s v="Montreal"/>
    <s v="Small Business"/>
    <n v="2"/>
    <s v="P048"/>
    <n v="4"/>
    <n v="287.16000000000003"/>
    <n v="0.1"/>
    <s v="Retail Store"/>
    <s v="Retail Store"/>
    <s v="CC"/>
    <s v="Credit Card"/>
    <s v="Vancouver West"/>
    <s v="Quebec"/>
    <s v="Small Business"/>
    <n v="148.21"/>
    <x v="1"/>
    <n v="1148.6400000000001"/>
    <n v="114.86400000000002"/>
    <n v="1033.7760000000001"/>
    <n v="592.84"/>
    <n v="440.93600000000004"/>
    <n v="0.42652953831390938"/>
    <x v="0"/>
    <s v=""/>
    <s v=""/>
    <s v=""/>
    <x v="1"/>
    <d v="2025-07-09T00:00:00"/>
  </r>
  <r>
    <x v="266"/>
    <s v="ORD-00112"/>
    <d v="2025-06-30T00:00:00"/>
    <s v="C0011"/>
    <s v="Liam Wilson, Montreal, Small Business"/>
    <s v="Liam Wilson"/>
    <s v="Montreal"/>
    <s v="Small Business"/>
    <n v="2"/>
    <s v="P011"/>
    <n v="1"/>
    <n v="275.76"/>
    <n v="0"/>
    <s v="Marketplace"/>
    <s v="Marketplace"/>
    <s v="Credit Card"/>
    <s v="Credit Card"/>
    <s v="Calgary North"/>
    <s v="Quebec"/>
    <s v="Small Business"/>
    <n v="156.97"/>
    <x v="4"/>
    <n v="275.76"/>
    <n v="0"/>
    <n v="275.76"/>
    <n v="156.97"/>
    <n v="118.78999999999999"/>
    <n v="0.43077313606034229"/>
    <x v="0"/>
    <s v=""/>
    <s v=""/>
    <s v=""/>
    <x v="1"/>
    <d v="2025-07-09T00:00:00"/>
  </r>
  <r>
    <x v="267"/>
    <s v="ORD-00112"/>
    <d v="2025-06-30T00:00:00"/>
    <s v="c0011"/>
    <s v="Liam Wilson, Montreal, Small Business"/>
    <s v="Liam Wilson"/>
    <s v="Montreal"/>
    <s v="Small Business"/>
    <n v="2"/>
    <s v="P014"/>
    <n v="1"/>
    <n v="91.75"/>
    <n v="0"/>
    <s v="Online"/>
    <s v="Online"/>
    <s v="Credit Card"/>
    <s v="Credit Card"/>
    <s v="Online Fulfillment"/>
    <s v="Quebec"/>
    <s v="Small Business"/>
    <n v="58.27"/>
    <x v="4"/>
    <n v="91.75"/>
    <n v="0"/>
    <n v="91.75"/>
    <n v="58.27"/>
    <n v="33.479999999999997"/>
    <n v="0.3649046321525885"/>
    <x v="0"/>
    <s v=""/>
    <s v=""/>
    <s v=""/>
    <x v="1"/>
    <d v="2025-07-09T00:00:00"/>
  </r>
  <r>
    <x v="268"/>
    <s v="ORD-00113"/>
    <d v="2025-10-20T00:00:00"/>
    <s v="C0134"/>
    <s v="Sara Wilson, Montreal, Small Business"/>
    <s v="Sara Wilson"/>
    <s v="Montreal"/>
    <s v="Small Business"/>
    <n v="2"/>
    <s v="P002"/>
    <n v="2"/>
    <n v="105.38"/>
    <n v="0.15"/>
    <s v="Retail Store"/>
    <s v="Retail Store"/>
    <s v="Credit Card"/>
    <s v="Credit Card"/>
    <s v="Montreal Central"/>
    <s v="Quebec"/>
    <s v="Small Business"/>
    <n v="67.290000000000006"/>
    <x v="3"/>
    <n v="210.76"/>
    <n v="31.613999999999997"/>
    <n v="179.14599999999999"/>
    <n v="134.58000000000001"/>
    <n v="44.565999999999974"/>
    <n v="0.24876916034965882"/>
    <x v="1"/>
    <s v="Damaged"/>
    <d v="2025-11-13T00:00:00"/>
    <s v="Pending"/>
    <x v="1"/>
    <d v="2025-10-25T00:00:00"/>
  </r>
  <r>
    <x v="269"/>
    <s v="ORD-00113"/>
    <d v="2025-10-20T00:00:00"/>
    <s v="C0134"/>
    <s v="Sara Wilson, Montreal, Small Business"/>
    <s v="Sara Wilson"/>
    <s v="Montreal"/>
    <s v="Small Business"/>
    <n v="2"/>
    <s v="P034"/>
    <n v="3"/>
    <n v="141.46"/>
    <n v="0.15"/>
    <s v="Retail  Store"/>
    <s v="Retail Store"/>
    <s v="PayPal"/>
    <s v="PayPal"/>
    <s v="Vancouver West"/>
    <s v="Quebec"/>
    <s v="Small Business"/>
    <n v="78.650000000000006"/>
    <x v="0"/>
    <n v="424.38"/>
    <n v="63.656999999999996"/>
    <n v="360.72300000000001"/>
    <n v="235.95000000000002"/>
    <n v="124.773"/>
    <n v="0.34589699021132558"/>
    <x v="0"/>
    <s v=""/>
    <s v=""/>
    <s v=""/>
    <x v="1"/>
    <d v="2025-10-25T00:00:00"/>
  </r>
  <r>
    <x v="270"/>
    <s v="ORD-00113"/>
    <d v="2025-10-20T00:00:00"/>
    <s v="C0134"/>
    <s v="Sara Wilson, Montreal, Small Business"/>
    <s v="Sara Wilson"/>
    <s v="Montreal"/>
    <s v="Small Business"/>
    <n v="2"/>
    <s v="P036"/>
    <n v="3"/>
    <n v="210.2"/>
    <n v="0"/>
    <s v="Online"/>
    <s v="Online"/>
    <s v="PayPal"/>
    <s v="PayPal"/>
    <s v="Calgary North"/>
    <s v="Quebec"/>
    <s v="Small Business"/>
    <n v="136.25"/>
    <x v="0"/>
    <n v="630.59999999999991"/>
    <n v="0"/>
    <n v="630.59999999999991"/>
    <n v="408.75"/>
    <n v="221.84999999999991"/>
    <n v="0.35180780209324441"/>
    <x v="0"/>
    <s v=""/>
    <s v=""/>
    <s v=""/>
    <x v="1"/>
    <d v="2025-10-25T00:00:00"/>
  </r>
  <r>
    <x v="271"/>
    <s v="ORD-00113"/>
    <d v="2025-10-20T00:00:00"/>
    <s v="C0134"/>
    <s v="Sara Wilson, Montreal, Small Business"/>
    <s v="Sara Wilson"/>
    <s v="Montreal"/>
    <s v="Small Business"/>
    <n v="2"/>
    <s v="P024"/>
    <n v="4"/>
    <n v="263.04000000000002"/>
    <n v="0.05"/>
    <s v="Online"/>
    <s v="Online"/>
    <s v="Gift Card"/>
    <s v="Gift Card"/>
    <s v="Toronto Downtown"/>
    <s v="Quebec"/>
    <s v="Small Business"/>
    <n v="161.84"/>
    <x v="2"/>
    <n v="1052.1600000000001"/>
    <n v="52.608000000000004"/>
    <n v="999.55200000000013"/>
    <n v="647.36"/>
    <n v="352.19200000000012"/>
    <n v="0.35234985273402492"/>
    <x v="0"/>
    <s v=""/>
    <s v=""/>
    <s v=""/>
    <x v="1"/>
    <d v="2025-10-25T00:00:00"/>
  </r>
  <r>
    <x v="272"/>
    <s v="ORD-00114"/>
    <d v="2025-05-04T00:00:00"/>
    <s v="C0110"/>
    <s v="Maya Tremblay, Calgary, Small Business"/>
    <s v="Maya Tremblay"/>
    <s v="Calgary"/>
    <s v="Small Business"/>
    <n v="2"/>
    <s v="P020"/>
    <n v="4"/>
    <n v="56.99"/>
    <n v="0.15"/>
    <s v="Online"/>
    <s v="Online"/>
    <m/>
    <s v="Unknown"/>
    <s v="Montreal Central"/>
    <s v="Alberta"/>
    <s v="Small Business"/>
    <n v="33.65"/>
    <x v="4"/>
    <n v="227.96"/>
    <n v="34.194000000000003"/>
    <n v="193.76600000000002"/>
    <n v="134.6"/>
    <n v="59.166000000000025"/>
    <n v="0.30534768741678114"/>
    <x v="0"/>
    <s v=""/>
    <s v=""/>
    <s v=""/>
    <x v="1"/>
    <d v="2025-05-11T00:00:00"/>
  </r>
  <r>
    <x v="273"/>
    <s v="ORD-00114"/>
    <d v="2025-05-04T00:00:00"/>
    <s v="C0110"/>
    <s v="Maya Tremblay, Calgary, Small Business"/>
    <s v="Maya Tremblay"/>
    <s v="Calgary"/>
    <s v="Small Business"/>
    <n v="2"/>
    <s v="P015"/>
    <n v="3"/>
    <n v="273.89"/>
    <n v="0"/>
    <s v="Online"/>
    <s v="Online"/>
    <s v="CC"/>
    <s v="Credit Card"/>
    <s v="Toronto Downtown"/>
    <s v="Alberta"/>
    <s v="Small Business"/>
    <n v="140.66999999999999"/>
    <x v="4"/>
    <n v="821.67"/>
    <n v="0"/>
    <n v="821.67"/>
    <n v="422.01"/>
    <n v="399.65999999999997"/>
    <n v="0.48639964949432252"/>
    <x v="0"/>
    <s v=""/>
    <s v=""/>
    <s v=""/>
    <x v="1"/>
    <d v="2025-05-11T00:00:00"/>
  </r>
  <r>
    <x v="274"/>
    <s v="ORD-00115"/>
    <d v="2025-02-01T00:00:00"/>
    <s v="C0086"/>
    <s v="Adam Tremblay, Edmonton, Small Business"/>
    <s v="Adam Tremblay"/>
    <s v="Edmonton"/>
    <s v="Small Business"/>
    <n v="2"/>
    <s v="P010"/>
    <n v="4"/>
    <n v="37.82"/>
    <n v="0"/>
    <s v="Online"/>
    <s v="Online"/>
    <m/>
    <s v="Unknown"/>
    <s v="Online Fulfillment"/>
    <s v="Alberta"/>
    <s v="Small Business"/>
    <n v="24.76"/>
    <x v="3"/>
    <n v="151.28"/>
    <n v="0"/>
    <n v="151.28"/>
    <n v="99.04"/>
    <n v="52.239999999999995"/>
    <n v="0.34531993654151238"/>
    <x v="0"/>
    <s v=""/>
    <s v=""/>
    <s v=""/>
    <x v="1"/>
    <d v="2025-02-07T00:00:00"/>
  </r>
  <r>
    <x v="275"/>
    <s v="ORD-00116"/>
    <d v="2025-05-04T00:00:00"/>
    <s v="C0076"/>
    <s v="Omar Ali, Quebec City, Corporate"/>
    <s v="Omar Ali"/>
    <s v="Quebec City"/>
    <s v="Corporate"/>
    <n v="2"/>
    <s v="P032"/>
    <n v="3"/>
    <n v="214.38"/>
    <n v="0"/>
    <s v="Retail Store"/>
    <s v="Retail Store"/>
    <s v="PayPal"/>
    <s v="PayPal"/>
    <s v="Montreal Central"/>
    <s v="Quebec"/>
    <s v="Corporate"/>
    <n v="131.51"/>
    <x v="0"/>
    <n v="643.14"/>
    <n v="0"/>
    <n v="643.14"/>
    <n v="394.53"/>
    <n v="248.61"/>
    <n v="0.38655658177068758"/>
    <x v="0"/>
    <s v=""/>
    <s v=""/>
    <s v=""/>
    <x v="1"/>
    <d v="2025-05-10T00:00:00"/>
  </r>
  <r>
    <x v="276"/>
    <s v="ORD-00117"/>
    <d v="2025-08-19T00:00:00"/>
    <s v="C0073"/>
    <s v="Amina Tremblay, Vancouver, Corporate"/>
    <s v="Amina Tremblay"/>
    <s v="Vancouver"/>
    <s v="Corporate"/>
    <n v="2"/>
    <s v="P016"/>
    <n v="2"/>
    <n v="103.3"/>
    <n v="0.05"/>
    <s v="Online"/>
    <s v="Online"/>
    <s v="Credit Card"/>
    <s v="Credit Card"/>
    <s v="Calgary North"/>
    <s v="British Columbia"/>
    <s v="Corporate"/>
    <n v="70.180000000000007"/>
    <x v="4"/>
    <n v="206.6"/>
    <n v="10.33"/>
    <n v="196.26999999999998"/>
    <n v="140.36000000000001"/>
    <n v="55.909999999999968"/>
    <n v="0.28486268915269769"/>
    <x v="0"/>
    <s v=""/>
    <s v=""/>
    <s v=""/>
    <x v="0"/>
    <d v="2025-08-21T00:00:00"/>
  </r>
  <r>
    <x v="277"/>
    <s v="ORD-00118"/>
    <d v="2025-09-17T00:00:00"/>
    <s v="C0175"/>
    <s v="Emma Martin, Vancouver, Consumer"/>
    <s v="Emma Martin"/>
    <s v="Vancouver"/>
    <s v="Consumer"/>
    <n v="2"/>
    <s v="P024"/>
    <n v="4"/>
    <n v="263.04000000000002"/>
    <n v="0"/>
    <s v="Market place"/>
    <s v="Marketplace"/>
    <m/>
    <s v="Unknown"/>
    <s v="Vancouver West"/>
    <s v="British Columbia"/>
    <s v="Consumer"/>
    <n v="161.84"/>
    <x v="2"/>
    <n v="1052.1600000000001"/>
    <n v="0"/>
    <n v="1052.1600000000001"/>
    <n v="647.36"/>
    <n v="404.80000000000007"/>
    <n v="0.38473236009732364"/>
    <x v="0"/>
    <s v=""/>
    <s v=""/>
    <s v=""/>
    <x v="1"/>
    <d v="2025-09-21T00:00:00"/>
  </r>
  <r>
    <x v="278"/>
    <s v="ORD-00118"/>
    <d v="2025-09-17T00:00:00"/>
    <s v="C0175"/>
    <s v="Emma Martin, Vancouver, Consumer"/>
    <s v="Emma Martin"/>
    <s v="Vancouver"/>
    <s v="Consumer"/>
    <n v="2"/>
    <s v="P032"/>
    <n v="4"/>
    <n v="214.38"/>
    <n v="0.15"/>
    <s v="Marketplace"/>
    <s v="Marketplace"/>
    <s v="PayPal"/>
    <s v="PayPal"/>
    <s v="Toronto Downtown"/>
    <s v="British Columbia"/>
    <s v="Consumer"/>
    <n v="131.51"/>
    <x v="0"/>
    <n v="857.52"/>
    <n v="128.62799999999999"/>
    <n v="728.89200000000005"/>
    <n v="526.04"/>
    <n v="202.85200000000009"/>
    <n v="0.27830186090669135"/>
    <x v="0"/>
    <s v=""/>
    <s v=""/>
    <s v=""/>
    <x v="1"/>
    <d v="2025-09-21T00:00:00"/>
  </r>
  <r>
    <x v="279"/>
    <s v="ORD-00118"/>
    <d v="2025-09-17T00:00:00"/>
    <s v="C0175"/>
    <s v="Emma Martin, Vancouver, Consumer"/>
    <s v="Emma Martin"/>
    <s v="Vancouver"/>
    <s v="Consumer"/>
    <n v="2"/>
    <s v="P049"/>
    <n v="4"/>
    <n v="300.56"/>
    <n v="0.05"/>
    <s v="Retail  Store"/>
    <s v="Retail Store"/>
    <s v="CC"/>
    <s v="Credit Card"/>
    <s v="Vancouver West"/>
    <s v="British Columbia"/>
    <s v="Consumer"/>
    <n v="158.86000000000001"/>
    <x v="1"/>
    <n v="1202.24"/>
    <n v="60.112000000000002"/>
    <n v="1142.1279999999999"/>
    <n v="635.44000000000005"/>
    <n v="506.68799999999987"/>
    <n v="0.44363503915498081"/>
    <x v="0"/>
    <s v=""/>
    <s v=""/>
    <s v=""/>
    <x v="1"/>
    <d v="2025-09-21T00:00:00"/>
  </r>
  <r>
    <x v="280"/>
    <s v="ORD-00118"/>
    <d v="2025-09-17T00:00:00"/>
    <s v="C0175"/>
    <s v="Emma Martin, Vancouver, Consumer"/>
    <s v="Emma Martin"/>
    <s v="Vancouver"/>
    <s v="Consumer"/>
    <n v="2"/>
    <s v="P045"/>
    <n v="2"/>
    <n v="72.81"/>
    <n v="0.15"/>
    <s v="Market place"/>
    <s v="Marketplace"/>
    <s v="Debit Card"/>
    <s v="Debit Card"/>
    <s v="Montreal Central"/>
    <s v="British Columbia"/>
    <s v="Consumer"/>
    <n v="37.99"/>
    <x v="1"/>
    <n v="145.62"/>
    <n v="21.843"/>
    <n v="123.777"/>
    <n v="75.98"/>
    <n v="47.796999999999997"/>
    <n v="0.38615413202775956"/>
    <x v="0"/>
    <s v=""/>
    <s v=""/>
    <s v=""/>
    <x v="1"/>
    <d v="2025-09-21T00:00:00"/>
  </r>
  <r>
    <x v="281"/>
    <s v="ORD-00119"/>
    <d v="2025-06-19T00:00:00"/>
    <s v="C0029"/>
    <s v="Sara Dubois, Edmonton, Consumer"/>
    <s v="Sara Dubois"/>
    <s v="Edmonton"/>
    <s v="Consumer"/>
    <n v="2"/>
    <s v="P024"/>
    <n v="3"/>
    <n v="263.04000000000002"/>
    <n v="0.1"/>
    <s v="Market place"/>
    <s v="Marketplace"/>
    <s v="Gift Card"/>
    <s v="Gift Card"/>
    <s v="Vancouver West"/>
    <s v="Alberta"/>
    <s v="Consumer"/>
    <n v="161.84"/>
    <x v="2"/>
    <n v="789.12000000000012"/>
    <n v="78.91200000000002"/>
    <n v="710.20800000000008"/>
    <n v="485.52"/>
    <n v="224.6880000000001"/>
    <n v="0.31636928899702632"/>
    <x v="1"/>
    <s v="Wrong Item"/>
    <d v="2025-07-05T00:00:00"/>
    <s v="Pending"/>
    <x v="1"/>
    <d v="2025-06-28T00:00:00"/>
  </r>
  <r>
    <x v="282"/>
    <s v="ORD-00119"/>
    <d v="2025-06-19T00:00:00"/>
    <s v="C0029"/>
    <s v="Sara Dubois, Edmonton, Consumer"/>
    <s v="Sara Dubois"/>
    <s v="Edmonton"/>
    <s v="Consumer"/>
    <n v="2"/>
    <s v="P050"/>
    <n v="2"/>
    <n v="34.909999999999997"/>
    <n v="0.1"/>
    <s v="Retail  Store"/>
    <s v="Retail Store"/>
    <s v="Gift Card"/>
    <s v="Gift Card"/>
    <s v="Montreal Central"/>
    <s v="Alberta"/>
    <s v="Consumer"/>
    <n v="19.670000000000002"/>
    <x v="1"/>
    <n v="69.819999999999993"/>
    <n v="6.9819999999999993"/>
    <n v="62.837999999999994"/>
    <n v="39.340000000000003"/>
    <n v="23.49799999999999"/>
    <n v="0.37394570164550101"/>
    <x v="0"/>
    <s v=""/>
    <s v=""/>
    <s v=""/>
    <x v="1"/>
    <d v="2025-06-28T00:00:00"/>
  </r>
  <r>
    <x v="283"/>
    <s v="ORD-00120"/>
    <d v="2025-02-16T00:00:00"/>
    <s v="c0102"/>
    <s v="Adam Brown, Montreal, Small Business"/>
    <s v="Adam Brown"/>
    <s v="Montreal"/>
    <s v="Small Business"/>
    <n v="2"/>
    <s v="P003"/>
    <n v="1"/>
    <n v="265.73"/>
    <n v="0"/>
    <s v="Market place"/>
    <s v="Marketplace"/>
    <s v="Debit Card"/>
    <s v="Debit Card"/>
    <s v="Vancouver West"/>
    <s v="Quebec"/>
    <s v="Small Business"/>
    <n v="154.16999999999999"/>
    <x v="3"/>
    <n v="265.73"/>
    <n v="0"/>
    <n v="265.73"/>
    <n v="154.16999999999999"/>
    <n v="111.56000000000003"/>
    <n v="0.41982463402701997"/>
    <x v="0"/>
    <s v=""/>
    <s v=""/>
    <s v=""/>
    <x v="0"/>
    <d v="2025-02-19T00:00:00"/>
  </r>
  <r>
    <x v="284"/>
    <s v="ORD-00120"/>
    <d v="2025-02-16T00:00:00"/>
    <s v="C0102"/>
    <s v="Adam Brown, Montreal, Small Business"/>
    <s v="Adam Brown"/>
    <s v="Montreal"/>
    <s v="Small Business"/>
    <n v="2"/>
    <s v="P036"/>
    <n v="1"/>
    <n v="210.2"/>
    <n v="0"/>
    <s v="Marketplace"/>
    <s v="Marketplace"/>
    <s v="CC"/>
    <s v="Credit Card"/>
    <s v="Toronto Downtown"/>
    <s v="Quebec"/>
    <s v="Small Business"/>
    <n v="136.25"/>
    <x v="0"/>
    <n v="210.2"/>
    <n v="0"/>
    <n v="210.2"/>
    <n v="136.25"/>
    <n v="73.949999999999989"/>
    <n v="0.35180780209324447"/>
    <x v="0"/>
    <s v=""/>
    <s v=""/>
    <s v=""/>
    <x v="0"/>
    <d v="2025-02-19T00:00:00"/>
  </r>
  <r>
    <x v="285"/>
    <s v="ORD-00120"/>
    <d v="2025-02-16T00:00:00"/>
    <s v="C0102"/>
    <s v="Adam Brown, Montreal, Small Business"/>
    <s v="Adam Brown"/>
    <s v="Montreal"/>
    <s v="Small Business"/>
    <n v="2"/>
    <s v="P026"/>
    <n v="2"/>
    <n v="228.91"/>
    <n v="0"/>
    <s v="Online"/>
    <s v="Online"/>
    <s v="Debit Card"/>
    <s v="Debit Card"/>
    <s v="Online Fulfillment"/>
    <s v="Quebec"/>
    <s v="Small Business"/>
    <n v="149.4"/>
    <x v="2"/>
    <n v="457.82"/>
    <n v="0"/>
    <n v="457.82"/>
    <n v="298.8"/>
    <n v="159.01999999999998"/>
    <n v="0.34734175003276391"/>
    <x v="0"/>
    <s v=""/>
    <s v=""/>
    <s v=""/>
    <x v="0"/>
    <d v="2025-02-19T00:00:00"/>
  </r>
  <r>
    <x v="286"/>
    <s v="ORD-00120"/>
    <d v="2025-02-16T00:00:00"/>
    <s v="C0102"/>
    <s v="Adam Brown, Montreal, Small Business"/>
    <s v="Adam Brown"/>
    <s v="Montreal"/>
    <s v="Small Business"/>
    <n v="2"/>
    <s v="P024"/>
    <n v="4"/>
    <n v="263.04000000000002"/>
    <n v="0.15"/>
    <s v="Retail Store"/>
    <s v="Retail Store"/>
    <s v="Credit Card"/>
    <s v="Credit Card"/>
    <s v="Online Fulfillment"/>
    <s v="Quebec"/>
    <s v="Small Business"/>
    <n v="161.84"/>
    <x v="2"/>
    <n v="1052.1600000000001"/>
    <n v="157.82400000000001"/>
    <n v="894.33600000000001"/>
    <n v="647.36"/>
    <n v="246.976"/>
    <n v="0.27615571776155717"/>
    <x v="0"/>
    <s v=""/>
    <s v=""/>
    <s v=""/>
    <x v="0"/>
    <d v="2025-02-19T00:00:00"/>
  </r>
  <r>
    <x v="287"/>
    <s v="ORD-00121"/>
    <d v="2025-04-20T00:00:00"/>
    <s v="C0149"/>
    <s v="Ethan Khan, Winnipeg, Consumer"/>
    <s v="Ethan Khan"/>
    <s v="Winnipeg"/>
    <s v="Consumer"/>
    <n v="2"/>
    <s v="P035"/>
    <n v="2"/>
    <n v="251.17"/>
    <n v="0"/>
    <s v="Marketplace"/>
    <s v="Marketplace"/>
    <s v="PayPal"/>
    <s v="PayPal"/>
    <s v="Montreal Central"/>
    <s v="Manitoba"/>
    <s v="Consumer"/>
    <n v="151.59"/>
    <x v="0"/>
    <n v="502.34"/>
    <n v="0"/>
    <n v="502.34"/>
    <n v="303.18"/>
    <n v="199.15999999999997"/>
    <n v="0.39646454592507063"/>
    <x v="0"/>
    <s v=""/>
    <s v=""/>
    <s v=""/>
    <x v="1"/>
    <d v="2025-04-30T00:00:00"/>
  </r>
  <r>
    <x v="288"/>
    <s v="ORD-00121"/>
    <d v="2025-04-20T00:00:00"/>
    <s v="C0149"/>
    <s v="Ethan Khan, Winnipeg, Consumer"/>
    <s v="Ethan Khan"/>
    <s v="Winnipeg"/>
    <s v="Consumer"/>
    <n v="2"/>
    <s v="P013"/>
    <n v="2"/>
    <n v="207.71"/>
    <n v="0.05"/>
    <s v="Retail Store"/>
    <s v="Retail Store"/>
    <s v="Gift Card"/>
    <s v="Gift Card"/>
    <s v="Montreal Central"/>
    <s v="Manitoba"/>
    <s v="Consumer"/>
    <n v="132.97"/>
    <x v="4"/>
    <n v="415.42"/>
    <n v="20.771000000000001"/>
    <n v="394.649"/>
    <n v="265.94"/>
    <n v="128.709"/>
    <n v="0.3261353759923375"/>
    <x v="0"/>
    <s v=""/>
    <s v=""/>
    <s v=""/>
    <x v="1"/>
    <d v="2025-04-30T00:00:00"/>
  </r>
  <r>
    <x v="289"/>
    <s v="ORD-00121"/>
    <d v="2025-04-20T00:00:00"/>
    <s v="C0149"/>
    <s v="Ethan Khan, Winnipeg, Consumer"/>
    <s v="Ethan Khan"/>
    <s v="Winnipeg"/>
    <s v="Consumer"/>
    <n v="2"/>
    <s v="P005"/>
    <n v="2"/>
    <n v="42.72"/>
    <n v="0"/>
    <s v="Online"/>
    <s v="Online"/>
    <s v="Debit Card"/>
    <s v="Debit Card"/>
    <s v="Toronto Downtown"/>
    <s v="Manitoba"/>
    <s v="Consumer"/>
    <n v="24.46"/>
    <x v="3"/>
    <n v="85.44"/>
    <n v="0"/>
    <n v="85.44"/>
    <n v="48.92"/>
    <n v="36.519999999999996"/>
    <n v="0.42743445692883891"/>
    <x v="0"/>
    <s v=""/>
    <s v=""/>
    <s v=""/>
    <x v="1"/>
    <d v="2025-04-30T00:00:00"/>
  </r>
  <r>
    <x v="290"/>
    <s v="ORD-00121"/>
    <d v="2025-04-20T00:00:00"/>
    <s v="C0149"/>
    <s v="Ethan Khan, Winnipeg, Consumer"/>
    <s v="Ethan Khan"/>
    <s v="Winnipeg"/>
    <s v="Consumer"/>
    <n v="2"/>
    <s v="P039"/>
    <n v="2"/>
    <n v="154.47"/>
    <n v="0.1"/>
    <s v="Online"/>
    <s v="Online"/>
    <s v="Debit Card"/>
    <s v="Debit Card"/>
    <s v="Calgary North"/>
    <s v="Manitoba"/>
    <s v="Consumer"/>
    <n v="102.57"/>
    <x v="0"/>
    <n v="308.94"/>
    <n v="30.894000000000002"/>
    <n v="278.04599999999999"/>
    <n v="205.14"/>
    <n v="72.906000000000006"/>
    <n v="0.26220841155779984"/>
    <x v="0"/>
    <s v=""/>
    <s v=""/>
    <s v=""/>
    <x v="1"/>
    <d v="2025-04-30T00:00:00"/>
  </r>
  <r>
    <x v="291"/>
    <s v="ORD-00122"/>
    <d v="2025-09-29T00:00:00"/>
    <s v="C0088"/>
    <s v="Yara Johnson, Quebec City, Consumer"/>
    <s v="Yara Johnson"/>
    <s v="Quebec City"/>
    <s v="Consumer"/>
    <n v="2"/>
    <s v="P038"/>
    <n v="1"/>
    <n v="182.94"/>
    <n v="0"/>
    <s v="Marketplace"/>
    <s v="Marketplace"/>
    <s v="Credit Card"/>
    <s v="Credit Card"/>
    <s v="Online Fulfillment"/>
    <s v="Quebec"/>
    <s v="Consumer"/>
    <n v="118.95"/>
    <x v="0"/>
    <n v="182.94"/>
    <n v="0"/>
    <n v="182.94"/>
    <n v="118.95"/>
    <n v="63.989999999999995"/>
    <n v="0.34978681534929484"/>
    <x v="0"/>
    <s v=""/>
    <s v=""/>
    <s v=""/>
    <x v="1"/>
    <d v="2025-10-04T00:00:00"/>
  </r>
  <r>
    <x v="292"/>
    <s v="ORD-00122"/>
    <d v="2025-09-29T00:00:00"/>
    <s v="C0088"/>
    <s v="Yara Johnson, Quebec City, Consumer"/>
    <s v="Yara Johnson"/>
    <s v="Quebec City"/>
    <s v="Consumer"/>
    <n v="2"/>
    <s v="P047"/>
    <n v="1"/>
    <n v="228.81"/>
    <n v="0.15"/>
    <s v="Online"/>
    <s v="Online"/>
    <s v="Credit Card"/>
    <s v="Credit Card"/>
    <s v="Calgary North"/>
    <s v="Quebec"/>
    <s v="Consumer"/>
    <n v="130.9"/>
    <x v="1"/>
    <n v="228.81"/>
    <n v="34.3215"/>
    <n v="194.48849999999999"/>
    <n v="130.9"/>
    <n v="63.588499999999982"/>
    <n v="0.32695249333508142"/>
    <x v="0"/>
    <s v=""/>
    <s v=""/>
    <s v=""/>
    <x v="1"/>
    <d v="2025-10-04T00:00:00"/>
  </r>
  <r>
    <x v="293"/>
    <s v="ORD-00122"/>
    <d v="2025-09-29T00:00:00"/>
    <s v="C0088"/>
    <s v="Yara Johnson, Quebec City, Consumer"/>
    <s v="Yara Johnson"/>
    <s v="Quebec City"/>
    <s v="Consumer"/>
    <n v="2"/>
    <s v="P012"/>
    <n v="3"/>
    <n v="186.92"/>
    <n v="0.05"/>
    <s v="Online"/>
    <s v="Online"/>
    <s v="CC"/>
    <s v="Credit Card"/>
    <s v="Montreal Central"/>
    <s v="Quebec"/>
    <s v="Consumer"/>
    <n v="114.11"/>
    <x v="4"/>
    <n v="560.76"/>
    <n v="28.038"/>
    <n v="532.72199999999998"/>
    <n v="342.33"/>
    <n v="190.392"/>
    <n v="0.35739466363318956"/>
    <x v="0"/>
    <s v=""/>
    <s v=""/>
    <s v=""/>
    <x v="1"/>
    <d v="2025-10-04T00:00:00"/>
  </r>
  <r>
    <x v="294"/>
    <s v="ORD-00123"/>
    <d v="2025-11-04T00:00:00"/>
    <s v="C0032"/>
    <s v="Ethan Brown, Regina, Corporate"/>
    <s v="Ethan Brown"/>
    <s v="Regina"/>
    <s v="Corporate"/>
    <n v="2"/>
    <s v="P021"/>
    <n v="1"/>
    <n v="25.01"/>
    <n v="0.05"/>
    <s v="Online"/>
    <s v="Online"/>
    <s v="Gift Card"/>
    <s v="Gift Card"/>
    <s v="Montreal Central"/>
    <s v="Saskatchewan"/>
    <s v="Corporate"/>
    <n v="16.86"/>
    <x v="2"/>
    <n v="25.01"/>
    <n v="1.2505000000000002"/>
    <n v="23.759500000000003"/>
    <n v="16.86"/>
    <n v="6.8995000000000033"/>
    <n v="0.29038910751488889"/>
    <x v="0"/>
    <s v=""/>
    <s v=""/>
    <s v=""/>
    <x v="1"/>
    <d v="2025-11-11T00:00:00"/>
  </r>
  <r>
    <x v="295"/>
    <s v="ORD-00123"/>
    <d v="2025-11-04T00:00:00"/>
    <s v="C0032"/>
    <s v="Ethan Brown, Regina, Corporate"/>
    <s v="Ethan Brown"/>
    <s v="Regina"/>
    <s v="Corporate"/>
    <n v="2"/>
    <s v="P020"/>
    <n v="1"/>
    <n v="56.99"/>
    <n v="0.05"/>
    <s v="Marketplace"/>
    <s v="Marketplace"/>
    <m/>
    <s v="Unknown"/>
    <s v="Montreal Central"/>
    <s v="Saskatchewan"/>
    <s v="Corporate"/>
    <n v="33.65"/>
    <x v="4"/>
    <n v="56.99"/>
    <n v="2.8495000000000004"/>
    <n v="54.140500000000003"/>
    <n v="33.65"/>
    <n v="20.490500000000004"/>
    <n v="0.37846898347817259"/>
    <x v="0"/>
    <s v=""/>
    <s v=""/>
    <s v=""/>
    <x v="1"/>
    <d v="2025-11-11T00:00:00"/>
  </r>
  <r>
    <x v="296"/>
    <s v="ORD-00124"/>
    <d v="2025-03-19T01:00:00"/>
    <s v="C0073"/>
    <s v="Amina Tremblay, Vancouver, Corporate"/>
    <s v="Amina Tremblay"/>
    <s v="Vancouver"/>
    <s v="Corporate"/>
    <n v="2"/>
    <s v="P022"/>
    <n v="4"/>
    <n v="61.81"/>
    <n v="0.15"/>
    <s v="Retail Store"/>
    <s v="Retail Store"/>
    <s v="PayPal"/>
    <s v="PayPal"/>
    <s v="Toronto Downtown"/>
    <s v="British Columbia"/>
    <s v="Corporate"/>
    <n v="33.19"/>
    <x v="2"/>
    <n v="247.24"/>
    <n v="37.085999999999999"/>
    <n v="210.154"/>
    <n v="132.76"/>
    <n v="77.394000000000005"/>
    <n v="0.36827279042987526"/>
    <x v="1"/>
    <s v="Damaged"/>
    <d v="2025-03-24T01:00:00"/>
    <s v="Pending"/>
    <x v="0"/>
    <d v="2025-03-20T01:00:00"/>
  </r>
  <r>
    <x v="297"/>
    <s v="ORD-00124"/>
    <d v="2025-03-19T01:00:00"/>
    <s v="C0073"/>
    <s v="Amina Tremblay, Vancouver, Corporate"/>
    <s v="Amina Tremblay"/>
    <s v="Vancouver"/>
    <s v="Corporate"/>
    <n v="2"/>
    <s v="P018"/>
    <n v="4"/>
    <n v="142.16"/>
    <n v="0.15"/>
    <s v="Online"/>
    <s v="Online"/>
    <s v="PayPal"/>
    <s v="PayPal"/>
    <s v="Calgary North"/>
    <s v="British Columbia"/>
    <s v="Corporate"/>
    <n v="85.34"/>
    <x v="4"/>
    <n v="568.64"/>
    <n v="85.295999999999992"/>
    <n v="483.34399999999999"/>
    <n v="341.36"/>
    <n v="141.98399999999998"/>
    <n v="0.29375351716375908"/>
    <x v="0"/>
    <s v=""/>
    <s v=""/>
    <s v=""/>
    <x v="0"/>
    <d v="2025-03-20T01:00:00"/>
  </r>
  <r>
    <x v="298"/>
    <s v="ORD-00125"/>
    <d v="2025-02-09T00:00:00"/>
    <s v="C0042"/>
    <s v="Liam Khan, Toronto, Small Business"/>
    <s v="Liam Khan"/>
    <s v="Toronto"/>
    <s v="Small Business"/>
    <n v="2"/>
    <s v="P012"/>
    <n v="2"/>
    <n v="186.92"/>
    <n v="0"/>
    <s v="Retail  Store"/>
    <s v="Retail Store"/>
    <m/>
    <s v="Unknown"/>
    <s v="Toronto Downtown"/>
    <s v="Ontario"/>
    <s v="Small Business"/>
    <n v="114.11"/>
    <x v="4"/>
    <n v="373.84"/>
    <n v="0"/>
    <n v="373.84"/>
    <n v="228.22"/>
    <n v="145.61999999999998"/>
    <n v="0.38952493045153003"/>
    <x v="0"/>
    <s v=""/>
    <s v=""/>
    <s v=""/>
    <x v="1"/>
    <d v="2025-02-14T00:00:00"/>
  </r>
  <r>
    <x v="299"/>
    <s v="ORD-00125"/>
    <d v="2025-02-09T00:00:00"/>
    <s v="C0042"/>
    <s v="Liam Khan, Toronto, Small Business"/>
    <s v="Liam Khan"/>
    <s v="Toronto"/>
    <s v="Small Business"/>
    <n v="2"/>
    <s v="P026"/>
    <n v="3"/>
    <n v="228.91"/>
    <n v="0"/>
    <s v="Online"/>
    <s v="Online"/>
    <s v="Debit Card"/>
    <s v="Debit Card"/>
    <s v="Toronto Downtown"/>
    <s v="Ontario"/>
    <s v="Small Business"/>
    <n v="149.4"/>
    <x v="2"/>
    <n v="686.73"/>
    <n v="0"/>
    <n v="686.73"/>
    <n v="448.20000000000005"/>
    <n v="238.52999999999997"/>
    <n v="0.34734175003276391"/>
    <x v="0"/>
    <s v=""/>
    <s v=""/>
    <s v=""/>
    <x v="1"/>
    <d v="2025-02-14T00:00:00"/>
  </r>
  <r>
    <x v="300"/>
    <s v="ORD-00126"/>
    <d v="2025-09-06T00:00:00"/>
    <s v="C0113"/>
    <s v="Omar Martin, Edmonton, Consumer"/>
    <s v="Omar Martin"/>
    <s v="Edmonton"/>
    <s v="Consumer"/>
    <n v="2"/>
    <s v="P019"/>
    <n v="3"/>
    <n v="183.73"/>
    <n v="0"/>
    <s v="Retail Store"/>
    <s v="Retail Store"/>
    <s v="Gift Card"/>
    <s v="Gift Card"/>
    <s v="Montreal Central"/>
    <s v="Alberta"/>
    <s v="Consumer"/>
    <n v="98.11"/>
    <x v="4"/>
    <n v="551.18999999999994"/>
    <n v="0"/>
    <n v="551.18999999999994"/>
    <n v="294.33"/>
    <n v="256.85999999999996"/>
    <n v="0.46600990584009139"/>
    <x v="0"/>
    <s v=""/>
    <s v=""/>
    <s v=""/>
    <x v="0"/>
    <d v="2025-09-07T00:00:00"/>
  </r>
  <r>
    <x v="301"/>
    <s v="ORD-00126"/>
    <d v="2025-09-06T00:00:00"/>
    <s v="C0113"/>
    <s v="Omar Martin, Edmonton, Consumer"/>
    <s v="Omar Martin"/>
    <s v="Edmonton"/>
    <s v="Consumer"/>
    <n v="2"/>
    <s v="P024"/>
    <n v="2"/>
    <n v="263.04000000000002"/>
    <n v="0.05"/>
    <s v="Retail Store"/>
    <s v="Retail Store"/>
    <s v="CC"/>
    <s v="Credit Card"/>
    <s v="Vancouver West"/>
    <s v="Alberta"/>
    <s v="Consumer"/>
    <n v="161.84"/>
    <x v="2"/>
    <n v="526.08000000000004"/>
    <n v="26.304000000000002"/>
    <n v="499.77600000000007"/>
    <n v="323.68"/>
    <n v="176.09600000000006"/>
    <n v="0.35234985273402492"/>
    <x v="0"/>
    <s v=""/>
    <s v=""/>
    <s v=""/>
    <x v="0"/>
    <d v="2025-09-07T00:00:00"/>
  </r>
  <r>
    <x v="302"/>
    <s v="ORD-00126"/>
    <d v="2025-09-06T00:00:00"/>
    <s v="C0113"/>
    <s v="Omar Martin, Edmonton, Consumer"/>
    <s v="Omar Martin"/>
    <s v="Edmonton"/>
    <s v="Consumer"/>
    <n v="2"/>
    <s v="P019"/>
    <n v="4"/>
    <n v="183.73"/>
    <n v="0"/>
    <s v="Online"/>
    <s v="Online"/>
    <s v="PayPal"/>
    <s v="PayPal"/>
    <s v="Calgary North"/>
    <s v="Alberta"/>
    <s v="Consumer"/>
    <n v="98.11"/>
    <x v="4"/>
    <n v="734.92"/>
    <n v="0"/>
    <n v="734.92"/>
    <n v="392.44"/>
    <n v="342.47999999999996"/>
    <n v="0.46600990584009139"/>
    <x v="0"/>
    <s v=""/>
    <s v=""/>
    <s v=""/>
    <x v="0"/>
    <d v="2025-09-07T00:00:00"/>
  </r>
  <r>
    <x v="303"/>
    <s v="ORD-00127"/>
    <d v="2025-08-26T00:00:00"/>
    <s v="C0007"/>
    <s v="Liam Singh, Victoria, Consumer"/>
    <s v="Liam Singh"/>
    <s v="Victoria"/>
    <s v="Consumer"/>
    <n v="2"/>
    <s v="P023"/>
    <n v="2"/>
    <n v="82.77"/>
    <n v="0.05"/>
    <s v="Online"/>
    <s v="Online"/>
    <s v="Debit Card"/>
    <s v="Debit Card"/>
    <s v="Calgary North"/>
    <s v="British Columbia"/>
    <s v="Consumer"/>
    <n v="46.51"/>
    <x v="2"/>
    <n v="165.54"/>
    <n v="8.2769999999999992"/>
    <n v="157.26300000000001"/>
    <n v="93.02"/>
    <n v="64.243000000000009"/>
    <n v="0.40850676891576537"/>
    <x v="0"/>
    <s v=""/>
    <s v=""/>
    <s v=""/>
    <x v="1"/>
    <d v="2025-09-04T00:00:00"/>
  </r>
  <r>
    <x v="304"/>
    <s v="ORD-00127"/>
    <d v="2025-08-26T00:00:00"/>
    <s v="c0007"/>
    <s v="Liam Singh, Victoria, Consumer"/>
    <s v="Liam Singh"/>
    <s v="Victoria"/>
    <s v="Consumer"/>
    <n v="2"/>
    <s v="P024"/>
    <n v="2"/>
    <n v="263.04000000000002"/>
    <n v="0.15"/>
    <s v="Marketplace"/>
    <s v="Marketplace"/>
    <s v="CC"/>
    <s v="Credit Card"/>
    <s v="Montreal Central"/>
    <s v="British Columbia"/>
    <s v="Consumer"/>
    <n v="161.84"/>
    <x v="2"/>
    <n v="526.08000000000004"/>
    <n v="78.912000000000006"/>
    <n v="447.16800000000001"/>
    <n v="323.68"/>
    <n v="123.488"/>
    <n v="0.27615571776155717"/>
    <x v="0"/>
    <s v=""/>
    <s v=""/>
    <s v=""/>
    <x v="1"/>
    <d v="2025-09-04T00:00:00"/>
  </r>
  <r>
    <x v="305"/>
    <s v="ORD-00128"/>
    <d v="2025-05-06T00:00:00"/>
    <s v="C0142"/>
    <s v="Liam Gagnon, Toronto, Consumer"/>
    <s v="Liam Gagnon"/>
    <s v="Toronto"/>
    <s v="Consumer"/>
    <n v="2"/>
    <s v="P026"/>
    <n v="1"/>
    <n v="228.91"/>
    <n v="0.15"/>
    <s v="Retail  Store"/>
    <s v="Retail Store"/>
    <m/>
    <s v="Unknown"/>
    <s v="Toronto Downtown"/>
    <s v="Ontario"/>
    <s v="Consumer"/>
    <n v="149.4"/>
    <x v="2"/>
    <n v="228.91"/>
    <n v="34.336500000000001"/>
    <n v="194.5735"/>
    <n v="149.4"/>
    <n v="45.17349999999999"/>
    <n v="0.23216676474442816"/>
    <x v="0"/>
    <s v=""/>
    <s v=""/>
    <s v=""/>
    <x v="0"/>
    <d v="2025-05-09T00:00:00"/>
  </r>
  <r>
    <x v="306"/>
    <s v="ORD-00128"/>
    <d v="2025-05-06T00:00:00"/>
    <s v="C0142"/>
    <s v="Liam Gagnon, Toronto, Consumer"/>
    <s v="Liam Gagnon"/>
    <s v="Toronto"/>
    <s v="Consumer"/>
    <n v="2"/>
    <s v="P013"/>
    <n v="4"/>
    <n v="207.71"/>
    <n v="0"/>
    <s v="Market place"/>
    <s v="Marketplace"/>
    <s v="Gift Card"/>
    <s v="Gift Card"/>
    <s v="Vancouver West"/>
    <s v="Ontario"/>
    <s v="Consumer"/>
    <n v="132.97"/>
    <x v="4"/>
    <n v="830.84"/>
    <n v="0"/>
    <n v="830.84"/>
    <n v="531.88"/>
    <n v="298.96000000000004"/>
    <n v="0.35982860719272064"/>
    <x v="0"/>
    <s v=""/>
    <s v=""/>
    <s v=""/>
    <x v="0"/>
    <d v="2025-05-09T00:00:00"/>
  </r>
  <r>
    <x v="307"/>
    <s v="ORD-00129"/>
    <d v="2025-01-25T00:00:00"/>
    <s v="C0002"/>
    <s v="Amina Khan, Montreal, Corporate"/>
    <s v="Amina Khan"/>
    <s v="Montreal"/>
    <s v="Corporate"/>
    <n v="2"/>
    <s v="P007"/>
    <n v="3"/>
    <n v="25.15"/>
    <n v="0.1"/>
    <s v="Retail  Store"/>
    <s v="Retail Store"/>
    <s v="Credit Card"/>
    <s v="Credit Card"/>
    <s v="Online Fulfillment"/>
    <s v="Quebec"/>
    <s v="Corporate"/>
    <n v="14.24"/>
    <x v="3"/>
    <n v="75.449999999999989"/>
    <n v="7.544999999999999"/>
    <n v="67.904999999999987"/>
    <n v="42.72"/>
    <n v="25.184999999999988"/>
    <n v="0.37088579633311231"/>
    <x v="1"/>
    <s v="Late Delivery"/>
    <d v="2025-02-19T00:00:00"/>
    <s v="Refunded"/>
    <x v="1"/>
    <d v="2025-01-31T00:00:00"/>
  </r>
  <r>
    <x v="308"/>
    <s v="ORD-00129"/>
    <d v="2025-01-25T00:00:00"/>
    <s v="C0002"/>
    <s v="Amina Khan, Montreal, Corporate"/>
    <s v="Amina Khan"/>
    <s v="Montreal"/>
    <s v="Corporate"/>
    <n v="2"/>
    <s v="P015"/>
    <n v="1"/>
    <n v="273.89"/>
    <n v="0.05"/>
    <s v="Retail Store"/>
    <s v="Retail Store"/>
    <m/>
    <s v="Unknown"/>
    <s v="Vancouver West"/>
    <s v="Quebec"/>
    <s v="Corporate"/>
    <n v="140.66999999999999"/>
    <x v="4"/>
    <n v="273.89"/>
    <n v="13.6945"/>
    <n v="260.19549999999998"/>
    <n v="140.66999999999999"/>
    <n v="119.52549999999999"/>
    <n v="0.45936805209928688"/>
    <x v="0"/>
    <s v=""/>
    <s v=""/>
    <s v=""/>
    <x v="1"/>
    <d v="2025-01-31T00:00:00"/>
  </r>
  <r>
    <x v="309"/>
    <s v="ORD-00130"/>
    <d v="2025-12-08T00:00:00"/>
    <s v="C0030"/>
    <s v="Yara Dubois, Calgary, Consumer"/>
    <s v="Yara Dubois"/>
    <s v="Calgary"/>
    <s v="Consumer"/>
    <n v="2"/>
    <s v="P021"/>
    <n v="1"/>
    <n v="25.01"/>
    <n v="0"/>
    <s v="Market place"/>
    <s v="Marketplace"/>
    <m/>
    <s v="Unknown"/>
    <s v="Calgary North"/>
    <s v="Alberta"/>
    <s v="Consumer"/>
    <n v="16.86"/>
    <x v="2"/>
    <n v="25.01"/>
    <n v="0"/>
    <n v="25.01"/>
    <n v="16.86"/>
    <n v="8.1500000000000021"/>
    <n v="0.32586965213914443"/>
    <x v="1"/>
    <s v="Changed Mind"/>
    <d v="2026-01-03T00:00:00"/>
    <s v="Pending"/>
    <x v="1"/>
    <d v="2025-12-14T00:00:00"/>
  </r>
  <r>
    <x v="310"/>
    <s v="ORD-00130"/>
    <d v="2025-12-08T00:00:00"/>
    <s v="C0030"/>
    <s v="Yara Dubois, Calgary, Consumer"/>
    <s v="Yara Dubois"/>
    <s v="Calgary"/>
    <s v="Consumer"/>
    <n v="2"/>
    <s v="P016"/>
    <n v="1"/>
    <n v="103.3"/>
    <n v="0"/>
    <s v="Online"/>
    <s v="Online"/>
    <s v="Gift Card"/>
    <s v="Gift Card"/>
    <s v="Toronto Downtown"/>
    <s v="Alberta"/>
    <s v="Consumer"/>
    <n v="70.180000000000007"/>
    <x v="4"/>
    <n v="103.3"/>
    <n v="0"/>
    <n v="103.3"/>
    <n v="70.180000000000007"/>
    <n v="33.11999999999999"/>
    <n v="0.32061955469506281"/>
    <x v="0"/>
    <s v=""/>
    <s v=""/>
    <s v=""/>
    <x v="1"/>
    <d v="2025-12-14T00:00:00"/>
  </r>
  <r>
    <x v="311"/>
    <s v="ORD-00131"/>
    <d v="2025-02-14T00:00:00"/>
    <s v="C0074"/>
    <s v="Daniel Johnson, Ottawa, Small Business"/>
    <s v="Daniel Johnson"/>
    <s v="Ottawa"/>
    <s v="Small Business"/>
    <n v="2"/>
    <s v="P009"/>
    <n v="1"/>
    <n v="147.46"/>
    <n v="0"/>
    <s v="Online"/>
    <s v="Online"/>
    <s v="CC"/>
    <s v="Credit Card"/>
    <s v="Montreal Central"/>
    <s v="Ontario"/>
    <s v="Small Business"/>
    <n v="100.95"/>
    <x v="3"/>
    <n v="147.46"/>
    <n v="0"/>
    <n v="147.46"/>
    <n v="100.95"/>
    <n v="46.510000000000005"/>
    <n v="0.31540756815407572"/>
    <x v="0"/>
    <s v=""/>
    <s v=""/>
    <s v=""/>
    <x v="0"/>
    <d v="2025-02-15T00:00:00"/>
  </r>
  <r>
    <x v="312"/>
    <s v="ORD-00131"/>
    <d v="2025-02-14T00:00:00"/>
    <s v="C0074"/>
    <s v="Daniel Johnson, Ottawa, Small Business"/>
    <s v="Daniel Johnson"/>
    <s v="Ottawa"/>
    <s v="Small Business"/>
    <n v="2"/>
    <s v="P019"/>
    <n v="4"/>
    <n v="183.73"/>
    <n v="0"/>
    <s v="Retail  Store"/>
    <s v="Retail Store"/>
    <s v="PayPal"/>
    <s v="PayPal"/>
    <s v="Calgary North"/>
    <s v="Ontario"/>
    <s v="Small Business"/>
    <n v="98.11"/>
    <x v="4"/>
    <n v="734.92"/>
    <n v="0"/>
    <n v="734.92"/>
    <n v="392.44"/>
    <n v="342.47999999999996"/>
    <n v="0.46600990584009139"/>
    <x v="0"/>
    <s v=""/>
    <s v=""/>
    <s v=""/>
    <x v="0"/>
    <d v="2025-02-15T00:00:00"/>
  </r>
  <r>
    <x v="313"/>
    <s v="ORD-00131"/>
    <d v="2025-02-14T00:00:00"/>
    <s v="C0074"/>
    <s v="Daniel Johnson, Ottawa, Small Business"/>
    <s v="Daniel Johnson"/>
    <s v="Ottawa"/>
    <s v="Small Business"/>
    <n v="2"/>
    <s v="P006"/>
    <n v="1"/>
    <n v="88.61"/>
    <n v="0.1"/>
    <s v="Retail Store"/>
    <s v="Retail Store"/>
    <m/>
    <s v="Unknown"/>
    <s v="Vancouver West"/>
    <s v="Ontario"/>
    <s v="Small Business"/>
    <n v="49.75"/>
    <x v="3"/>
    <n v="88.61"/>
    <n v="8.8610000000000007"/>
    <n v="79.748999999999995"/>
    <n v="49.75"/>
    <n v="29.998999999999995"/>
    <n v="0.37616772624108136"/>
    <x v="0"/>
    <s v=""/>
    <s v=""/>
    <s v=""/>
    <x v="0"/>
    <d v="2025-02-15T00:00:00"/>
  </r>
  <r>
    <x v="314"/>
    <s v="ORD-00131"/>
    <d v="2025-02-14T00:00:00"/>
    <s v="C0074"/>
    <s v="Daniel Johnson, Ottawa, Small Business"/>
    <s v="Daniel Johnson"/>
    <s v="Ottawa"/>
    <s v="Small Business"/>
    <n v="2"/>
    <s v="P036"/>
    <n v="1"/>
    <n v="210.2"/>
    <n v="0.05"/>
    <s v="Online"/>
    <s v="Online"/>
    <m/>
    <s v="Unknown"/>
    <s v="Montreal Central"/>
    <s v="Ontario"/>
    <s v="Small Business"/>
    <n v="136.25"/>
    <x v="0"/>
    <n v="210.2"/>
    <n v="10.51"/>
    <n v="199.69"/>
    <n v="136.25"/>
    <n v="63.44"/>
    <n v="0.31769242325604685"/>
    <x v="0"/>
    <s v=""/>
    <s v=""/>
    <s v=""/>
    <x v="0"/>
    <d v="2025-02-15T00:00:00"/>
  </r>
  <r>
    <x v="315"/>
    <s v="ORD-00132"/>
    <d v="2025-10-18T00:00:00"/>
    <s v="C0014"/>
    <s v="Liam Singh, Calgary, Corporate"/>
    <s v="Liam Singh"/>
    <s v="Calgary"/>
    <s v="Corporate"/>
    <n v="2"/>
    <s v="P040"/>
    <n v="2"/>
    <n v="33.369999999999997"/>
    <n v="0.05"/>
    <s v="Online"/>
    <s v="Online"/>
    <m/>
    <s v="Unknown"/>
    <s v="Calgary North"/>
    <s v="Alberta"/>
    <s v="Corporate"/>
    <n v="18.670000000000002"/>
    <x v="0"/>
    <n v="66.739999999999995"/>
    <n v="3.3369999999999997"/>
    <n v="63.402999999999992"/>
    <n v="37.340000000000003"/>
    <n v="26.062999999999988"/>
    <n v="0.41106887686702509"/>
    <x v="0"/>
    <s v=""/>
    <s v=""/>
    <s v=""/>
    <x v="1"/>
    <d v="2025-10-23T00:00:00"/>
  </r>
  <r>
    <x v="316"/>
    <s v="ORD-00132"/>
    <d v="2025-10-18T00:00:00"/>
    <s v="C0014"/>
    <s v="Liam Singh, Calgary, Corporate"/>
    <s v="Liam Singh"/>
    <s v="Calgary"/>
    <s v="Corporate"/>
    <n v="2"/>
    <s v="P048"/>
    <n v="2"/>
    <n v="287.16000000000003"/>
    <n v="0"/>
    <s v="Retail  Store"/>
    <s v="Retail Store"/>
    <s v="Debit Card"/>
    <s v="Debit Card"/>
    <s v="Calgary North"/>
    <s v="Alberta"/>
    <s v="Corporate"/>
    <n v="148.21"/>
    <x v="1"/>
    <n v="574.32000000000005"/>
    <n v="0"/>
    <n v="574.32000000000005"/>
    <n v="296.42"/>
    <n v="277.90000000000003"/>
    <n v="0.48387658448251847"/>
    <x v="0"/>
    <s v=""/>
    <s v=""/>
    <s v=""/>
    <x v="1"/>
    <d v="2025-10-23T00:00:00"/>
  </r>
  <r>
    <x v="317"/>
    <s v="ORD-00132"/>
    <d v="2025-10-18T00:00:00"/>
    <s v="C0014"/>
    <s v="Liam Singh, Calgary, Corporate"/>
    <s v="Liam Singh"/>
    <s v="Calgary"/>
    <s v="Corporate"/>
    <n v="2"/>
    <s v="P013"/>
    <n v="4"/>
    <n v="207.71"/>
    <n v="0.15"/>
    <s v="Retail Store"/>
    <s v="Retail Store"/>
    <m/>
    <s v="Unknown"/>
    <s v="Montreal Central"/>
    <s v="Alberta"/>
    <s v="Corporate"/>
    <n v="132.97"/>
    <x v="4"/>
    <n v="830.84"/>
    <n v="124.626"/>
    <n v="706.21400000000006"/>
    <n v="531.88"/>
    <n v="174.33400000000006"/>
    <n v="0.24685718493261255"/>
    <x v="0"/>
    <s v=""/>
    <s v=""/>
    <s v=""/>
    <x v="1"/>
    <d v="2025-10-23T00:00:00"/>
  </r>
  <r>
    <x v="318"/>
    <s v="ORD-00132"/>
    <d v="2025-10-18T00:00:00"/>
    <s v="C0014"/>
    <s v="Liam Singh, Calgary, Corporate"/>
    <s v="Liam Singh"/>
    <s v="Calgary"/>
    <s v="Corporate"/>
    <n v="2"/>
    <s v="P011"/>
    <n v="1"/>
    <n v="275.76"/>
    <n v="0.15"/>
    <s v="Retail Store"/>
    <s v="Retail Store"/>
    <s v="Credit Card"/>
    <s v="Credit Card"/>
    <s v="Vancouver West"/>
    <s v="Alberta"/>
    <s v="Corporate"/>
    <n v="156.97"/>
    <x v="4"/>
    <n v="275.76"/>
    <n v="41.363999999999997"/>
    <n v="234.39599999999999"/>
    <n v="156.97"/>
    <n v="77.425999999999988"/>
    <n v="0.33032133654157919"/>
    <x v="0"/>
    <s v=""/>
    <s v=""/>
    <s v=""/>
    <x v="1"/>
    <d v="2025-10-23T00:00:00"/>
  </r>
  <r>
    <x v="319"/>
    <s v="ORD-00133"/>
    <d v="2025-03-21T01:00:00"/>
    <s v="C0087"/>
    <s v="Yara Martin, Calgary, Corporate"/>
    <s v="Yara Martin"/>
    <s v="Calgary"/>
    <s v="Corporate"/>
    <n v="2"/>
    <s v="P040"/>
    <n v="4"/>
    <n v="33.369999999999997"/>
    <n v="0.15"/>
    <s v="Retail Store"/>
    <s v="Retail Store"/>
    <s v="CC"/>
    <s v="Credit Card"/>
    <s v="Toronto Downtown"/>
    <s v="Alberta"/>
    <s v="Corporate"/>
    <n v="18.670000000000002"/>
    <x v="0"/>
    <n v="133.47999999999999"/>
    <n v="20.021999999999998"/>
    <n v="113.458"/>
    <n v="74.680000000000007"/>
    <n v="38.777999999999992"/>
    <n v="0.34178286238079281"/>
    <x v="0"/>
    <s v=""/>
    <s v=""/>
    <s v=""/>
    <x v="1"/>
    <d v="2025-03-30T01:00:00"/>
  </r>
  <r>
    <x v="320"/>
    <s v="ORD-00133"/>
    <d v="2025-03-21T01:00:00"/>
    <s v="C0087"/>
    <s v="Yara Martin, Calgary, Corporate"/>
    <s v="Yara Martin"/>
    <s v="Calgary"/>
    <s v="Corporate"/>
    <n v="2"/>
    <s v="P050"/>
    <n v="3"/>
    <n v="34.909999999999997"/>
    <n v="0.1"/>
    <s v="Online"/>
    <s v="Online"/>
    <s v="CC"/>
    <s v="Credit Card"/>
    <s v="Montreal Central"/>
    <s v="Alberta"/>
    <s v="Corporate"/>
    <n v="19.670000000000002"/>
    <x v="1"/>
    <n v="104.72999999999999"/>
    <n v="10.472999999999999"/>
    <n v="94.256999999999991"/>
    <n v="59.010000000000005"/>
    <n v="35.246999999999986"/>
    <n v="0.37394570164550101"/>
    <x v="0"/>
    <s v=""/>
    <s v=""/>
    <s v=""/>
    <x v="1"/>
    <d v="2025-03-30T01:00:00"/>
  </r>
  <r>
    <x v="321"/>
    <s v="ORD-00134"/>
    <d v="2025-01-30T00:00:00"/>
    <s v="C0123"/>
    <s v="Adam Johnson, Montreal, Consumer"/>
    <s v="Adam Johnson"/>
    <s v="Montreal"/>
    <s v="Consumer"/>
    <n v="2"/>
    <s v="P028"/>
    <n v="2"/>
    <n v="52.79"/>
    <n v="0.05"/>
    <s v="Retail  Store"/>
    <s v="Retail Store"/>
    <s v="Credit Card"/>
    <s v="Credit Card"/>
    <s v="Online Fulfillment"/>
    <s v="Quebec"/>
    <s v="Consumer"/>
    <n v="28.17"/>
    <x v="2"/>
    <n v="105.58"/>
    <n v="5.2789999999999999"/>
    <n v="100.301"/>
    <n v="56.34"/>
    <n v="43.960999999999999"/>
    <n v="0.43829074485797748"/>
    <x v="1"/>
    <s v="Wrong Item"/>
    <d v="2025-02-15T00:00:00"/>
    <s v="Refunded"/>
    <x v="0"/>
    <d v="2025-01-31T00:00:00"/>
  </r>
  <r>
    <x v="322"/>
    <s v="ORD-00134"/>
    <d v="2025-01-30T00:00:00"/>
    <s v="C0123"/>
    <s v="Adam Johnson, Montreal, Consumer"/>
    <s v="Adam Johnson"/>
    <s v="Montreal"/>
    <s v="Consumer"/>
    <n v="2"/>
    <s v="P010"/>
    <n v="1"/>
    <n v="37.82"/>
    <n v="0"/>
    <s v="Retail  Store"/>
    <s v="Retail Store"/>
    <s v="Credit Card"/>
    <s v="Credit Card"/>
    <s v="Vancouver West"/>
    <s v="Quebec"/>
    <s v="Consumer"/>
    <n v="24.76"/>
    <x v="3"/>
    <n v="37.82"/>
    <n v="0"/>
    <n v="37.82"/>
    <n v="24.76"/>
    <n v="13.059999999999999"/>
    <n v="0.34531993654151238"/>
    <x v="1"/>
    <s v="Wrong Item"/>
    <d v="2025-02-12T00:00:00"/>
    <s v="Pending"/>
    <x v="0"/>
    <d v="2025-01-31T00:00:00"/>
  </r>
  <r>
    <x v="323"/>
    <s v="ORD-00134"/>
    <d v="2025-01-30T00:00:00"/>
    <s v="C0123"/>
    <s v="Adam Johnson, Montreal, Consumer"/>
    <s v="Adam Johnson"/>
    <s v="Montreal"/>
    <s v="Consumer"/>
    <n v="2"/>
    <s v="P010"/>
    <n v="2"/>
    <n v="37.82"/>
    <n v="0.15"/>
    <s v="Market place"/>
    <s v="Marketplace"/>
    <s v="PayPal"/>
    <s v="PayPal"/>
    <s v="Online Fulfillment"/>
    <s v="Quebec"/>
    <s v="Consumer"/>
    <n v="24.76"/>
    <x v="3"/>
    <n v="75.64"/>
    <n v="11.346"/>
    <n v="64.293999999999997"/>
    <n v="49.52"/>
    <n v="14.773999999999994"/>
    <n v="0.22978816063707336"/>
    <x v="0"/>
    <s v=""/>
    <s v=""/>
    <s v=""/>
    <x v="0"/>
    <d v="2025-01-31T00:00:00"/>
  </r>
  <r>
    <x v="324"/>
    <s v="ORD-00135"/>
    <d v="2025-02-02T00:00:00"/>
    <s v="C0102"/>
    <s v="Adam Brown, Montreal, Small Business"/>
    <s v="Adam Brown"/>
    <s v="Montreal"/>
    <s v="Small Business"/>
    <n v="2"/>
    <s v="P050"/>
    <n v="3"/>
    <n v="34.909999999999997"/>
    <n v="0.15"/>
    <s v="Retail  Store"/>
    <s v="Retail Store"/>
    <s v="CC"/>
    <s v="Credit Card"/>
    <s v="Calgary North"/>
    <s v="Quebec"/>
    <s v="Small Business"/>
    <n v="19.670000000000002"/>
    <x v="1"/>
    <n v="104.72999999999999"/>
    <n v="15.709499999999998"/>
    <n v="89.020499999999998"/>
    <n v="59.010000000000005"/>
    <n v="30.010499999999993"/>
    <n v="0.3371189782128835"/>
    <x v="0"/>
    <s v=""/>
    <s v=""/>
    <s v=""/>
    <x v="0"/>
    <d v="2025-02-04T00:00:00"/>
  </r>
  <r>
    <x v="325"/>
    <s v="ORD-00135"/>
    <d v="2025-02-02T00:00:00"/>
    <s v="C0102"/>
    <s v="Adam Brown, Montreal, Small Business"/>
    <s v="Adam Brown"/>
    <s v="Montreal"/>
    <s v="Small Business"/>
    <n v="2"/>
    <s v="P024"/>
    <n v="2"/>
    <n v="263.04000000000002"/>
    <n v="0"/>
    <s v="Marketplace"/>
    <s v="Marketplace"/>
    <s v="PayPal"/>
    <s v="PayPal"/>
    <s v="Vancouver West"/>
    <s v="Quebec"/>
    <s v="Small Business"/>
    <n v="161.84"/>
    <x v="2"/>
    <n v="526.08000000000004"/>
    <n v="0"/>
    <n v="526.08000000000004"/>
    <n v="323.68"/>
    <n v="202.40000000000003"/>
    <n v="0.38473236009732364"/>
    <x v="0"/>
    <s v=""/>
    <s v=""/>
    <s v=""/>
    <x v="0"/>
    <d v="2025-02-04T00:00:00"/>
  </r>
  <r>
    <x v="326"/>
    <s v="ORD-00136"/>
    <d v="2025-07-11T00:00:00"/>
    <s v="C0009"/>
    <s v="Ethan Johnson, Regina, Corporate"/>
    <s v="Ethan Johnson"/>
    <s v="Regina"/>
    <s v="Corporate"/>
    <n v="2"/>
    <s v="P010"/>
    <n v="4"/>
    <n v="37.82"/>
    <n v="0"/>
    <s v="Retail Store"/>
    <s v="Retail Store"/>
    <s v="Debit Card"/>
    <s v="Debit Card"/>
    <s v="Montreal Central"/>
    <s v="Saskatchewan"/>
    <s v="Corporate"/>
    <n v="24.76"/>
    <x v="3"/>
    <n v="151.28"/>
    <n v="0"/>
    <n v="151.28"/>
    <n v="99.04"/>
    <n v="52.239999999999995"/>
    <n v="0.34531993654151238"/>
    <x v="0"/>
    <s v=""/>
    <s v=""/>
    <s v=""/>
    <x v="0"/>
    <d v="2025-07-13T00:00:00"/>
  </r>
  <r>
    <x v="327"/>
    <s v="ORD-00136"/>
    <d v="2025-07-11T00:00:00"/>
    <s v="C0009"/>
    <s v="Ethan Johnson, Regina, Corporate"/>
    <s v="Ethan Johnson"/>
    <s v="Regina"/>
    <s v="Corporate"/>
    <n v="2"/>
    <s v="P040"/>
    <n v="2"/>
    <n v="33.369999999999997"/>
    <n v="0.1"/>
    <s v="Retail  Store"/>
    <s v="Retail Store"/>
    <s v="Credit Card"/>
    <s v="Credit Card"/>
    <s v="Calgary North"/>
    <s v="Saskatchewan"/>
    <s v="Corporate"/>
    <n v="18.670000000000002"/>
    <x v="0"/>
    <n v="66.739999999999995"/>
    <n v="6.6739999999999995"/>
    <n v="60.065999999999995"/>
    <n v="37.340000000000003"/>
    <n v="22.725999999999992"/>
    <n v="0.37835048113741543"/>
    <x v="0"/>
    <s v=""/>
    <s v=""/>
    <s v=""/>
    <x v="0"/>
    <d v="2025-07-13T00:00:00"/>
  </r>
  <r>
    <x v="328"/>
    <s v="ORD-00136"/>
    <d v="2025-07-11T00:00:00"/>
    <s v="C0009"/>
    <s v="Ethan Johnson, Regina, Corporate"/>
    <s v="Ethan Johnson"/>
    <s v="Regina"/>
    <s v="Corporate"/>
    <n v="2"/>
    <s v="P013"/>
    <n v="3"/>
    <n v="207.71"/>
    <n v="0.15"/>
    <s v="Retail  Store"/>
    <s v="Retail Store"/>
    <s v="Debit Card"/>
    <s v="Debit Card"/>
    <s v="Montreal Central"/>
    <s v="Saskatchewan"/>
    <s v="Corporate"/>
    <n v="132.97"/>
    <x v="4"/>
    <n v="623.13"/>
    <n v="93.469499999999996"/>
    <n v="529.66049999999996"/>
    <n v="398.90999999999997"/>
    <n v="130.75049999999999"/>
    <n v="0.24685718493261249"/>
    <x v="0"/>
    <s v=""/>
    <s v=""/>
    <s v=""/>
    <x v="0"/>
    <d v="2025-07-13T00:00:00"/>
  </r>
  <r>
    <x v="329"/>
    <s v="ORD-00136"/>
    <d v="2025-07-11T00:00:00"/>
    <s v="C0009"/>
    <s v="Ethan Johnson, Regina, Corporate"/>
    <s v="Ethan Johnson"/>
    <s v="Regina"/>
    <s v="Corporate"/>
    <n v="2"/>
    <s v="P040"/>
    <n v="2"/>
    <n v="33.369999999999997"/>
    <n v="0.1"/>
    <s v="Market place"/>
    <s v="Marketplace"/>
    <s v="CC"/>
    <s v="Credit Card"/>
    <s v="Montreal Central"/>
    <s v="Saskatchewan"/>
    <s v="Corporate"/>
    <n v="18.670000000000002"/>
    <x v="0"/>
    <n v="66.739999999999995"/>
    <n v="6.6739999999999995"/>
    <n v="60.065999999999995"/>
    <n v="37.340000000000003"/>
    <n v="22.725999999999992"/>
    <n v="0.37835048113741543"/>
    <x v="0"/>
    <s v=""/>
    <s v=""/>
    <s v=""/>
    <x v="0"/>
    <d v="2025-07-13T00:00:00"/>
  </r>
  <r>
    <x v="330"/>
    <s v="ORD-00137"/>
    <d v="2025-08-18T00:00:00"/>
    <s v="C0002"/>
    <s v="Amina Khan, Montreal, Corporate"/>
    <s v="Amina Khan"/>
    <s v="Montreal"/>
    <s v="Corporate"/>
    <n v="2"/>
    <s v="P004"/>
    <n v="1"/>
    <n v="195.38"/>
    <n v="0"/>
    <s v="Retail Store"/>
    <s v="Retail Store"/>
    <s v="Debit Card"/>
    <s v="Debit Card"/>
    <s v="Montreal Central"/>
    <s v="Quebec"/>
    <s v="Corporate"/>
    <n v="114.29"/>
    <x v="3"/>
    <n v="195.38"/>
    <n v="0"/>
    <n v="195.38"/>
    <n v="114.29"/>
    <n v="81.089999999999989"/>
    <n v="0.41503736308731698"/>
    <x v="0"/>
    <s v=""/>
    <s v=""/>
    <s v=""/>
    <x v="0"/>
    <d v="2025-08-20T00:00:00"/>
  </r>
  <r>
    <x v="331"/>
    <s v="ORD-00137"/>
    <d v="2025-08-18T00:00:00"/>
    <s v="C0002"/>
    <s v="Amina Khan, Montreal, Corporate"/>
    <s v="Amina Khan"/>
    <s v="Montreal"/>
    <s v="Corporate"/>
    <n v="2"/>
    <s v="P005"/>
    <n v="3"/>
    <n v="42.72"/>
    <n v="0.1"/>
    <s v="Online"/>
    <s v="Online"/>
    <s v="Credit Card"/>
    <s v="Credit Card"/>
    <s v="Vancouver West"/>
    <s v="Quebec"/>
    <s v="Corporate"/>
    <n v="24.46"/>
    <x v="3"/>
    <n v="128.16"/>
    <n v="12.816000000000001"/>
    <n v="115.34399999999999"/>
    <n v="73.38"/>
    <n v="41.963999999999999"/>
    <n v="0.36381606325426552"/>
    <x v="0"/>
    <s v=""/>
    <s v=""/>
    <s v=""/>
    <x v="0"/>
    <d v="2025-08-20T00:00:00"/>
  </r>
  <r>
    <x v="332"/>
    <s v="ORD-00137"/>
    <d v="2025-08-18T00:00:00"/>
    <s v="c0002"/>
    <s v="Amina Khan, Montreal, Corporate"/>
    <s v="Amina Khan"/>
    <s v="Montreal"/>
    <s v="Corporate"/>
    <n v="2"/>
    <s v="P033"/>
    <n v="1"/>
    <n v="160"/>
    <n v="0.05"/>
    <s v="Marketplace"/>
    <s v="Marketplace"/>
    <s v="CC"/>
    <s v="Credit Card"/>
    <s v="Calgary North"/>
    <s v="Quebec"/>
    <s v="Corporate"/>
    <n v="101.58"/>
    <x v="0"/>
    <n v="160"/>
    <n v="8"/>
    <n v="152"/>
    <n v="101.58"/>
    <n v="50.42"/>
    <n v="0.33171052631578951"/>
    <x v="0"/>
    <s v=""/>
    <s v=""/>
    <s v=""/>
    <x v="0"/>
    <d v="2025-08-20T00:00:00"/>
  </r>
  <r>
    <x v="333"/>
    <s v="ORD-00138"/>
    <d v="2025-08-27T00:00:00"/>
    <s v="C0141"/>
    <s v="Emma Tremblay, Halifax, Consumer"/>
    <s v="Emma Tremblay"/>
    <s v="Halifax"/>
    <s v="Consumer"/>
    <n v="2"/>
    <s v="P007"/>
    <n v="1"/>
    <n v="25.15"/>
    <n v="0"/>
    <s v="Retail  Store"/>
    <s v="Retail Store"/>
    <s v="Credit Card"/>
    <s v="Credit Card"/>
    <s v="Montreal Central"/>
    <s v="Nova Scotia"/>
    <s v="Consumer"/>
    <n v="14.24"/>
    <x v="3"/>
    <n v="25.15"/>
    <n v="0"/>
    <n v="25.15"/>
    <n v="14.24"/>
    <n v="10.909999999999998"/>
    <n v="0.43379721669980115"/>
    <x v="0"/>
    <s v=""/>
    <s v=""/>
    <s v=""/>
    <x v="0"/>
    <d v="2025-08-30T00:00:00"/>
  </r>
  <r>
    <x v="334"/>
    <s v="ORD-00138"/>
    <d v="2025-08-27T00:00:00"/>
    <s v="C0141"/>
    <s v="Emma Tremblay, Halifax, Consumer"/>
    <s v="Emma Tremblay"/>
    <s v="Halifax"/>
    <s v="Consumer"/>
    <n v="2"/>
    <s v="P033"/>
    <n v="2"/>
    <n v="160"/>
    <n v="0.15"/>
    <s v="Online"/>
    <s v="Online"/>
    <s v="Debit Card"/>
    <s v="Debit Card"/>
    <s v="Toronto Downtown"/>
    <s v="Nova Scotia"/>
    <s v="Consumer"/>
    <n v="101.58"/>
    <x v="0"/>
    <n v="320"/>
    <n v="48"/>
    <n v="272"/>
    <n v="203.16"/>
    <n v="68.84"/>
    <n v="0.25308823529411767"/>
    <x v="0"/>
    <s v=""/>
    <s v=""/>
    <s v=""/>
    <x v="0"/>
    <d v="2025-08-30T00:00:00"/>
  </r>
  <r>
    <x v="335"/>
    <s v="ORD-00138"/>
    <d v="2025-08-27T00:00:00"/>
    <s v="C0141"/>
    <s v="Emma Tremblay, Halifax, Consumer"/>
    <s v="Emma Tremblay"/>
    <s v="Halifax"/>
    <s v="Consumer"/>
    <n v="2"/>
    <s v="P007"/>
    <n v="1"/>
    <n v="25.15"/>
    <n v="0.1"/>
    <s v="Marketplace"/>
    <s v="Marketplace"/>
    <s v="Credit Card"/>
    <s v="Credit Card"/>
    <s v="Calgary North"/>
    <s v="Nova Scotia"/>
    <s v="Consumer"/>
    <n v="14.24"/>
    <x v="3"/>
    <n v="25.15"/>
    <n v="2.5150000000000001"/>
    <n v="22.634999999999998"/>
    <n v="14.24"/>
    <n v="8.3949999999999978"/>
    <n v="0.37088579633311236"/>
    <x v="0"/>
    <s v=""/>
    <s v=""/>
    <s v=""/>
    <x v="0"/>
    <d v="2025-08-30T00:00:00"/>
  </r>
  <r>
    <x v="336"/>
    <s v="ORD-00139"/>
    <d v="2025-12-10T00:00:00"/>
    <s v="C0165"/>
    <s v="Ethan Dubois, Calgary, Consumer"/>
    <s v="Ethan Dubois"/>
    <s v="Calgary"/>
    <s v="Consumer"/>
    <n v="2"/>
    <s v="P001"/>
    <n v="2"/>
    <n v="133.24"/>
    <n v="0"/>
    <s v="Market place"/>
    <s v="Marketplace"/>
    <m/>
    <s v="Unknown"/>
    <s v="Vancouver West"/>
    <s v="Alberta"/>
    <s v="Consumer"/>
    <n v="77.540000000000006"/>
    <x v="3"/>
    <n v="266.48"/>
    <n v="0"/>
    <n v="266.48"/>
    <n v="155.08000000000001"/>
    <n v="111.4"/>
    <n v="0.41804262984088864"/>
    <x v="0"/>
    <s v=""/>
    <s v=""/>
    <s v=""/>
    <x v="1"/>
    <d v="2025-12-19T00:00:00"/>
  </r>
  <r>
    <x v="337"/>
    <s v="ORD-00139"/>
    <d v="2025-12-10T00:00:00"/>
    <s v="C0165"/>
    <s v="Ethan Dubois, Calgary, Consumer"/>
    <s v="Ethan Dubois"/>
    <s v="Calgary"/>
    <s v="Consumer"/>
    <n v="2"/>
    <s v="P043"/>
    <n v="3"/>
    <n v="96.33"/>
    <n v="0.05"/>
    <s v="Online"/>
    <s v="Online"/>
    <s v="Credit Card"/>
    <s v="Credit Card"/>
    <s v="Vancouver West"/>
    <s v="Alberta"/>
    <s v="Consumer"/>
    <n v="57.85"/>
    <x v="1"/>
    <n v="288.99"/>
    <n v="14.4495"/>
    <n v="274.54050000000001"/>
    <n v="173.55"/>
    <n v="100.9905"/>
    <n v="0.36785283045670852"/>
    <x v="0"/>
    <s v=""/>
    <s v=""/>
    <s v=""/>
    <x v="1"/>
    <d v="2025-12-19T00:00:00"/>
  </r>
  <r>
    <x v="338"/>
    <s v="ORD-00139"/>
    <d v="2025-12-10T00:00:00"/>
    <s v="C0165"/>
    <s v="Ethan Dubois, Calgary, Consumer"/>
    <s v="Ethan Dubois"/>
    <s v="Calgary"/>
    <s v="Consumer"/>
    <n v="2"/>
    <s v="P015"/>
    <n v="2"/>
    <n v="273.89"/>
    <n v="0.1"/>
    <s v="Retail  Store"/>
    <s v="Retail Store"/>
    <m/>
    <s v="Unknown"/>
    <s v="Vancouver West"/>
    <s v="Alberta"/>
    <s v="Consumer"/>
    <n v="140.66999999999999"/>
    <x v="4"/>
    <n v="547.78"/>
    <n v="54.777999999999999"/>
    <n v="493.00199999999995"/>
    <n v="281.33999999999997"/>
    <n v="211.66199999999998"/>
    <n v="0.42933294388258059"/>
    <x v="0"/>
    <s v=""/>
    <s v=""/>
    <s v=""/>
    <x v="1"/>
    <d v="2025-12-19T00:00:00"/>
  </r>
  <r>
    <x v="339"/>
    <s v="ORD-00140"/>
    <d v="2025-06-29T00:00:00"/>
    <s v="C0152"/>
    <s v="Daniel Khan, Halifax, Small Business"/>
    <s v="Daniel Khan"/>
    <s v="Halifax"/>
    <s v="Small Business"/>
    <n v="2"/>
    <s v="P025"/>
    <n v="4"/>
    <n v="115.28"/>
    <n v="0.05"/>
    <s v="Online"/>
    <s v="Online"/>
    <s v="Credit Card"/>
    <s v="Credit Card"/>
    <s v="Calgary North"/>
    <s v="Nova Scotia"/>
    <s v="Small Business"/>
    <n v="61.65"/>
    <x v="2"/>
    <n v="461.12"/>
    <n v="23.056000000000001"/>
    <n v="438.06400000000002"/>
    <n v="246.6"/>
    <n v="191.46400000000003"/>
    <n v="0.43706855619270246"/>
    <x v="1"/>
    <s v="Changed Mind"/>
    <d v="2025-07-18T00:00:00"/>
    <s v="Refunded"/>
    <x v="1"/>
    <d v="2025-07-08T00:00:00"/>
  </r>
  <r>
    <x v="340"/>
    <s v="ORD-00140"/>
    <d v="2025-06-29T00:00:00"/>
    <s v="C0152"/>
    <s v="Daniel Khan, Halifax, Small Business"/>
    <s v="Daniel Khan"/>
    <s v="Halifax"/>
    <s v="Small Business"/>
    <n v="2"/>
    <s v="P027"/>
    <n v="1"/>
    <n v="244.25"/>
    <n v="0.15"/>
    <s v="Retail Store"/>
    <s v="Retail Store"/>
    <s v="Debit Card"/>
    <s v="Debit Card"/>
    <s v="Toronto Downtown"/>
    <s v="Nova Scotia"/>
    <s v="Small Business"/>
    <n v="150.96"/>
    <x v="2"/>
    <n v="244.25"/>
    <n v="36.637499999999996"/>
    <n v="207.61250000000001"/>
    <n v="150.96"/>
    <n v="56.652500000000003"/>
    <n v="0.27287615148413513"/>
    <x v="0"/>
    <s v=""/>
    <s v=""/>
    <s v=""/>
    <x v="1"/>
    <d v="2025-07-08T00:00:00"/>
  </r>
  <r>
    <x v="341"/>
    <s v="ORD-00140"/>
    <d v="2025-06-29T00:00:00"/>
    <s v="C0152"/>
    <s v="Daniel Khan, Halifax, Small Business"/>
    <s v="Daniel Khan"/>
    <s v="Halifax"/>
    <s v="Small Business"/>
    <n v="2"/>
    <s v="P040"/>
    <n v="3"/>
    <n v="33.369999999999997"/>
    <n v="0"/>
    <s v="Market place"/>
    <s v="Marketplace"/>
    <s v="Gift Card"/>
    <s v="Gift Card"/>
    <s v="Toronto Downtown"/>
    <s v="Nova Scotia"/>
    <s v="Small Business"/>
    <n v="18.670000000000002"/>
    <x v="0"/>
    <n v="100.10999999999999"/>
    <n v="0"/>
    <n v="100.10999999999999"/>
    <n v="56.010000000000005"/>
    <n v="44.09999999999998"/>
    <n v="0.44051543302367385"/>
    <x v="0"/>
    <s v=""/>
    <s v=""/>
    <s v=""/>
    <x v="1"/>
    <d v="2025-07-08T00:00:00"/>
  </r>
  <r>
    <x v="342"/>
    <s v="ORD-00141"/>
    <d v="2025-10-04T00:00:00"/>
    <s v="C0082"/>
    <s v="Adam Dubois, Calgary, Small Business"/>
    <s v="Adam Dubois"/>
    <s v="Calgary"/>
    <s v="Small Business"/>
    <n v="2"/>
    <s v="P026"/>
    <n v="2"/>
    <n v="228.91"/>
    <n v="0.1"/>
    <s v="Marketplace"/>
    <s v="Marketplace"/>
    <s v="Credit Card"/>
    <s v="Credit Card"/>
    <s v="Vancouver West"/>
    <s v="Alberta"/>
    <s v="Small Business"/>
    <n v="149.4"/>
    <x v="2"/>
    <n v="457.82"/>
    <n v="45.782000000000004"/>
    <n v="412.03800000000001"/>
    <n v="298.8"/>
    <n v="113.238"/>
    <n v="0.27482416670307108"/>
    <x v="0"/>
    <s v=""/>
    <s v=""/>
    <s v=""/>
    <x v="1"/>
    <d v="2025-10-09T00:00:00"/>
  </r>
  <r>
    <x v="343"/>
    <s v="ORD-00141"/>
    <d v="2025-10-04T00:00:00"/>
    <s v="C0082"/>
    <s v="Adam Dubois, Calgary, Small Business"/>
    <s v="Adam Dubois"/>
    <s v="Calgary"/>
    <s v="Small Business"/>
    <n v="2"/>
    <s v="P031"/>
    <n v="2"/>
    <n v="208.81"/>
    <n v="0.15"/>
    <s v="Retail  Store"/>
    <s v="Retail Store"/>
    <s v="PayPal"/>
    <s v="PayPal"/>
    <s v="Online Fulfillment"/>
    <s v="Alberta"/>
    <s v="Small Business"/>
    <n v="139.04"/>
    <x v="0"/>
    <n v="417.62"/>
    <n v="62.643000000000001"/>
    <n v="354.97699999999998"/>
    <n v="278.08"/>
    <n v="76.896999999999991"/>
    <n v="0.2166253024843863"/>
    <x v="0"/>
    <s v=""/>
    <s v=""/>
    <s v=""/>
    <x v="1"/>
    <d v="2025-10-09T00:00:00"/>
  </r>
  <r>
    <x v="344"/>
    <s v="ORD-00142"/>
    <d v="2025-11-03T00:00:00"/>
    <s v="C0150"/>
    <s v="Emma Brown, Vancouver, Corporate"/>
    <s v="Emma Brown"/>
    <s v="Vancouver"/>
    <s v="Corporate"/>
    <n v="2"/>
    <s v="P024"/>
    <n v="3"/>
    <n v="263.04000000000002"/>
    <n v="0"/>
    <s v="Marketplace"/>
    <s v="Marketplace"/>
    <s v="Gift Card"/>
    <s v="Gift Card"/>
    <s v="Montreal Central"/>
    <s v="British Columbia"/>
    <s v="Corporate"/>
    <n v="161.84"/>
    <x v="2"/>
    <n v="789.12000000000012"/>
    <n v="0"/>
    <n v="789.12000000000012"/>
    <n v="485.52"/>
    <n v="303.60000000000014"/>
    <n v="0.3847323600973237"/>
    <x v="0"/>
    <s v=""/>
    <s v=""/>
    <s v=""/>
    <x v="0"/>
    <d v="2025-11-07T00:00:00"/>
  </r>
  <r>
    <x v="345"/>
    <s v="ORD-00142"/>
    <d v="2025-11-03T00:00:00"/>
    <s v="C0150"/>
    <s v="Emma Brown, Vancouver, Corporate"/>
    <s v="Emma Brown"/>
    <s v="Vancouver"/>
    <s v="Corporate"/>
    <n v="2"/>
    <s v="P026"/>
    <n v="1"/>
    <n v="228.91"/>
    <n v="0"/>
    <s v="Online"/>
    <s v="Online"/>
    <s v="Credit Card"/>
    <s v="Credit Card"/>
    <s v="Vancouver West"/>
    <s v="British Columbia"/>
    <s v="Corporate"/>
    <n v="149.4"/>
    <x v="2"/>
    <n v="228.91"/>
    <n v="0"/>
    <n v="228.91"/>
    <n v="149.4"/>
    <n v="79.509999999999991"/>
    <n v="0.34734175003276391"/>
    <x v="1"/>
    <s v="Wrong Item"/>
    <d v="2025-11-21T00:00:00"/>
    <s v="Refunded"/>
    <x v="0"/>
    <d v="2025-11-07T00:00:00"/>
  </r>
  <r>
    <x v="346"/>
    <s v="ORD-00142"/>
    <d v="2025-11-03T00:00:00"/>
    <s v="C0150"/>
    <s v="Emma Brown, Vancouver, Corporate"/>
    <s v="Emma Brown"/>
    <s v="Vancouver"/>
    <s v="Corporate"/>
    <n v="2"/>
    <s v="P036"/>
    <n v="2"/>
    <n v="210.2"/>
    <n v="0.15"/>
    <s v="Online"/>
    <s v="Online"/>
    <s v="CC"/>
    <s v="Credit Card"/>
    <s v="Montreal Central"/>
    <s v="British Columbia"/>
    <s v="Corporate"/>
    <n v="136.25"/>
    <x v="0"/>
    <n v="420.4"/>
    <n v="63.059999999999995"/>
    <n v="357.34"/>
    <n v="272.5"/>
    <n v="84.839999999999975"/>
    <n v="0.23742094363911115"/>
    <x v="1"/>
    <s v="Wrong Item"/>
    <d v="2025-11-11T00:00:00"/>
    <s v="Refunded"/>
    <x v="0"/>
    <d v="2025-11-07T00:00:00"/>
  </r>
  <r>
    <x v="347"/>
    <s v="ORD-00142"/>
    <d v="2025-11-03T00:00:00"/>
    <s v="C0150"/>
    <s v="Emma Brown, Vancouver, Corporate"/>
    <s v="Emma Brown"/>
    <s v="Vancouver"/>
    <s v="Corporate"/>
    <n v="2"/>
    <s v="P022"/>
    <n v="3"/>
    <n v="61.81"/>
    <n v="0.05"/>
    <s v="Retail  Store"/>
    <s v="Retail Store"/>
    <s v="CC"/>
    <s v="Credit Card"/>
    <s v="Online Fulfillment"/>
    <s v="British Columbia"/>
    <s v="Corporate"/>
    <n v="33.19"/>
    <x v="2"/>
    <n v="185.43"/>
    <n v="9.2715000000000014"/>
    <n v="176.1585"/>
    <n v="99.57"/>
    <n v="76.58850000000001"/>
    <n v="0.43477039143725682"/>
    <x v="0"/>
    <s v=""/>
    <s v=""/>
    <s v=""/>
    <x v="0"/>
    <d v="2025-11-07T00:00:00"/>
  </r>
  <r>
    <x v="348"/>
    <s v="ORD-00143"/>
    <d v="2025-02-21T00:00:00"/>
    <s v="C0059"/>
    <s v="Sofia Martin, Ottawa, Consumer"/>
    <s v="Sofia Martin"/>
    <s v="Ottawa"/>
    <s v="Consumer"/>
    <n v="2"/>
    <s v="P035"/>
    <n v="3"/>
    <n v="251.17"/>
    <n v="0.05"/>
    <s v="Retail Store"/>
    <s v="Retail Store"/>
    <s v="Gift Card"/>
    <s v="Gift Card"/>
    <s v="Calgary North"/>
    <s v="Ontario"/>
    <s v="Consumer"/>
    <n v="151.59"/>
    <x v="0"/>
    <n v="753.51"/>
    <n v="37.6755"/>
    <n v="715.83449999999993"/>
    <n v="454.77"/>
    <n v="261.06449999999995"/>
    <n v="0.36469952202639017"/>
    <x v="0"/>
    <s v=""/>
    <s v=""/>
    <s v=""/>
    <x v="1"/>
    <d v="2025-02-26T01:00:00"/>
  </r>
  <r>
    <x v="349"/>
    <s v="ORD-00143"/>
    <d v="2025-02-21T00:00:00"/>
    <s v="C0059"/>
    <s v="Sofia Martin, Ottawa, Consumer"/>
    <s v="Sofia Martin"/>
    <s v="Ottawa"/>
    <s v="Consumer"/>
    <n v="2"/>
    <s v="P025"/>
    <n v="3"/>
    <n v="115.28"/>
    <n v="0.15"/>
    <s v="Online"/>
    <s v="Online"/>
    <s v="Credit Card"/>
    <s v="Credit Card"/>
    <s v="Online Fulfillment"/>
    <s v="Ontario"/>
    <s v="Consumer"/>
    <n v="61.65"/>
    <x v="2"/>
    <n v="345.84000000000003"/>
    <n v="51.876000000000005"/>
    <n v="293.96400000000006"/>
    <n v="184.95"/>
    <n v="109.01400000000007"/>
    <n v="0.37084132750949111"/>
    <x v="0"/>
    <s v=""/>
    <s v=""/>
    <s v=""/>
    <x v="1"/>
    <d v="2025-02-26T01:00:00"/>
  </r>
  <r>
    <x v="350"/>
    <s v="ORD-00143"/>
    <d v="2025-02-21T00:00:00"/>
    <s v="C0059"/>
    <s v="Sofia Martin, Ottawa, Consumer"/>
    <s v="Sofia Martin"/>
    <s v="Ottawa"/>
    <s v="Consumer"/>
    <n v="2"/>
    <s v="P003"/>
    <n v="4"/>
    <n v="265.73"/>
    <n v="0.1"/>
    <s v="Market place"/>
    <s v="Marketplace"/>
    <s v="PayPal"/>
    <s v="PayPal"/>
    <s v="Toronto Downtown"/>
    <s v="Ontario"/>
    <s v="Consumer"/>
    <n v="154.16999999999999"/>
    <x v="3"/>
    <n v="1062.92"/>
    <n v="106.29200000000002"/>
    <n v="956.62800000000004"/>
    <n v="616.67999999999995"/>
    <n v="339.94800000000009"/>
    <n v="0.35536070447446666"/>
    <x v="0"/>
    <s v=""/>
    <s v=""/>
    <s v=""/>
    <x v="1"/>
    <d v="2025-02-26T01:00:00"/>
  </r>
  <r>
    <x v="351"/>
    <s v="ORD-00143"/>
    <d v="2025-02-21T00:00:00"/>
    <s v="C0059"/>
    <s v="Sofia Martin, Ottawa, Consumer"/>
    <s v="Sofia Martin"/>
    <s v="Ottawa"/>
    <s v="Consumer"/>
    <n v="2"/>
    <s v="P042"/>
    <n v="1"/>
    <n v="102.78"/>
    <n v="0.1"/>
    <s v="Retail Store"/>
    <s v="Retail Store"/>
    <s v="Debit Card"/>
    <s v="Debit Card"/>
    <s v="Online Fulfillment"/>
    <s v="Ontario"/>
    <s v="Consumer"/>
    <n v="62.65"/>
    <x v="1"/>
    <n v="102.78"/>
    <n v="10.278"/>
    <n v="92.501999999999995"/>
    <n v="62.65"/>
    <n v="29.851999999999997"/>
    <n v="0.32271734665196428"/>
    <x v="0"/>
    <s v=""/>
    <s v=""/>
    <s v=""/>
    <x v="1"/>
    <d v="2025-02-26T01:00:00"/>
  </r>
  <r>
    <x v="352"/>
    <s v="ORD-00144"/>
    <d v="2025-09-17T00:00:00"/>
    <s v="C0063"/>
    <s v="Ethan Singh, Toronto, Consumer"/>
    <s v="Ethan Singh"/>
    <s v="Toronto"/>
    <s v="Consumer"/>
    <n v="2"/>
    <s v="P027"/>
    <n v="2"/>
    <n v="244.25"/>
    <n v="0.1"/>
    <s v="Market place"/>
    <s v="Marketplace"/>
    <s v="Credit Card"/>
    <s v="Credit Card"/>
    <s v="Calgary North"/>
    <s v="Ontario"/>
    <s v="Consumer"/>
    <n v="150.96"/>
    <x v="2"/>
    <n v="488.5"/>
    <n v="48.85"/>
    <n v="439.65"/>
    <n v="301.92"/>
    <n v="137.72999999999996"/>
    <n v="0.31327192084612754"/>
    <x v="0"/>
    <s v=""/>
    <s v=""/>
    <s v=""/>
    <x v="0"/>
    <d v="2025-09-20T00:00:00"/>
  </r>
  <r>
    <x v="353"/>
    <s v="ORD-00145"/>
    <d v="2025-06-07T00:00:00"/>
    <s v="C0135"/>
    <s v="Emma Wilson, Edmonton, Corporate"/>
    <s v="Emma Wilson"/>
    <s v="Edmonton"/>
    <s v="Corporate"/>
    <n v="2"/>
    <s v="P013"/>
    <n v="4"/>
    <n v="207.71"/>
    <n v="0.1"/>
    <s v="Retail  Store"/>
    <s v="Retail Store"/>
    <s v="PayPal"/>
    <s v="PayPal"/>
    <s v="Online Fulfillment"/>
    <s v="Alberta"/>
    <s v="Corporate"/>
    <n v="132.97"/>
    <x v="4"/>
    <n v="830.84"/>
    <n v="83.084000000000003"/>
    <n v="747.75600000000009"/>
    <n v="531.88"/>
    <n v="215.87600000000009"/>
    <n v="0.28869845243635633"/>
    <x v="0"/>
    <s v=""/>
    <s v=""/>
    <s v=""/>
    <x v="1"/>
    <d v="2025-06-14T00:00:00"/>
  </r>
  <r>
    <x v="354"/>
    <s v="ORD-00145"/>
    <d v="2025-06-07T00:00:00"/>
    <s v="C0135"/>
    <s v="Emma Wilson, Edmonton, Corporate"/>
    <s v="Emma Wilson"/>
    <s v="Edmonton"/>
    <s v="Corporate"/>
    <n v="2"/>
    <s v="P004"/>
    <n v="4"/>
    <n v="195.38"/>
    <n v="0.1"/>
    <s v="Marketplace"/>
    <s v="Marketplace"/>
    <s v="Credit Card"/>
    <s v="Credit Card"/>
    <s v="Toronto Downtown"/>
    <s v="Alberta"/>
    <s v="Corporate"/>
    <n v="114.29"/>
    <x v="3"/>
    <n v="781.52"/>
    <n v="78.152000000000001"/>
    <n v="703.36799999999994"/>
    <n v="457.16"/>
    <n v="246.20799999999991"/>
    <n v="0.35004151454146326"/>
    <x v="0"/>
    <s v=""/>
    <s v=""/>
    <s v=""/>
    <x v="1"/>
    <d v="2025-06-14T00:00:00"/>
  </r>
  <r>
    <x v="355"/>
    <s v="ORD-00145"/>
    <d v="2025-06-07T00:00:00"/>
    <s v="C0135"/>
    <s v="Emma Wilson, Edmonton, Corporate"/>
    <s v="Emma Wilson"/>
    <s v="Edmonton"/>
    <s v="Corporate"/>
    <n v="2"/>
    <s v="P045"/>
    <n v="1"/>
    <n v="72.81"/>
    <n v="0.1"/>
    <s v="Retail  Store"/>
    <s v="Retail Store"/>
    <s v="Gift Card"/>
    <s v="Gift Card"/>
    <s v="Toronto Downtown"/>
    <s v="Alberta"/>
    <s v="Corporate"/>
    <n v="37.99"/>
    <x v="1"/>
    <n v="72.81"/>
    <n v="7.2810000000000006"/>
    <n v="65.528999999999996"/>
    <n v="37.99"/>
    <n v="27.538999999999994"/>
    <n v="0.42025668024843954"/>
    <x v="0"/>
    <s v=""/>
    <s v=""/>
    <s v=""/>
    <x v="1"/>
    <d v="2025-06-14T00:00:00"/>
  </r>
  <r>
    <x v="356"/>
    <s v="ORD-00146"/>
    <d v="2025-08-11T00:00:00"/>
    <s v="C0006"/>
    <s v="Amina Brown, Edmonton, Small Business"/>
    <s v="Amina Brown"/>
    <s v="Edmonton"/>
    <s v="Small Business"/>
    <n v="2"/>
    <s v="P025"/>
    <n v="4"/>
    <n v="115.28"/>
    <n v="0.15"/>
    <s v="Market place"/>
    <s v="Marketplace"/>
    <s v="Credit Card"/>
    <s v="Credit Card"/>
    <s v="Vancouver West"/>
    <s v="Alberta"/>
    <s v="Small Business"/>
    <n v="61.65"/>
    <x v="2"/>
    <n v="461.12"/>
    <n v="69.167999999999992"/>
    <n v="391.952"/>
    <n v="246.6"/>
    <n v="145.352"/>
    <n v="0.37084132750949095"/>
    <x v="1"/>
    <s v="Damaged"/>
    <d v="2025-09-01T00:00:00"/>
    <s v="Refunded"/>
    <x v="1"/>
    <d v="2025-08-20T00:00:00"/>
  </r>
  <r>
    <x v="357"/>
    <s v="ORD-00146"/>
    <d v="2025-08-11T00:00:00"/>
    <s v="C0006"/>
    <s v="Amina Brown, Edmonton, Small Business"/>
    <s v="Amina Brown"/>
    <s v="Edmonton"/>
    <s v="Small Business"/>
    <n v="2"/>
    <s v="P003"/>
    <n v="3"/>
    <n v="265.73"/>
    <n v="0.05"/>
    <s v="Marketplace"/>
    <s v="Marketplace"/>
    <s v="Gift Card"/>
    <s v="Gift Card"/>
    <s v="Montreal Central"/>
    <s v="Alberta"/>
    <s v="Small Business"/>
    <n v="154.16999999999999"/>
    <x v="3"/>
    <n v="797.19"/>
    <n v="39.859500000000004"/>
    <n v="757.33050000000003"/>
    <n v="462.51"/>
    <n v="294.82050000000004"/>
    <n v="0.38928908844949467"/>
    <x v="1"/>
    <s v="Damaged"/>
    <d v="2025-08-21T00:00:00"/>
    <s v="Refunded"/>
    <x v="1"/>
    <d v="2025-08-20T00:00:00"/>
  </r>
  <r>
    <x v="358"/>
    <s v="ORD-00146"/>
    <d v="2025-08-11T00:00:00"/>
    <s v="C0006"/>
    <s v="Amina Brown, Edmonton, Small Business"/>
    <s v="Amina Brown"/>
    <s v="Edmonton"/>
    <s v="Small Business"/>
    <n v="2"/>
    <s v="P036"/>
    <n v="4"/>
    <n v="210.2"/>
    <n v="0.05"/>
    <s v="Marketplace"/>
    <s v="Marketplace"/>
    <m/>
    <s v="Unknown"/>
    <s v="Montreal Central"/>
    <s v="Alberta"/>
    <s v="Small Business"/>
    <n v="136.25"/>
    <x v="0"/>
    <n v="840.8"/>
    <n v="42.04"/>
    <n v="798.76"/>
    <n v="545"/>
    <n v="253.76"/>
    <n v="0.31769242325604685"/>
    <x v="0"/>
    <s v=""/>
    <s v=""/>
    <s v=""/>
    <x v="1"/>
    <d v="2025-08-20T00:00:00"/>
  </r>
  <r>
    <x v="359"/>
    <s v="ORD-00147"/>
    <d v="2025-06-20T00:00:00"/>
    <s v="C0106"/>
    <s v="Sofia Singh, Montreal, Small Business"/>
    <s v="Sofia Singh"/>
    <s v="Montreal"/>
    <s v="Small Business"/>
    <n v="2"/>
    <s v="P046"/>
    <n v="1"/>
    <n v="180.37"/>
    <n v="0.05"/>
    <s v="Market place"/>
    <s v="Marketplace"/>
    <s v="Debit Card"/>
    <s v="Debit Card"/>
    <s v="Vancouver West"/>
    <s v="Quebec"/>
    <s v="Small Business"/>
    <n v="107.55"/>
    <x v="1"/>
    <n v="180.37"/>
    <n v="9.0185000000000013"/>
    <n v="171.35150000000002"/>
    <n v="107.55"/>
    <n v="63.801500000000019"/>
    <n v="0.37234281579093276"/>
    <x v="0"/>
    <s v=""/>
    <s v=""/>
    <s v=""/>
    <x v="1"/>
    <d v="2025-06-30T00:00:00"/>
  </r>
  <r>
    <x v="360"/>
    <s v="ORD-00147"/>
    <d v="2025-06-20T00:00:00"/>
    <s v="C0106"/>
    <s v="Sofia Singh, Montreal, Small Business"/>
    <s v="Sofia Singh"/>
    <s v="Montreal"/>
    <s v="Small Business"/>
    <n v="2"/>
    <s v="P015"/>
    <n v="4"/>
    <n v="273.89"/>
    <n v="0"/>
    <s v="Retail  Store"/>
    <s v="Retail Store"/>
    <s v="PayPal"/>
    <s v="PayPal"/>
    <s v="Calgary North"/>
    <s v="Quebec"/>
    <s v="Small Business"/>
    <n v="140.66999999999999"/>
    <x v="4"/>
    <n v="1095.56"/>
    <n v="0"/>
    <n v="1095.56"/>
    <n v="562.67999999999995"/>
    <n v="532.88"/>
    <n v="0.48639964949432257"/>
    <x v="0"/>
    <s v=""/>
    <s v=""/>
    <s v=""/>
    <x v="1"/>
    <d v="2025-06-30T00:00:00"/>
  </r>
  <r>
    <x v="361"/>
    <s v="ORD-00148"/>
    <d v="2025-06-25T00:00:00"/>
    <s v="C0141"/>
    <s v="Emma Tremblay, Halifax, Consumer"/>
    <s v="Emma Tremblay"/>
    <s v="Halifax"/>
    <s v="Consumer"/>
    <n v="2"/>
    <s v="P041"/>
    <n v="2"/>
    <n v="238.47"/>
    <n v="0"/>
    <s v="Marketplace"/>
    <s v="Marketplace"/>
    <s v="PayPal"/>
    <s v="PayPal"/>
    <s v="Toronto Downtown"/>
    <s v="Nova Scotia"/>
    <s v="Consumer"/>
    <n v="127.65"/>
    <x v="1"/>
    <n v="476.94"/>
    <n v="0"/>
    <n v="476.94"/>
    <n v="255.3"/>
    <n v="221.64"/>
    <n v="0.46471254245817079"/>
    <x v="1"/>
    <s v="Not as Described"/>
    <d v="2025-07-16T00:00:00"/>
    <s v="Pending"/>
    <x v="1"/>
    <d v="2025-06-30T00:00:00"/>
  </r>
  <r>
    <x v="362"/>
    <s v="ORD-00148"/>
    <d v="2025-06-25T00:00:00"/>
    <s v="C0141"/>
    <s v="Emma Tremblay, Halifax, Consumer"/>
    <s v="Emma Tremblay"/>
    <s v="Halifax"/>
    <s v="Consumer"/>
    <n v="2"/>
    <s v="P050"/>
    <n v="2"/>
    <n v="34.909999999999997"/>
    <n v="0.15"/>
    <s v="Market place"/>
    <s v="Marketplace"/>
    <s v="PayPal"/>
    <s v="PayPal"/>
    <s v="Calgary North"/>
    <s v="Nova Scotia"/>
    <s v="Consumer"/>
    <n v="19.670000000000002"/>
    <x v="1"/>
    <n v="69.819999999999993"/>
    <n v="10.472999999999999"/>
    <n v="59.346999999999994"/>
    <n v="39.340000000000003"/>
    <n v="20.006999999999991"/>
    <n v="0.33711897821288345"/>
    <x v="0"/>
    <s v=""/>
    <s v=""/>
    <s v=""/>
    <x v="1"/>
    <d v="2025-06-30T00:00:00"/>
  </r>
  <r>
    <x v="363"/>
    <s v="ORD-00148"/>
    <d v="2025-06-25T00:00:00"/>
    <s v="C0141"/>
    <s v="Emma Tremblay, Halifax, Consumer"/>
    <s v="Emma Tremblay"/>
    <s v="Halifax"/>
    <s v="Consumer"/>
    <n v="2"/>
    <s v="P021"/>
    <n v="2"/>
    <n v="25.01"/>
    <n v="0.1"/>
    <s v="Online"/>
    <s v="Online"/>
    <s v="Credit Card"/>
    <s v="Credit Card"/>
    <s v="Vancouver West"/>
    <s v="Nova Scotia"/>
    <s v="Consumer"/>
    <n v="16.86"/>
    <x v="2"/>
    <n v="50.02"/>
    <n v="5.0020000000000007"/>
    <n v="45.018000000000001"/>
    <n v="33.72"/>
    <n v="11.298000000000002"/>
    <n v="0.25096628015460487"/>
    <x v="0"/>
    <s v=""/>
    <s v=""/>
    <s v=""/>
    <x v="1"/>
    <d v="2025-06-30T00:00:00"/>
  </r>
  <r>
    <x v="364"/>
    <s v="ORD-00149"/>
    <d v="2025-07-23T00:00:00"/>
    <s v="C0141"/>
    <s v="Emma Tremblay, Halifax, Consumer"/>
    <s v="Emma Tremblay"/>
    <s v="Halifax"/>
    <s v="Consumer"/>
    <n v="2"/>
    <s v="P029"/>
    <n v="1"/>
    <n v="300.16000000000003"/>
    <n v="0"/>
    <s v="Online"/>
    <s v="Online"/>
    <s v="PayPal"/>
    <s v="PayPal"/>
    <s v="Toronto Downtown"/>
    <s v="Nova Scotia"/>
    <s v="Consumer"/>
    <n v="158.46"/>
    <x v="2"/>
    <n v="300.16000000000003"/>
    <n v="0"/>
    <n v="300.16000000000003"/>
    <n v="158.46"/>
    <n v="141.70000000000002"/>
    <n v="0.47208155650319833"/>
    <x v="0"/>
    <s v=""/>
    <s v=""/>
    <s v=""/>
    <x v="1"/>
    <d v="2025-08-02T00:00:00"/>
  </r>
  <r>
    <x v="365"/>
    <s v="ORD-00150"/>
    <d v="2025-07-10T00:00:00"/>
    <s v="C0044"/>
    <s v="Yara Tremblay, Edmonton, Corporate"/>
    <s v="Yara Tremblay"/>
    <s v="Edmonton"/>
    <s v="Corporate"/>
    <n v="2"/>
    <s v="P033"/>
    <n v="1"/>
    <n v="160"/>
    <n v="0.1"/>
    <s v="Online"/>
    <s v="Online"/>
    <s v="Gift Card"/>
    <s v="Gift Card"/>
    <s v="Calgary North"/>
    <s v="Alberta"/>
    <s v="Corporate"/>
    <n v="101.58"/>
    <x v="0"/>
    <n v="160"/>
    <n v="16"/>
    <n v="144"/>
    <n v="101.58"/>
    <n v="42.42"/>
    <n v="0.29458333333333336"/>
    <x v="0"/>
    <s v=""/>
    <s v=""/>
    <s v=""/>
    <x v="1"/>
    <d v="2025-07-15T00:00:00"/>
  </r>
  <r>
    <x v="366"/>
    <s v="ORD-00150"/>
    <d v="2025-07-10T00:00:00"/>
    <s v="C0044"/>
    <s v="Yara Tremblay, Edmonton, Corporate"/>
    <s v="Yara Tremblay"/>
    <s v="Edmonton"/>
    <s v="Corporate"/>
    <n v="2"/>
    <s v="P041"/>
    <n v="2"/>
    <n v="238.47"/>
    <n v="0"/>
    <s v="Marketplace"/>
    <s v="Marketplace"/>
    <s v="PayPal"/>
    <s v="PayPal"/>
    <s v="Vancouver West"/>
    <s v="Alberta"/>
    <s v="Corporate"/>
    <n v="127.65"/>
    <x v="1"/>
    <n v="476.94"/>
    <n v="0"/>
    <n v="476.94"/>
    <n v="255.3"/>
    <n v="221.64"/>
    <n v="0.46471254245817079"/>
    <x v="0"/>
    <s v=""/>
    <s v=""/>
    <s v=""/>
    <x v="1"/>
    <d v="2025-07-15T00:00:00"/>
  </r>
  <r>
    <x v="367"/>
    <s v="ORD-00151"/>
    <d v="2025-07-04T00:00:00"/>
    <s v="C0068"/>
    <s v="Amina Khan, Quebec City, Consumer"/>
    <s v="Amina Khan"/>
    <s v="Quebec City"/>
    <s v="Consumer"/>
    <n v="2"/>
    <s v="P007"/>
    <n v="1"/>
    <n v="25.15"/>
    <n v="0"/>
    <s v="Market place"/>
    <s v="Marketplace"/>
    <s v="Credit Card"/>
    <s v="Credit Card"/>
    <s v="Montreal Central"/>
    <s v="Quebec"/>
    <s v="Consumer"/>
    <n v="14.24"/>
    <x v="3"/>
    <n v="25.15"/>
    <n v="0"/>
    <n v="25.15"/>
    <n v="14.24"/>
    <n v="10.909999999999998"/>
    <n v="0.43379721669980115"/>
    <x v="0"/>
    <s v=""/>
    <s v=""/>
    <s v=""/>
    <x v="1"/>
    <d v="2025-07-11T00:00:00"/>
  </r>
  <r>
    <x v="368"/>
    <s v="ORD-00151"/>
    <d v="2025-07-04T00:00:00"/>
    <s v="c0068"/>
    <s v="Amina Khan, Quebec City, Consumer"/>
    <s v="Amina Khan"/>
    <s v="Quebec City"/>
    <s v="Consumer"/>
    <n v="2"/>
    <s v="P044"/>
    <n v="1"/>
    <n v="208.89"/>
    <n v="0.1"/>
    <s v="Retail  Store"/>
    <s v="Retail Store"/>
    <m/>
    <s v="Unknown"/>
    <s v="Vancouver West"/>
    <s v="Quebec"/>
    <s v="Consumer"/>
    <n v="133.05000000000001"/>
    <x v="1"/>
    <n v="208.89"/>
    <n v="20.888999999999999"/>
    <n v="188.00099999999998"/>
    <n v="133.05000000000001"/>
    <n v="54.950999999999965"/>
    <n v="0.29229099845213574"/>
    <x v="1"/>
    <s v="Not as Described"/>
    <d v="2025-07-12T00:00:00"/>
    <s v="Pending"/>
    <x v="1"/>
    <d v="2025-07-11T00:00:00"/>
  </r>
  <r>
    <x v="369"/>
    <s v="ORD-00152"/>
    <d v="2025-12-02T00:00:00"/>
    <s v="C0169"/>
    <s v="Sofia Wilson, Ottawa, Small Business"/>
    <s v="Sofia Wilson"/>
    <s v="Ottawa"/>
    <s v="Small Business"/>
    <n v="2"/>
    <s v="P019"/>
    <n v="1"/>
    <n v="183.73"/>
    <n v="0.15"/>
    <s v="Online"/>
    <s v="Online"/>
    <s v="Credit Card"/>
    <s v="Credit Card"/>
    <s v="Calgary North"/>
    <s v="Ontario"/>
    <s v="Small Business"/>
    <n v="98.11"/>
    <x v="4"/>
    <n v="183.73"/>
    <n v="27.559499999999996"/>
    <n v="156.1705"/>
    <n v="98.11"/>
    <n v="58.060500000000005"/>
    <n v="0.37177635981187229"/>
    <x v="0"/>
    <s v=""/>
    <s v=""/>
    <s v=""/>
    <x v="0"/>
    <d v="2025-12-03T00:00:00"/>
  </r>
  <r>
    <x v="370"/>
    <s v="ORD-00153"/>
    <d v="2025-10-05T00:00:00"/>
    <s v="C0004"/>
    <s v="Adam Johnson, Halifax, Small Business"/>
    <s v="Adam Johnson"/>
    <s v="Halifax"/>
    <s v="Small Business"/>
    <n v="2"/>
    <s v="P024"/>
    <n v="4"/>
    <n v="263.04000000000002"/>
    <n v="0"/>
    <s v="Retail  Store"/>
    <s v="Retail Store"/>
    <s v="Debit Card"/>
    <s v="Debit Card"/>
    <s v="Vancouver West"/>
    <s v="Nova Scotia"/>
    <s v="Small Business"/>
    <n v="161.84"/>
    <x v="2"/>
    <n v="1052.1600000000001"/>
    <n v="0"/>
    <n v="1052.1600000000001"/>
    <n v="647.36"/>
    <n v="404.80000000000007"/>
    <n v="0.38473236009732364"/>
    <x v="0"/>
    <s v=""/>
    <s v=""/>
    <s v=""/>
    <x v="0"/>
    <d v="2025-10-07T00:00:00"/>
  </r>
  <r>
    <x v="371"/>
    <s v="ORD-00154"/>
    <d v="2025-11-02T00:00:00"/>
    <s v="C0146"/>
    <s v="Maya Dubois, Edmonton, Small Business"/>
    <s v="Maya Dubois"/>
    <s v="Edmonton"/>
    <s v="Small Business"/>
    <n v="2"/>
    <s v="P039"/>
    <n v="4"/>
    <n v="154.47"/>
    <n v="0"/>
    <s v="Retail  Store"/>
    <s v="Retail Store"/>
    <m/>
    <s v="Unknown"/>
    <s v="Online Fulfillment"/>
    <s v="Alberta"/>
    <s v="Small Business"/>
    <n v="102.57"/>
    <x v="0"/>
    <n v="617.88"/>
    <n v="0"/>
    <n v="617.88"/>
    <n v="410.28"/>
    <n v="207.60000000000002"/>
    <n v="0.33598757040201988"/>
    <x v="0"/>
    <s v=""/>
    <s v=""/>
    <s v=""/>
    <x v="0"/>
    <d v="2025-11-04T00:00:00"/>
  </r>
  <r>
    <x v="372"/>
    <s v="ORD-00154"/>
    <d v="2025-11-02T00:00:00"/>
    <s v="C0146"/>
    <s v="Maya Dubois, Edmonton, Small Business"/>
    <s v="Maya Dubois"/>
    <s v="Edmonton"/>
    <s v="Small Business"/>
    <n v="2"/>
    <s v="P032"/>
    <n v="3"/>
    <n v="214.38"/>
    <n v="0"/>
    <s v="Online"/>
    <s v="Online"/>
    <s v="Gift Card"/>
    <s v="Gift Card"/>
    <s v="Online Fulfillment"/>
    <s v="Alberta"/>
    <s v="Small Business"/>
    <n v="131.51"/>
    <x v="0"/>
    <n v="643.14"/>
    <n v="0"/>
    <n v="643.14"/>
    <n v="394.53"/>
    <n v="248.61"/>
    <n v="0.38655658177068758"/>
    <x v="0"/>
    <s v=""/>
    <s v=""/>
    <s v=""/>
    <x v="0"/>
    <d v="2025-11-04T00:00:00"/>
  </r>
  <r>
    <x v="373"/>
    <s v="ORD-00154"/>
    <d v="2025-11-02T00:00:00"/>
    <s v="C0146"/>
    <s v="Maya Dubois, Edmonton, Small Business"/>
    <s v="Maya Dubois"/>
    <s v="Edmonton"/>
    <s v="Small Business"/>
    <n v="2"/>
    <s v="P025"/>
    <n v="3"/>
    <n v="115.28"/>
    <n v="0.1"/>
    <s v="Online"/>
    <s v="Online"/>
    <s v="Debit Card"/>
    <s v="Debit Card"/>
    <s v="Online Fulfillment"/>
    <s v="Alberta"/>
    <s v="Small Business"/>
    <n v="61.65"/>
    <x v="2"/>
    <n v="345.84000000000003"/>
    <n v="34.584000000000003"/>
    <n v="311.25600000000003"/>
    <n v="184.95"/>
    <n v="126.30600000000004"/>
    <n v="0.4057945870922971"/>
    <x v="0"/>
    <s v=""/>
    <s v=""/>
    <s v=""/>
    <x v="0"/>
    <d v="2025-11-04T00:00:00"/>
  </r>
  <r>
    <x v="374"/>
    <s v="ORD-00155"/>
    <d v="2025-12-08T00:00:00"/>
    <s v="C0039"/>
    <s v="Daniel Singh, Winnipeg, Consumer"/>
    <s v="Daniel Singh"/>
    <s v="Winnipeg"/>
    <s v="Consumer"/>
    <n v="2"/>
    <s v="P049"/>
    <n v="4"/>
    <n v="300.56"/>
    <n v="0.15"/>
    <s v="Online"/>
    <s v="Online"/>
    <m/>
    <s v="Unknown"/>
    <s v="Toronto Downtown"/>
    <s v="Manitoba"/>
    <s v="Consumer"/>
    <n v="158.86000000000001"/>
    <x v="1"/>
    <n v="1202.24"/>
    <n v="180.33599999999998"/>
    <n v="1021.904"/>
    <n v="635.44000000000005"/>
    <n v="386.46399999999994"/>
    <n v="0.37818033787909622"/>
    <x v="0"/>
    <s v=""/>
    <s v=""/>
    <s v=""/>
    <x v="1"/>
    <d v="2025-12-14T00:00:00"/>
  </r>
  <r>
    <x v="375"/>
    <s v="ORD-00155"/>
    <d v="2025-12-08T00:00:00"/>
    <s v="C0039"/>
    <s v="Daniel Singh, Winnipeg, Consumer"/>
    <s v="Daniel Singh"/>
    <s v="Winnipeg"/>
    <s v="Consumer"/>
    <n v="2"/>
    <s v="P042"/>
    <n v="4"/>
    <n v="102.78"/>
    <n v="0.1"/>
    <s v="Online"/>
    <s v="Online"/>
    <s v="Gift Card"/>
    <s v="Gift Card"/>
    <s v="Online Fulfillment"/>
    <s v="Manitoba"/>
    <s v="Consumer"/>
    <n v="62.65"/>
    <x v="1"/>
    <n v="411.12"/>
    <n v="41.112000000000002"/>
    <n v="370.00799999999998"/>
    <n v="250.6"/>
    <n v="119.40799999999999"/>
    <n v="0.32271734665196428"/>
    <x v="0"/>
    <s v=""/>
    <s v=""/>
    <s v=""/>
    <x v="1"/>
    <d v="2025-12-14T00:00:00"/>
  </r>
  <r>
    <x v="376"/>
    <s v="ORD-00156"/>
    <d v="2025-05-25T00:00:00"/>
    <s v="C0055"/>
    <s v="Adam Singh, Victoria, Consumer"/>
    <s v="Adam Singh"/>
    <s v="Victoria"/>
    <s v="Consumer"/>
    <n v="2"/>
    <s v="P049"/>
    <n v="2"/>
    <n v="300.56"/>
    <n v="0.1"/>
    <s v="Market place"/>
    <s v="Marketplace"/>
    <s v="Credit Card"/>
    <s v="Credit Card"/>
    <s v="Montreal Central"/>
    <s v="British Columbia"/>
    <s v="Consumer"/>
    <n v="158.86000000000001"/>
    <x v="1"/>
    <n v="601.12"/>
    <n v="60.112000000000002"/>
    <n v="541.00800000000004"/>
    <n v="317.72000000000003"/>
    <n v="223.28800000000001"/>
    <n v="0.4127258746635909"/>
    <x v="0"/>
    <s v=""/>
    <s v=""/>
    <s v=""/>
    <x v="1"/>
    <d v="2025-06-03T00:00:00"/>
  </r>
  <r>
    <x v="377"/>
    <s v="ORD-00156"/>
    <d v="2025-05-25T00:00:00"/>
    <s v="C0055"/>
    <s v="Adam Singh, Victoria, Consumer"/>
    <s v="Adam Singh"/>
    <s v="Victoria"/>
    <s v="Consumer"/>
    <n v="2"/>
    <s v="P044"/>
    <n v="2"/>
    <n v="208.89"/>
    <n v="0"/>
    <s v="Market place"/>
    <s v="Marketplace"/>
    <s v="Credit Card"/>
    <s v="Credit Card"/>
    <s v="Calgary North"/>
    <s v="British Columbia"/>
    <s v="Consumer"/>
    <n v="133.05000000000001"/>
    <x v="1"/>
    <n v="417.78"/>
    <n v="0"/>
    <n v="417.78"/>
    <n v="266.10000000000002"/>
    <n v="151.67999999999995"/>
    <n v="0.36306189860692223"/>
    <x v="0"/>
    <s v=""/>
    <s v=""/>
    <s v=""/>
    <x v="1"/>
    <d v="2025-06-03T00:00:00"/>
  </r>
  <r>
    <x v="378"/>
    <s v="ORD-00156"/>
    <d v="2025-05-25T00:00:00"/>
    <s v="C0055"/>
    <s v="Adam Singh, Victoria, Consumer"/>
    <s v="Adam Singh"/>
    <s v="Victoria"/>
    <s v="Consumer"/>
    <n v="2"/>
    <s v="P023"/>
    <n v="4"/>
    <n v="82.77"/>
    <n v="0.15"/>
    <s v="Retail  Store"/>
    <s v="Retail Store"/>
    <s v="Credit Card"/>
    <s v="Credit Card"/>
    <s v="Vancouver West"/>
    <s v="British Columbia"/>
    <s v="Consumer"/>
    <n v="46.51"/>
    <x v="2"/>
    <n v="331.08"/>
    <n v="49.661999999999999"/>
    <n v="281.41800000000001"/>
    <n v="186.04"/>
    <n v="95.378000000000014"/>
    <n v="0.33891932996467894"/>
    <x v="1"/>
    <s v="Late Delivery"/>
    <d v="2025-06-13T00:00:00"/>
    <s v="Refunded"/>
    <x v="1"/>
    <d v="2025-06-03T00:00:00"/>
  </r>
  <r>
    <x v="379"/>
    <s v="ORD-00156"/>
    <d v="2025-05-25T00:00:00"/>
    <s v="C0055"/>
    <s v="Adam Singh, Victoria, Consumer"/>
    <s v="Adam Singh"/>
    <s v="Victoria"/>
    <s v="Consumer"/>
    <n v="2"/>
    <s v="P037"/>
    <n v="4"/>
    <n v="236.51"/>
    <n v="0.1"/>
    <s v="Retail  Store"/>
    <s v="Retail Store"/>
    <s v="Gift Card"/>
    <s v="Gift Card"/>
    <s v="Online Fulfillment"/>
    <s v="British Columbia"/>
    <s v="Consumer"/>
    <n v="142.84"/>
    <x v="0"/>
    <n v="946.04"/>
    <n v="94.603999999999999"/>
    <n v="851.43599999999992"/>
    <n v="571.36"/>
    <n v="280.07599999999991"/>
    <n v="0.32894545215377308"/>
    <x v="1"/>
    <s v="Changed Mind"/>
    <d v="2025-06-11T00:00:00"/>
    <s v="Refunded"/>
    <x v="1"/>
    <d v="2025-06-03T00:00:00"/>
  </r>
  <r>
    <x v="380"/>
    <s v="ORD-00157"/>
    <d v="2025-09-03T00:00:00"/>
    <s v="C0016"/>
    <s v="Sofia Martin, Victoria, Small Business"/>
    <s v="Sofia Martin"/>
    <s v="Victoria"/>
    <s v="Small Business"/>
    <n v="2"/>
    <s v="P025"/>
    <n v="4"/>
    <n v="115.28"/>
    <n v="0.15"/>
    <s v="Online"/>
    <s v="Online"/>
    <s v="Gift Card"/>
    <s v="Gift Card"/>
    <s v="Calgary North"/>
    <s v="British Columbia"/>
    <s v="Small Business"/>
    <n v="61.65"/>
    <x v="2"/>
    <n v="461.12"/>
    <n v="69.167999999999992"/>
    <n v="391.952"/>
    <n v="246.6"/>
    <n v="145.352"/>
    <n v="0.37084132750949095"/>
    <x v="0"/>
    <s v=""/>
    <s v=""/>
    <s v=""/>
    <x v="1"/>
    <d v="2025-09-11T00:00:00"/>
  </r>
  <r>
    <x v="381"/>
    <s v="ORD-00157"/>
    <d v="2025-09-03T00:00:00"/>
    <s v="C0016"/>
    <s v="Sofia Martin, Victoria, Small Business"/>
    <s v="Sofia Martin"/>
    <s v="Victoria"/>
    <s v="Small Business"/>
    <n v="2"/>
    <s v="P025"/>
    <n v="1"/>
    <n v="115.28"/>
    <n v="0"/>
    <s v="Market place"/>
    <s v="Marketplace"/>
    <s v="CC"/>
    <s v="Credit Card"/>
    <s v="Vancouver West"/>
    <s v="British Columbia"/>
    <s v="Small Business"/>
    <n v="61.65"/>
    <x v="2"/>
    <n v="115.28"/>
    <n v="0"/>
    <n v="115.28"/>
    <n v="61.65"/>
    <n v="53.63"/>
    <n v="0.46521512838306733"/>
    <x v="1"/>
    <s v="Wrong Item"/>
    <d v="2025-09-20T00:00:00"/>
    <s v="Refunded"/>
    <x v="1"/>
    <d v="2025-09-11T00:00:00"/>
  </r>
  <r>
    <x v="382"/>
    <s v="ORD-00157"/>
    <d v="2025-09-03T00:00:00"/>
    <s v="C0016"/>
    <s v="Sofia Martin, Victoria, Small Business"/>
    <s v="Sofia Martin"/>
    <s v="Victoria"/>
    <s v="Small Business"/>
    <n v="2"/>
    <s v="P023"/>
    <n v="4"/>
    <n v="82.77"/>
    <n v="0.15"/>
    <s v="Marketplace"/>
    <s v="Marketplace"/>
    <s v="Gift Card"/>
    <s v="Gift Card"/>
    <s v="Vancouver West"/>
    <s v="British Columbia"/>
    <s v="Small Business"/>
    <n v="46.51"/>
    <x v="2"/>
    <n v="331.08"/>
    <n v="49.661999999999999"/>
    <n v="281.41800000000001"/>
    <n v="186.04"/>
    <n v="95.378000000000014"/>
    <n v="0.33891932996467894"/>
    <x v="0"/>
    <s v=""/>
    <s v=""/>
    <s v=""/>
    <x v="1"/>
    <d v="2025-09-11T00:00:00"/>
  </r>
  <r>
    <x v="383"/>
    <s v="ORD-00157"/>
    <d v="2025-09-03T00:00:00"/>
    <s v="C0016"/>
    <s v="Sofia Martin, Victoria, Small Business"/>
    <s v="Sofia Martin"/>
    <s v="Victoria"/>
    <s v="Small Business"/>
    <n v="2"/>
    <s v="P039"/>
    <n v="2"/>
    <n v="154.47"/>
    <n v="0.15"/>
    <s v="Retail Store"/>
    <s v="Retail Store"/>
    <s v="Debit Card"/>
    <s v="Debit Card"/>
    <s v="Calgary North"/>
    <s v="British Columbia"/>
    <s v="Small Business"/>
    <n v="102.57"/>
    <x v="0"/>
    <n v="308.94"/>
    <n v="46.341000000000001"/>
    <n v="262.59899999999999"/>
    <n v="205.14"/>
    <n v="57.459000000000003"/>
    <n v="0.21880890635531744"/>
    <x v="0"/>
    <s v=""/>
    <s v=""/>
    <s v=""/>
    <x v="1"/>
    <d v="2025-09-11T00:00:00"/>
  </r>
  <r>
    <x v="384"/>
    <s v="ORD-00158"/>
    <d v="2025-09-25T00:00:00"/>
    <s v="C0168"/>
    <s v="Maya Singh, Calgary, Small Business"/>
    <s v="Maya Singh"/>
    <s v="Calgary"/>
    <s v="Small Business"/>
    <n v="2"/>
    <s v="P044"/>
    <n v="3"/>
    <n v="208.89"/>
    <n v="0.15"/>
    <s v="Market place"/>
    <s v="Marketplace"/>
    <s v="Debit Card"/>
    <s v="Debit Card"/>
    <s v="Montreal Central"/>
    <s v="Alberta"/>
    <s v="Small Business"/>
    <n v="133.05000000000001"/>
    <x v="1"/>
    <n v="626.66999999999996"/>
    <n v="94.000499999999988"/>
    <n v="532.66949999999997"/>
    <n v="399.15000000000003"/>
    <n v="133.51949999999994"/>
    <n v="0.25066105718461434"/>
    <x v="0"/>
    <s v=""/>
    <s v=""/>
    <s v=""/>
    <x v="0"/>
    <d v="2025-09-28T00:00:00"/>
  </r>
  <r>
    <x v="385"/>
    <s v="ORD-00158"/>
    <d v="2025-09-25T00:00:00"/>
    <s v="C0168"/>
    <s v="Maya Singh, Calgary, Small Business"/>
    <s v="Maya Singh"/>
    <s v="Calgary"/>
    <s v="Small Business"/>
    <n v="2"/>
    <s v="P022"/>
    <n v="3"/>
    <n v="61.81"/>
    <n v="0"/>
    <s v="Retail Store"/>
    <s v="Retail Store"/>
    <s v="Gift Card"/>
    <s v="Gift Card"/>
    <s v="Montreal Central"/>
    <s v="Alberta"/>
    <s v="Small Business"/>
    <n v="33.19"/>
    <x v="2"/>
    <n v="185.43"/>
    <n v="0"/>
    <n v="185.43"/>
    <n v="99.57"/>
    <n v="85.860000000000014"/>
    <n v="0.46303187186539402"/>
    <x v="0"/>
    <s v=""/>
    <s v=""/>
    <s v=""/>
    <x v="0"/>
    <d v="2025-09-28T00:00:00"/>
  </r>
  <r>
    <x v="386"/>
    <s v="ORD-00158"/>
    <d v="2025-09-25T00:00:00"/>
    <s v="C0168"/>
    <s v="Maya Singh, Calgary, Small Business"/>
    <s v="Maya Singh"/>
    <s v="Calgary"/>
    <s v="Small Business"/>
    <n v="2"/>
    <s v="P010"/>
    <n v="2"/>
    <n v="37.82"/>
    <n v="0.15"/>
    <s v="Retail Store"/>
    <s v="Retail Store"/>
    <s v="CC"/>
    <s v="Credit Card"/>
    <s v="Montreal Central"/>
    <s v="Alberta"/>
    <s v="Small Business"/>
    <n v="24.76"/>
    <x v="3"/>
    <n v="75.64"/>
    <n v="11.346"/>
    <n v="64.293999999999997"/>
    <n v="49.52"/>
    <n v="14.773999999999994"/>
    <n v="0.22978816063707336"/>
    <x v="0"/>
    <s v=""/>
    <s v=""/>
    <s v=""/>
    <x v="0"/>
    <d v="2025-09-28T00:00:00"/>
  </r>
  <r>
    <x v="387"/>
    <s v="ORD-00158"/>
    <d v="2025-09-25T00:00:00"/>
    <s v="C0168"/>
    <s v="Maya Singh, Calgary, Small Business"/>
    <s v="Maya Singh"/>
    <s v="Calgary"/>
    <s v="Small Business"/>
    <n v="2"/>
    <s v="P031"/>
    <n v="1"/>
    <n v="208.81"/>
    <n v="0.1"/>
    <s v="Retail Store"/>
    <s v="Retail Store"/>
    <s v="CC"/>
    <s v="Credit Card"/>
    <s v="Online Fulfillment"/>
    <s v="Alberta"/>
    <s v="Small Business"/>
    <n v="139.04"/>
    <x v="0"/>
    <n v="208.81"/>
    <n v="20.881"/>
    <n v="187.929"/>
    <n v="139.04"/>
    <n v="48.88900000000001"/>
    <n v="0.26014611901303158"/>
    <x v="0"/>
    <s v=""/>
    <s v=""/>
    <s v=""/>
    <x v="0"/>
    <d v="2025-09-28T00:00:00"/>
  </r>
  <r>
    <x v="388"/>
    <s v="ORD-00159"/>
    <d v="2025-07-09T00:00:00"/>
    <s v="C0150"/>
    <s v="Emma Brown, Vancouver, Corporate"/>
    <s v="Emma Brown"/>
    <s v="Vancouver"/>
    <s v="Corporate"/>
    <n v="2"/>
    <s v="P020"/>
    <n v="3"/>
    <n v="56.99"/>
    <n v="0.1"/>
    <s v="Online"/>
    <s v="Online"/>
    <s v="Debit Card"/>
    <s v="Debit Card"/>
    <s v="Calgary North"/>
    <s v="British Columbia"/>
    <s v="Corporate"/>
    <n v="33.65"/>
    <x v="4"/>
    <n v="170.97"/>
    <n v="17.097000000000001"/>
    <n v="153.87299999999999"/>
    <n v="100.94999999999999"/>
    <n v="52.923000000000002"/>
    <n v="0.34393948256029327"/>
    <x v="0"/>
    <s v=""/>
    <s v=""/>
    <s v=""/>
    <x v="1"/>
    <d v="2025-07-19T00:00:00"/>
  </r>
  <r>
    <x v="389"/>
    <s v="ORD-00160"/>
    <d v="2025-10-21T00:00:00"/>
    <s v="C0129"/>
    <s v="Emma Brown, Toronto, Corporate"/>
    <s v="Emma Brown"/>
    <s v="Toronto"/>
    <s v="Corporate"/>
    <n v="2"/>
    <s v="P016"/>
    <n v="1"/>
    <n v="103.3"/>
    <n v="0"/>
    <s v="Retail  Store"/>
    <s v="Retail Store"/>
    <s v="Credit Card"/>
    <s v="Credit Card"/>
    <s v="Calgary North"/>
    <s v="Ontario"/>
    <s v="Corporate"/>
    <n v="70.180000000000007"/>
    <x v="4"/>
    <n v="103.3"/>
    <n v="0"/>
    <n v="103.3"/>
    <n v="70.180000000000007"/>
    <n v="33.11999999999999"/>
    <n v="0.32061955469506281"/>
    <x v="0"/>
    <s v=""/>
    <s v=""/>
    <s v=""/>
    <x v="1"/>
    <d v="2025-10-27T00:00:00"/>
  </r>
  <r>
    <x v="390"/>
    <s v="ORD-00160"/>
    <d v="2025-10-21T00:00:00"/>
    <s v="C0129"/>
    <s v="Emma Brown, Toronto, Corporate"/>
    <s v="Emma Brown"/>
    <s v="Toronto"/>
    <s v="Corporate"/>
    <n v="2"/>
    <s v="P004"/>
    <n v="4"/>
    <n v="195.38"/>
    <n v="0.05"/>
    <s v="Online"/>
    <s v="Online"/>
    <s v="Credit Card"/>
    <s v="Credit Card"/>
    <s v="Online Fulfillment"/>
    <s v="Ontario"/>
    <s v="Corporate"/>
    <n v="114.29"/>
    <x v="3"/>
    <n v="781.52"/>
    <n v="39.076000000000001"/>
    <n v="742.44399999999996"/>
    <n v="457.16"/>
    <n v="285.28399999999993"/>
    <n v="0.38424985588138627"/>
    <x v="0"/>
    <s v=""/>
    <s v=""/>
    <s v=""/>
    <x v="1"/>
    <d v="2025-10-27T00:00:00"/>
  </r>
  <r>
    <x v="391"/>
    <s v="ORD-00160"/>
    <d v="2025-10-21T00:00:00"/>
    <s v="C0129"/>
    <s v="Emma Brown, Toronto, Corporate"/>
    <s v="Emma Brown"/>
    <s v="Toronto"/>
    <s v="Corporate"/>
    <n v="2"/>
    <s v="P027"/>
    <n v="4"/>
    <n v="244.25"/>
    <n v="0.1"/>
    <s v="Online"/>
    <s v="Online"/>
    <s v="Gift Card"/>
    <s v="Gift Card"/>
    <s v="Montreal Central"/>
    <s v="Ontario"/>
    <s v="Corporate"/>
    <n v="150.96"/>
    <x v="2"/>
    <n v="977"/>
    <n v="97.7"/>
    <n v="879.3"/>
    <n v="603.84"/>
    <n v="275.45999999999992"/>
    <n v="0.31327192084612754"/>
    <x v="1"/>
    <s v="Changed Mind"/>
    <d v="2025-11-10T00:00:00"/>
    <s v="Refunded"/>
    <x v="1"/>
    <d v="2025-10-27T00:00:00"/>
  </r>
  <r>
    <x v="392"/>
    <s v="ORD-00160"/>
    <d v="2025-10-21T00:00:00"/>
    <s v="C0129"/>
    <s v="Emma Brown, Toronto, Corporate"/>
    <s v="Emma Brown"/>
    <s v="Toronto"/>
    <s v="Corporate"/>
    <n v="2"/>
    <s v="P050"/>
    <n v="1"/>
    <n v="34.909999999999997"/>
    <n v="0.1"/>
    <s v="Online"/>
    <s v="Online"/>
    <s v="Credit Card"/>
    <s v="Credit Card"/>
    <s v="Vancouver West"/>
    <s v="Ontario"/>
    <s v="Corporate"/>
    <n v="19.670000000000002"/>
    <x v="1"/>
    <n v="34.909999999999997"/>
    <n v="3.4909999999999997"/>
    <n v="31.418999999999997"/>
    <n v="19.670000000000002"/>
    <n v="11.748999999999995"/>
    <n v="0.37394570164550101"/>
    <x v="0"/>
    <s v=""/>
    <s v=""/>
    <s v=""/>
    <x v="1"/>
    <d v="2025-10-27T00:00:00"/>
  </r>
  <r>
    <x v="393"/>
    <s v="ORD-00161"/>
    <d v="2025-08-10T00:00:00"/>
    <s v="C0116"/>
    <s v="Sofia Dubois, Winnipeg, Consumer"/>
    <s v="Sofia Dubois"/>
    <s v="Winnipeg"/>
    <s v="Consumer"/>
    <n v="2"/>
    <s v="P002"/>
    <n v="1"/>
    <n v="105.38"/>
    <n v="0.15"/>
    <s v="Retail  Store"/>
    <s v="Retail Store"/>
    <s v="Credit Card"/>
    <s v="Credit Card"/>
    <s v="Calgary North"/>
    <s v="Manitoba"/>
    <s v="Consumer"/>
    <n v="67.290000000000006"/>
    <x v="3"/>
    <n v="105.38"/>
    <n v="15.806999999999999"/>
    <n v="89.572999999999993"/>
    <n v="67.290000000000006"/>
    <n v="22.282999999999987"/>
    <n v="0.24876916034965882"/>
    <x v="0"/>
    <s v=""/>
    <s v=""/>
    <s v=""/>
    <x v="0"/>
    <d v="2025-08-12T00:00:00"/>
  </r>
  <r>
    <x v="394"/>
    <s v="ORD-00161"/>
    <d v="2025-08-10T00:00:00"/>
    <s v="C0116"/>
    <s v="Sofia Dubois, Winnipeg, Consumer"/>
    <s v="Sofia Dubois"/>
    <s v="Winnipeg"/>
    <s v="Consumer"/>
    <n v="2"/>
    <s v="P014"/>
    <n v="2"/>
    <n v="91.75"/>
    <n v="0.15"/>
    <s v="Online"/>
    <s v="Online"/>
    <m/>
    <s v="Unknown"/>
    <s v="Calgary North"/>
    <s v="Manitoba"/>
    <s v="Consumer"/>
    <n v="58.27"/>
    <x v="4"/>
    <n v="183.5"/>
    <n v="27.524999999999999"/>
    <n v="155.97499999999999"/>
    <n v="116.54"/>
    <n v="39.434999999999988"/>
    <n v="0.2528289790030453"/>
    <x v="1"/>
    <s v="Wrong Item"/>
    <d v="2025-09-01T00:00:00"/>
    <s v="Pending"/>
    <x v="0"/>
    <d v="2025-08-12T00:00:00"/>
  </r>
  <r>
    <x v="395"/>
    <s v="ORD-00161"/>
    <d v="2025-08-10T00:00:00"/>
    <s v="C0116"/>
    <s v="Sofia Dubois, Winnipeg, Consumer"/>
    <s v="Sofia Dubois"/>
    <s v="Winnipeg"/>
    <s v="Consumer"/>
    <n v="2"/>
    <s v="P037"/>
    <n v="2"/>
    <n v="236.51"/>
    <n v="0.05"/>
    <s v="Retail  Store"/>
    <s v="Retail Store"/>
    <s v="Credit Card"/>
    <s v="Credit Card"/>
    <s v="Montreal Central"/>
    <s v="Manitoba"/>
    <s v="Consumer"/>
    <n v="142.84"/>
    <x v="0"/>
    <n v="473.02"/>
    <n v="23.651"/>
    <n v="449.36899999999997"/>
    <n v="285.68"/>
    <n v="163.68899999999996"/>
    <n v="0.36426411256673241"/>
    <x v="0"/>
    <s v=""/>
    <s v=""/>
    <s v=""/>
    <x v="0"/>
    <d v="2025-08-12T00:00:00"/>
  </r>
  <r>
    <x v="396"/>
    <s v="ORD-00161"/>
    <d v="2025-08-10T00:00:00"/>
    <s v="C0116"/>
    <s v="Sofia Dubois, Winnipeg, Consumer"/>
    <s v="Sofia Dubois"/>
    <s v="Winnipeg"/>
    <s v="Consumer"/>
    <n v="2"/>
    <s v="P020"/>
    <n v="1"/>
    <n v="56.99"/>
    <n v="0"/>
    <s v="Market place"/>
    <s v="Marketplace"/>
    <s v="CC"/>
    <s v="Credit Card"/>
    <s v="Vancouver West"/>
    <s v="Manitoba"/>
    <s v="Consumer"/>
    <n v="33.65"/>
    <x v="4"/>
    <n v="56.99"/>
    <n v="0"/>
    <n v="56.99"/>
    <n v="33.65"/>
    <n v="23.340000000000003"/>
    <n v="0.40954553430426394"/>
    <x v="0"/>
    <s v=""/>
    <s v=""/>
    <s v=""/>
    <x v="0"/>
    <d v="2025-08-12T00:00:00"/>
  </r>
  <r>
    <x v="397"/>
    <s v="ORD-00162"/>
    <d v="2025-02-08T00:00:00"/>
    <s v="C0178"/>
    <s v="Daniel Johnson, Edmonton, Corporate"/>
    <s v="Daniel Johnson"/>
    <s v="Edmonton"/>
    <s v="Corporate"/>
    <n v="2"/>
    <s v="P042"/>
    <n v="2"/>
    <n v="102.78"/>
    <n v="0"/>
    <s v="Online"/>
    <s v="Online"/>
    <s v="CC"/>
    <s v="Credit Card"/>
    <s v="Vancouver West"/>
    <s v="Alberta"/>
    <s v="Corporate"/>
    <n v="62.65"/>
    <x v="1"/>
    <n v="205.56"/>
    <n v="0"/>
    <n v="205.56"/>
    <n v="125.3"/>
    <n v="80.260000000000005"/>
    <n v="0.39044561198676786"/>
    <x v="0"/>
    <s v=""/>
    <s v=""/>
    <s v=""/>
    <x v="1"/>
    <d v="2025-02-15T00:00:00"/>
  </r>
  <r>
    <x v="398"/>
    <s v="ORD-00162"/>
    <d v="2025-02-08T00:00:00"/>
    <s v="C0178"/>
    <s v="Daniel Johnson, Edmonton, Corporate"/>
    <s v="Daniel Johnson"/>
    <s v="Edmonton"/>
    <s v="Corporate"/>
    <n v="2"/>
    <s v="P026"/>
    <n v="1"/>
    <n v="228.91"/>
    <n v="0"/>
    <s v="Online"/>
    <s v="Online"/>
    <m/>
    <s v="Unknown"/>
    <s v="Toronto Downtown"/>
    <s v="Alberta"/>
    <s v="Corporate"/>
    <n v="149.4"/>
    <x v="2"/>
    <n v="228.91"/>
    <n v="0"/>
    <n v="228.91"/>
    <n v="149.4"/>
    <n v="79.509999999999991"/>
    <n v="0.34734175003276391"/>
    <x v="0"/>
    <s v=""/>
    <s v=""/>
    <s v=""/>
    <x v="1"/>
    <d v="2025-02-15T00:00:00"/>
  </r>
  <r>
    <x v="399"/>
    <s v="ORD-00163"/>
    <d v="2025-09-28T00:00:00"/>
    <s v="C0157"/>
    <s v="Daniel Martin, Edmonton, Consumer"/>
    <s v="Daniel Martin"/>
    <s v="Edmonton"/>
    <s v="Consumer"/>
    <n v="2"/>
    <s v="P011"/>
    <n v="1"/>
    <n v="275.76"/>
    <n v="0"/>
    <s v="Online"/>
    <s v="Online"/>
    <s v="CC"/>
    <s v="Credit Card"/>
    <s v="Vancouver West"/>
    <s v="Alberta"/>
    <s v="Consumer"/>
    <n v="156.97"/>
    <x v="4"/>
    <n v="275.76"/>
    <n v="0"/>
    <n v="275.76"/>
    <n v="156.97"/>
    <n v="118.78999999999999"/>
    <n v="0.43077313606034229"/>
    <x v="0"/>
    <s v=""/>
    <s v=""/>
    <s v=""/>
    <x v="1"/>
    <d v="2025-10-08T00:00:00"/>
  </r>
  <r>
    <x v="400"/>
    <s v="ORD-00163"/>
    <d v="2025-09-28T00:00:00"/>
    <s v="C0157"/>
    <s v="Daniel Martin, Edmonton, Consumer"/>
    <s v="Daniel Martin"/>
    <s v="Edmonton"/>
    <s v="Consumer"/>
    <n v="2"/>
    <s v="P016"/>
    <n v="1"/>
    <n v="103.3"/>
    <n v="0"/>
    <s v="Market place"/>
    <s v="Marketplace"/>
    <s v="Gift Card"/>
    <s v="Gift Card"/>
    <s v="Toronto Downtown"/>
    <s v="Alberta"/>
    <s v="Consumer"/>
    <n v="70.180000000000007"/>
    <x v="4"/>
    <n v="103.3"/>
    <n v="0"/>
    <n v="103.3"/>
    <n v="70.180000000000007"/>
    <n v="33.11999999999999"/>
    <n v="0.32061955469506281"/>
    <x v="0"/>
    <s v=""/>
    <s v=""/>
    <s v=""/>
    <x v="1"/>
    <d v="2025-10-08T00:00:00"/>
  </r>
  <r>
    <x v="401"/>
    <s v="ORD-00164"/>
    <d v="2025-09-30T00:00:00"/>
    <s v="C0010"/>
    <s v="Sofia Ali, Quebec City, Consumer"/>
    <s v="Sofia Ali"/>
    <s v="Quebec City"/>
    <s v="Consumer"/>
    <n v="2"/>
    <s v="P025"/>
    <n v="2"/>
    <n v="115.28"/>
    <n v="0.15"/>
    <s v="Retail  Store"/>
    <s v="Retail Store"/>
    <s v="Debit Card"/>
    <s v="Debit Card"/>
    <s v="Calgary North"/>
    <s v="Quebec"/>
    <s v="Consumer"/>
    <n v="61.65"/>
    <x v="2"/>
    <n v="230.56"/>
    <n v="34.583999999999996"/>
    <n v="195.976"/>
    <n v="123.3"/>
    <n v="72.676000000000002"/>
    <n v="0.37084132750949095"/>
    <x v="0"/>
    <s v=""/>
    <s v=""/>
    <s v=""/>
    <x v="0"/>
    <d v="2025-10-01T00:00:00"/>
  </r>
  <r>
    <x v="402"/>
    <s v="ORD-00164"/>
    <d v="2025-09-30T00:00:00"/>
    <s v="C0010"/>
    <s v="Sofia Ali, Quebec City, Consumer"/>
    <s v="Sofia Ali"/>
    <s v="Quebec City"/>
    <s v="Consumer"/>
    <n v="2"/>
    <s v="P004"/>
    <n v="4"/>
    <n v="195.38"/>
    <n v="0"/>
    <s v="Online"/>
    <s v="Online"/>
    <s v="Credit Card"/>
    <s v="Credit Card"/>
    <s v="Calgary North"/>
    <s v="Quebec"/>
    <s v="Consumer"/>
    <n v="114.29"/>
    <x v="3"/>
    <n v="781.52"/>
    <n v="0"/>
    <n v="781.52"/>
    <n v="457.16"/>
    <n v="324.35999999999996"/>
    <n v="0.41503736308731698"/>
    <x v="0"/>
    <s v=""/>
    <s v=""/>
    <s v=""/>
    <x v="0"/>
    <d v="2025-10-01T00:00:00"/>
  </r>
  <r>
    <x v="403"/>
    <s v="ORD-00165"/>
    <d v="2025-06-13T00:00:00"/>
    <s v="C0089"/>
    <s v="Omar Gagnon, Winnipeg, Small Business"/>
    <s v="Omar Gagnon"/>
    <s v="Winnipeg"/>
    <s v="Small Business"/>
    <n v="2"/>
    <s v="P001"/>
    <n v="2"/>
    <n v="133.24"/>
    <n v="0.15"/>
    <s v="Online"/>
    <s v="Online"/>
    <s v="PayPal"/>
    <s v="PayPal"/>
    <s v="Toronto Downtown"/>
    <s v="Manitoba"/>
    <s v="Small Business"/>
    <n v="77.540000000000006"/>
    <x v="3"/>
    <n v="266.48"/>
    <n v="39.972000000000001"/>
    <n v="226.50800000000001"/>
    <n v="155.08000000000001"/>
    <n v="71.427999999999997"/>
    <n v="0.3153442704010454"/>
    <x v="0"/>
    <s v=""/>
    <s v=""/>
    <s v=""/>
    <x v="1"/>
    <d v="2025-06-22T00:00:00"/>
  </r>
  <r>
    <x v="404"/>
    <s v="ORD-00165"/>
    <d v="2025-06-13T00:00:00"/>
    <s v="C0089"/>
    <s v="Omar Gagnon, Winnipeg, Small Business"/>
    <s v="Omar Gagnon"/>
    <s v="Winnipeg"/>
    <s v="Small Business"/>
    <n v="2"/>
    <s v="P040"/>
    <n v="2"/>
    <n v="33.369999999999997"/>
    <n v="0.15"/>
    <s v="Retail Store"/>
    <s v="Retail Store"/>
    <s v="PayPal"/>
    <s v="PayPal"/>
    <s v="Montreal Central"/>
    <s v="Manitoba"/>
    <s v="Small Business"/>
    <n v="18.670000000000002"/>
    <x v="0"/>
    <n v="66.739999999999995"/>
    <n v="10.010999999999999"/>
    <n v="56.728999999999999"/>
    <n v="37.340000000000003"/>
    <n v="19.388999999999996"/>
    <n v="0.34178286238079281"/>
    <x v="0"/>
    <s v=""/>
    <s v=""/>
    <s v=""/>
    <x v="1"/>
    <d v="2025-06-22T00:00:00"/>
  </r>
  <r>
    <x v="405"/>
    <s v="ORD-00165"/>
    <d v="2025-06-13T00:00:00"/>
    <s v="C0089"/>
    <s v="Omar Gagnon, Winnipeg, Small Business"/>
    <s v="Omar Gagnon"/>
    <s v="Winnipeg"/>
    <s v="Small Business"/>
    <n v="2"/>
    <s v="P004"/>
    <n v="3"/>
    <n v="195.38"/>
    <n v="0.1"/>
    <s v="Online"/>
    <s v="Online"/>
    <s v="Debit Card"/>
    <s v="Debit Card"/>
    <s v="Toronto Downtown"/>
    <s v="Manitoba"/>
    <s v="Small Business"/>
    <n v="114.29"/>
    <x v="3"/>
    <n v="586.14"/>
    <n v="58.614000000000004"/>
    <n v="527.52599999999995"/>
    <n v="342.87"/>
    <n v="184.65599999999995"/>
    <n v="0.35004151454146332"/>
    <x v="0"/>
    <s v=""/>
    <s v=""/>
    <s v=""/>
    <x v="1"/>
    <d v="2025-06-22T00:00:00"/>
  </r>
  <r>
    <x v="406"/>
    <s v="ORD-00166"/>
    <d v="2025-01-22T00:00:00"/>
    <s v="C0078"/>
    <s v="Sofia Tremblay, Calgary, Corporate"/>
    <s v="Sofia Tremblay"/>
    <s v="Calgary"/>
    <s v="Corporate"/>
    <n v="2"/>
    <s v="P007"/>
    <n v="3"/>
    <n v="25.15"/>
    <n v="0.05"/>
    <s v="Market place"/>
    <s v="Marketplace"/>
    <s v="PayPal"/>
    <s v="PayPal"/>
    <s v="Montreal Central"/>
    <s v="Alberta"/>
    <s v="Corporate"/>
    <n v="14.24"/>
    <x v="3"/>
    <n v="75.449999999999989"/>
    <n v="3.7724999999999995"/>
    <n v="71.677499999999995"/>
    <n v="42.72"/>
    <n v="28.957499999999996"/>
    <n v="0.403997070210317"/>
    <x v="0"/>
    <s v=""/>
    <s v=""/>
    <s v=""/>
    <x v="0"/>
    <d v="2025-01-26T00:00:00"/>
  </r>
  <r>
    <x v="407"/>
    <s v="ORD-00167"/>
    <d v="2025-09-02T00:00:00"/>
    <s v="C0051"/>
    <s v="Emma Tremblay, Calgary, Consumer"/>
    <s v="Emma Tremblay"/>
    <s v="Calgary"/>
    <s v="Consumer"/>
    <n v="2"/>
    <s v="P004"/>
    <n v="1"/>
    <n v="195.38"/>
    <n v="0.15"/>
    <s v="Market place"/>
    <s v="Marketplace"/>
    <s v="Credit Card"/>
    <s v="Credit Card"/>
    <s v="Montreal Central"/>
    <s v="Alberta"/>
    <s v="Consumer"/>
    <n v="114.29"/>
    <x v="3"/>
    <n v="195.38"/>
    <n v="29.306999999999999"/>
    <n v="166.07300000000001"/>
    <n v="114.29"/>
    <n v="51.783000000000001"/>
    <n v="0.31180866245566707"/>
    <x v="1"/>
    <s v="Changed Mind"/>
    <d v="2025-09-26T00:00:00"/>
    <s v="Refunded"/>
    <x v="1"/>
    <d v="2025-09-08T00:00:00"/>
  </r>
  <r>
    <x v="408"/>
    <s v="ORD-00168"/>
    <d v="2025-12-09T00:00:00"/>
    <s v="C0180"/>
    <s v="Yara Dubois, Quebec City, Small Business"/>
    <s v="Yara Dubois"/>
    <s v="Quebec City"/>
    <s v="Small Business"/>
    <n v="2"/>
    <s v="P013"/>
    <n v="3"/>
    <n v="207.71"/>
    <n v="0.15"/>
    <s v="Online"/>
    <s v="Online"/>
    <s v="CC"/>
    <s v="Credit Card"/>
    <s v="Vancouver West"/>
    <s v="Quebec"/>
    <s v="Small Business"/>
    <n v="132.97"/>
    <x v="4"/>
    <n v="623.13"/>
    <n v="93.469499999999996"/>
    <n v="529.66049999999996"/>
    <n v="398.90999999999997"/>
    <n v="130.75049999999999"/>
    <n v="0.24685718493261249"/>
    <x v="0"/>
    <s v=""/>
    <s v=""/>
    <s v=""/>
    <x v="1"/>
    <d v="2025-12-15T00:00:00"/>
  </r>
  <r>
    <x v="409"/>
    <s v="ORD-00169"/>
    <d v="2025-04-23T00:00:00"/>
    <s v="C0046"/>
    <s v="Ethan Martin, Montreal, Consumer"/>
    <s v="Ethan Martin"/>
    <s v="Montreal"/>
    <s v="Consumer"/>
    <n v="2"/>
    <s v="P046"/>
    <n v="4"/>
    <n v="180.37"/>
    <n v="0"/>
    <s v="Online"/>
    <s v="Online"/>
    <s v="Gift Card"/>
    <s v="Gift Card"/>
    <s v="Toronto Downtown"/>
    <s v="Quebec"/>
    <s v="Consumer"/>
    <n v="107.55"/>
    <x v="1"/>
    <n v="721.48"/>
    <n v="0"/>
    <n v="721.48"/>
    <n v="430.2"/>
    <n v="291.28000000000003"/>
    <n v="0.40372567500138606"/>
    <x v="0"/>
    <s v=""/>
    <s v=""/>
    <s v=""/>
    <x v="1"/>
    <d v="2025-04-30T00:00:00"/>
  </r>
  <r>
    <x v="410"/>
    <s v="ORD-00170"/>
    <d v="2025-05-23T00:00:00"/>
    <s v="C0073"/>
    <s v="Amina Tremblay, Vancouver, Corporate"/>
    <s v="Amina Tremblay"/>
    <s v="Vancouver"/>
    <s v="Corporate"/>
    <n v="2"/>
    <s v="P012"/>
    <n v="4"/>
    <n v="186.92"/>
    <n v="0.1"/>
    <s v="Online"/>
    <s v="Online"/>
    <s v="Debit Card"/>
    <s v="Debit Card"/>
    <s v="Vancouver West"/>
    <s v="British Columbia"/>
    <s v="Corporate"/>
    <n v="114.11"/>
    <x v="4"/>
    <n v="747.68"/>
    <n v="74.768000000000001"/>
    <n v="672.91199999999992"/>
    <n v="456.44"/>
    <n v="216.47199999999992"/>
    <n v="0.32169436716836669"/>
    <x v="0"/>
    <s v=""/>
    <s v=""/>
    <s v=""/>
    <x v="0"/>
    <d v="2025-05-28T00:00:00"/>
  </r>
  <r>
    <x v="411"/>
    <s v="ORD-00170"/>
    <d v="2025-05-23T00:00:00"/>
    <s v="C0073"/>
    <s v="Amina Tremblay, Vancouver, Corporate"/>
    <s v="Amina Tremblay"/>
    <s v="Vancouver"/>
    <s v="Corporate"/>
    <n v="2"/>
    <s v="P036"/>
    <n v="1"/>
    <n v="210.2"/>
    <n v="0"/>
    <s v="Marketplace"/>
    <s v="Marketplace"/>
    <s v="PayPal"/>
    <s v="PayPal"/>
    <s v="Online Fulfillment"/>
    <s v="British Columbia"/>
    <s v="Corporate"/>
    <n v="136.25"/>
    <x v="0"/>
    <n v="210.2"/>
    <n v="0"/>
    <n v="210.2"/>
    <n v="136.25"/>
    <n v="73.949999999999989"/>
    <n v="0.35180780209324447"/>
    <x v="0"/>
    <s v=""/>
    <s v=""/>
    <s v=""/>
    <x v="0"/>
    <d v="2025-05-28T00:00:00"/>
  </r>
  <r>
    <x v="412"/>
    <s v="ORD-00170"/>
    <d v="2025-05-23T00:00:00"/>
    <s v="C0073"/>
    <s v="Amina Tremblay, Vancouver, Corporate"/>
    <s v="Amina Tremblay"/>
    <s v="Vancouver"/>
    <s v="Corporate"/>
    <n v="2"/>
    <s v="P048"/>
    <n v="3"/>
    <n v="287.16000000000003"/>
    <n v="0.1"/>
    <s v="Marketplace"/>
    <s v="Marketplace"/>
    <s v="Credit Card"/>
    <s v="Credit Card"/>
    <s v="Online Fulfillment"/>
    <s v="British Columbia"/>
    <s v="Corporate"/>
    <n v="148.21"/>
    <x v="1"/>
    <n v="861.48"/>
    <n v="86.14800000000001"/>
    <n v="775.33199999999999"/>
    <n v="444.63"/>
    <n v="330.702"/>
    <n v="0.42652953831390938"/>
    <x v="0"/>
    <s v=""/>
    <s v=""/>
    <s v=""/>
    <x v="0"/>
    <d v="2025-05-28T00:00:00"/>
  </r>
  <r>
    <x v="413"/>
    <s v="ORD-00171"/>
    <d v="2025-04-01T01:00:00"/>
    <s v="C0047"/>
    <s v="Emma Gagnon, Quebec City, Consumer"/>
    <s v="Emma Gagnon"/>
    <s v="Quebec City"/>
    <s v="Consumer"/>
    <n v="2"/>
    <s v="P032"/>
    <n v="4"/>
    <n v="214.38"/>
    <n v="0.1"/>
    <s v="Retail  Store"/>
    <s v="Retail Store"/>
    <s v="Gift Card"/>
    <s v="Gift Card"/>
    <s v="Calgary North"/>
    <s v="Quebec"/>
    <s v="Consumer"/>
    <n v="131.51"/>
    <x v="0"/>
    <n v="857.52"/>
    <n v="85.75200000000001"/>
    <n v="771.76800000000003"/>
    <n v="526.04"/>
    <n v="245.72800000000007"/>
    <n v="0.31839620196743068"/>
    <x v="0"/>
    <s v=""/>
    <s v=""/>
    <s v=""/>
    <x v="1"/>
    <d v="2025-04-11T00:00:00"/>
  </r>
  <r>
    <x v="414"/>
    <s v="ORD-00172"/>
    <d v="2025-05-01T00:00:00"/>
    <s v="C0011"/>
    <s v="Liam Wilson, Montreal, Small Business"/>
    <s v="Liam Wilson"/>
    <s v="Montreal"/>
    <s v="Small Business"/>
    <n v="2"/>
    <s v="P006"/>
    <n v="1"/>
    <n v="88.61"/>
    <n v="0.1"/>
    <s v="Online"/>
    <s v="Online"/>
    <s v="PayPal"/>
    <s v="PayPal"/>
    <s v="Calgary North"/>
    <s v="Quebec"/>
    <s v="Small Business"/>
    <n v="49.75"/>
    <x v="3"/>
    <n v="88.61"/>
    <n v="8.8610000000000007"/>
    <n v="79.748999999999995"/>
    <n v="49.75"/>
    <n v="29.998999999999995"/>
    <n v="0.37616772624108136"/>
    <x v="1"/>
    <s v="Late Delivery"/>
    <d v="2025-05-12T00:00:00"/>
    <s v="Refunded"/>
    <x v="0"/>
    <d v="2025-05-02T00:00:00"/>
  </r>
  <r>
    <x v="415"/>
    <s v="ORD-00172"/>
    <d v="2025-05-01T00:00:00"/>
    <s v="C0011"/>
    <s v="Liam Wilson, Montreal, Small Business"/>
    <s v="Liam Wilson"/>
    <s v="Montreal"/>
    <s v="Small Business"/>
    <n v="2"/>
    <s v="P023"/>
    <n v="1"/>
    <n v="82.77"/>
    <n v="0.1"/>
    <s v="Online"/>
    <s v="Online"/>
    <s v="Gift Card"/>
    <s v="Gift Card"/>
    <s v="Calgary North"/>
    <s v="Quebec"/>
    <s v="Small Business"/>
    <n v="46.51"/>
    <x v="2"/>
    <n v="82.77"/>
    <n v="8.2769999999999992"/>
    <n v="74.492999999999995"/>
    <n v="46.51"/>
    <n v="27.982999999999997"/>
    <n v="0.37564603385553003"/>
    <x v="0"/>
    <s v=""/>
    <s v=""/>
    <s v=""/>
    <x v="0"/>
    <d v="2025-05-02T00:00:00"/>
  </r>
  <r>
    <x v="416"/>
    <s v="ORD-00172"/>
    <d v="2025-05-01T00:00:00"/>
    <s v="C0011"/>
    <s v="Liam Wilson, Montreal, Small Business"/>
    <s v="Liam Wilson"/>
    <s v="Montreal"/>
    <s v="Small Business"/>
    <n v="2"/>
    <s v="P020"/>
    <n v="3"/>
    <n v="56.99"/>
    <n v="0.15"/>
    <s v="Retail  Store"/>
    <s v="Retail Store"/>
    <s v="Credit Card"/>
    <s v="Credit Card"/>
    <s v="Vancouver West"/>
    <s v="Quebec"/>
    <s v="Small Business"/>
    <n v="33.65"/>
    <x v="4"/>
    <n v="170.97"/>
    <n v="25.645499999999998"/>
    <n v="145.3245"/>
    <n v="100.94999999999999"/>
    <n v="44.374500000000012"/>
    <n v="0.30534768741678114"/>
    <x v="0"/>
    <s v=""/>
    <s v=""/>
    <s v=""/>
    <x v="0"/>
    <d v="2025-05-02T00:00:00"/>
  </r>
  <r>
    <x v="417"/>
    <s v="ORD-00173"/>
    <d v="2025-01-28T00:00:00"/>
    <s v="C0162"/>
    <s v="Sara Singh, Vancouver, Small Business"/>
    <s v="Sara Singh"/>
    <s v="Vancouver"/>
    <s v="Small Business"/>
    <n v="2"/>
    <s v="P001"/>
    <n v="1"/>
    <n v="133.24"/>
    <n v="0.15"/>
    <s v="Online"/>
    <s v="Online"/>
    <s v="Debit Card"/>
    <s v="Debit Card"/>
    <s v="Toronto Downtown"/>
    <s v="British Columbia"/>
    <s v="Small Business"/>
    <n v="77.540000000000006"/>
    <x v="3"/>
    <n v="133.24"/>
    <n v="19.986000000000001"/>
    <n v="113.254"/>
    <n v="77.540000000000006"/>
    <n v="35.713999999999999"/>
    <n v="0.3153442704010454"/>
    <x v="0"/>
    <s v=""/>
    <s v=""/>
    <s v=""/>
    <x v="1"/>
    <d v="2025-02-06T00:00:00"/>
  </r>
  <r>
    <x v="418"/>
    <s v="ORD-00173"/>
    <d v="2025-01-28T00:00:00"/>
    <s v="C0162"/>
    <s v="Sara Singh, Vancouver, Small Business"/>
    <s v="Sara Singh"/>
    <s v="Vancouver"/>
    <s v="Small Business"/>
    <n v="2"/>
    <s v="P049"/>
    <n v="3"/>
    <n v="300.56"/>
    <n v="0.15"/>
    <s v="Market place"/>
    <s v="Marketplace"/>
    <s v="Credit Card"/>
    <s v="Credit Card"/>
    <s v="Online Fulfillment"/>
    <s v="British Columbia"/>
    <s v="Small Business"/>
    <n v="158.86000000000001"/>
    <x v="1"/>
    <n v="901.68000000000006"/>
    <n v="135.25200000000001"/>
    <n v="766.42800000000011"/>
    <n v="476.58000000000004"/>
    <n v="289.84800000000007"/>
    <n v="0.37818033787909633"/>
    <x v="0"/>
    <s v=""/>
    <s v=""/>
    <s v=""/>
    <x v="1"/>
    <d v="2025-02-06T00:00:00"/>
  </r>
  <r>
    <x v="419"/>
    <s v="ORD-00174"/>
    <d v="2025-11-26T00:00:00"/>
    <s v="C0103"/>
    <s v="Daniel Wilson, Victoria, Consumer"/>
    <s v="Daniel Wilson"/>
    <s v="Victoria"/>
    <s v="Consumer"/>
    <n v="2"/>
    <s v="P041"/>
    <n v="4"/>
    <n v="238.47"/>
    <n v="0"/>
    <s v="Marketplace"/>
    <s v="Marketplace"/>
    <s v="Gift Card"/>
    <s v="Gift Card"/>
    <s v="Vancouver West"/>
    <s v="British Columbia"/>
    <s v="Consumer"/>
    <n v="127.65"/>
    <x v="1"/>
    <n v="953.88"/>
    <n v="0"/>
    <n v="953.88"/>
    <n v="510.6"/>
    <n v="443.28"/>
    <n v="0.46471254245817079"/>
    <x v="0"/>
    <s v=""/>
    <s v=""/>
    <s v=""/>
    <x v="1"/>
    <d v="2025-12-04T00:00:00"/>
  </r>
  <r>
    <x v="420"/>
    <s v="ORD-00174"/>
    <d v="2025-11-26T00:00:00"/>
    <s v="C0103"/>
    <s v="Daniel Wilson, Victoria, Consumer"/>
    <s v="Daniel Wilson"/>
    <s v="Victoria"/>
    <s v="Consumer"/>
    <n v="2"/>
    <s v="P038"/>
    <n v="1"/>
    <n v="182.94"/>
    <n v="0.15"/>
    <s v="Retail  Store"/>
    <s v="Retail Store"/>
    <s v="PayPal"/>
    <s v="PayPal"/>
    <s v="Toronto Downtown"/>
    <s v="British Columbia"/>
    <s v="Consumer"/>
    <n v="118.95"/>
    <x v="0"/>
    <n v="182.94"/>
    <n v="27.440999999999999"/>
    <n v="155.499"/>
    <n v="118.95"/>
    <n v="36.548999999999992"/>
    <n v="0.23504331217564095"/>
    <x v="0"/>
    <s v=""/>
    <s v=""/>
    <s v=""/>
    <x v="1"/>
    <d v="2025-12-04T00:00:00"/>
  </r>
  <r>
    <x v="421"/>
    <s v="ORD-00175"/>
    <d v="2025-10-29T00:00:00"/>
    <s v="C0034"/>
    <s v="Omar Brown, Halifax, Consumer"/>
    <s v="Omar Brown"/>
    <s v="Halifax"/>
    <s v="Consumer"/>
    <n v="2"/>
    <s v="P016"/>
    <n v="3"/>
    <n v="103.3"/>
    <n v="0"/>
    <s v="Market place"/>
    <s v="Marketplace"/>
    <s v="Credit Card"/>
    <s v="Credit Card"/>
    <s v="Online Fulfillment"/>
    <s v="Nova Scotia"/>
    <s v="Consumer"/>
    <n v="70.180000000000007"/>
    <x v="4"/>
    <n v="309.89999999999998"/>
    <n v="0"/>
    <n v="309.89999999999998"/>
    <n v="210.54000000000002"/>
    <n v="99.359999999999957"/>
    <n v="0.32061955469506281"/>
    <x v="1"/>
    <s v="Wrong Item"/>
    <d v="2025-11-09T00:00:00"/>
    <s v="Refunded"/>
    <x v="0"/>
    <d v="2025-11-02T00:00:00"/>
  </r>
  <r>
    <x v="422"/>
    <s v="ORD-00175"/>
    <d v="2025-10-29T00:00:00"/>
    <s v="C0034"/>
    <s v="Omar Brown, Halifax, Consumer"/>
    <s v="Omar Brown"/>
    <s v="Halifax"/>
    <s v="Consumer"/>
    <n v="2"/>
    <s v="P021"/>
    <n v="3"/>
    <n v="25.01"/>
    <n v="0"/>
    <s v="Market place"/>
    <s v="Marketplace"/>
    <s v="Debit Card"/>
    <s v="Debit Card"/>
    <s v="Toronto Downtown"/>
    <s v="Nova Scotia"/>
    <s v="Consumer"/>
    <n v="16.86"/>
    <x v="2"/>
    <n v="75.03"/>
    <n v="0"/>
    <n v="75.03"/>
    <n v="50.58"/>
    <n v="24.450000000000003"/>
    <n v="0.32586965213914437"/>
    <x v="0"/>
    <s v=""/>
    <s v=""/>
    <s v=""/>
    <x v="0"/>
    <d v="2025-11-02T00:00:00"/>
  </r>
  <r>
    <x v="423"/>
    <s v="ORD-00176"/>
    <d v="2025-08-12T00:00:00"/>
    <s v="C0133"/>
    <s v="Emma Singh, Toronto, Consumer"/>
    <s v="Emma Singh"/>
    <s v="Toronto"/>
    <s v="Consumer"/>
    <n v="2"/>
    <s v="P019"/>
    <n v="3"/>
    <n v="183.73"/>
    <n v="0.1"/>
    <s v="Retail Store"/>
    <s v="Retail Store"/>
    <s v="PayPal"/>
    <s v="PayPal"/>
    <s v="Montreal Central"/>
    <s v="Ontario"/>
    <s v="Consumer"/>
    <n v="98.11"/>
    <x v="4"/>
    <n v="551.18999999999994"/>
    <n v="55.119"/>
    <n v="496.07099999999991"/>
    <n v="294.33"/>
    <n v="201.74099999999993"/>
    <n v="0.40667767315565706"/>
    <x v="0"/>
    <s v=""/>
    <s v=""/>
    <s v=""/>
    <x v="0"/>
    <d v="2025-08-17T00:00:00"/>
  </r>
  <r>
    <x v="424"/>
    <s v="ORD-00176"/>
    <d v="2025-08-12T00:00:00"/>
    <s v="C0133"/>
    <s v="Emma Singh, Toronto, Consumer"/>
    <s v="Emma Singh"/>
    <s v="Toronto"/>
    <s v="Consumer"/>
    <n v="2"/>
    <s v="P031"/>
    <n v="4"/>
    <n v="208.81"/>
    <n v="0.05"/>
    <s v="Retail Store"/>
    <s v="Retail Store"/>
    <s v="CC"/>
    <s v="Credit Card"/>
    <s v="Online Fulfillment"/>
    <s v="Ontario"/>
    <s v="Consumer"/>
    <n v="139.04"/>
    <x v="0"/>
    <n v="835.24"/>
    <n v="41.762"/>
    <n v="793.47800000000007"/>
    <n v="556.16"/>
    <n v="237.3180000000001"/>
    <n v="0.29908579695971416"/>
    <x v="0"/>
    <s v=""/>
    <s v=""/>
    <s v=""/>
    <x v="0"/>
    <d v="2025-08-17T00:00:00"/>
  </r>
  <r>
    <x v="425"/>
    <s v="ORD-00176"/>
    <d v="2025-08-12T00:00:00"/>
    <s v="C0133"/>
    <s v="Emma Singh, Toronto, Consumer"/>
    <s v="Emma Singh"/>
    <s v="Toronto"/>
    <s v="Consumer"/>
    <n v="2"/>
    <s v="P043"/>
    <n v="1"/>
    <n v="96.33"/>
    <n v="0.05"/>
    <s v="Market place"/>
    <s v="Marketplace"/>
    <s v="Debit Card"/>
    <s v="Debit Card"/>
    <s v="Toronto Downtown"/>
    <s v="Ontario"/>
    <s v="Consumer"/>
    <n v="57.85"/>
    <x v="1"/>
    <n v="96.33"/>
    <n v="4.8165000000000004"/>
    <n v="91.513499999999993"/>
    <n v="57.85"/>
    <n v="33.663499999999992"/>
    <n v="0.36785283045670852"/>
    <x v="0"/>
    <s v=""/>
    <s v=""/>
    <s v=""/>
    <x v="0"/>
    <d v="2025-08-17T00:00:00"/>
  </r>
  <r>
    <x v="426"/>
    <s v="ORD-00176"/>
    <d v="2025-08-12T00:00:00"/>
    <s v="C0133"/>
    <s v="Emma Singh, Toronto, Consumer"/>
    <s v="Emma Singh"/>
    <s v="Toronto"/>
    <s v="Consumer"/>
    <n v="2"/>
    <s v="P041"/>
    <n v="3"/>
    <n v="238.47"/>
    <n v="0"/>
    <s v="Marketplace"/>
    <s v="Marketplace"/>
    <s v="PayPal"/>
    <s v="PayPal"/>
    <s v="Calgary North"/>
    <s v="Ontario"/>
    <s v="Consumer"/>
    <n v="127.65"/>
    <x v="1"/>
    <n v="715.41"/>
    <n v="0"/>
    <n v="715.41"/>
    <n v="382.95000000000005"/>
    <n v="332.45999999999992"/>
    <n v="0.46471254245817073"/>
    <x v="0"/>
    <s v=""/>
    <s v=""/>
    <s v=""/>
    <x v="0"/>
    <d v="2025-08-17T00:00:00"/>
  </r>
  <r>
    <x v="427"/>
    <s v="ORD-00177"/>
    <d v="2025-10-18T00:00:00"/>
    <s v="C0075"/>
    <s v="Sara Tremblay, Winnipeg, Corporate"/>
    <s v="Sara Tremblay"/>
    <s v="Winnipeg"/>
    <s v="Corporate"/>
    <n v="2"/>
    <s v="P046"/>
    <n v="4"/>
    <n v="180.37"/>
    <n v="0"/>
    <s v="Marketplace"/>
    <s v="Marketplace"/>
    <s v="Debit Card"/>
    <s v="Debit Card"/>
    <s v="Montreal Central"/>
    <s v="Manitoba"/>
    <s v="Corporate"/>
    <n v="107.55"/>
    <x v="1"/>
    <n v="721.48"/>
    <n v="0"/>
    <n v="721.48"/>
    <n v="430.2"/>
    <n v="291.28000000000003"/>
    <n v="0.40372567500138606"/>
    <x v="1"/>
    <s v="Wrong Item"/>
    <d v="2025-11-14T00:00:00"/>
    <s v="Refunded"/>
    <x v="1"/>
    <d v="2025-10-27T00:00:00"/>
  </r>
  <r>
    <x v="428"/>
    <s v="ORD-00177"/>
    <d v="2025-10-18T00:00:00"/>
    <s v="C0075"/>
    <s v="Sara Tremblay, Winnipeg, Corporate"/>
    <s v="Sara Tremblay"/>
    <s v="Winnipeg"/>
    <s v="Corporate"/>
    <n v="2"/>
    <s v="P001"/>
    <n v="1"/>
    <n v="133.24"/>
    <n v="0.15"/>
    <s v="Retail Store"/>
    <s v="Retail Store"/>
    <s v="Credit Card"/>
    <s v="Credit Card"/>
    <s v="Toronto Downtown"/>
    <s v="Manitoba"/>
    <s v="Corporate"/>
    <n v="77.540000000000006"/>
    <x v="3"/>
    <n v="133.24"/>
    <n v="19.986000000000001"/>
    <n v="113.254"/>
    <n v="77.540000000000006"/>
    <n v="35.713999999999999"/>
    <n v="0.3153442704010454"/>
    <x v="0"/>
    <s v=""/>
    <s v=""/>
    <s v=""/>
    <x v="1"/>
    <d v="2025-10-27T00:00:00"/>
  </r>
  <r>
    <x v="429"/>
    <s v="ORD-00177"/>
    <d v="2025-10-18T00:00:00"/>
    <s v="C0075"/>
    <s v="Sara Tremblay, Winnipeg, Corporate"/>
    <s v="Sara Tremblay"/>
    <s v="Winnipeg"/>
    <s v="Corporate"/>
    <n v="2"/>
    <s v="P022"/>
    <n v="2"/>
    <n v="61.81"/>
    <n v="0"/>
    <s v="Retail Store"/>
    <s v="Retail Store"/>
    <s v="CC"/>
    <s v="Credit Card"/>
    <s v="Online Fulfillment"/>
    <s v="Manitoba"/>
    <s v="Corporate"/>
    <n v="33.19"/>
    <x v="2"/>
    <n v="123.62"/>
    <n v="0"/>
    <n v="123.62"/>
    <n v="66.38"/>
    <n v="57.240000000000009"/>
    <n v="0.46303187186539402"/>
    <x v="0"/>
    <s v=""/>
    <s v=""/>
    <s v=""/>
    <x v="1"/>
    <d v="2025-10-27T00:00:00"/>
  </r>
  <r>
    <x v="430"/>
    <s v="ORD-00177"/>
    <d v="2025-10-18T00:00:00"/>
    <s v="C0075"/>
    <s v="Sara Tremblay, Winnipeg, Corporate"/>
    <s v="Sara Tremblay"/>
    <s v="Winnipeg"/>
    <s v="Corporate"/>
    <n v="2"/>
    <s v="P050"/>
    <n v="4"/>
    <n v="34.909999999999997"/>
    <n v="0"/>
    <s v="Market place"/>
    <s v="Marketplace"/>
    <m/>
    <s v="Unknown"/>
    <s v="Vancouver West"/>
    <s v="Manitoba"/>
    <s v="Corporate"/>
    <n v="19.670000000000002"/>
    <x v="1"/>
    <n v="139.63999999999999"/>
    <n v="0"/>
    <n v="139.63999999999999"/>
    <n v="78.680000000000007"/>
    <n v="60.95999999999998"/>
    <n v="0.43655113148095093"/>
    <x v="0"/>
    <s v=""/>
    <s v=""/>
    <s v=""/>
    <x v="1"/>
    <d v="2025-10-27T00:00:00"/>
  </r>
  <r>
    <x v="431"/>
    <s v="ORD-00178"/>
    <d v="2025-02-18T00:00:00"/>
    <s v="C0057"/>
    <s v="Adam Ali, Toronto, Corporate"/>
    <s v="Adam Ali"/>
    <s v="Toronto"/>
    <s v="Corporate"/>
    <n v="2"/>
    <s v="P036"/>
    <n v="4"/>
    <n v="210.2"/>
    <n v="0"/>
    <s v="Market place"/>
    <s v="Marketplace"/>
    <s v="Gift Card"/>
    <s v="Gift Card"/>
    <s v="Toronto Downtown"/>
    <s v="Ontario"/>
    <s v="Corporate"/>
    <n v="136.25"/>
    <x v="0"/>
    <n v="840.8"/>
    <n v="0"/>
    <n v="840.8"/>
    <n v="545"/>
    <n v="295.79999999999995"/>
    <n v="0.35180780209324447"/>
    <x v="0"/>
    <s v=""/>
    <s v=""/>
    <s v=""/>
    <x v="1"/>
    <d v="2025-02-23T00:00:00"/>
  </r>
  <r>
    <x v="432"/>
    <s v="ORD-00178"/>
    <d v="2025-02-18T00:00:00"/>
    <s v="C0057"/>
    <s v="Adam Ali, Toronto, Corporate"/>
    <s v="Adam Ali"/>
    <s v="Toronto"/>
    <s v="Corporate"/>
    <n v="2"/>
    <s v="P032"/>
    <n v="4"/>
    <n v="214.38"/>
    <n v="0.05"/>
    <s v="Online"/>
    <s v="Online"/>
    <s v="Credit Card"/>
    <s v="Credit Card"/>
    <s v="Toronto Downtown"/>
    <s v="Ontario"/>
    <s v="Corporate"/>
    <n v="131.51"/>
    <x v="0"/>
    <n v="857.52"/>
    <n v="42.876000000000005"/>
    <n v="814.64400000000001"/>
    <n v="526.04"/>
    <n v="288.60400000000004"/>
    <n v="0.35427008607440802"/>
    <x v="1"/>
    <s v="Changed Mind"/>
    <d v="2025-03-12T01:00:00"/>
    <s v="Refunded"/>
    <x v="1"/>
    <d v="2025-02-23T00:00:00"/>
  </r>
  <r>
    <x v="433"/>
    <s v="ORD-00178"/>
    <d v="2025-02-18T00:00:00"/>
    <s v="C0057"/>
    <s v="Adam Ali, Toronto, Corporate"/>
    <s v="Adam Ali"/>
    <s v="Toronto"/>
    <s v="Corporate"/>
    <n v="2"/>
    <s v="P008"/>
    <n v="2"/>
    <n v="110.88"/>
    <n v="0.1"/>
    <s v="Online"/>
    <s v="Online"/>
    <s v="CC"/>
    <s v="Credit Card"/>
    <s v="Montreal Central"/>
    <s v="Ontario"/>
    <s v="Corporate"/>
    <n v="57.09"/>
    <x v="3"/>
    <n v="221.76"/>
    <n v="22.176000000000002"/>
    <n v="199.584"/>
    <n v="114.18"/>
    <n v="85.403999999999996"/>
    <n v="0.42791005291005291"/>
    <x v="0"/>
    <s v=""/>
    <s v=""/>
    <s v=""/>
    <x v="1"/>
    <d v="2025-02-23T00:00:00"/>
  </r>
  <r>
    <x v="434"/>
    <s v="ORD-00178"/>
    <d v="2025-02-18T00:00:00"/>
    <s v="C0057"/>
    <s v="Adam Ali, Toronto, Corporate"/>
    <s v="Adam Ali"/>
    <s v="Toronto"/>
    <s v="Corporate"/>
    <n v="2"/>
    <s v="P001"/>
    <n v="3"/>
    <n v="133.24"/>
    <n v="0.15"/>
    <s v="Retail Store"/>
    <s v="Retail Store"/>
    <s v="Gift Card"/>
    <s v="Gift Card"/>
    <s v="Toronto Downtown"/>
    <s v="Ontario"/>
    <s v="Corporate"/>
    <n v="77.540000000000006"/>
    <x v="3"/>
    <n v="399.72"/>
    <n v="59.957999999999998"/>
    <n v="339.76200000000006"/>
    <n v="232.62"/>
    <n v="107.14200000000005"/>
    <n v="0.31534427040104551"/>
    <x v="0"/>
    <s v=""/>
    <s v=""/>
    <s v=""/>
    <x v="1"/>
    <d v="2025-02-23T00:00:00"/>
  </r>
  <r>
    <x v="435"/>
    <s v="ORD-00179"/>
    <d v="2025-10-26T00:00:00"/>
    <s v="C0026"/>
    <s v="Omar Singh, Calgary, Small Business"/>
    <s v="Omar Singh"/>
    <s v="Calgary"/>
    <s v="Small Business"/>
    <n v="2"/>
    <s v="P038"/>
    <n v="4"/>
    <n v="182.94"/>
    <n v="0.05"/>
    <s v="Retail Store"/>
    <s v="Retail Store"/>
    <s v="Gift Card"/>
    <s v="Gift Card"/>
    <s v="Vancouver West"/>
    <s v="Alberta"/>
    <s v="Small Business"/>
    <n v="118.95"/>
    <x v="0"/>
    <n v="731.76"/>
    <n v="36.588000000000001"/>
    <n v="695.17200000000003"/>
    <n v="475.8"/>
    <n v="219.37200000000001"/>
    <n v="0.31556506878873142"/>
    <x v="0"/>
    <s v=""/>
    <s v=""/>
    <s v=""/>
    <x v="1"/>
    <d v="2025-11-02T00:00:00"/>
  </r>
  <r>
    <x v="436"/>
    <s v="ORD-00179"/>
    <d v="2025-10-26T00:00:00"/>
    <s v="C0026"/>
    <s v="Omar Singh, Calgary, Small Business"/>
    <s v="Omar Singh"/>
    <s v="Calgary"/>
    <s v="Small Business"/>
    <n v="2"/>
    <s v="P044"/>
    <n v="2"/>
    <n v="208.89"/>
    <n v="0.05"/>
    <s v="Online"/>
    <s v="Online"/>
    <s v="PayPal"/>
    <s v="PayPal"/>
    <s v="Calgary North"/>
    <s v="Alberta"/>
    <s v="Small Business"/>
    <n v="133.05000000000001"/>
    <x v="1"/>
    <n v="417.78"/>
    <n v="20.888999999999999"/>
    <n v="396.89099999999996"/>
    <n v="266.10000000000002"/>
    <n v="130.79099999999994"/>
    <n v="0.32953884063886546"/>
    <x v="0"/>
    <s v=""/>
    <s v=""/>
    <s v=""/>
    <x v="1"/>
    <d v="2025-11-02T00:00:00"/>
  </r>
  <r>
    <x v="437"/>
    <s v="ORD-00180"/>
    <d v="2025-09-22T00:00:00"/>
    <s v="C0128"/>
    <s v="Sofia Gagnon, Montreal, Corporate"/>
    <s v="Sofia Gagnon"/>
    <s v="Montreal"/>
    <s v="Corporate"/>
    <n v="2"/>
    <s v="P042"/>
    <n v="1"/>
    <n v="102.78"/>
    <n v="0"/>
    <s v="Retail  Store"/>
    <s v="Retail Store"/>
    <m/>
    <s v="Unknown"/>
    <s v="Toronto Downtown"/>
    <s v="Quebec"/>
    <s v="Corporate"/>
    <n v="62.65"/>
    <x v="1"/>
    <n v="102.78"/>
    <n v="0"/>
    <n v="102.78"/>
    <n v="62.65"/>
    <n v="40.130000000000003"/>
    <n v="0.39044561198676786"/>
    <x v="0"/>
    <s v=""/>
    <s v=""/>
    <s v=""/>
    <x v="1"/>
    <d v="2025-09-29T00:00:00"/>
  </r>
  <r>
    <x v="438"/>
    <s v="ORD-00181"/>
    <d v="2025-04-19T00:00:00"/>
    <s v="C0056"/>
    <s v="Noah Singh, Ottawa, Small Business"/>
    <s v="Noah Singh"/>
    <s v="Ottawa"/>
    <s v="Small Business"/>
    <n v="2"/>
    <s v="P011"/>
    <n v="4"/>
    <n v="275.76"/>
    <n v="0"/>
    <s v="Marketplace"/>
    <s v="Marketplace"/>
    <s v="PayPal"/>
    <s v="PayPal"/>
    <s v="Calgary North"/>
    <s v="Ontario"/>
    <s v="Small Business"/>
    <n v="156.97"/>
    <x v="4"/>
    <n v="1103.04"/>
    <n v="0"/>
    <n v="1103.04"/>
    <n v="627.88"/>
    <n v="475.15999999999997"/>
    <n v="0.43077313606034229"/>
    <x v="0"/>
    <s v=""/>
    <s v=""/>
    <s v=""/>
    <x v="1"/>
    <d v="2025-04-28T00:00:00"/>
  </r>
  <r>
    <x v="439"/>
    <s v="ORD-00182"/>
    <d v="2025-01-13T00:00:00"/>
    <s v="C0108"/>
    <s v="Sofia Martin, Quebec City, Consumer"/>
    <s v="Sofia Martin"/>
    <s v="Quebec City"/>
    <s v="Consumer"/>
    <n v="2"/>
    <s v="P015"/>
    <n v="2"/>
    <n v="273.89"/>
    <n v="0"/>
    <s v="Retail  Store"/>
    <s v="Retail Store"/>
    <s v="Debit Card"/>
    <s v="Debit Card"/>
    <s v="Calgary North"/>
    <s v="Quebec"/>
    <s v="Consumer"/>
    <n v="140.66999999999999"/>
    <x v="4"/>
    <n v="547.78"/>
    <n v="0"/>
    <n v="547.78"/>
    <n v="281.33999999999997"/>
    <n v="266.44"/>
    <n v="0.48639964949432257"/>
    <x v="0"/>
    <s v=""/>
    <s v=""/>
    <s v=""/>
    <x v="0"/>
    <d v="2025-01-16T00:00:00"/>
  </r>
  <r>
    <x v="440"/>
    <s v="ORD-00182"/>
    <d v="2025-01-13T00:00:00"/>
    <s v="C0108"/>
    <s v="Sofia Martin, Quebec City, Consumer"/>
    <s v="Sofia Martin"/>
    <s v="Quebec City"/>
    <s v="Consumer"/>
    <n v="2"/>
    <s v="P041"/>
    <n v="1"/>
    <n v="238.47"/>
    <n v="0.15"/>
    <s v="Retail Store"/>
    <s v="Retail Store"/>
    <m/>
    <s v="Unknown"/>
    <s v="Calgary North"/>
    <s v="Quebec"/>
    <s v="Consumer"/>
    <n v="127.65"/>
    <x v="1"/>
    <n v="238.47"/>
    <n v="35.770499999999998"/>
    <n v="202.6995"/>
    <n v="127.65"/>
    <n v="75.049499999999995"/>
    <n v="0.3702500499507892"/>
    <x v="0"/>
    <s v=""/>
    <s v=""/>
    <s v=""/>
    <x v="0"/>
    <d v="2025-01-16T00:00:00"/>
  </r>
  <r>
    <x v="441"/>
    <s v="ORD-00182"/>
    <d v="2025-01-13T00:00:00"/>
    <s v="C0108"/>
    <s v="Sofia Martin, Quebec City, Consumer"/>
    <s v="Sofia Martin"/>
    <s v="Quebec City"/>
    <s v="Consumer"/>
    <n v="2"/>
    <s v="P022"/>
    <n v="4"/>
    <n v="61.81"/>
    <n v="0.1"/>
    <s v="Online"/>
    <s v="Online"/>
    <m/>
    <s v="Unknown"/>
    <s v="Calgary North"/>
    <s v="Quebec"/>
    <s v="Consumer"/>
    <n v="33.19"/>
    <x v="2"/>
    <n v="247.24"/>
    <n v="24.724000000000004"/>
    <n v="222.51600000000002"/>
    <n v="132.76"/>
    <n v="89.756000000000029"/>
    <n v="0.40336874651710447"/>
    <x v="0"/>
    <s v=""/>
    <s v=""/>
    <s v=""/>
    <x v="0"/>
    <d v="2025-01-16T00:00:00"/>
  </r>
  <r>
    <x v="442"/>
    <s v="ORD-00182"/>
    <d v="2025-01-13T00:00:00"/>
    <s v="C0108"/>
    <s v="Sofia Martin, Quebec City, Consumer"/>
    <s v="Sofia Martin"/>
    <s v="Quebec City"/>
    <s v="Consumer"/>
    <n v="2"/>
    <s v="P006"/>
    <n v="3"/>
    <n v="88.61"/>
    <n v="0.15"/>
    <s v="Retail  Store"/>
    <s v="Retail Store"/>
    <s v="Credit Card"/>
    <s v="Credit Card"/>
    <s v="Montreal Central"/>
    <s v="Quebec"/>
    <s v="Consumer"/>
    <n v="49.75"/>
    <x v="3"/>
    <n v="265.83"/>
    <n v="39.874499999999998"/>
    <n v="225.95549999999997"/>
    <n v="149.25"/>
    <n v="76.705499999999972"/>
    <n v="0.33947171013761551"/>
    <x v="0"/>
    <s v=""/>
    <s v=""/>
    <s v=""/>
    <x v="0"/>
    <d v="2025-01-16T00:00:00"/>
  </r>
  <r>
    <x v="443"/>
    <s v="ORD-00183"/>
    <d v="2025-07-02T00:00:00"/>
    <s v="c0166"/>
    <s v="Omar Tremblay, Ottawa, Consumer"/>
    <s v="Omar Tremblay"/>
    <s v="Ottawa"/>
    <s v="Consumer"/>
    <n v="2"/>
    <s v="P043"/>
    <n v="2"/>
    <n v="96.33"/>
    <n v="0"/>
    <s v="Market place"/>
    <s v="Marketplace"/>
    <s v="Debit Card"/>
    <s v="Debit Card"/>
    <s v="Calgary North"/>
    <s v="Ontario"/>
    <s v="Consumer"/>
    <n v="57.85"/>
    <x v="1"/>
    <n v="192.66"/>
    <n v="0"/>
    <n v="192.66"/>
    <n v="115.7"/>
    <n v="76.959999999999994"/>
    <n v="0.39946018893387314"/>
    <x v="0"/>
    <s v=""/>
    <s v=""/>
    <s v=""/>
    <x v="0"/>
    <d v="2025-07-05T00:00:00"/>
  </r>
  <r>
    <x v="444"/>
    <s v="ORD-00184"/>
    <d v="2025-05-10T00:00:00"/>
    <s v="C0070"/>
    <s v="Maya Martin, Vancouver, Small Business"/>
    <s v="Maya Martin"/>
    <s v="Vancouver"/>
    <s v="Small Business"/>
    <n v="2"/>
    <s v="P040"/>
    <n v="2"/>
    <n v="33.369999999999997"/>
    <n v="0"/>
    <s v="Marketplace"/>
    <s v="Marketplace"/>
    <s v="Credit Card"/>
    <s v="Credit Card"/>
    <s v="Vancouver West"/>
    <s v="British Columbia"/>
    <s v="Small Business"/>
    <n v="18.670000000000002"/>
    <x v="0"/>
    <n v="66.739999999999995"/>
    <n v="0"/>
    <n v="66.739999999999995"/>
    <n v="37.340000000000003"/>
    <n v="29.399999999999991"/>
    <n v="0.44051543302367385"/>
    <x v="0"/>
    <s v=""/>
    <s v=""/>
    <s v=""/>
    <x v="1"/>
    <d v="2025-05-19T00:00:00"/>
  </r>
  <r>
    <x v="445"/>
    <s v="ORD-00184"/>
    <d v="2025-05-10T00:00:00"/>
    <s v="C0070"/>
    <s v="Maya Martin, Vancouver, Small Business"/>
    <s v="Maya Martin"/>
    <s v="Vancouver"/>
    <s v="Small Business"/>
    <n v="2"/>
    <s v="P015"/>
    <n v="3"/>
    <n v="273.89"/>
    <n v="0"/>
    <s v="Retail Store"/>
    <s v="Retail Store"/>
    <s v="PayPal"/>
    <s v="PayPal"/>
    <s v="Calgary North"/>
    <s v="British Columbia"/>
    <s v="Small Business"/>
    <n v="140.66999999999999"/>
    <x v="4"/>
    <n v="821.67"/>
    <n v="0"/>
    <n v="821.67"/>
    <n v="422.01"/>
    <n v="399.65999999999997"/>
    <n v="0.48639964949432252"/>
    <x v="1"/>
    <s v="Late Delivery"/>
    <d v="2025-06-08T00:00:00"/>
    <s v="Pending"/>
    <x v="1"/>
    <d v="2025-05-19T00:00:00"/>
  </r>
  <r>
    <x v="446"/>
    <s v="ORD-00184"/>
    <d v="2025-05-10T00:00:00"/>
    <s v="C0070"/>
    <s v="Maya Martin, Vancouver, Small Business"/>
    <s v="Maya Martin"/>
    <s v="Vancouver"/>
    <s v="Small Business"/>
    <n v="2"/>
    <s v="P044"/>
    <n v="3"/>
    <n v="208.89"/>
    <n v="0"/>
    <s v="Market place"/>
    <s v="Marketplace"/>
    <s v="Credit Card"/>
    <s v="Credit Card"/>
    <s v="Montreal Central"/>
    <s v="British Columbia"/>
    <s v="Small Business"/>
    <n v="133.05000000000001"/>
    <x v="1"/>
    <n v="626.66999999999996"/>
    <n v="0"/>
    <n v="626.66999999999996"/>
    <n v="399.15000000000003"/>
    <n v="227.51999999999992"/>
    <n v="0.36306189860692223"/>
    <x v="0"/>
    <s v=""/>
    <s v=""/>
    <s v=""/>
    <x v="1"/>
    <d v="2025-05-19T00:00:00"/>
  </r>
  <r>
    <x v="447"/>
    <s v="ORD-00184"/>
    <d v="2025-05-10T00:00:00"/>
    <s v="C0070"/>
    <s v="Maya Martin, Vancouver, Small Business"/>
    <s v="Maya Martin"/>
    <s v="Vancouver"/>
    <s v="Small Business"/>
    <n v="2"/>
    <s v="P045"/>
    <n v="3"/>
    <n v="72.81"/>
    <n v="0"/>
    <s v="Market place"/>
    <s v="Marketplace"/>
    <s v="Credit Card"/>
    <s v="Credit Card"/>
    <s v="Vancouver West"/>
    <s v="British Columbia"/>
    <s v="Small Business"/>
    <n v="37.99"/>
    <x v="1"/>
    <n v="218.43"/>
    <n v="0"/>
    <n v="218.43"/>
    <n v="113.97"/>
    <n v="104.46000000000001"/>
    <n v="0.47823101222359571"/>
    <x v="0"/>
    <s v=""/>
    <s v=""/>
    <s v=""/>
    <x v="1"/>
    <d v="2025-05-19T00:00:00"/>
  </r>
  <r>
    <x v="448"/>
    <s v="ORD-00185"/>
    <d v="2025-06-28T00:00:00"/>
    <s v="C0101"/>
    <s v="Adam Brown, Halifax, Small Business"/>
    <s v="Adam Brown"/>
    <s v="Halifax"/>
    <s v="Small Business"/>
    <n v="2"/>
    <s v="P036"/>
    <n v="2"/>
    <n v="210.2"/>
    <n v="0.1"/>
    <s v="Marketplace"/>
    <s v="Marketplace"/>
    <s v="PayPal"/>
    <s v="PayPal"/>
    <s v="Vancouver West"/>
    <s v="Nova Scotia"/>
    <s v="Small Business"/>
    <n v="136.25"/>
    <x v="0"/>
    <n v="420.4"/>
    <n v="42.04"/>
    <n v="378.35999999999996"/>
    <n v="272.5"/>
    <n v="105.85999999999996"/>
    <n v="0.27978644677027159"/>
    <x v="0"/>
    <s v=""/>
    <s v=""/>
    <s v=""/>
    <x v="1"/>
    <d v="2025-07-03T00:00:00"/>
  </r>
  <r>
    <x v="449"/>
    <s v="ORD-00186"/>
    <d v="2025-06-23T00:00:00"/>
    <s v="C0073"/>
    <s v="Amina Tremblay, Vancouver, Corporate"/>
    <s v="Amina Tremblay"/>
    <s v="Vancouver"/>
    <s v="Corporate"/>
    <n v="2"/>
    <s v="P022"/>
    <n v="2"/>
    <n v="61.81"/>
    <n v="0"/>
    <s v="Retail  Store"/>
    <s v="Retail Store"/>
    <s v="Gift Card"/>
    <s v="Gift Card"/>
    <s v="Vancouver West"/>
    <s v="British Columbia"/>
    <s v="Corporate"/>
    <n v="33.19"/>
    <x v="2"/>
    <n v="123.62"/>
    <n v="0"/>
    <n v="123.62"/>
    <n v="66.38"/>
    <n v="57.240000000000009"/>
    <n v="0.46303187186539402"/>
    <x v="0"/>
    <s v=""/>
    <s v=""/>
    <s v=""/>
    <x v="0"/>
    <d v="2025-06-27T00:00:00"/>
  </r>
  <r>
    <x v="450"/>
    <s v="ORD-00187"/>
    <d v="2025-04-02T01:00:00"/>
    <s v="C0123"/>
    <s v="Adam Johnson, Montreal, Consumer"/>
    <s v="Adam Johnson"/>
    <s v="Montreal"/>
    <s v="Consumer"/>
    <n v="2"/>
    <s v="P044"/>
    <n v="3"/>
    <n v="208.89"/>
    <n v="0.15"/>
    <s v="Retail  Store"/>
    <s v="Retail Store"/>
    <s v="Gift Card"/>
    <s v="Gift Card"/>
    <s v="Calgary North"/>
    <s v="Quebec"/>
    <s v="Consumer"/>
    <n v="133.05000000000001"/>
    <x v="1"/>
    <n v="626.66999999999996"/>
    <n v="94.000499999999988"/>
    <n v="532.66949999999997"/>
    <n v="399.15000000000003"/>
    <n v="133.51949999999994"/>
    <n v="0.25066105718461434"/>
    <x v="0"/>
    <s v=""/>
    <s v=""/>
    <s v=""/>
    <x v="0"/>
    <d v="2025-04-05T01:00:00"/>
  </r>
  <r>
    <x v="451"/>
    <s v="ORD-00187"/>
    <d v="2025-04-02T01:00:00"/>
    <s v="C0123"/>
    <s v="Adam Johnson, Montreal, Consumer"/>
    <s v="Adam Johnson"/>
    <s v="Montreal"/>
    <s v="Consumer"/>
    <n v="2"/>
    <s v="P001"/>
    <n v="2"/>
    <n v="133.24"/>
    <n v="0"/>
    <s v="Online"/>
    <s v="Online"/>
    <s v="Credit Card"/>
    <s v="Credit Card"/>
    <s v="Toronto Downtown"/>
    <s v="Quebec"/>
    <s v="Consumer"/>
    <n v="77.540000000000006"/>
    <x v="3"/>
    <n v="266.48"/>
    <n v="0"/>
    <n v="266.48"/>
    <n v="155.08000000000001"/>
    <n v="111.4"/>
    <n v="0.41804262984088864"/>
    <x v="0"/>
    <s v=""/>
    <s v=""/>
    <s v=""/>
    <x v="0"/>
    <d v="2025-04-05T01:00:00"/>
  </r>
  <r>
    <x v="452"/>
    <s v="ORD-00187"/>
    <d v="2025-04-02T01:00:00"/>
    <s v="C0123"/>
    <s v="Adam Johnson, Montreal, Consumer"/>
    <s v="Adam Johnson"/>
    <s v="Montreal"/>
    <s v="Consumer"/>
    <n v="2"/>
    <s v="P027"/>
    <n v="2"/>
    <n v="244.25"/>
    <n v="0.15"/>
    <s v="Marketplace"/>
    <s v="Marketplace"/>
    <s v="PayPal"/>
    <s v="PayPal"/>
    <s v="Toronto Downtown"/>
    <s v="Quebec"/>
    <s v="Consumer"/>
    <n v="150.96"/>
    <x v="2"/>
    <n v="488.5"/>
    <n v="73.274999999999991"/>
    <n v="415.22500000000002"/>
    <n v="301.92"/>
    <n v="113.30500000000001"/>
    <n v="0.27287615148413513"/>
    <x v="0"/>
    <s v=""/>
    <s v=""/>
    <s v=""/>
    <x v="0"/>
    <d v="2025-04-05T01:00:00"/>
  </r>
  <r>
    <x v="453"/>
    <s v="ORD-00188"/>
    <d v="2025-03-23T01:00:00"/>
    <s v="C0092"/>
    <s v="Adam Gagnon, Edmonton, Consumer"/>
    <s v="Adam Gagnon"/>
    <s v="Edmonton"/>
    <s v="Consumer"/>
    <n v="2"/>
    <s v="P006"/>
    <n v="4"/>
    <n v="88.61"/>
    <n v="0"/>
    <s v="Retail Store"/>
    <s v="Retail Store"/>
    <m/>
    <s v="Unknown"/>
    <s v="Vancouver West"/>
    <s v="Alberta"/>
    <s v="Consumer"/>
    <n v="49.75"/>
    <x v="3"/>
    <n v="354.44"/>
    <n v="0"/>
    <n v="354.44"/>
    <n v="199"/>
    <n v="155.44"/>
    <n v="0.43855095361697327"/>
    <x v="0"/>
    <s v=""/>
    <s v=""/>
    <s v=""/>
    <x v="1"/>
    <d v="2025-04-01T01:00:00"/>
  </r>
  <r>
    <x v="454"/>
    <s v="ORD-00188"/>
    <d v="2025-03-23T01:00:00"/>
    <s v="C0092"/>
    <s v="Adam Gagnon, Edmonton, Consumer"/>
    <s v="Adam Gagnon"/>
    <s v="Edmonton"/>
    <s v="Consumer"/>
    <n v="2"/>
    <s v="P013"/>
    <n v="2"/>
    <n v="207.71"/>
    <n v="0.15"/>
    <s v="Online"/>
    <s v="Online"/>
    <s v="Gift Card"/>
    <s v="Gift Card"/>
    <s v="Toronto Downtown"/>
    <s v="Alberta"/>
    <s v="Consumer"/>
    <n v="132.97"/>
    <x v="4"/>
    <n v="415.42"/>
    <n v="62.313000000000002"/>
    <n v="353.10700000000003"/>
    <n v="265.94"/>
    <n v="87.16700000000003"/>
    <n v="0.24685718493261255"/>
    <x v="0"/>
    <s v=""/>
    <s v=""/>
    <s v=""/>
    <x v="1"/>
    <d v="2025-04-01T01:00:00"/>
  </r>
  <r>
    <x v="455"/>
    <s v="ORD-00189"/>
    <d v="2025-09-01T00:00:00"/>
    <s v="C0012"/>
    <s v="Sofia Dubois, Quebec City, Corporate"/>
    <s v="Sofia Dubois"/>
    <s v="Quebec City"/>
    <s v="Corporate"/>
    <n v="2"/>
    <s v="P046"/>
    <n v="1"/>
    <n v="180.37"/>
    <n v="0.15"/>
    <s v="Marketplace"/>
    <s v="Marketplace"/>
    <s v="Debit Card"/>
    <s v="Debit Card"/>
    <s v="Calgary North"/>
    <s v="Quebec"/>
    <s v="Corporate"/>
    <n v="107.55"/>
    <x v="1"/>
    <n v="180.37"/>
    <n v="27.055499999999999"/>
    <n v="153.31450000000001"/>
    <n v="107.55"/>
    <n v="45.764500000000012"/>
    <n v="0.29850079411927777"/>
    <x v="1"/>
    <s v="Late Delivery"/>
    <d v="2025-09-12T00:00:00"/>
    <s v="Refunded"/>
    <x v="1"/>
    <d v="2025-09-06T00:00:00"/>
  </r>
  <r>
    <x v="456"/>
    <s v="ORD-00190"/>
    <d v="2025-08-04T00:00:00"/>
    <s v="C0041"/>
    <s v="Amina Wilson, Regina, Consumer"/>
    <s v="Amina Wilson"/>
    <s v="Regina"/>
    <s v="Consumer"/>
    <n v="2"/>
    <s v="P050"/>
    <n v="1"/>
    <n v="34.909999999999997"/>
    <n v="0.1"/>
    <s v="Market place"/>
    <s v="Marketplace"/>
    <s v="Credit Card"/>
    <s v="Credit Card"/>
    <s v="Calgary North"/>
    <s v="Saskatchewan"/>
    <s v="Consumer"/>
    <n v="19.670000000000002"/>
    <x v="1"/>
    <n v="34.909999999999997"/>
    <n v="3.4909999999999997"/>
    <n v="31.418999999999997"/>
    <n v="19.670000000000002"/>
    <n v="11.748999999999995"/>
    <n v="0.37394570164550101"/>
    <x v="1"/>
    <s v="Damaged"/>
    <d v="2025-08-22T00:00:00"/>
    <s v="Refunded"/>
    <x v="1"/>
    <d v="2025-08-14T00:00:00"/>
  </r>
  <r>
    <x v="457"/>
    <s v="ORD-00190"/>
    <d v="2025-08-04T00:00:00"/>
    <s v="C0041"/>
    <s v="Amina Wilson, Regina, Consumer"/>
    <s v="Amina Wilson"/>
    <s v="Regina"/>
    <s v="Consumer"/>
    <n v="2"/>
    <s v="P032"/>
    <n v="3"/>
    <n v="214.38"/>
    <n v="0"/>
    <s v="Marketplace"/>
    <s v="Marketplace"/>
    <s v="PayPal"/>
    <s v="PayPal"/>
    <s v="Vancouver West"/>
    <s v="Saskatchewan"/>
    <s v="Consumer"/>
    <n v="131.51"/>
    <x v="0"/>
    <n v="643.14"/>
    <n v="0"/>
    <n v="643.14"/>
    <n v="394.53"/>
    <n v="248.61"/>
    <n v="0.38655658177068758"/>
    <x v="1"/>
    <s v="Changed Mind"/>
    <d v="2025-08-16T00:00:00"/>
    <s v="Pending"/>
    <x v="1"/>
    <d v="2025-08-14T00:00:00"/>
  </r>
  <r>
    <x v="458"/>
    <s v="ORD-00191"/>
    <d v="2025-09-20T00:00:00"/>
    <s v="C0150"/>
    <s v="Emma Brown, Vancouver, Corporate"/>
    <s v="Emma Brown"/>
    <s v="Vancouver"/>
    <s v="Corporate"/>
    <n v="2"/>
    <s v="P041"/>
    <n v="4"/>
    <n v="238.47"/>
    <n v="0.05"/>
    <s v="Retail Store"/>
    <s v="Retail Store"/>
    <s v="Credit Card"/>
    <s v="Credit Card"/>
    <s v="Calgary North"/>
    <s v="British Columbia"/>
    <s v="Corporate"/>
    <n v="127.65"/>
    <x v="1"/>
    <n v="953.88"/>
    <n v="47.694000000000003"/>
    <n v="906.18600000000004"/>
    <n v="510.6"/>
    <n v="395.58600000000001"/>
    <n v="0.43653951837702193"/>
    <x v="0"/>
    <s v=""/>
    <s v=""/>
    <s v=""/>
    <x v="1"/>
    <d v="2025-09-26T00:00:00"/>
  </r>
  <r>
    <x v="459"/>
    <s v="ORD-00191"/>
    <d v="2025-09-20T00:00:00"/>
    <s v="C0150"/>
    <s v="Emma Brown, Vancouver, Corporate"/>
    <s v="Emma Brown"/>
    <s v="Vancouver"/>
    <s v="Corporate"/>
    <n v="2"/>
    <s v="P006"/>
    <n v="4"/>
    <n v="88.61"/>
    <n v="0"/>
    <s v="Market place"/>
    <s v="Marketplace"/>
    <s v="Gift Card"/>
    <s v="Gift Card"/>
    <s v="Montreal Central"/>
    <s v="British Columbia"/>
    <s v="Corporate"/>
    <n v="49.75"/>
    <x v="3"/>
    <n v="354.44"/>
    <n v="0"/>
    <n v="354.44"/>
    <n v="199"/>
    <n v="155.44"/>
    <n v="0.43855095361697327"/>
    <x v="0"/>
    <s v=""/>
    <s v=""/>
    <s v=""/>
    <x v="1"/>
    <d v="2025-09-26T00:00:00"/>
  </r>
  <r>
    <x v="460"/>
    <s v="ORD-00192"/>
    <d v="2025-02-05T00:00:00"/>
    <s v="C0129"/>
    <s v="Emma Brown, Toronto, Corporate"/>
    <s v="Emma Brown"/>
    <s v="Toronto"/>
    <s v="Corporate"/>
    <n v="2"/>
    <s v="P046"/>
    <n v="1"/>
    <n v="180.37"/>
    <n v="0.15"/>
    <s v="Marketplace"/>
    <s v="Marketplace"/>
    <m/>
    <s v="Unknown"/>
    <s v="Online Fulfillment"/>
    <s v="Ontario"/>
    <s v="Corporate"/>
    <n v="107.55"/>
    <x v="1"/>
    <n v="180.37"/>
    <n v="27.055499999999999"/>
    <n v="153.31450000000001"/>
    <n v="107.55"/>
    <n v="45.764500000000012"/>
    <n v="0.29850079411927777"/>
    <x v="0"/>
    <s v=""/>
    <s v=""/>
    <s v=""/>
    <x v="0"/>
    <d v="2025-02-07T00:00:00"/>
  </r>
  <r>
    <x v="461"/>
    <s v="ORD-00193"/>
    <d v="2025-01-16T00:00:00"/>
    <s v="C0038"/>
    <s v="Sofia Dubois, Quebec City, Corporate"/>
    <s v="Sofia Dubois"/>
    <s v="Quebec City"/>
    <s v="Corporate"/>
    <n v="2"/>
    <s v="P004"/>
    <n v="4"/>
    <n v="195.38"/>
    <n v="0.1"/>
    <s v="Retail Store"/>
    <s v="Retail Store"/>
    <s v="CC"/>
    <s v="Credit Card"/>
    <s v="Vancouver West"/>
    <s v="Quebec"/>
    <s v="Corporate"/>
    <n v="114.29"/>
    <x v="3"/>
    <n v="781.52"/>
    <n v="78.152000000000001"/>
    <n v="703.36799999999994"/>
    <n v="457.16"/>
    <n v="246.20799999999991"/>
    <n v="0.35004151454146326"/>
    <x v="1"/>
    <s v="Changed Mind"/>
    <d v="2025-02-02T00:00:00"/>
    <s v="Refunded"/>
    <x v="1"/>
    <d v="2025-01-22T00:00:00"/>
  </r>
  <r>
    <x v="462"/>
    <s v="ORD-00194"/>
    <d v="2025-09-11T00:00:00"/>
    <s v="C0044"/>
    <s v="Yara Tremblay, Edmonton, Corporate"/>
    <s v="Yara Tremblay"/>
    <s v="Edmonton"/>
    <s v="Corporate"/>
    <n v="2"/>
    <s v="P001"/>
    <n v="1"/>
    <n v="133.24"/>
    <n v="0.05"/>
    <s v="Retail  Store"/>
    <s v="Retail Store"/>
    <s v="PayPal"/>
    <s v="PayPal"/>
    <s v="Vancouver West"/>
    <s v="Alberta"/>
    <s v="Corporate"/>
    <n v="77.540000000000006"/>
    <x v="3"/>
    <n v="133.24"/>
    <n v="6.6620000000000008"/>
    <n v="126.578"/>
    <n v="77.540000000000006"/>
    <n v="49.037999999999997"/>
    <n v="0.38741329456935641"/>
    <x v="0"/>
    <s v=""/>
    <s v=""/>
    <s v=""/>
    <x v="1"/>
    <d v="2025-09-16T00:00:00"/>
  </r>
  <r>
    <x v="463"/>
    <s v="ORD-00195"/>
    <d v="2025-05-16T00:00:00"/>
    <s v="C0152"/>
    <s v="Daniel Khan, Halifax, Small Business"/>
    <s v="Daniel Khan"/>
    <s v="Halifax"/>
    <s v="Small Business"/>
    <n v="2"/>
    <s v="P044"/>
    <n v="2"/>
    <n v="208.89"/>
    <n v="0.05"/>
    <s v="Market place"/>
    <s v="Marketplace"/>
    <s v="Debit Card"/>
    <s v="Debit Card"/>
    <s v="Toronto Downtown"/>
    <s v="Nova Scotia"/>
    <s v="Small Business"/>
    <n v="133.05000000000001"/>
    <x v="1"/>
    <n v="417.78"/>
    <n v="20.888999999999999"/>
    <n v="396.89099999999996"/>
    <n v="266.10000000000002"/>
    <n v="130.79099999999994"/>
    <n v="0.32953884063886546"/>
    <x v="0"/>
    <s v=""/>
    <s v=""/>
    <s v=""/>
    <x v="0"/>
    <d v="2025-05-19T00:00:00"/>
  </r>
  <r>
    <x v="464"/>
    <s v="ORD-00195"/>
    <d v="2025-05-16T00:00:00"/>
    <s v="C0152"/>
    <s v="Daniel Khan, Halifax, Small Business"/>
    <s v="Daniel Khan"/>
    <s v="Halifax"/>
    <s v="Small Business"/>
    <n v="2"/>
    <s v="P036"/>
    <n v="1"/>
    <n v="210.2"/>
    <n v="0.1"/>
    <s v="Marketplace"/>
    <s v="Marketplace"/>
    <m/>
    <s v="Unknown"/>
    <s v="Online Fulfillment"/>
    <s v="Nova Scotia"/>
    <s v="Small Business"/>
    <n v="136.25"/>
    <x v="0"/>
    <n v="210.2"/>
    <n v="21.02"/>
    <n v="189.17999999999998"/>
    <n v="136.25"/>
    <n v="52.929999999999978"/>
    <n v="0.27978644677027159"/>
    <x v="0"/>
    <s v=""/>
    <s v=""/>
    <s v=""/>
    <x v="0"/>
    <d v="2025-05-19T00:00:00"/>
  </r>
  <r>
    <x v="465"/>
    <s v="ORD-00195"/>
    <d v="2025-05-16T00:00:00"/>
    <s v="C0152"/>
    <s v="Daniel Khan, Halifax, Small Business"/>
    <s v="Daniel Khan"/>
    <s v="Halifax"/>
    <s v="Small Business"/>
    <n v="2"/>
    <s v="P001"/>
    <n v="1"/>
    <n v="133.24"/>
    <n v="0"/>
    <s v="Market place"/>
    <s v="Marketplace"/>
    <s v="Debit Card"/>
    <s v="Debit Card"/>
    <s v="Online Fulfillment"/>
    <s v="Nova Scotia"/>
    <s v="Small Business"/>
    <n v="77.540000000000006"/>
    <x v="3"/>
    <n v="133.24"/>
    <n v="0"/>
    <n v="133.24"/>
    <n v="77.540000000000006"/>
    <n v="55.7"/>
    <n v="0.41804262984088864"/>
    <x v="0"/>
    <s v=""/>
    <s v=""/>
    <s v=""/>
    <x v="0"/>
    <d v="2025-05-19T00:00:00"/>
  </r>
  <r>
    <x v="466"/>
    <s v="ORD-00195"/>
    <d v="2025-05-16T00:00:00"/>
    <s v="C0152"/>
    <s v="Daniel Khan, Halifax, Small Business"/>
    <s v="Daniel Khan"/>
    <s v="Halifax"/>
    <s v="Small Business"/>
    <n v="2"/>
    <s v="P040"/>
    <n v="4"/>
    <n v="33.369999999999997"/>
    <n v="0"/>
    <s v="Market place"/>
    <s v="Marketplace"/>
    <s v="Debit Card"/>
    <s v="Debit Card"/>
    <s v="Vancouver West"/>
    <s v="Nova Scotia"/>
    <s v="Small Business"/>
    <n v="18.670000000000002"/>
    <x v="0"/>
    <n v="133.47999999999999"/>
    <n v="0"/>
    <n v="133.47999999999999"/>
    <n v="74.680000000000007"/>
    <n v="58.799999999999983"/>
    <n v="0.44051543302367385"/>
    <x v="0"/>
    <s v=""/>
    <s v=""/>
    <s v=""/>
    <x v="0"/>
    <d v="2025-05-19T00:00:00"/>
  </r>
  <r>
    <x v="467"/>
    <s v="ORD-00196"/>
    <d v="2025-02-10T00:00:00"/>
    <s v="C0081"/>
    <s v="Daniel Ali, Victoria, Consumer"/>
    <s v="Daniel Ali"/>
    <s v="Victoria"/>
    <s v="Consumer"/>
    <n v="2"/>
    <s v="P007"/>
    <n v="2"/>
    <n v="25.15"/>
    <n v="0"/>
    <s v="Market place"/>
    <s v="Marketplace"/>
    <s v="Debit Card"/>
    <s v="Debit Card"/>
    <s v="Vancouver West"/>
    <s v="British Columbia"/>
    <s v="Consumer"/>
    <n v="14.24"/>
    <x v="3"/>
    <n v="50.3"/>
    <n v="0"/>
    <n v="50.3"/>
    <n v="28.48"/>
    <n v="21.819999999999997"/>
    <n v="0.43379721669980115"/>
    <x v="0"/>
    <s v=""/>
    <s v=""/>
    <s v=""/>
    <x v="1"/>
    <d v="2025-02-20T00:00:00"/>
  </r>
  <r>
    <x v="468"/>
    <s v="ORD-00196"/>
    <d v="2025-02-10T00:00:00"/>
    <s v="C0081"/>
    <s v="Daniel Ali, Victoria, Consumer"/>
    <s v="Daniel Ali"/>
    <s v="Victoria"/>
    <s v="Consumer"/>
    <n v="2"/>
    <s v="P010"/>
    <n v="3"/>
    <n v="37.82"/>
    <n v="0.1"/>
    <s v="Market place"/>
    <s v="Marketplace"/>
    <s v="Credit Card"/>
    <s v="Credit Card"/>
    <s v="Calgary North"/>
    <s v="British Columbia"/>
    <s v="Consumer"/>
    <n v="24.76"/>
    <x v="3"/>
    <n v="113.46000000000001"/>
    <n v="11.346000000000002"/>
    <n v="102.114"/>
    <n v="74.28"/>
    <n v="27.834000000000003"/>
    <n v="0.27257770726834718"/>
    <x v="1"/>
    <s v="Not as Described"/>
    <d v="2025-02-21T00:00:00"/>
    <s v="Refunded"/>
    <x v="1"/>
    <d v="2025-02-20T00:00:00"/>
  </r>
  <r>
    <x v="469"/>
    <s v="ORD-00197"/>
    <d v="2025-09-11T00:00:00"/>
    <s v="C0072"/>
    <s v="Ethan Martin, Edmonton, Corporate"/>
    <s v="Ethan Martin"/>
    <s v="Edmonton"/>
    <s v="Corporate"/>
    <n v="2"/>
    <s v="P049"/>
    <n v="2"/>
    <n v="300.56"/>
    <n v="0"/>
    <s v="Online"/>
    <s v="Online"/>
    <s v="Debit Card"/>
    <s v="Debit Card"/>
    <s v="Online Fulfillment"/>
    <s v="Alberta"/>
    <s v="Corporate"/>
    <n v="158.86000000000001"/>
    <x v="1"/>
    <n v="601.12"/>
    <n v="0"/>
    <n v="601.12"/>
    <n v="317.72000000000003"/>
    <n v="283.39999999999998"/>
    <n v="0.47145328719723179"/>
    <x v="0"/>
    <s v=""/>
    <s v=""/>
    <s v=""/>
    <x v="0"/>
    <d v="2025-09-15T00:00:00"/>
  </r>
  <r>
    <x v="470"/>
    <s v="ORD-00197"/>
    <d v="2025-09-11T00:00:00"/>
    <s v="C0072"/>
    <s v="Ethan Martin, Edmonton, Corporate"/>
    <s v="Ethan Martin"/>
    <s v="Edmonton"/>
    <s v="Corporate"/>
    <n v="2"/>
    <s v="P023"/>
    <n v="1"/>
    <n v="82.77"/>
    <n v="0"/>
    <s v="Online"/>
    <s v="Online"/>
    <s v="Gift Card"/>
    <s v="Gift Card"/>
    <s v="Online Fulfillment"/>
    <s v="Alberta"/>
    <s v="Corporate"/>
    <n v="46.51"/>
    <x v="2"/>
    <n v="82.77"/>
    <n v="0"/>
    <n v="82.77"/>
    <n v="46.51"/>
    <n v="36.26"/>
    <n v="0.43808143046997705"/>
    <x v="0"/>
    <s v=""/>
    <s v=""/>
    <s v=""/>
    <x v="0"/>
    <d v="2025-09-15T00:00:00"/>
  </r>
  <r>
    <x v="471"/>
    <s v="ORD-00198"/>
    <d v="2025-08-17T00:00:00"/>
    <s v="C0148"/>
    <s v="Liam Wilson, Halifax, Consumer"/>
    <s v="Liam Wilson"/>
    <s v="Halifax"/>
    <s v="Consumer"/>
    <n v="2"/>
    <s v="P012"/>
    <n v="2"/>
    <n v="186.92"/>
    <n v="0.1"/>
    <s v="Marketplace"/>
    <s v="Marketplace"/>
    <s v="Gift Card"/>
    <s v="Gift Card"/>
    <s v="Montreal Central"/>
    <s v="Nova Scotia"/>
    <s v="Consumer"/>
    <n v="114.11"/>
    <x v="4"/>
    <n v="373.84"/>
    <n v="37.384"/>
    <n v="336.45599999999996"/>
    <n v="228.22"/>
    <n v="108.23599999999996"/>
    <n v="0.32169436716836669"/>
    <x v="0"/>
    <s v=""/>
    <s v=""/>
    <s v=""/>
    <x v="0"/>
    <d v="2025-08-19T00:00:00"/>
  </r>
  <r>
    <x v="472"/>
    <s v="ORD-00198"/>
    <d v="2025-08-17T00:00:00"/>
    <s v="C0148"/>
    <s v="Liam Wilson, Halifax, Consumer"/>
    <s v="Liam Wilson"/>
    <s v="Halifax"/>
    <s v="Consumer"/>
    <n v="2"/>
    <s v="P021"/>
    <n v="4"/>
    <n v="25.01"/>
    <n v="0"/>
    <s v="Online"/>
    <s v="Online"/>
    <s v="PayPal"/>
    <s v="PayPal"/>
    <s v="Montreal Central"/>
    <s v="Nova Scotia"/>
    <s v="Consumer"/>
    <n v="16.86"/>
    <x v="2"/>
    <n v="100.04"/>
    <n v="0"/>
    <n v="100.04"/>
    <n v="67.44"/>
    <n v="32.600000000000009"/>
    <n v="0.32586965213914443"/>
    <x v="1"/>
    <s v="Wrong Item"/>
    <d v="2025-08-20T00:00:00"/>
    <s v="Pending"/>
    <x v="0"/>
    <d v="2025-08-19T00:00:00"/>
  </r>
  <r>
    <x v="473"/>
    <s v="ORD-00199"/>
    <d v="2025-10-08T00:00:00"/>
    <s v="C0147"/>
    <s v="Noah Brown, Vancouver, Small Business"/>
    <s v="Noah Brown"/>
    <s v="Vancouver"/>
    <s v="Small Business"/>
    <n v="2"/>
    <s v="P013"/>
    <n v="1"/>
    <n v="207.71"/>
    <n v="0"/>
    <s v="Market place"/>
    <s v="Marketplace"/>
    <s v="Gift Card"/>
    <s v="Gift Card"/>
    <s v="Online Fulfillment"/>
    <s v="British Columbia"/>
    <s v="Small Business"/>
    <n v="132.97"/>
    <x v="4"/>
    <n v="207.71"/>
    <n v="0"/>
    <n v="207.71"/>
    <n v="132.97"/>
    <n v="74.740000000000009"/>
    <n v="0.35982860719272064"/>
    <x v="1"/>
    <s v="Not as Described"/>
    <d v="2025-10-31T00:00:00"/>
    <s v="Refunded"/>
    <x v="1"/>
    <d v="2025-10-13T00:00:00"/>
  </r>
  <r>
    <x v="474"/>
    <s v="ORD-00199"/>
    <d v="2025-10-08T00:00:00"/>
    <s v="C0147"/>
    <s v="Noah Brown, Vancouver, Small Business"/>
    <s v="Noah Brown"/>
    <s v="Vancouver"/>
    <s v="Small Business"/>
    <n v="2"/>
    <s v="P022"/>
    <n v="2"/>
    <n v="61.81"/>
    <n v="0"/>
    <s v="Online"/>
    <s v="Online"/>
    <s v="Debit Card"/>
    <s v="Debit Card"/>
    <s v="Vancouver West"/>
    <s v="British Columbia"/>
    <s v="Small Business"/>
    <n v="33.19"/>
    <x v="2"/>
    <n v="123.62"/>
    <n v="0"/>
    <n v="123.62"/>
    <n v="66.38"/>
    <n v="57.240000000000009"/>
    <n v="0.46303187186539402"/>
    <x v="0"/>
    <s v=""/>
    <s v=""/>
    <s v=""/>
    <x v="1"/>
    <d v="2025-10-13T00:00:00"/>
  </r>
  <r>
    <x v="475"/>
    <s v="ORD-00200"/>
    <d v="2025-12-13T00:00:00"/>
    <s v="C0158"/>
    <s v="Sara Brown, Ottawa, Corporate"/>
    <s v="Sara Brown"/>
    <s v="Ottawa"/>
    <s v="Corporate"/>
    <n v="2"/>
    <s v="P036"/>
    <n v="2"/>
    <n v="210.2"/>
    <n v="0.1"/>
    <s v="Online"/>
    <s v="Online"/>
    <s v="Debit Card"/>
    <s v="Debit Card"/>
    <s v="Montreal Central"/>
    <s v="Ontario"/>
    <s v="Corporate"/>
    <n v="136.25"/>
    <x v="0"/>
    <n v="420.4"/>
    <n v="42.04"/>
    <n v="378.35999999999996"/>
    <n v="272.5"/>
    <n v="105.85999999999996"/>
    <n v="0.27978644677027159"/>
    <x v="0"/>
    <s v=""/>
    <s v=""/>
    <s v=""/>
    <x v="1"/>
    <d v="2025-12-20T00:00:00"/>
  </r>
  <r>
    <x v="476"/>
    <s v="ORD-00201"/>
    <d v="2025-04-20T00:00:00"/>
    <s v="C0055"/>
    <s v="Adam Singh, Victoria, Consumer"/>
    <s v="Adam Singh"/>
    <s v="Victoria"/>
    <s v="Consumer"/>
    <n v="2"/>
    <s v="P024"/>
    <n v="4"/>
    <n v="263.04000000000002"/>
    <n v="0.15"/>
    <s v="Market place"/>
    <s v="Marketplace"/>
    <s v="Gift Card"/>
    <s v="Gift Card"/>
    <s v="Calgary North"/>
    <s v="British Columbia"/>
    <s v="Consumer"/>
    <n v="161.84"/>
    <x v="2"/>
    <n v="1052.1600000000001"/>
    <n v="157.82400000000001"/>
    <n v="894.33600000000001"/>
    <n v="647.36"/>
    <n v="246.976"/>
    <n v="0.27615571776155717"/>
    <x v="1"/>
    <s v="Wrong Item"/>
    <d v="2025-04-30T00:00:00"/>
    <s v="Refunded"/>
    <x v="1"/>
    <d v="2025-04-29T00:00:00"/>
  </r>
  <r>
    <x v="477"/>
    <s v="ORD-00201"/>
    <d v="2025-04-20T00:00:00"/>
    <s v="C0055"/>
    <s v="Adam Singh, Victoria, Consumer"/>
    <s v="Adam Singh"/>
    <s v="Victoria"/>
    <s v="Consumer"/>
    <n v="2"/>
    <s v="P048"/>
    <n v="1"/>
    <n v="287.16000000000003"/>
    <n v="0"/>
    <s v="Retail Store"/>
    <s v="Retail Store"/>
    <s v="Debit Card"/>
    <s v="Debit Card"/>
    <s v="Online Fulfillment"/>
    <s v="British Columbia"/>
    <s v="Consumer"/>
    <n v="148.21"/>
    <x v="1"/>
    <n v="287.16000000000003"/>
    <n v="0"/>
    <n v="287.16000000000003"/>
    <n v="148.21"/>
    <n v="138.95000000000002"/>
    <n v="0.48387658448251847"/>
    <x v="0"/>
    <s v=""/>
    <s v=""/>
    <s v=""/>
    <x v="1"/>
    <d v="2025-04-29T00:00:00"/>
  </r>
  <r>
    <x v="478"/>
    <s v="ORD-00202"/>
    <d v="2025-12-05T00:00:00"/>
    <s v="C0055"/>
    <s v="Adam Singh, Victoria, Consumer"/>
    <s v="Adam Singh"/>
    <s v="Victoria"/>
    <s v="Consumer"/>
    <n v="2"/>
    <s v="P041"/>
    <n v="2"/>
    <n v="238.47"/>
    <n v="0.05"/>
    <s v="Retail Store"/>
    <s v="Retail Store"/>
    <s v="CC"/>
    <s v="Credit Card"/>
    <s v="Online Fulfillment"/>
    <s v="British Columbia"/>
    <s v="Consumer"/>
    <n v="127.65"/>
    <x v="1"/>
    <n v="476.94"/>
    <n v="23.847000000000001"/>
    <n v="453.09300000000002"/>
    <n v="255.3"/>
    <n v="197.79300000000001"/>
    <n v="0.43653951837702193"/>
    <x v="0"/>
    <s v=""/>
    <s v=""/>
    <s v=""/>
    <x v="0"/>
    <d v="2025-12-09T00:00:00"/>
  </r>
  <r>
    <x v="479"/>
    <s v="ORD-00202"/>
    <d v="2025-12-05T00:00:00"/>
    <s v="C0055"/>
    <s v="Adam Singh, Victoria, Consumer"/>
    <s v="Adam Singh"/>
    <s v="Victoria"/>
    <s v="Consumer"/>
    <n v="2"/>
    <s v="P005"/>
    <n v="1"/>
    <n v="42.72"/>
    <n v="0.15"/>
    <s v="Market place"/>
    <s v="Marketplace"/>
    <s v="CC"/>
    <s v="Credit Card"/>
    <s v="Vancouver West"/>
    <s v="British Columbia"/>
    <s v="Consumer"/>
    <n v="24.46"/>
    <x v="3"/>
    <n v="42.72"/>
    <n v="6.4079999999999995"/>
    <n v="36.311999999999998"/>
    <n v="24.46"/>
    <n v="11.851999999999997"/>
    <n v="0.32639347873981045"/>
    <x v="0"/>
    <s v=""/>
    <s v=""/>
    <s v=""/>
    <x v="0"/>
    <d v="2025-12-09T00:00:00"/>
  </r>
  <r>
    <x v="480"/>
    <s v="ORD-00202"/>
    <d v="2025-12-05T00:00:00"/>
    <s v="C0055"/>
    <s v="Adam Singh, Victoria, Consumer"/>
    <s v="Adam Singh"/>
    <s v="Victoria"/>
    <s v="Consumer"/>
    <n v="2"/>
    <s v="P041"/>
    <n v="2"/>
    <n v="238.47"/>
    <n v="0.05"/>
    <s v="Market place"/>
    <s v="Marketplace"/>
    <s v="CC"/>
    <s v="Credit Card"/>
    <s v="Online Fulfillment"/>
    <s v="British Columbia"/>
    <s v="Consumer"/>
    <n v="127.65"/>
    <x v="1"/>
    <n v="476.94"/>
    <n v="23.847000000000001"/>
    <n v="453.09300000000002"/>
    <n v="255.3"/>
    <n v="197.79300000000001"/>
    <n v="0.43653951837702193"/>
    <x v="0"/>
    <s v=""/>
    <s v=""/>
    <s v=""/>
    <x v="0"/>
    <d v="2025-12-09T00:00:00"/>
  </r>
  <r>
    <x v="481"/>
    <s v="ORD-00203"/>
    <d v="2025-03-25T01:00:00"/>
    <s v="C0001"/>
    <s v="Liam Brown, Edmonton, Small Business"/>
    <s v="Liam Brown"/>
    <s v="Edmonton"/>
    <s v="Small Business"/>
    <n v="2"/>
    <s v="P010"/>
    <n v="2"/>
    <n v="37.82"/>
    <n v="0.15"/>
    <s v="Market place"/>
    <s v="Marketplace"/>
    <s v="PayPal"/>
    <s v="PayPal"/>
    <s v="Montreal Central"/>
    <s v="Alberta"/>
    <s v="Small Business"/>
    <n v="24.76"/>
    <x v="3"/>
    <n v="75.64"/>
    <n v="11.346"/>
    <n v="64.293999999999997"/>
    <n v="49.52"/>
    <n v="14.773999999999994"/>
    <n v="0.22978816063707336"/>
    <x v="0"/>
    <s v=""/>
    <s v=""/>
    <s v=""/>
    <x v="1"/>
    <d v="2025-04-02T01:00:00"/>
  </r>
  <r>
    <x v="482"/>
    <s v="ORD-00203"/>
    <d v="2025-03-25T01:00:00"/>
    <s v="C0001"/>
    <s v="Liam Brown, Edmonton, Small Business"/>
    <s v="Liam Brown"/>
    <s v="Edmonton"/>
    <s v="Small Business"/>
    <n v="2"/>
    <s v="P046"/>
    <n v="3"/>
    <n v="180.37"/>
    <n v="0.05"/>
    <s v="Online"/>
    <s v="Online"/>
    <s v="Debit Card"/>
    <s v="Debit Card"/>
    <s v="Calgary North"/>
    <s v="Alberta"/>
    <s v="Small Business"/>
    <n v="107.55"/>
    <x v="1"/>
    <n v="541.11"/>
    <n v="27.055500000000002"/>
    <n v="514.05449999999996"/>
    <n v="322.64999999999998"/>
    <n v="191.40449999999998"/>
    <n v="0.37234281579093265"/>
    <x v="0"/>
    <s v=""/>
    <s v=""/>
    <s v=""/>
    <x v="1"/>
    <d v="2025-04-02T01:00:00"/>
  </r>
  <r>
    <x v="483"/>
    <s v="ORD-00203"/>
    <d v="2025-03-25T01:00:00"/>
    <s v="C0001"/>
    <s v="Liam Brown, Edmonton, Small Business"/>
    <s v="Liam Brown"/>
    <s v="Edmonton"/>
    <s v="Small Business"/>
    <n v="2"/>
    <s v="P003"/>
    <n v="2"/>
    <n v="265.73"/>
    <n v="0.05"/>
    <s v="Retail  Store"/>
    <s v="Retail Store"/>
    <s v="Credit Card"/>
    <s v="Credit Card"/>
    <s v="Montreal Central"/>
    <s v="Alberta"/>
    <s v="Small Business"/>
    <n v="154.16999999999999"/>
    <x v="3"/>
    <n v="531.46"/>
    <n v="26.573000000000004"/>
    <n v="504.88700000000006"/>
    <n v="308.33999999999997"/>
    <n v="196.54700000000008"/>
    <n v="0.38928908844949478"/>
    <x v="0"/>
    <s v=""/>
    <s v=""/>
    <s v=""/>
    <x v="1"/>
    <d v="2025-04-02T01:00:00"/>
  </r>
  <r>
    <x v="484"/>
    <s v="ORD-00204"/>
    <d v="2025-07-10T00:00:00"/>
    <s v="C0101"/>
    <s v="Adam Brown, Halifax, Small Business"/>
    <s v="Adam Brown"/>
    <s v="Halifax"/>
    <s v="Small Business"/>
    <n v="2"/>
    <s v="P026"/>
    <n v="3"/>
    <n v="228.91"/>
    <n v="0.15"/>
    <s v="Retail  Store"/>
    <s v="Retail Store"/>
    <m/>
    <s v="Unknown"/>
    <s v="Montreal Central"/>
    <s v="Nova Scotia"/>
    <s v="Small Business"/>
    <n v="149.4"/>
    <x v="2"/>
    <n v="686.73"/>
    <n v="103.0095"/>
    <n v="583.72050000000002"/>
    <n v="448.20000000000005"/>
    <n v="135.52049999999997"/>
    <n v="0.23216676474442813"/>
    <x v="0"/>
    <s v=""/>
    <s v=""/>
    <s v=""/>
    <x v="0"/>
    <d v="2025-07-13T00:00:00"/>
  </r>
  <r>
    <x v="485"/>
    <s v="ORD-00204"/>
    <d v="2025-07-10T00:00:00"/>
    <s v="C0101"/>
    <s v="Adam Brown, Halifax, Small Business"/>
    <s v="Adam Brown"/>
    <s v="Halifax"/>
    <s v="Small Business"/>
    <n v="2"/>
    <s v="P030"/>
    <n v="2"/>
    <n v="75.75"/>
    <n v="0.1"/>
    <s v="Marketplace"/>
    <s v="Marketplace"/>
    <s v="Debit Card"/>
    <s v="Debit Card"/>
    <s v="Vancouver West"/>
    <s v="Nova Scotia"/>
    <s v="Small Business"/>
    <n v="42.37"/>
    <x v="2"/>
    <n v="151.5"/>
    <n v="15.15"/>
    <n v="136.35"/>
    <n v="84.74"/>
    <n v="51.61"/>
    <n v="0.3785111844517785"/>
    <x v="0"/>
    <s v=""/>
    <s v=""/>
    <s v=""/>
    <x v="0"/>
    <d v="2025-07-13T00:00:00"/>
  </r>
  <r>
    <x v="486"/>
    <s v="ORD-00204"/>
    <d v="2025-07-10T00:00:00"/>
    <s v="C0101"/>
    <s v="Adam Brown, Halifax, Small Business"/>
    <s v="Adam Brown"/>
    <s v="Halifax"/>
    <s v="Small Business"/>
    <n v="2"/>
    <s v="P023"/>
    <n v="3"/>
    <n v="82.77"/>
    <n v="0"/>
    <s v="Retail  Store"/>
    <s v="Retail Store"/>
    <s v="CC"/>
    <s v="Credit Card"/>
    <s v="Montreal Central"/>
    <s v="Nova Scotia"/>
    <s v="Small Business"/>
    <n v="46.51"/>
    <x v="2"/>
    <n v="248.31"/>
    <n v="0"/>
    <n v="248.31"/>
    <n v="139.53"/>
    <n v="108.78"/>
    <n v="0.43808143046997705"/>
    <x v="0"/>
    <s v=""/>
    <s v=""/>
    <s v=""/>
    <x v="0"/>
    <d v="2025-07-13T00:00:00"/>
  </r>
  <r>
    <x v="487"/>
    <s v="ORD-00204"/>
    <d v="2025-07-10T00:00:00"/>
    <s v="C0101"/>
    <s v="Adam Brown, Halifax, Small Business"/>
    <s v="Adam Brown"/>
    <s v="Halifax"/>
    <s v="Small Business"/>
    <n v="2"/>
    <s v="P034"/>
    <n v="4"/>
    <n v="141.46"/>
    <n v="0.15"/>
    <s v="Marketplace"/>
    <s v="Marketplace"/>
    <m/>
    <s v="Unknown"/>
    <s v="Montreal Central"/>
    <s v="Nova Scotia"/>
    <s v="Small Business"/>
    <n v="78.650000000000006"/>
    <x v="0"/>
    <n v="565.84"/>
    <n v="84.876000000000005"/>
    <n v="480.96400000000006"/>
    <n v="314.60000000000002"/>
    <n v="166.36400000000003"/>
    <n v="0.34589699021132564"/>
    <x v="0"/>
    <s v=""/>
    <s v=""/>
    <s v=""/>
    <x v="0"/>
    <d v="2025-07-13T00:00:00"/>
  </r>
  <r>
    <x v="488"/>
    <s v="ORD-00205"/>
    <d v="2025-07-02T00:00:00"/>
    <s v="C0144"/>
    <s v="Noah Gagnon, Regina, Corporate"/>
    <s v="Noah Gagnon"/>
    <s v="Regina"/>
    <s v="Corporate"/>
    <n v="2"/>
    <s v="P043"/>
    <n v="1"/>
    <n v="96.33"/>
    <n v="0"/>
    <s v="Retail  Store"/>
    <s v="Retail Store"/>
    <s v="Debit Card"/>
    <s v="Debit Card"/>
    <s v="Online Fulfillment"/>
    <s v="Saskatchewan"/>
    <s v="Corporate"/>
    <n v="57.85"/>
    <x v="1"/>
    <n v="96.33"/>
    <n v="0"/>
    <n v="96.33"/>
    <n v="57.85"/>
    <n v="38.479999999999997"/>
    <n v="0.39946018893387314"/>
    <x v="0"/>
    <s v=""/>
    <s v=""/>
    <s v=""/>
    <x v="0"/>
    <d v="2025-07-06T00:00:00"/>
  </r>
  <r>
    <x v="489"/>
    <s v="ORD-00205"/>
    <d v="2025-07-02T00:00:00"/>
    <s v="C0144"/>
    <s v="Noah Gagnon, Regina, Corporate"/>
    <s v="Noah Gagnon"/>
    <s v="Regina"/>
    <s v="Corporate"/>
    <n v="2"/>
    <s v="P026"/>
    <n v="4"/>
    <n v="228.91"/>
    <n v="0.15"/>
    <s v="Online"/>
    <s v="Online"/>
    <s v="Gift Card"/>
    <s v="Gift Card"/>
    <s v="Calgary North"/>
    <s v="Saskatchewan"/>
    <s v="Corporate"/>
    <n v="149.4"/>
    <x v="2"/>
    <n v="915.64"/>
    <n v="137.346"/>
    <n v="778.29399999999998"/>
    <n v="597.6"/>
    <n v="180.69399999999996"/>
    <n v="0.23216676474442816"/>
    <x v="0"/>
    <s v=""/>
    <s v=""/>
    <s v=""/>
    <x v="0"/>
    <d v="2025-07-06T00:00:00"/>
  </r>
  <r>
    <x v="490"/>
    <s v="ORD-00205"/>
    <d v="2025-07-02T00:00:00"/>
    <s v="C0144"/>
    <s v="Noah Gagnon, Regina, Corporate"/>
    <s v="Noah Gagnon"/>
    <s v="Regina"/>
    <s v="Corporate"/>
    <n v="2"/>
    <s v="P043"/>
    <n v="3"/>
    <n v="96.33"/>
    <n v="0.1"/>
    <s v="Online"/>
    <s v="Online"/>
    <m/>
    <s v="Unknown"/>
    <s v="Vancouver West"/>
    <s v="Saskatchewan"/>
    <s v="Corporate"/>
    <n v="57.85"/>
    <x v="1"/>
    <n v="288.99"/>
    <n v="28.899000000000001"/>
    <n v="260.09100000000001"/>
    <n v="173.55"/>
    <n v="86.540999999999997"/>
    <n v="0.33273354325985904"/>
    <x v="0"/>
    <s v=""/>
    <s v=""/>
    <s v=""/>
    <x v="0"/>
    <d v="2025-07-06T00:00:00"/>
  </r>
  <r>
    <x v="491"/>
    <s v="ORD-00205"/>
    <d v="2025-07-02T00:00:00"/>
    <s v="C0144"/>
    <s v="Noah Gagnon, Regina, Corporate"/>
    <s v="Noah Gagnon"/>
    <s v="Regina"/>
    <s v="Corporate"/>
    <n v="2"/>
    <s v="P012"/>
    <n v="4"/>
    <n v="186.92"/>
    <n v="0"/>
    <s v="Retail  Store"/>
    <s v="Retail Store"/>
    <s v="PayPal"/>
    <s v="PayPal"/>
    <s v="Montreal Central"/>
    <s v="Saskatchewan"/>
    <s v="Corporate"/>
    <n v="114.11"/>
    <x v="4"/>
    <n v="747.68"/>
    <n v="0"/>
    <n v="747.68"/>
    <n v="456.44"/>
    <n v="291.23999999999995"/>
    <n v="0.38952493045153003"/>
    <x v="0"/>
    <s v=""/>
    <s v=""/>
    <s v=""/>
    <x v="0"/>
    <d v="2025-07-06T00:00:00"/>
  </r>
  <r>
    <x v="492"/>
    <s v="ORD-00206"/>
    <d v="2025-05-03T00:00:00"/>
    <s v="C0049"/>
    <s v="Sofia Wilson, Edmonton, Small Business"/>
    <s v="Sofia Wilson"/>
    <s v="Edmonton"/>
    <s v="Small Business"/>
    <n v="2"/>
    <s v="P006"/>
    <n v="2"/>
    <n v="88.61"/>
    <n v="0.15"/>
    <s v="Market place"/>
    <s v="Marketplace"/>
    <s v="Credit Card"/>
    <s v="Credit Card"/>
    <s v="Vancouver West"/>
    <s v="Alberta"/>
    <s v="Small Business"/>
    <n v="49.75"/>
    <x v="3"/>
    <n v="177.22"/>
    <n v="26.582999999999998"/>
    <n v="150.637"/>
    <n v="99.5"/>
    <n v="51.137"/>
    <n v="0.33947171013761557"/>
    <x v="1"/>
    <s v="Wrong Item"/>
    <d v="2025-05-23T00:00:00"/>
    <s v="Refunded"/>
    <x v="1"/>
    <d v="2025-05-10T00:00:00"/>
  </r>
  <r>
    <x v="493"/>
    <s v="ORD-00206"/>
    <d v="2025-05-03T00:00:00"/>
    <s v="C0049"/>
    <s v="Sofia Wilson, Edmonton, Small Business"/>
    <s v="Sofia Wilson"/>
    <s v="Edmonton"/>
    <s v="Small Business"/>
    <n v="2"/>
    <s v="P027"/>
    <n v="2"/>
    <n v="244.25"/>
    <n v="0.05"/>
    <s v="Retail  Store"/>
    <s v="Retail Store"/>
    <s v="CC"/>
    <s v="Credit Card"/>
    <s v="Online Fulfillment"/>
    <s v="Alberta"/>
    <s v="Small Business"/>
    <n v="150.96"/>
    <x v="2"/>
    <n v="488.5"/>
    <n v="24.425000000000001"/>
    <n v="464.07499999999999"/>
    <n v="301.92"/>
    <n v="162.15499999999997"/>
    <n v="0.34941550395948928"/>
    <x v="0"/>
    <s v=""/>
    <s v=""/>
    <s v=""/>
    <x v="1"/>
    <d v="2025-05-10T00:00:00"/>
  </r>
  <r>
    <x v="494"/>
    <s v="ORD-00206"/>
    <d v="2025-05-03T00:00:00"/>
    <s v="C0049"/>
    <s v="Sofia Wilson, Edmonton, Small Business"/>
    <s v="Sofia Wilson"/>
    <s v="Edmonton"/>
    <s v="Small Business"/>
    <n v="2"/>
    <s v="P045"/>
    <n v="3"/>
    <n v="72.81"/>
    <n v="0.15"/>
    <s v="Marketplace"/>
    <s v="Marketplace"/>
    <s v="CC"/>
    <s v="Credit Card"/>
    <s v="Calgary North"/>
    <s v="Alberta"/>
    <s v="Small Business"/>
    <n v="37.99"/>
    <x v="1"/>
    <n v="218.43"/>
    <n v="32.764499999999998"/>
    <n v="185.66550000000001"/>
    <n v="113.97"/>
    <n v="71.69550000000001"/>
    <n v="0.38615413202775961"/>
    <x v="0"/>
    <s v=""/>
    <s v=""/>
    <s v=""/>
    <x v="1"/>
    <d v="2025-05-10T00:00:00"/>
  </r>
  <r>
    <x v="495"/>
    <s v="ORD-00207"/>
    <d v="2025-02-03T00:00:00"/>
    <s v="C0134"/>
    <s v="Sara Wilson, Montreal, Small Business"/>
    <s v="Sara Wilson"/>
    <s v="Montreal"/>
    <s v="Small Business"/>
    <n v="2"/>
    <s v="P050"/>
    <n v="1"/>
    <n v="34.909999999999997"/>
    <n v="0.1"/>
    <s v="Online"/>
    <s v="Online"/>
    <s v="CC"/>
    <s v="Credit Card"/>
    <s v="Toronto Downtown"/>
    <s v="Quebec"/>
    <s v="Small Business"/>
    <n v="19.670000000000002"/>
    <x v="1"/>
    <n v="34.909999999999997"/>
    <n v="3.4909999999999997"/>
    <n v="31.418999999999997"/>
    <n v="19.670000000000002"/>
    <n v="11.748999999999995"/>
    <n v="0.37394570164550101"/>
    <x v="0"/>
    <s v=""/>
    <s v=""/>
    <s v=""/>
    <x v="0"/>
    <d v="2025-02-05T00:00:00"/>
  </r>
  <r>
    <x v="496"/>
    <s v="ORD-00207"/>
    <d v="2025-02-03T00:00:00"/>
    <s v="C0134"/>
    <s v="Sara Wilson, Montreal, Small Business"/>
    <s v="Sara Wilson"/>
    <s v="Montreal"/>
    <s v="Small Business"/>
    <n v="2"/>
    <s v="P042"/>
    <n v="2"/>
    <n v="102.78"/>
    <n v="0.05"/>
    <s v="Retail Store"/>
    <s v="Retail Store"/>
    <s v="CC"/>
    <s v="Credit Card"/>
    <s v="Online Fulfillment"/>
    <s v="Quebec"/>
    <s v="Small Business"/>
    <n v="62.65"/>
    <x v="1"/>
    <n v="205.56"/>
    <n v="10.278"/>
    <n v="195.28200000000001"/>
    <n v="125.3"/>
    <n v="69.982000000000014"/>
    <n v="0.35836380209133462"/>
    <x v="0"/>
    <s v=""/>
    <s v=""/>
    <s v=""/>
    <x v="0"/>
    <d v="2025-02-05T00:00:00"/>
  </r>
  <r>
    <x v="497"/>
    <s v="ORD-00207"/>
    <d v="2025-02-03T00:00:00"/>
    <s v="C0134"/>
    <s v="Sara Wilson, Montreal, Small Business"/>
    <s v="Sara Wilson"/>
    <s v="Montreal"/>
    <s v="Small Business"/>
    <n v="2"/>
    <s v="P025"/>
    <n v="2"/>
    <n v="115.28"/>
    <n v="0.15"/>
    <s v="Online"/>
    <s v="Online"/>
    <m/>
    <s v="Unknown"/>
    <s v="Montreal Central"/>
    <s v="Quebec"/>
    <s v="Small Business"/>
    <n v="61.65"/>
    <x v="2"/>
    <n v="230.56"/>
    <n v="34.583999999999996"/>
    <n v="195.976"/>
    <n v="123.3"/>
    <n v="72.676000000000002"/>
    <n v="0.37084132750949095"/>
    <x v="1"/>
    <s v="Not as Described"/>
    <d v="2025-02-17T00:00:00"/>
    <s v="Pending"/>
    <x v="0"/>
    <d v="2025-02-05T00:00:00"/>
  </r>
  <r>
    <x v="498"/>
    <s v="ORD-00208"/>
    <d v="2025-07-03T00:00:00"/>
    <s v="C0030"/>
    <s v="Yara Dubois, Calgary, Consumer"/>
    <s v="Yara Dubois"/>
    <s v="Calgary"/>
    <s v="Consumer"/>
    <n v="2"/>
    <s v="P039"/>
    <n v="1"/>
    <n v="154.47"/>
    <n v="0"/>
    <s v="Market place"/>
    <s v="Marketplace"/>
    <s v="CC"/>
    <s v="Credit Card"/>
    <s v="Vancouver West"/>
    <s v="Alberta"/>
    <s v="Consumer"/>
    <n v="102.57"/>
    <x v="0"/>
    <n v="154.47"/>
    <n v="0"/>
    <n v="154.47"/>
    <n v="102.57"/>
    <n v="51.900000000000006"/>
    <n v="0.33598757040201988"/>
    <x v="0"/>
    <s v=""/>
    <s v=""/>
    <s v=""/>
    <x v="1"/>
    <d v="2025-07-08T00:00:00"/>
  </r>
  <r>
    <x v="499"/>
    <s v="ORD-00208"/>
    <d v="2025-07-03T00:00:00"/>
    <s v="C0030"/>
    <s v="Yara Dubois, Calgary, Consumer"/>
    <s v="Yara Dubois"/>
    <s v="Calgary"/>
    <s v="Consumer"/>
    <n v="2"/>
    <s v="P034"/>
    <n v="4"/>
    <n v="141.46"/>
    <n v="0"/>
    <s v="Market place"/>
    <s v="Marketplace"/>
    <s v="PayPal"/>
    <s v="PayPal"/>
    <s v="Online Fulfillment"/>
    <s v="Alberta"/>
    <s v="Consumer"/>
    <n v="78.650000000000006"/>
    <x v="0"/>
    <n v="565.84"/>
    <n v="0"/>
    <n v="565.84"/>
    <n v="314.60000000000002"/>
    <n v="251.24"/>
    <n v="0.44401244167962672"/>
    <x v="0"/>
    <s v=""/>
    <s v=""/>
    <s v=""/>
    <x v="1"/>
    <d v="2025-07-08T00:00:00"/>
  </r>
  <r>
    <x v="500"/>
    <s v="ORD-00208"/>
    <d v="2025-07-03T00:00:00"/>
    <s v="C0030"/>
    <s v="Yara Dubois, Calgary, Consumer"/>
    <s v="Yara Dubois"/>
    <s v="Calgary"/>
    <s v="Consumer"/>
    <n v="2"/>
    <s v="P006"/>
    <n v="4"/>
    <n v="88.61"/>
    <n v="0.05"/>
    <s v="Online"/>
    <s v="Online"/>
    <s v="Credit Card"/>
    <s v="Credit Card"/>
    <s v="Toronto Downtown"/>
    <s v="Alberta"/>
    <s v="Consumer"/>
    <n v="49.75"/>
    <x v="3"/>
    <n v="354.44"/>
    <n v="17.722000000000001"/>
    <n v="336.71800000000002"/>
    <n v="199"/>
    <n v="137.71800000000002"/>
    <n v="0.40900100380734028"/>
    <x v="0"/>
    <s v=""/>
    <s v=""/>
    <s v=""/>
    <x v="1"/>
    <d v="2025-07-08T00:00:00"/>
  </r>
  <r>
    <x v="501"/>
    <s v="ORD-00209"/>
    <d v="2025-03-31T01:00:00"/>
    <s v="C0136"/>
    <s v="Sofia Gagnon, Quebec City, Corporate"/>
    <s v="Sofia Gagnon"/>
    <s v="Quebec City"/>
    <s v="Corporate"/>
    <n v="2"/>
    <s v="P032"/>
    <n v="4"/>
    <n v="214.38"/>
    <n v="0.05"/>
    <s v="Retail Store"/>
    <s v="Retail Store"/>
    <s v="PayPal"/>
    <s v="PayPal"/>
    <s v="Montreal Central"/>
    <s v="Quebec"/>
    <s v="Corporate"/>
    <n v="131.51"/>
    <x v="0"/>
    <n v="857.52"/>
    <n v="42.876000000000005"/>
    <n v="814.64400000000001"/>
    <n v="526.04"/>
    <n v="288.60400000000004"/>
    <n v="0.35427008607440802"/>
    <x v="1"/>
    <s v="Not as Described"/>
    <d v="2025-04-22T00:00:00"/>
    <s v="Pending"/>
    <x v="1"/>
    <d v="2025-04-07T00:00:00"/>
  </r>
  <r>
    <x v="502"/>
    <s v="ORD-00209"/>
    <d v="2025-03-31T01:00:00"/>
    <s v="C0136"/>
    <s v="Sofia Gagnon, Quebec City, Corporate"/>
    <s v="Sofia Gagnon"/>
    <s v="Quebec City"/>
    <s v="Corporate"/>
    <n v="2"/>
    <s v="P046"/>
    <n v="3"/>
    <n v="180.37"/>
    <n v="0.05"/>
    <s v="Online"/>
    <s v="Online"/>
    <s v="CC"/>
    <s v="Credit Card"/>
    <s v="Montreal Central"/>
    <s v="Quebec"/>
    <s v="Corporate"/>
    <n v="107.55"/>
    <x v="1"/>
    <n v="541.11"/>
    <n v="27.055500000000002"/>
    <n v="514.05449999999996"/>
    <n v="322.64999999999998"/>
    <n v="191.40449999999998"/>
    <n v="0.37234281579093265"/>
    <x v="0"/>
    <s v=""/>
    <s v=""/>
    <s v=""/>
    <x v="1"/>
    <d v="2025-04-07T00:00:00"/>
  </r>
  <r>
    <x v="503"/>
    <s v="ORD-00210"/>
    <d v="2025-06-30T00:00:00"/>
    <s v="C0102"/>
    <s v="Adam Brown, Montreal, Small Business"/>
    <s v="Adam Brown"/>
    <s v="Montreal"/>
    <s v="Small Business"/>
    <n v="2"/>
    <s v="P018"/>
    <n v="3"/>
    <n v="142.16"/>
    <n v="0"/>
    <s v="Retail Store"/>
    <s v="Retail Store"/>
    <s v="Credit Card"/>
    <s v="Credit Card"/>
    <s v="Toronto Downtown"/>
    <s v="Quebec"/>
    <s v="Small Business"/>
    <n v="85.34"/>
    <x v="4"/>
    <n v="426.48"/>
    <n v="0"/>
    <n v="426.48"/>
    <n v="256.02"/>
    <n v="170.46000000000004"/>
    <n v="0.39969048958919534"/>
    <x v="0"/>
    <s v=""/>
    <s v=""/>
    <s v=""/>
    <x v="1"/>
    <d v="2025-07-09T00:00:00"/>
  </r>
  <r>
    <x v="504"/>
    <s v="ORD-00210"/>
    <d v="2025-06-30T00:00:00"/>
    <s v="C0102"/>
    <s v="Adam Brown, Montreal, Small Business"/>
    <s v="Adam Brown"/>
    <s v="Montreal"/>
    <s v="Small Business"/>
    <n v="2"/>
    <s v="P001"/>
    <n v="4"/>
    <n v="133.24"/>
    <n v="0"/>
    <s v="Market place"/>
    <s v="Marketplace"/>
    <s v="PayPal"/>
    <s v="PayPal"/>
    <s v="Vancouver West"/>
    <s v="Quebec"/>
    <s v="Small Business"/>
    <n v="77.540000000000006"/>
    <x v="3"/>
    <n v="532.96"/>
    <n v="0"/>
    <n v="532.96"/>
    <n v="310.16000000000003"/>
    <n v="222.8"/>
    <n v="0.41804262984088864"/>
    <x v="0"/>
    <s v=""/>
    <s v=""/>
    <s v=""/>
    <x v="1"/>
    <d v="2025-07-09T00:00:00"/>
  </r>
  <r>
    <x v="505"/>
    <s v="ORD-00211"/>
    <d v="2025-02-23T00:00:00"/>
    <s v="C0081"/>
    <s v="Daniel Ali, Victoria, Consumer"/>
    <s v="Daniel Ali"/>
    <s v="Victoria"/>
    <s v="Consumer"/>
    <n v="2"/>
    <s v="P040"/>
    <n v="3"/>
    <n v="33.369999999999997"/>
    <n v="0.15"/>
    <s v="Retail  Store"/>
    <s v="Retail Store"/>
    <s v="PayPal"/>
    <s v="PayPal"/>
    <s v="Calgary North"/>
    <s v="British Columbia"/>
    <s v="Consumer"/>
    <n v="18.670000000000002"/>
    <x v="0"/>
    <n v="100.10999999999999"/>
    <n v="15.016499999999997"/>
    <n v="85.093499999999992"/>
    <n v="56.010000000000005"/>
    <n v="29.083499999999987"/>
    <n v="0.34178286238079275"/>
    <x v="0"/>
    <s v=""/>
    <s v=""/>
    <s v=""/>
    <x v="1"/>
    <d v="2025-03-03T01:00:00"/>
  </r>
  <r>
    <x v="506"/>
    <s v="ORD-00212"/>
    <d v="2025-09-11T00:00:00"/>
    <s v="C0168"/>
    <s v="Maya Singh, Calgary, Small Business"/>
    <s v="Maya Singh"/>
    <s v="Calgary"/>
    <s v="Small Business"/>
    <n v="2"/>
    <s v="P004"/>
    <n v="3"/>
    <n v="195.38"/>
    <n v="0"/>
    <s v="Online"/>
    <s v="Online"/>
    <s v="Credit Card"/>
    <s v="Credit Card"/>
    <s v="Online Fulfillment"/>
    <s v="Alberta"/>
    <s v="Small Business"/>
    <n v="114.29"/>
    <x v="3"/>
    <n v="586.14"/>
    <n v="0"/>
    <n v="586.14"/>
    <n v="342.87"/>
    <n v="243.26999999999998"/>
    <n v="0.41503736308731698"/>
    <x v="0"/>
    <s v=""/>
    <s v=""/>
    <s v=""/>
    <x v="1"/>
    <d v="2025-09-19T00:00:00"/>
  </r>
  <r>
    <x v="507"/>
    <s v="ORD-00212"/>
    <d v="2025-09-11T00:00:00"/>
    <s v="C0168"/>
    <s v="Maya Singh, Calgary, Small Business"/>
    <s v="Maya Singh"/>
    <s v="Calgary"/>
    <s v="Small Business"/>
    <n v="2"/>
    <s v="P009"/>
    <n v="2"/>
    <n v="147.46"/>
    <n v="0"/>
    <s v="Marketplace"/>
    <s v="Marketplace"/>
    <s v="Credit Card"/>
    <s v="Credit Card"/>
    <s v="Montreal Central"/>
    <s v="Alberta"/>
    <s v="Small Business"/>
    <n v="100.95"/>
    <x v="3"/>
    <n v="294.92"/>
    <n v="0"/>
    <n v="294.92"/>
    <n v="201.9"/>
    <n v="93.02000000000001"/>
    <n v="0.31540756815407572"/>
    <x v="1"/>
    <s v="Wrong Item"/>
    <d v="2025-10-06T00:00:00"/>
    <s v="Pending"/>
    <x v="1"/>
    <d v="2025-09-19T00:00:00"/>
  </r>
  <r>
    <x v="508"/>
    <s v="ORD-00213"/>
    <d v="2025-01-22T00:00:00"/>
    <s v="C0104"/>
    <s v="Yara Ali, Ottawa, Small Business"/>
    <s v="Yara Ali"/>
    <s v="Ottawa"/>
    <s v="Small Business"/>
    <n v="2"/>
    <s v="P024"/>
    <n v="2"/>
    <n v="263.04000000000002"/>
    <n v="0.05"/>
    <s v="Online"/>
    <s v="Online"/>
    <s v="PayPal"/>
    <s v="PayPal"/>
    <s v="Vancouver West"/>
    <s v="Ontario"/>
    <s v="Small Business"/>
    <n v="161.84"/>
    <x v="2"/>
    <n v="526.08000000000004"/>
    <n v="26.304000000000002"/>
    <n v="499.77600000000007"/>
    <n v="323.68"/>
    <n v="176.09600000000006"/>
    <n v="0.35234985273402492"/>
    <x v="0"/>
    <s v=""/>
    <s v=""/>
    <s v=""/>
    <x v="0"/>
    <d v="2025-01-27T00:00:00"/>
  </r>
  <r>
    <x v="509"/>
    <s v="ORD-00213"/>
    <d v="2025-01-22T00:00:00"/>
    <s v="C0104"/>
    <s v="Yara Ali, Ottawa, Small Business"/>
    <s v="Yara Ali"/>
    <s v="Ottawa"/>
    <s v="Small Business"/>
    <n v="2"/>
    <s v="P044"/>
    <n v="4"/>
    <n v="208.89"/>
    <n v="0"/>
    <s v="Retail Store"/>
    <s v="Retail Store"/>
    <s v="Debit Card"/>
    <s v="Debit Card"/>
    <s v="Calgary North"/>
    <s v="Ontario"/>
    <s v="Small Business"/>
    <n v="133.05000000000001"/>
    <x v="1"/>
    <n v="835.56"/>
    <n v="0"/>
    <n v="835.56"/>
    <n v="532.20000000000005"/>
    <n v="303.3599999999999"/>
    <n v="0.36306189860692223"/>
    <x v="0"/>
    <s v=""/>
    <s v=""/>
    <s v=""/>
    <x v="0"/>
    <d v="2025-01-27T00:00:00"/>
  </r>
  <r>
    <x v="510"/>
    <s v="ORD-00213"/>
    <d v="2025-01-22T00:00:00"/>
    <s v="C0104"/>
    <s v="Yara Ali, Ottawa, Small Business"/>
    <s v="Yara Ali"/>
    <s v="Ottawa"/>
    <s v="Small Business"/>
    <n v="2"/>
    <s v="P028"/>
    <n v="2"/>
    <n v="52.79"/>
    <n v="0"/>
    <s v="Retail Store"/>
    <s v="Retail Store"/>
    <m/>
    <s v="Unknown"/>
    <s v="Vancouver West"/>
    <s v="Ontario"/>
    <s v="Small Business"/>
    <n v="28.17"/>
    <x v="2"/>
    <n v="105.58"/>
    <n v="0"/>
    <n v="105.58"/>
    <n v="56.34"/>
    <n v="49.239999999999995"/>
    <n v="0.46637620761507859"/>
    <x v="0"/>
    <s v=""/>
    <s v=""/>
    <s v=""/>
    <x v="0"/>
    <d v="2025-01-27T00:00:00"/>
  </r>
  <r>
    <x v="511"/>
    <s v="ORD-00214"/>
    <d v="2025-12-27T00:00:00"/>
    <s v="C0130"/>
    <s v="Adam Johnson, Vancouver, Consumer"/>
    <s v="Adam Johnson"/>
    <s v="Vancouver"/>
    <s v="Consumer"/>
    <n v="2"/>
    <s v="P041"/>
    <n v="4"/>
    <n v="238.47"/>
    <n v="0.05"/>
    <s v="Marketplace"/>
    <s v="Marketplace"/>
    <s v="Gift Card"/>
    <s v="Gift Card"/>
    <s v="Online Fulfillment"/>
    <s v="British Columbia"/>
    <s v="Consumer"/>
    <n v="127.65"/>
    <x v="1"/>
    <n v="953.88"/>
    <n v="47.694000000000003"/>
    <n v="906.18600000000004"/>
    <n v="510.6"/>
    <n v="395.58600000000001"/>
    <n v="0.43653951837702193"/>
    <x v="0"/>
    <s v=""/>
    <s v=""/>
    <s v=""/>
    <x v="0"/>
    <d v="2025-12-29T00:00:00"/>
  </r>
  <r>
    <x v="512"/>
    <s v="ORD-00214"/>
    <d v="2025-12-27T00:00:00"/>
    <s v="C0130"/>
    <s v="Adam Johnson, Vancouver, Consumer"/>
    <s v="Adam Johnson"/>
    <s v="Vancouver"/>
    <s v="Consumer"/>
    <n v="2"/>
    <s v="P025"/>
    <n v="4"/>
    <n v="115.28"/>
    <n v="0"/>
    <s v="Retail Store"/>
    <s v="Retail Store"/>
    <s v="Debit Card"/>
    <s v="Debit Card"/>
    <s v="Vancouver West"/>
    <s v="British Columbia"/>
    <s v="Consumer"/>
    <n v="61.65"/>
    <x v="2"/>
    <n v="461.12"/>
    <n v="0"/>
    <n v="461.12"/>
    <n v="246.6"/>
    <n v="214.52"/>
    <n v="0.46521512838306733"/>
    <x v="0"/>
    <s v=""/>
    <s v=""/>
    <s v=""/>
    <x v="0"/>
    <d v="2025-12-29T00:00:00"/>
  </r>
  <r>
    <x v="513"/>
    <s v="ORD-00214"/>
    <d v="2025-12-27T00:00:00"/>
    <s v="C0130"/>
    <s v="Adam Johnson, Vancouver, Consumer"/>
    <s v="Adam Johnson"/>
    <s v="Vancouver"/>
    <s v="Consumer"/>
    <n v="2"/>
    <s v="P024"/>
    <n v="4"/>
    <n v="263.04000000000002"/>
    <n v="0"/>
    <s v="Marketplace"/>
    <s v="Marketplace"/>
    <s v="CC"/>
    <s v="Credit Card"/>
    <s v="Montreal Central"/>
    <s v="British Columbia"/>
    <s v="Consumer"/>
    <n v="161.84"/>
    <x v="2"/>
    <n v="1052.1600000000001"/>
    <n v="0"/>
    <n v="1052.1600000000001"/>
    <n v="647.36"/>
    <n v="404.80000000000007"/>
    <n v="0.38473236009732364"/>
    <x v="0"/>
    <s v=""/>
    <s v=""/>
    <s v=""/>
    <x v="0"/>
    <d v="2025-12-29T00:00:00"/>
  </r>
  <r>
    <x v="514"/>
    <s v="ORD-00215"/>
    <d v="2025-04-19T00:00:00"/>
    <s v="C0070"/>
    <s v="Maya Martin, Vancouver, Small Business"/>
    <s v="Maya Martin"/>
    <s v="Vancouver"/>
    <s v="Small Business"/>
    <n v="2"/>
    <s v="P023"/>
    <n v="3"/>
    <n v="82.77"/>
    <n v="0.1"/>
    <s v="Market place"/>
    <s v="Marketplace"/>
    <s v="CC"/>
    <s v="Credit Card"/>
    <s v="Montreal Central"/>
    <s v="British Columbia"/>
    <s v="Small Business"/>
    <n v="46.51"/>
    <x v="2"/>
    <n v="248.31"/>
    <n v="24.831000000000003"/>
    <n v="223.47899999999998"/>
    <n v="139.53"/>
    <n v="83.948999999999984"/>
    <n v="0.37564603385553003"/>
    <x v="0"/>
    <s v=""/>
    <s v=""/>
    <s v=""/>
    <x v="0"/>
    <d v="2025-04-21T00:00:00"/>
  </r>
  <r>
    <x v="515"/>
    <s v="ORD-00215"/>
    <d v="2025-04-19T00:00:00"/>
    <s v="C0070"/>
    <s v="Maya Martin, Vancouver, Small Business"/>
    <s v="Maya Martin"/>
    <s v="Vancouver"/>
    <s v="Small Business"/>
    <n v="2"/>
    <s v="P005"/>
    <n v="4"/>
    <n v="42.72"/>
    <n v="0"/>
    <s v="Retail  Store"/>
    <s v="Retail Store"/>
    <s v="CC"/>
    <s v="Credit Card"/>
    <s v="Toronto Downtown"/>
    <s v="British Columbia"/>
    <s v="Small Business"/>
    <n v="24.46"/>
    <x v="3"/>
    <n v="170.88"/>
    <n v="0"/>
    <n v="170.88"/>
    <n v="97.84"/>
    <n v="73.039999999999992"/>
    <n v="0.42743445692883891"/>
    <x v="0"/>
    <s v=""/>
    <s v=""/>
    <s v=""/>
    <x v="0"/>
    <d v="2025-04-21T00:00:00"/>
  </r>
  <r>
    <x v="516"/>
    <s v="ORD-00215"/>
    <d v="2025-04-19T00:00:00"/>
    <s v="C0070"/>
    <s v="Maya Martin, Vancouver, Small Business"/>
    <s v="Maya Martin"/>
    <s v="Vancouver"/>
    <s v="Small Business"/>
    <n v="2"/>
    <s v="P003"/>
    <n v="4"/>
    <n v="265.73"/>
    <n v="0.1"/>
    <s v="Marketplace"/>
    <s v="Marketplace"/>
    <s v="Gift Card"/>
    <s v="Gift Card"/>
    <s v="Toronto Downtown"/>
    <s v="British Columbia"/>
    <s v="Small Business"/>
    <n v="154.16999999999999"/>
    <x v="3"/>
    <n v="1062.92"/>
    <n v="106.29200000000002"/>
    <n v="956.62800000000004"/>
    <n v="616.67999999999995"/>
    <n v="339.94800000000009"/>
    <n v="0.35536070447446666"/>
    <x v="0"/>
    <s v=""/>
    <s v=""/>
    <s v=""/>
    <x v="0"/>
    <d v="2025-04-21T00:00:00"/>
  </r>
  <r>
    <x v="517"/>
    <s v="ORD-00216"/>
    <d v="2025-08-15T00:00:00"/>
    <s v="C0096"/>
    <s v="Liam Singh, Ottawa, Corporate"/>
    <s v="Liam Singh"/>
    <s v="Ottawa"/>
    <s v="Corporate"/>
    <n v="2"/>
    <s v="P024"/>
    <n v="1"/>
    <n v="263.04000000000002"/>
    <n v="0.05"/>
    <s v="Marketplace"/>
    <s v="Marketplace"/>
    <s v="PayPal"/>
    <s v="PayPal"/>
    <s v="Vancouver West"/>
    <s v="Ontario"/>
    <s v="Corporate"/>
    <n v="161.84"/>
    <x v="2"/>
    <n v="263.04000000000002"/>
    <n v="13.152000000000001"/>
    <n v="249.88800000000003"/>
    <n v="161.84"/>
    <n v="88.04800000000003"/>
    <n v="0.35234985273402492"/>
    <x v="1"/>
    <s v="Changed Mind"/>
    <d v="2025-08-30T00:00:00"/>
    <s v="Refunded"/>
    <x v="1"/>
    <d v="2025-08-25T00:00:00"/>
  </r>
  <r>
    <x v="518"/>
    <s v="ORD-00217"/>
    <d v="2025-06-26T00:00:00"/>
    <s v="C0107"/>
    <s v="Ethan Dubois, Vancouver, Small Business"/>
    <s v="Ethan Dubois"/>
    <s v="Vancouver"/>
    <s v="Small Business"/>
    <n v="2"/>
    <s v="P013"/>
    <n v="4"/>
    <n v="207.71"/>
    <n v="0.15"/>
    <s v="Marketplace"/>
    <s v="Marketplace"/>
    <s v="CC"/>
    <s v="Credit Card"/>
    <s v="Calgary North"/>
    <s v="British Columbia"/>
    <s v="Small Business"/>
    <n v="132.97"/>
    <x v="4"/>
    <n v="830.84"/>
    <n v="124.626"/>
    <n v="706.21400000000006"/>
    <n v="531.88"/>
    <n v="174.33400000000006"/>
    <n v="0.24685718493261255"/>
    <x v="0"/>
    <s v=""/>
    <s v=""/>
    <s v=""/>
    <x v="1"/>
    <d v="2025-07-02T00:00:00"/>
  </r>
  <r>
    <x v="519"/>
    <s v="ORD-00217"/>
    <d v="2025-06-26T00:00:00"/>
    <s v="C0107"/>
    <s v="Ethan Dubois, Vancouver, Small Business"/>
    <s v="Ethan Dubois"/>
    <s v="Vancouver"/>
    <s v="Small Business"/>
    <n v="2"/>
    <s v="P015"/>
    <n v="4"/>
    <n v="273.89"/>
    <n v="0.15"/>
    <s v="Retail  Store"/>
    <s v="Retail Store"/>
    <s v="Gift Card"/>
    <s v="Gift Card"/>
    <s v="Online Fulfillment"/>
    <s v="British Columbia"/>
    <s v="Small Business"/>
    <n v="140.66999999999999"/>
    <x v="4"/>
    <n v="1095.56"/>
    <n v="164.33399999999997"/>
    <n v="931.226"/>
    <n v="562.67999999999995"/>
    <n v="368.54600000000005"/>
    <n v="0.39576429352273246"/>
    <x v="0"/>
    <s v=""/>
    <s v=""/>
    <s v=""/>
    <x v="1"/>
    <d v="2025-07-02T00:00:00"/>
  </r>
  <r>
    <x v="520"/>
    <s v="ORD-00218"/>
    <d v="2025-01-30T00:00:00"/>
    <s v="C0171"/>
    <s v="Yara Gagnon, Winnipeg, Corporate"/>
    <s v="Yara Gagnon"/>
    <s v="Winnipeg"/>
    <s v="Corporate"/>
    <n v="2"/>
    <s v="P015"/>
    <n v="2"/>
    <n v="273.89"/>
    <n v="0.05"/>
    <s v="Online"/>
    <s v="Online"/>
    <s v="CC"/>
    <s v="Credit Card"/>
    <s v="Calgary North"/>
    <s v="Manitoba"/>
    <s v="Corporate"/>
    <n v="140.66999999999999"/>
    <x v="4"/>
    <n v="547.78"/>
    <n v="27.388999999999999"/>
    <n v="520.39099999999996"/>
    <n v="281.33999999999997"/>
    <n v="239.05099999999999"/>
    <n v="0.45936805209928688"/>
    <x v="0"/>
    <s v=""/>
    <s v=""/>
    <s v=""/>
    <x v="1"/>
    <d v="2025-02-08T00:00:00"/>
  </r>
  <r>
    <x v="521"/>
    <s v="ORD-00218"/>
    <d v="2025-01-30T00:00:00"/>
    <s v="C0171"/>
    <s v="Yara Gagnon, Winnipeg, Corporate"/>
    <s v="Yara Gagnon"/>
    <s v="Winnipeg"/>
    <s v="Corporate"/>
    <n v="2"/>
    <s v="P030"/>
    <n v="4"/>
    <n v="75.75"/>
    <n v="0"/>
    <s v="Retail  Store"/>
    <s v="Retail Store"/>
    <s v="Credit Card"/>
    <s v="Credit Card"/>
    <s v="Vancouver West"/>
    <s v="Manitoba"/>
    <s v="Corporate"/>
    <n v="42.37"/>
    <x v="2"/>
    <n v="303"/>
    <n v="0"/>
    <n v="303"/>
    <n v="169.48"/>
    <n v="133.52000000000001"/>
    <n v="0.44066006600660068"/>
    <x v="0"/>
    <s v=""/>
    <s v=""/>
    <s v=""/>
    <x v="1"/>
    <d v="2025-02-08T00:00:00"/>
  </r>
  <r>
    <x v="522"/>
    <s v="ORD-00218"/>
    <d v="2025-01-30T00:00:00"/>
    <s v="C0171"/>
    <s v="Yara Gagnon, Winnipeg, Corporate"/>
    <s v="Yara Gagnon"/>
    <s v="Winnipeg"/>
    <s v="Corporate"/>
    <n v="2"/>
    <s v="P005"/>
    <n v="2"/>
    <n v="42.72"/>
    <n v="0"/>
    <s v="Online"/>
    <s v="Online"/>
    <s v="PayPal"/>
    <s v="PayPal"/>
    <s v="Calgary North"/>
    <s v="Manitoba"/>
    <s v="Corporate"/>
    <n v="24.46"/>
    <x v="3"/>
    <n v="85.44"/>
    <n v="0"/>
    <n v="85.44"/>
    <n v="48.92"/>
    <n v="36.519999999999996"/>
    <n v="0.42743445692883891"/>
    <x v="0"/>
    <s v=""/>
    <s v=""/>
    <s v=""/>
    <x v="1"/>
    <d v="2025-02-08T00:00:00"/>
  </r>
  <r>
    <x v="523"/>
    <s v="ORD-00219"/>
    <d v="2025-11-03T00:00:00"/>
    <s v="C0129"/>
    <s v="Emma Brown, Toronto, Corporate"/>
    <s v="Emma Brown"/>
    <s v="Toronto"/>
    <s v="Corporate"/>
    <n v="2"/>
    <s v="P048"/>
    <n v="2"/>
    <n v="287.16000000000003"/>
    <n v="0"/>
    <s v="Online"/>
    <s v="Online"/>
    <s v="PayPal"/>
    <s v="PayPal"/>
    <s v="Toronto Downtown"/>
    <s v="Ontario"/>
    <s v="Corporate"/>
    <n v="148.21"/>
    <x v="1"/>
    <n v="574.32000000000005"/>
    <n v="0"/>
    <n v="574.32000000000005"/>
    <n v="296.42"/>
    <n v="277.90000000000003"/>
    <n v="0.48387658448251847"/>
    <x v="0"/>
    <s v=""/>
    <s v=""/>
    <s v=""/>
    <x v="0"/>
    <d v="2025-11-06T00:00:00"/>
  </r>
  <r>
    <x v="524"/>
    <s v="ORD-00219"/>
    <d v="2025-11-03T00:00:00"/>
    <s v="C0129"/>
    <s v="Emma Brown, Toronto, Corporate"/>
    <s v="Emma Brown"/>
    <s v="Toronto"/>
    <s v="Corporate"/>
    <n v="2"/>
    <s v="P024"/>
    <n v="2"/>
    <n v="263.04000000000002"/>
    <n v="0.05"/>
    <s v="Retail Store"/>
    <s v="Retail Store"/>
    <s v="Debit Card"/>
    <s v="Debit Card"/>
    <s v="Toronto Downtown"/>
    <s v="Ontario"/>
    <s v="Corporate"/>
    <n v="161.84"/>
    <x v="2"/>
    <n v="526.08000000000004"/>
    <n v="26.304000000000002"/>
    <n v="499.77600000000007"/>
    <n v="323.68"/>
    <n v="176.09600000000006"/>
    <n v="0.35234985273402492"/>
    <x v="0"/>
    <s v=""/>
    <s v=""/>
    <s v=""/>
    <x v="0"/>
    <d v="2025-11-06T00:00:00"/>
  </r>
  <r>
    <x v="525"/>
    <s v="ORD-00220"/>
    <d v="2025-03-04T01:00:00"/>
    <s v="C0119"/>
    <s v="Noah Khan, Vancouver, Consumer"/>
    <s v="Noah Khan"/>
    <s v="Vancouver"/>
    <s v="Consumer"/>
    <n v="2"/>
    <s v="P035"/>
    <n v="1"/>
    <n v="251.17"/>
    <n v="0.15"/>
    <s v="Retail  Store"/>
    <s v="Retail Store"/>
    <s v="PayPal"/>
    <s v="PayPal"/>
    <s v="Toronto Downtown"/>
    <s v="British Columbia"/>
    <s v="Consumer"/>
    <n v="151.59"/>
    <x v="0"/>
    <n v="251.17"/>
    <n v="37.6755"/>
    <n v="213.49449999999999"/>
    <n v="151.59"/>
    <n v="61.904499999999985"/>
    <n v="0.28995828932361251"/>
    <x v="0"/>
    <s v=""/>
    <s v=""/>
    <s v=""/>
    <x v="1"/>
    <d v="2025-03-09T01:00:00"/>
  </r>
  <r>
    <x v="526"/>
    <s v="ORD-00220"/>
    <d v="2025-03-04T01:00:00"/>
    <s v="C0119"/>
    <s v="Noah Khan, Vancouver, Consumer"/>
    <s v="Noah Khan"/>
    <s v="Vancouver"/>
    <s v="Consumer"/>
    <n v="2"/>
    <s v="P043"/>
    <n v="4"/>
    <n v="96.33"/>
    <n v="0.05"/>
    <s v="Market place"/>
    <s v="Marketplace"/>
    <s v="Debit Card"/>
    <s v="Debit Card"/>
    <s v="Toronto Downtown"/>
    <s v="British Columbia"/>
    <s v="Consumer"/>
    <n v="57.85"/>
    <x v="1"/>
    <n v="385.32"/>
    <n v="19.266000000000002"/>
    <n v="366.05399999999997"/>
    <n v="231.4"/>
    <n v="134.65399999999997"/>
    <n v="0.36785283045670852"/>
    <x v="0"/>
    <s v=""/>
    <s v=""/>
    <s v=""/>
    <x v="1"/>
    <d v="2025-03-09T01:00:00"/>
  </r>
  <r>
    <x v="527"/>
    <s v="ORD-00220"/>
    <d v="2025-03-04T01:00:00"/>
    <s v="C0119"/>
    <s v="Noah Khan, Vancouver, Consumer"/>
    <s v="Noah Khan"/>
    <s v="Vancouver"/>
    <s v="Consumer"/>
    <n v="2"/>
    <s v="P008"/>
    <n v="4"/>
    <n v="110.88"/>
    <n v="0"/>
    <s v="Online"/>
    <s v="Online"/>
    <s v="Credit Card"/>
    <s v="Credit Card"/>
    <s v="Vancouver West"/>
    <s v="British Columbia"/>
    <s v="Consumer"/>
    <n v="57.09"/>
    <x v="3"/>
    <n v="443.52"/>
    <n v="0"/>
    <n v="443.52"/>
    <n v="228.36"/>
    <n v="215.15999999999997"/>
    <n v="0.48511904761904756"/>
    <x v="1"/>
    <s v="Late Delivery"/>
    <d v="2025-03-13T01:00:00"/>
    <s v="Pending"/>
    <x v="1"/>
    <d v="2025-03-09T01:00:00"/>
  </r>
  <r>
    <x v="528"/>
    <s v="ORD-00220"/>
    <d v="2025-03-04T01:00:00"/>
    <s v="C0119"/>
    <s v="Noah Khan, Vancouver, Consumer"/>
    <s v="Noah Khan"/>
    <s v="Vancouver"/>
    <s v="Consumer"/>
    <n v="2"/>
    <s v="P020"/>
    <n v="4"/>
    <n v="56.99"/>
    <n v="0.1"/>
    <s v="Marketplace"/>
    <s v="Marketplace"/>
    <s v="CC"/>
    <s v="Credit Card"/>
    <s v="Montreal Central"/>
    <s v="British Columbia"/>
    <s v="Consumer"/>
    <n v="33.65"/>
    <x v="4"/>
    <n v="227.96"/>
    <n v="22.796000000000003"/>
    <n v="205.16400000000002"/>
    <n v="134.6"/>
    <n v="70.564000000000021"/>
    <n v="0.34393948256029333"/>
    <x v="0"/>
    <s v=""/>
    <s v=""/>
    <s v=""/>
    <x v="1"/>
    <d v="2025-03-09T01:00:00"/>
  </r>
  <r>
    <x v="529"/>
    <s v="ORD-00221"/>
    <d v="2025-07-15T00:00:00"/>
    <s v="C0040"/>
    <s v="Daniel Tremblay, Halifax, Small Business"/>
    <s v="Daniel Tremblay"/>
    <s v="Halifax"/>
    <s v="Small Business"/>
    <n v="2"/>
    <s v="P028"/>
    <n v="2"/>
    <n v="52.79"/>
    <n v="0.1"/>
    <s v="Retail  Store"/>
    <s v="Retail Store"/>
    <m/>
    <s v="Unknown"/>
    <s v="Montreal Central"/>
    <s v="Nova Scotia"/>
    <s v="Small Business"/>
    <n v="28.17"/>
    <x v="2"/>
    <n v="105.58"/>
    <n v="10.558"/>
    <n v="95.021999999999991"/>
    <n v="56.34"/>
    <n v="38.681999999999988"/>
    <n v="0.40708467512786506"/>
    <x v="1"/>
    <s v="Wrong Item"/>
    <d v="2025-07-23T00:00:00"/>
    <s v="Pending"/>
    <x v="1"/>
    <d v="2025-07-21T00:00:00"/>
  </r>
  <r>
    <x v="530"/>
    <s v="ORD-00222"/>
    <d v="2025-12-30T00:00:00"/>
    <s v="C0173"/>
    <s v="Adam Johnson, Vancouver, Small Business"/>
    <s v="Adam Johnson"/>
    <s v="Vancouver"/>
    <s v="Small Business"/>
    <n v="2"/>
    <s v="P033"/>
    <n v="2"/>
    <n v="160"/>
    <n v="0.1"/>
    <s v="Retail  Store"/>
    <s v="Retail Store"/>
    <s v="PayPal"/>
    <s v="PayPal"/>
    <s v="Calgary North"/>
    <s v="British Columbia"/>
    <s v="Small Business"/>
    <n v="101.58"/>
    <x v="0"/>
    <n v="320"/>
    <n v="32"/>
    <n v="288"/>
    <n v="203.16"/>
    <n v="84.84"/>
    <n v="0.29458333333333336"/>
    <x v="1"/>
    <s v="Not as Described"/>
    <d v="2026-01-12T00:00:00"/>
    <s v="Refunded"/>
    <x v="1"/>
    <d v="2026-01-06T00:00:00"/>
  </r>
  <r>
    <x v="531"/>
    <s v="ORD-00222"/>
    <d v="2025-12-30T00:00:00"/>
    <s v="C0173"/>
    <s v="Adam Johnson, Vancouver, Small Business"/>
    <s v="Adam Johnson"/>
    <s v="Vancouver"/>
    <s v="Small Business"/>
    <n v="2"/>
    <s v="P002"/>
    <n v="1"/>
    <n v="105.38"/>
    <n v="0.1"/>
    <s v="Online"/>
    <s v="Online"/>
    <s v="Gift Card"/>
    <s v="Gift Card"/>
    <s v="Toronto Downtown"/>
    <s v="British Columbia"/>
    <s v="Small Business"/>
    <n v="67.290000000000006"/>
    <x v="3"/>
    <n v="105.38"/>
    <n v="10.538"/>
    <n v="94.841999999999999"/>
    <n v="67.290000000000006"/>
    <n v="27.551999999999992"/>
    <n v="0.29050420699690005"/>
    <x v="0"/>
    <s v=""/>
    <s v=""/>
    <s v=""/>
    <x v="1"/>
    <d v="2026-01-06T00:00:00"/>
  </r>
  <r>
    <x v="532"/>
    <s v="ORD-00223"/>
    <d v="2025-08-25T00:00:00"/>
    <s v="C0159"/>
    <s v="Yara Ali, Montreal, Consumer"/>
    <s v="Yara Ali"/>
    <s v="Montreal"/>
    <s v="Consumer"/>
    <n v="2"/>
    <s v="P012"/>
    <n v="3"/>
    <n v="186.92"/>
    <n v="0"/>
    <s v="Online"/>
    <s v="Online"/>
    <s v="Credit Card"/>
    <s v="Credit Card"/>
    <s v="Montreal Central"/>
    <s v="Quebec"/>
    <s v="Consumer"/>
    <n v="114.11"/>
    <x v="4"/>
    <n v="560.76"/>
    <n v="0"/>
    <n v="560.76"/>
    <n v="342.33"/>
    <n v="218.43"/>
    <n v="0.38952493045153008"/>
    <x v="0"/>
    <s v=""/>
    <s v=""/>
    <s v=""/>
    <x v="1"/>
    <d v="2025-08-31T00:00:00"/>
  </r>
  <r>
    <x v="533"/>
    <s v="ORD-00224"/>
    <d v="2025-06-07T00:00:00"/>
    <s v="c0172"/>
    <s v="Adam Wilson, Edmonton, Consumer"/>
    <s v="Adam Wilson"/>
    <s v="Edmonton"/>
    <s v="Consumer"/>
    <n v="2"/>
    <s v="P030"/>
    <n v="2"/>
    <n v="75.75"/>
    <n v="0.05"/>
    <s v="Online"/>
    <s v="Online"/>
    <s v="Gift Card"/>
    <s v="Gift Card"/>
    <s v="Online Fulfillment"/>
    <s v="Alberta"/>
    <s v="Consumer"/>
    <n v="42.37"/>
    <x v="2"/>
    <n v="151.5"/>
    <n v="7.5750000000000002"/>
    <n v="143.92500000000001"/>
    <n v="84.74"/>
    <n v="59.185000000000016"/>
    <n v="0.41122112211221129"/>
    <x v="0"/>
    <s v=""/>
    <s v=""/>
    <s v=""/>
    <x v="1"/>
    <d v="2025-06-12T00:00:00"/>
  </r>
  <r>
    <x v="534"/>
    <s v="ORD-00224"/>
    <d v="2025-06-07T00:00:00"/>
    <s v="C0172"/>
    <s v="Adam Wilson, Edmonton, Consumer"/>
    <s v="Adam Wilson"/>
    <s v="Edmonton"/>
    <s v="Consumer"/>
    <n v="2"/>
    <s v="P022"/>
    <n v="4"/>
    <n v="61.81"/>
    <n v="0.15"/>
    <s v="Marketplace"/>
    <s v="Marketplace"/>
    <m/>
    <s v="Unknown"/>
    <s v="Vancouver West"/>
    <s v="Alberta"/>
    <s v="Consumer"/>
    <n v="33.19"/>
    <x v="2"/>
    <n v="247.24"/>
    <n v="37.085999999999999"/>
    <n v="210.154"/>
    <n v="132.76"/>
    <n v="77.394000000000005"/>
    <n v="0.36827279042987526"/>
    <x v="0"/>
    <s v=""/>
    <s v=""/>
    <s v=""/>
    <x v="1"/>
    <d v="2025-06-12T00:00:00"/>
  </r>
  <r>
    <x v="535"/>
    <s v="ORD-00224"/>
    <d v="2025-06-07T00:00:00"/>
    <s v="C0172"/>
    <s v="Adam Wilson, Edmonton, Consumer"/>
    <s v="Adam Wilson"/>
    <s v="Edmonton"/>
    <s v="Consumer"/>
    <n v="2"/>
    <s v="P035"/>
    <n v="4"/>
    <n v="251.17"/>
    <n v="0.1"/>
    <s v="Market place"/>
    <s v="Marketplace"/>
    <s v="Gift Card"/>
    <s v="Gift Card"/>
    <s v="Online Fulfillment"/>
    <s v="Alberta"/>
    <s v="Consumer"/>
    <n v="151.59"/>
    <x v="0"/>
    <n v="1004.68"/>
    <n v="100.468"/>
    <n v="904.21199999999999"/>
    <n v="606.36"/>
    <n v="297.85199999999998"/>
    <n v="0.32940505102785628"/>
    <x v="0"/>
    <s v=""/>
    <s v=""/>
    <s v=""/>
    <x v="1"/>
    <d v="2025-06-12T00:00:00"/>
  </r>
  <r>
    <x v="536"/>
    <s v="ORD-00224"/>
    <d v="2025-06-07T00:00:00"/>
    <s v="C0172"/>
    <s v="Adam Wilson, Edmonton, Consumer"/>
    <s v="Adam Wilson"/>
    <s v="Edmonton"/>
    <s v="Consumer"/>
    <n v="2"/>
    <s v="P005"/>
    <n v="3"/>
    <n v="42.72"/>
    <n v="0.1"/>
    <s v="Retail Store"/>
    <s v="Retail Store"/>
    <s v="Credit Card"/>
    <s v="Credit Card"/>
    <s v="Online Fulfillment"/>
    <s v="Alberta"/>
    <s v="Consumer"/>
    <n v="24.46"/>
    <x v="3"/>
    <n v="128.16"/>
    <n v="12.816000000000001"/>
    <n v="115.34399999999999"/>
    <n v="73.38"/>
    <n v="41.963999999999999"/>
    <n v="0.36381606325426552"/>
    <x v="1"/>
    <s v="Damaged"/>
    <d v="2025-06-27T00:00:00"/>
    <s v="Refunded"/>
    <x v="1"/>
    <d v="2025-06-12T00:00:00"/>
  </r>
  <r>
    <x v="537"/>
    <s v="ORD-00225"/>
    <d v="2025-09-15T00:00:00"/>
    <s v="C0057"/>
    <s v="Adam Ali, Toronto, Corporate"/>
    <s v="Adam Ali"/>
    <s v="Toronto"/>
    <s v="Corporate"/>
    <n v="2"/>
    <s v="P039"/>
    <n v="3"/>
    <n v="154.47"/>
    <n v="0.1"/>
    <s v="Marketplace"/>
    <s v="Marketplace"/>
    <s v="CC"/>
    <s v="Credit Card"/>
    <s v="Montreal Central"/>
    <s v="Ontario"/>
    <s v="Corporate"/>
    <n v="102.57"/>
    <x v="0"/>
    <n v="463.40999999999997"/>
    <n v="46.341000000000001"/>
    <n v="417.06899999999996"/>
    <n v="307.70999999999998"/>
    <n v="109.35899999999998"/>
    <n v="0.26220841155779978"/>
    <x v="0"/>
    <s v=""/>
    <s v=""/>
    <s v=""/>
    <x v="0"/>
    <d v="2025-09-18T00:00:00"/>
  </r>
  <r>
    <x v="538"/>
    <s v="ORD-00225"/>
    <d v="2025-09-15T00:00:00"/>
    <s v="C0057"/>
    <s v="Adam Ali, Toronto, Corporate"/>
    <s v="Adam Ali"/>
    <s v="Toronto"/>
    <s v="Corporate"/>
    <n v="2"/>
    <s v="P027"/>
    <n v="1"/>
    <n v="244.25"/>
    <n v="0.15"/>
    <s v="Market place"/>
    <s v="Marketplace"/>
    <s v="Credit Card"/>
    <s v="Credit Card"/>
    <s v="Vancouver West"/>
    <s v="Ontario"/>
    <s v="Corporate"/>
    <n v="150.96"/>
    <x v="2"/>
    <n v="244.25"/>
    <n v="36.637499999999996"/>
    <n v="207.61250000000001"/>
    <n v="150.96"/>
    <n v="56.652500000000003"/>
    <n v="0.27287615148413513"/>
    <x v="1"/>
    <s v="Wrong Item"/>
    <d v="2025-09-25T00:00:00"/>
    <s v="Refunded"/>
    <x v="0"/>
    <d v="2025-09-18T00:00:00"/>
  </r>
  <r>
    <x v="539"/>
    <s v="ORD-00225"/>
    <d v="2025-09-15T00:00:00"/>
    <s v="C0057"/>
    <s v="Adam Ali, Toronto, Corporate"/>
    <s v="Adam Ali"/>
    <s v="Toronto"/>
    <s v="Corporate"/>
    <n v="2"/>
    <s v="P014"/>
    <n v="2"/>
    <n v="91.75"/>
    <n v="0"/>
    <s v="Retail Store"/>
    <s v="Retail Store"/>
    <s v="Credit Card"/>
    <s v="Credit Card"/>
    <s v="Vancouver West"/>
    <s v="Ontario"/>
    <s v="Corporate"/>
    <n v="58.27"/>
    <x v="4"/>
    <n v="183.5"/>
    <n v="0"/>
    <n v="183.5"/>
    <n v="116.54"/>
    <n v="66.959999999999994"/>
    <n v="0.3649046321525885"/>
    <x v="0"/>
    <s v=""/>
    <s v=""/>
    <s v=""/>
    <x v="0"/>
    <d v="2025-09-18T00:00:00"/>
  </r>
  <r>
    <x v="540"/>
    <s v="ORD-00225"/>
    <d v="2025-09-15T00:00:00"/>
    <s v="C0057"/>
    <s v="Adam Ali, Toronto, Corporate"/>
    <s v="Adam Ali"/>
    <s v="Toronto"/>
    <s v="Corporate"/>
    <n v="2"/>
    <s v="P046"/>
    <n v="1"/>
    <n v="180.37"/>
    <n v="0.15"/>
    <s v="Marketplace"/>
    <s v="Marketplace"/>
    <s v="Credit Card"/>
    <s v="Credit Card"/>
    <s v="Online Fulfillment"/>
    <s v="Ontario"/>
    <s v="Corporate"/>
    <n v="107.55"/>
    <x v="1"/>
    <n v="180.37"/>
    <n v="27.055499999999999"/>
    <n v="153.31450000000001"/>
    <n v="107.55"/>
    <n v="45.764500000000012"/>
    <n v="0.29850079411927777"/>
    <x v="0"/>
    <s v=""/>
    <s v=""/>
    <s v=""/>
    <x v="0"/>
    <d v="2025-09-18T00:00:00"/>
  </r>
  <r>
    <x v="541"/>
    <s v="ORD-00226"/>
    <d v="2025-05-23T00:00:00"/>
    <s v="C0022"/>
    <s v="Ethan Martin, Ottawa, Consumer"/>
    <s v="Ethan Martin"/>
    <s v="Ottawa"/>
    <s v="Consumer"/>
    <n v="2"/>
    <s v="P009"/>
    <n v="2"/>
    <n v="147.46"/>
    <n v="0.15"/>
    <s v="Online"/>
    <s v="Online"/>
    <s v="CC"/>
    <s v="Credit Card"/>
    <s v="Online Fulfillment"/>
    <s v="Ontario"/>
    <s v="Consumer"/>
    <n v="100.95"/>
    <x v="3"/>
    <n v="294.92"/>
    <n v="44.238"/>
    <n v="250.68200000000002"/>
    <n v="201.9"/>
    <n v="48.782000000000011"/>
    <n v="0.19459713900479494"/>
    <x v="0"/>
    <s v=""/>
    <s v=""/>
    <s v=""/>
    <x v="1"/>
    <d v="2025-05-31T00:00:00"/>
  </r>
  <r>
    <x v="542"/>
    <s v="ORD-00227"/>
    <d v="2025-07-15T00:00:00"/>
    <s v="C0142"/>
    <s v="Liam Gagnon, Toronto, Consumer"/>
    <s v="Liam Gagnon"/>
    <s v="Toronto"/>
    <s v="Consumer"/>
    <n v="2"/>
    <s v="P043"/>
    <n v="1"/>
    <n v="96.33"/>
    <n v="0"/>
    <s v="Market place"/>
    <s v="Marketplace"/>
    <s v="Gift Card"/>
    <s v="Gift Card"/>
    <s v="Toronto Downtown"/>
    <s v="Ontario"/>
    <s v="Consumer"/>
    <n v="57.85"/>
    <x v="1"/>
    <n v="96.33"/>
    <n v="0"/>
    <n v="96.33"/>
    <n v="57.85"/>
    <n v="38.479999999999997"/>
    <n v="0.39946018893387314"/>
    <x v="0"/>
    <s v=""/>
    <s v=""/>
    <s v=""/>
    <x v="1"/>
    <d v="2025-07-20T00:00:00"/>
  </r>
  <r>
    <x v="543"/>
    <s v="ORD-00228"/>
    <d v="2025-03-22T01:00:00"/>
    <s v="C0091"/>
    <s v="Emma Ali, Edmonton, Small Business"/>
    <s v="Emma Ali"/>
    <s v="Edmonton"/>
    <s v="Small Business"/>
    <n v="2"/>
    <s v="P016"/>
    <n v="2"/>
    <n v="103.3"/>
    <n v="0"/>
    <s v="Retail Store"/>
    <s v="Retail Store"/>
    <s v="Gift Card"/>
    <s v="Gift Card"/>
    <s v="Montreal Central"/>
    <s v="Alberta"/>
    <s v="Small Business"/>
    <n v="70.180000000000007"/>
    <x v="4"/>
    <n v="206.6"/>
    <n v="0"/>
    <n v="206.6"/>
    <n v="140.36000000000001"/>
    <n v="66.239999999999981"/>
    <n v="0.32061955469506281"/>
    <x v="0"/>
    <s v=""/>
    <s v=""/>
    <s v=""/>
    <x v="1"/>
    <d v="2025-03-30T01:00:00"/>
  </r>
  <r>
    <x v="544"/>
    <s v="ORD-00228"/>
    <d v="2025-03-22T01:00:00"/>
    <s v="C0091"/>
    <s v="Emma Ali, Edmonton, Small Business"/>
    <s v="Emma Ali"/>
    <s v="Edmonton"/>
    <s v="Small Business"/>
    <n v="2"/>
    <s v="P018"/>
    <n v="3"/>
    <n v="142.16"/>
    <n v="0"/>
    <s v="Online"/>
    <s v="Online"/>
    <s v="Credit Card"/>
    <s v="Credit Card"/>
    <s v="Calgary North"/>
    <s v="Alberta"/>
    <s v="Small Business"/>
    <n v="85.34"/>
    <x v="4"/>
    <n v="426.48"/>
    <n v="0"/>
    <n v="426.48"/>
    <n v="256.02"/>
    <n v="170.46000000000004"/>
    <n v="0.39969048958919534"/>
    <x v="0"/>
    <s v=""/>
    <s v=""/>
    <s v=""/>
    <x v="1"/>
    <d v="2025-03-30T01:00:00"/>
  </r>
  <r>
    <x v="545"/>
    <s v="ORD-00228"/>
    <d v="2025-03-22T01:00:00"/>
    <s v="C0091"/>
    <s v="Emma Ali, Edmonton, Small Business"/>
    <s v="Emma Ali"/>
    <s v="Edmonton"/>
    <s v="Small Business"/>
    <n v="2"/>
    <s v="P037"/>
    <n v="1"/>
    <n v="236.51"/>
    <n v="0"/>
    <s v="Online"/>
    <s v="Online"/>
    <s v="PayPal"/>
    <s v="PayPal"/>
    <s v="Calgary North"/>
    <s v="Alberta"/>
    <s v="Small Business"/>
    <n v="142.84"/>
    <x v="0"/>
    <n v="236.51"/>
    <n v="0"/>
    <n v="236.51"/>
    <n v="142.84"/>
    <n v="93.669999999999987"/>
    <n v="0.39605090693839579"/>
    <x v="1"/>
    <s v="Not as Described"/>
    <d v="2025-04-11T00:00:00"/>
    <s v="Pending"/>
    <x v="1"/>
    <d v="2025-03-30T01:00:00"/>
  </r>
  <r>
    <x v="546"/>
    <s v="ORD-00229"/>
    <d v="2025-01-22T00:00:00"/>
    <s v="C0152"/>
    <s v="Daniel Khan, Halifax, Small Business"/>
    <s v="Daniel Khan"/>
    <s v="Halifax"/>
    <s v="Small Business"/>
    <n v="2"/>
    <s v="P006"/>
    <n v="4"/>
    <n v="88.61"/>
    <n v="0.05"/>
    <s v="Online"/>
    <s v="Online"/>
    <s v="CC"/>
    <s v="Credit Card"/>
    <s v="Online Fulfillment"/>
    <s v="Nova Scotia"/>
    <s v="Small Business"/>
    <n v="49.75"/>
    <x v="3"/>
    <n v="354.44"/>
    <n v="17.722000000000001"/>
    <n v="336.71800000000002"/>
    <n v="199"/>
    <n v="137.71800000000002"/>
    <n v="0.40900100380734028"/>
    <x v="1"/>
    <s v="Wrong Item"/>
    <d v="2025-02-14T00:00:00"/>
    <s v="Refunded"/>
    <x v="1"/>
    <d v="2025-01-30T00:00:00"/>
  </r>
  <r>
    <x v="547"/>
    <s v="ORD-00229"/>
    <d v="2025-01-22T00:00:00"/>
    <s v="C0152"/>
    <s v="Daniel Khan, Halifax, Small Business"/>
    <s v="Daniel Khan"/>
    <s v="Halifax"/>
    <s v="Small Business"/>
    <n v="2"/>
    <s v="P016"/>
    <n v="3"/>
    <n v="103.3"/>
    <n v="0.15"/>
    <s v="Retail  Store"/>
    <s v="Retail Store"/>
    <s v="Gift Card"/>
    <s v="Gift Card"/>
    <s v="Vancouver West"/>
    <s v="Nova Scotia"/>
    <s v="Small Business"/>
    <n v="70.180000000000007"/>
    <x v="4"/>
    <n v="309.89999999999998"/>
    <n v="46.484999999999992"/>
    <n v="263.41499999999996"/>
    <n v="210.54000000000002"/>
    <n v="52.874999999999943"/>
    <n v="0.20072888787654442"/>
    <x v="0"/>
    <s v=""/>
    <s v=""/>
    <s v=""/>
    <x v="1"/>
    <d v="2025-01-30T00:00:00"/>
  </r>
  <r>
    <x v="548"/>
    <s v="ORD-00230"/>
    <d v="2025-07-09T00:00:00"/>
    <s v="C0035"/>
    <s v="Sofia Singh, Vancouver, Consumer"/>
    <s v="Sofia Singh"/>
    <s v="Vancouver"/>
    <s v="Consumer"/>
    <n v="2"/>
    <s v="P034"/>
    <n v="4"/>
    <n v="141.46"/>
    <n v="0"/>
    <s v="Online"/>
    <s v="Online"/>
    <s v="PayPal"/>
    <s v="PayPal"/>
    <s v="Montreal Central"/>
    <s v="British Columbia"/>
    <s v="Consumer"/>
    <n v="78.650000000000006"/>
    <x v="0"/>
    <n v="565.84"/>
    <n v="0"/>
    <n v="565.84"/>
    <n v="314.60000000000002"/>
    <n v="251.24"/>
    <n v="0.44401244167962672"/>
    <x v="1"/>
    <s v="Damaged"/>
    <d v="2025-07-31T00:00:00"/>
    <s v="Refunded"/>
    <x v="1"/>
    <d v="2025-07-16T00:00:00"/>
  </r>
  <r>
    <x v="549"/>
    <s v="ORD-00230"/>
    <d v="2025-07-09T00:00:00"/>
    <s v="C0035"/>
    <s v="Sofia Singh, Vancouver, Consumer"/>
    <s v="Sofia Singh"/>
    <s v="Vancouver"/>
    <s v="Consumer"/>
    <n v="2"/>
    <s v="P024"/>
    <n v="2"/>
    <n v="263.04000000000002"/>
    <n v="0.1"/>
    <s v="Online"/>
    <s v="Online"/>
    <s v="PayPal"/>
    <s v="PayPal"/>
    <s v="Vancouver West"/>
    <s v="British Columbia"/>
    <s v="Consumer"/>
    <n v="161.84"/>
    <x v="2"/>
    <n v="526.08000000000004"/>
    <n v="52.608000000000004"/>
    <n v="473.47200000000004"/>
    <n v="323.68"/>
    <n v="149.79200000000003"/>
    <n v="0.31636928899702627"/>
    <x v="1"/>
    <s v="Late Delivery"/>
    <d v="2025-07-30T00:00:00"/>
    <s v="Pending"/>
    <x v="1"/>
    <d v="2025-07-16T00:00:00"/>
  </r>
  <r>
    <x v="550"/>
    <s v="ORD-00230"/>
    <d v="2025-07-09T00:00:00"/>
    <s v="C0035"/>
    <s v="Sofia Singh, Vancouver, Consumer"/>
    <s v="Sofia Singh"/>
    <s v="Vancouver"/>
    <s v="Consumer"/>
    <n v="2"/>
    <s v="P023"/>
    <n v="3"/>
    <n v="82.77"/>
    <n v="0.1"/>
    <s v="Online"/>
    <s v="Online"/>
    <s v="Debit Card"/>
    <s v="Debit Card"/>
    <s v="Vancouver West"/>
    <s v="British Columbia"/>
    <s v="Consumer"/>
    <n v="46.51"/>
    <x v="2"/>
    <n v="248.31"/>
    <n v="24.831000000000003"/>
    <n v="223.47899999999998"/>
    <n v="139.53"/>
    <n v="83.948999999999984"/>
    <n v="0.37564603385553003"/>
    <x v="1"/>
    <s v="Late Delivery"/>
    <d v="2025-07-17T00:00:00"/>
    <s v="Pending"/>
    <x v="1"/>
    <d v="2025-07-16T00:00:00"/>
  </r>
  <r>
    <x v="551"/>
    <s v="ORD-00230"/>
    <d v="2025-07-09T00:00:00"/>
    <s v="C0035"/>
    <s v="Sofia Singh, Vancouver, Consumer"/>
    <s v="Sofia Singh"/>
    <s v="Vancouver"/>
    <s v="Consumer"/>
    <n v="2"/>
    <s v="P011"/>
    <n v="2"/>
    <n v="275.76"/>
    <n v="0.15"/>
    <s v="Marketplace"/>
    <s v="Marketplace"/>
    <s v="PayPal"/>
    <s v="PayPal"/>
    <s v="Vancouver West"/>
    <s v="British Columbia"/>
    <s v="Consumer"/>
    <n v="156.97"/>
    <x v="4"/>
    <n v="551.52"/>
    <n v="82.727999999999994"/>
    <n v="468.79199999999997"/>
    <n v="313.94"/>
    <n v="154.85199999999998"/>
    <n v="0.33032133654157919"/>
    <x v="1"/>
    <s v="Changed Mind"/>
    <d v="2025-07-20T00:00:00"/>
    <s v="Pending"/>
    <x v="1"/>
    <d v="2025-07-16T00:00:00"/>
  </r>
  <r>
    <x v="552"/>
    <s v="ORD-00231"/>
    <d v="2025-03-30T01:00:00"/>
    <s v="C0103"/>
    <s v="Daniel Wilson, Victoria, Consumer"/>
    <s v="Daniel Wilson"/>
    <s v="Victoria"/>
    <s v="Consumer"/>
    <n v="2"/>
    <s v="P015"/>
    <n v="3"/>
    <n v="273.89"/>
    <n v="0"/>
    <s v="Online"/>
    <s v="Online"/>
    <s v="Credit Card"/>
    <s v="Credit Card"/>
    <s v="Montreal Central"/>
    <s v="British Columbia"/>
    <s v="Consumer"/>
    <n v="140.66999999999999"/>
    <x v="4"/>
    <n v="821.67"/>
    <n v="0"/>
    <n v="821.67"/>
    <n v="422.01"/>
    <n v="399.65999999999997"/>
    <n v="0.48639964949432252"/>
    <x v="0"/>
    <s v=""/>
    <s v=""/>
    <s v=""/>
    <x v="1"/>
    <d v="2025-04-04T01:00:00"/>
  </r>
  <r>
    <x v="553"/>
    <s v="ORD-00231"/>
    <d v="2025-03-30T01:00:00"/>
    <s v="C0103"/>
    <s v="Daniel Wilson, Victoria, Consumer"/>
    <s v="Daniel Wilson"/>
    <s v="Victoria"/>
    <s v="Consumer"/>
    <n v="2"/>
    <s v="P001"/>
    <n v="3"/>
    <n v="133.24"/>
    <n v="0.15"/>
    <s v="Retail  Store"/>
    <s v="Retail Store"/>
    <s v="CC"/>
    <s v="Credit Card"/>
    <s v="Toronto Downtown"/>
    <s v="British Columbia"/>
    <s v="Consumer"/>
    <n v="77.540000000000006"/>
    <x v="3"/>
    <n v="399.72"/>
    <n v="59.957999999999998"/>
    <n v="339.76200000000006"/>
    <n v="232.62"/>
    <n v="107.14200000000005"/>
    <n v="0.31534427040104551"/>
    <x v="0"/>
    <s v=""/>
    <s v=""/>
    <s v=""/>
    <x v="1"/>
    <d v="2025-04-04T01:00:00"/>
  </r>
  <r>
    <x v="554"/>
    <s v="ORD-00231"/>
    <d v="2025-03-30T01:00:00"/>
    <s v="C0103"/>
    <s v="Daniel Wilson, Victoria, Consumer"/>
    <s v="Daniel Wilson"/>
    <s v="Victoria"/>
    <s v="Consumer"/>
    <n v="2"/>
    <s v="P024"/>
    <n v="3"/>
    <n v="263.04000000000002"/>
    <n v="0"/>
    <s v="Online"/>
    <s v="Online"/>
    <s v="PayPal"/>
    <s v="PayPal"/>
    <s v="Toronto Downtown"/>
    <s v="British Columbia"/>
    <s v="Consumer"/>
    <n v="161.84"/>
    <x v="2"/>
    <n v="789.12000000000012"/>
    <n v="0"/>
    <n v="789.12000000000012"/>
    <n v="485.52"/>
    <n v="303.60000000000014"/>
    <n v="0.3847323600973237"/>
    <x v="0"/>
    <s v=""/>
    <s v=""/>
    <s v=""/>
    <x v="1"/>
    <d v="2025-04-04T01:00:00"/>
  </r>
  <r>
    <x v="555"/>
    <s v="ORD-00231"/>
    <d v="2025-03-30T01:00:00"/>
    <s v="C0103"/>
    <s v="Daniel Wilson, Victoria, Consumer"/>
    <s v="Daniel Wilson"/>
    <s v="Victoria"/>
    <s v="Consumer"/>
    <n v="2"/>
    <s v="P014"/>
    <n v="3"/>
    <n v="91.75"/>
    <n v="0.1"/>
    <s v="Market place"/>
    <s v="Marketplace"/>
    <s v="Credit Card"/>
    <s v="Credit Card"/>
    <s v="Vancouver West"/>
    <s v="British Columbia"/>
    <s v="Consumer"/>
    <n v="58.27"/>
    <x v="4"/>
    <n v="275.25"/>
    <n v="27.525000000000002"/>
    <n v="247.72499999999999"/>
    <n v="174.81"/>
    <n v="72.914999999999992"/>
    <n v="0.29433848016954284"/>
    <x v="0"/>
    <s v=""/>
    <s v=""/>
    <s v=""/>
    <x v="1"/>
    <d v="2025-04-04T01:00:00"/>
  </r>
  <r>
    <x v="556"/>
    <s v="ORD-00232"/>
    <d v="2025-04-21T00:00:00"/>
    <s v="C0070"/>
    <s v="Maya Martin, Vancouver, Small Business"/>
    <s v="Maya Martin"/>
    <s v="Vancouver"/>
    <s v="Small Business"/>
    <n v="2"/>
    <s v="P045"/>
    <n v="3"/>
    <n v="72.81"/>
    <n v="0"/>
    <s v="Retail Store"/>
    <s v="Retail Store"/>
    <s v="CC"/>
    <s v="Credit Card"/>
    <s v="Toronto Downtown"/>
    <s v="British Columbia"/>
    <s v="Small Business"/>
    <n v="37.99"/>
    <x v="1"/>
    <n v="218.43"/>
    <n v="0"/>
    <n v="218.43"/>
    <n v="113.97"/>
    <n v="104.46000000000001"/>
    <n v="0.47823101222359571"/>
    <x v="0"/>
    <s v=""/>
    <s v=""/>
    <s v=""/>
    <x v="1"/>
    <d v="2025-04-28T00:00:00"/>
  </r>
  <r>
    <x v="557"/>
    <s v="ORD-00232"/>
    <d v="2025-04-21T00:00:00"/>
    <s v="C0070"/>
    <s v="Maya Martin, Vancouver, Small Business"/>
    <s v="Maya Martin"/>
    <s v="Vancouver"/>
    <s v="Small Business"/>
    <n v="2"/>
    <s v="P029"/>
    <n v="3"/>
    <n v="300.16000000000003"/>
    <n v="0"/>
    <s v="Marketplace"/>
    <s v="Marketplace"/>
    <s v="Credit Card"/>
    <s v="Credit Card"/>
    <s v="Calgary North"/>
    <s v="British Columbia"/>
    <s v="Small Business"/>
    <n v="158.46"/>
    <x v="2"/>
    <n v="900.48"/>
    <n v="0"/>
    <n v="900.48"/>
    <n v="475.38"/>
    <n v="425.1"/>
    <n v="0.47208155650319833"/>
    <x v="0"/>
    <s v=""/>
    <s v=""/>
    <s v=""/>
    <x v="1"/>
    <d v="2025-04-28T00:00:00"/>
  </r>
  <r>
    <x v="558"/>
    <s v="ORD-00233"/>
    <d v="2025-06-17T00:00:00"/>
    <s v="C0077"/>
    <s v="Yara Dubois, Ottawa, Consumer"/>
    <s v="Yara Dubois"/>
    <s v="Ottawa"/>
    <s v="Consumer"/>
    <n v="2"/>
    <s v="P018"/>
    <n v="2"/>
    <n v="142.16"/>
    <n v="0.1"/>
    <s v="Retail Store"/>
    <s v="Retail Store"/>
    <s v="CC"/>
    <s v="Credit Card"/>
    <s v="Vancouver West"/>
    <s v="Ontario"/>
    <s v="Consumer"/>
    <n v="85.34"/>
    <x v="4"/>
    <n v="284.32"/>
    <n v="28.432000000000002"/>
    <n v="255.88799999999998"/>
    <n v="170.68"/>
    <n v="85.20799999999997"/>
    <n v="0.33298943287688354"/>
    <x v="0"/>
    <s v=""/>
    <s v=""/>
    <s v=""/>
    <x v="1"/>
    <d v="2025-06-26T00:00:00"/>
  </r>
  <r>
    <x v="559"/>
    <s v="ORD-00233"/>
    <d v="2025-06-17T00:00:00"/>
    <s v="C0077"/>
    <s v="Yara Dubois, Ottawa, Consumer"/>
    <s v="Yara Dubois"/>
    <s v="Ottawa"/>
    <s v="Consumer"/>
    <n v="2"/>
    <s v="P048"/>
    <n v="2"/>
    <n v="287.16000000000003"/>
    <n v="0"/>
    <s v="Online"/>
    <s v="Online"/>
    <s v="Credit Card"/>
    <s v="Credit Card"/>
    <s v="Online Fulfillment"/>
    <s v="Ontario"/>
    <s v="Consumer"/>
    <n v="148.21"/>
    <x v="1"/>
    <n v="574.32000000000005"/>
    <n v="0"/>
    <n v="574.32000000000005"/>
    <n v="296.42"/>
    <n v="277.90000000000003"/>
    <n v="0.48387658448251847"/>
    <x v="0"/>
    <s v=""/>
    <s v=""/>
    <s v=""/>
    <x v="1"/>
    <d v="2025-06-26T00:00:00"/>
  </r>
  <r>
    <x v="560"/>
    <s v="ORD-00233"/>
    <d v="2025-06-17T00:00:00"/>
    <s v="C0077"/>
    <s v="Yara Dubois, Ottawa, Consumer"/>
    <s v="Yara Dubois"/>
    <s v="Ottawa"/>
    <s v="Consumer"/>
    <n v="2"/>
    <s v="P024"/>
    <n v="3"/>
    <n v="263.04000000000002"/>
    <n v="0"/>
    <s v="Retail  Store"/>
    <s v="Retail Store"/>
    <s v="Credit Card"/>
    <s v="Credit Card"/>
    <s v="Toronto Downtown"/>
    <s v="Ontario"/>
    <s v="Consumer"/>
    <n v="161.84"/>
    <x v="2"/>
    <n v="789.12000000000012"/>
    <n v="0"/>
    <n v="789.12000000000012"/>
    <n v="485.52"/>
    <n v="303.60000000000014"/>
    <n v="0.3847323600973237"/>
    <x v="1"/>
    <s v="Late Delivery"/>
    <d v="2025-07-07T00:00:00"/>
    <s v="Refunded"/>
    <x v="1"/>
    <d v="2025-06-26T00:00:00"/>
  </r>
  <r>
    <x v="561"/>
    <s v="ORD-00233"/>
    <d v="2025-06-17T00:00:00"/>
    <s v="C0077"/>
    <s v="Yara Dubois, Ottawa, Consumer"/>
    <s v="Yara Dubois"/>
    <s v="Ottawa"/>
    <s v="Consumer"/>
    <n v="2"/>
    <s v="P032"/>
    <n v="1"/>
    <n v="214.38"/>
    <n v="0"/>
    <s v="Market place"/>
    <s v="Marketplace"/>
    <s v="Debit Card"/>
    <s v="Debit Card"/>
    <s v="Calgary North"/>
    <s v="Ontario"/>
    <s v="Consumer"/>
    <n v="131.51"/>
    <x v="0"/>
    <n v="214.38"/>
    <n v="0"/>
    <n v="214.38"/>
    <n v="131.51"/>
    <n v="82.87"/>
    <n v="0.38655658177068758"/>
    <x v="1"/>
    <s v="Wrong Item"/>
    <d v="2025-07-16T00:00:00"/>
    <s v="Refunded"/>
    <x v="1"/>
    <d v="2025-06-26T00:00:00"/>
  </r>
  <r>
    <x v="562"/>
    <s v="ORD-00234"/>
    <d v="2025-01-25T00:00:00"/>
    <s v="C0171"/>
    <s v="Yara Gagnon, Winnipeg, Corporate"/>
    <s v="Yara Gagnon"/>
    <s v="Winnipeg"/>
    <s v="Corporate"/>
    <n v="2"/>
    <s v="P032"/>
    <n v="2"/>
    <n v="214.38"/>
    <n v="0"/>
    <s v="Retail Store"/>
    <s v="Retail Store"/>
    <s v="Gift Card"/>
    <s v="Gift Card"/>
    <s v="Montreal Central"/>
    <s v="Manitoba"/>
    <s v="Corporate"/>
    <n v="131.51"/>
    <x v="0"/>
    <n v="428.76"/>
    <n v="0"/>
    <n v="428.76"/>
    <n v="263.02"/>
    <n v="165.74"/>
    <n v="0.38655658177068758"/>
    <x v="0"/>
    <s v=""/>
    <s v=""/>
    <s v=""/>
    <x v="0"/>
    <d v="2025-01-26T00:00:00"/>
  </r>
  <r>
    <x v="563"/>
    <s v="ORD-00234"/>
    <d v="2025-01-25T00:00:00"/>
    <s v="C0171"/>
    <s v="Yara Gagnon, Winnipeg, Corporate"/>
    <s v="Yara Gagnon"/>
    <s v="Winnipeg"/>
    <s v="Corporate"/>
    <n v="2"/>
    <s v="P033"/>
    <n v="4"/>
    <n v="160"/>
    <n v="0.15"/>
    <s v="Online"/>
    <s v="Online"/>
    <s v="Gift Card"/>
    <s v="Gift Card"/>
    <s v="Toronto Downtown"/>
    <s v="Manitoba"/>
    <s v="Corporate"/>
    <n v="101.58"/>
    <x v="0"/>
    <n v="640"/>
    <n v="96"/>
    <n v="544"/>
    <n v="406.32"/>
    <n v="137.68"/>
    <n v="0.25308823529411767"/>
    <x v="1"/>
    <s v="Damaged"/>
    <d v="2025-01-27T00:00:00"/>
    <s v="Refunded"/>
    <x v="0"/>
    <d v="2025-01-26T00:00:00"/>
  </r>
  <r>
    <x v="564"/>
    <s v="ORD-00234"/>
    <d v="2025-01-25T00:00:00"/>
    <s v="C0171"/>
    <s v="Yara Gagnon, Winnipeg, Corporate"/>
    <s v="Yara Gagnon"/>
    <s v="Winnipeg"/>
    <s v="Corporate"/>
    <n v="2"/>
    <s v="P008"/>
    <n v="4"/>
    <n v="110.88"/>
    <n v="0.15"/>
    <s v="Online"/>
    <s v="Online"/>
    <s v="Gift Card"/>
    <s v="Gift Card"/>
    <s v="Vancouver West"/>
    <s v="Manitoba"/>
    <s v="Corporate"/>
    <n v="57.09"/>
    <x v="3"/>
    <n v="443.52"/>
    <n v="66.527999999999992"/>
    <n v="376.99199999999996"/>
    <n v="228.36"/>
    <n v="148.63199999999995"/>
    <n v="0.39425770308123237"/>
    <x v="1"/>
    <s v="Damaged"/>
    <d v="2025-01-31T00:00:00"/>
    <s v="Pending"/>
    <x v="0"/>
    <d v="2025-01-26T00:00:00"/>
  </r>
  <r>
    <x v="565"/>
    <s v="ORD-00235"/>
    <d v="2025-09-01T00:00:00"/>
    <s v="C0032"/>
    <s v="Ethan Brown, Regina, Corporate"/>
    <s v="Ethan Brown"/>
    <s v="Regina"/>
    <s v="Corporate"/>
    <n v="2"/>
    <s v="P030"/>
    <n v="4"/>
    <n v="75.75"/>
    <n v="0.05"/>
    <s v="Online"/>
    <s v="Online"/>
    <s v="PayPal"/>
    <s v="PayPal"/>
    <s v="Toronto Downtown"/>
    <s v="Saskatchewan"/>
    <s v="Corporate"/>
    <n v="42.37"/>
    <x v="2"/>
    <n v="303"/>
    <n v="15.15"/>
    <n v="287.85000000000002"/>
    <n v="169.48"/>
    <n v="118.37000000000003"/>
    <n v="0.41122112211221129"/>
    <x v="1"/>
    <s v="Changed Mind"/>
    <d v="2025-09-06T00:00:00"/>
    <s v="Pending"/>
    <x v="0"/>
    <d v="2025-09-05T00:00:00"/>
  </r>
  <r>
    <x v="566"/>
    <s v="ORD-00236"/>
    <d v="2025-08-18T00:00:00"/>
    <s v="C0078"/>
    <s v="Sofia Tremblay, Calgary, Corporate"/>
    <s v="Sofia Tremblay"/>
    <s v="Calgary"/>
    <s v="Corporate"/>
    <n v="2"/>
    <s v="P001"/>
    <n v="4"/>
    <n v="133.24"/>
    <n v="0"/>
    <s v="Marketplace"/>
    <s v="Marketplace"/>
    <s v="Gift Card"/>
    <s v="Gift Card"/>
    <s v="Toronto Downtown"/>
    <s v="Alberta"/>
    <s v="Corporate"/>
    <n v="77.540000000000006"/>
    <x v="3"/>
    <n v="532.96"/>
    <n v="0"/>
    <n v="532.96"/>
    <n v="310.16000000000003"/>
    <n v="222.8"/>
    <n v="0.41804262984088864"/>
    <x v="1"/>
    <s v="Not as Described"/>
    <d v="2025-08-26T00:00:00"/>
    <s v="Refunded"/>
    <x v="1"/>
    <d v="2025-08-25T00:00:00"/>
  </r>
  <r>
    <x v="567"/>
    <s v="ORD-00237"/>
    <d v="2025-06-11T00:00:00"/>
    <s v="C0168"/>
    <s v="Maya Singh, Calgary, Small Business"/>
    <s v="Maya Singh"/>
    <s v="Calgary"/>
    <s v="Small Business"/>
    <n v="2"/>
    <s v="P019"/>
    <n v="3"/>
    <n v="183.73"/>
    <n v="0.05"/>
    <s v="Retail Store"/>
    <s v="Retail Store"/>
    <s v="Gift Card"/>
    <s v="Gift Card"/>
    <s v="Online Fulfillment"/>
    <s v="Alberta"/>
    <s v="Small Business"/>
    <n v="98.11"/>
    <x v="4"/>
    <n v="551.18999999999994"/>
    <n v="27.5595"/>
    <n v="523.63049999999998"/>
    <n v="294.33"/>
    <n v="229.3005"/>
    <n v="0.43790516404220153"/>
    <x v="0"/>
    <s v=""/>
    <s v=""/>
    <s v=""/>
    <x v="1"/>
    <d v="2025-06-17T00:00:00"/>
  </r>
  <r>
    <x v="568"/>
    <s v="ORD-00237"/>
    <d v="2025-06-11T00:00:00"/>
    <s v="C0168"/>
    <s v="Maya Singh, Calgary, Small Business"/>
    <s v="Maya Singh"/>
    <s v="Calgary"/>
    <s v="Small Business"/>
    <n v="2"/>
    <s v="P011"/>
    <n v="3"/>
    <n v="275.76"/>
    <n v="0"/>
    <s v="Marketplace"/>
    <s v="Marketplace"/>
    <s v="PayPal"/>
    <s v="PayPal"/>
    <s v="Online Fulfillment"/>
    <s v="Alberta"/>
    <s v="Small Business"/>
    <n v="156.97"/>
    <x v="4"/>
    <n v="827.28"/>
    <n v="0"/>
    <n v="827.28"/>
    <n v="470.90999999999997"/>
    <n v="356.37"/>
    <n v="0.43077313606034234"/>
    <x v="0"/>
    <s v=""/>
    <s v=""/>
    <s v=""/>
    <x v="1"/>
    <d v="2025-06-17T00:00:00"/>
  </r>
  <r>
    <x v="569"/>
    <s v="ORD-00237"/>
    <d v="2025-06-11T00:00:00"/>
    <s v="C0168"/>
    <s v="Maya Singh, Calgary, Small Business"/>
    <s v="Maya Singh"/>
    <s v="Calgary"/>
    <s v="Small Business"/>
    <n v="2"/>
    <s v="P028"/>
    <n v="1"/>
    <n v="52.79"/>
    <n v="0.15"/>
    <s v="Online"/>
    <s v="Online"/>
    <s v="Debit Card"/>
    <s v="Debit Card"/>
    <s v="Vancouver West"/>
    <s v="Alberta"/>
    <s v="Small Business"/>
    <n v="28.17"/>
    <x v="2"/>
    <n v="52.79"/>
    <n v="7.9184999999999999"/>
    <n v="44.871499999999997"/>
    <n v="28.17"/>
    <n v="16.701499999999996"/>
    <n v="0.37220730307656302"/>
    <x v="0"/>
    <s v=""/>
    <s v=""/>
    <s v=""/>
    <x v="1"/>
    <d v="2025-06-17T00:00:00"/>
  </r>
  <r>
    <x v="570"/>
    <s v="ORD-00237"/>
    <d v="2025-06-11T00:00:00"/>
    <s v="C0168"/>
    <s v="Maya Singh, Calgary, Small Business"/>
    <s v="Maya Singh"/>
    <s v="Calgary"/>
    <s v="Small Business"/>
    <n v="2"/>
    <s v="P038"/>
    <n v="4"/>
    <n v="182.94"/>
    <n v="0"/>
    <s v="Online"/>
    <s v="Online"/>
    <s v="Debit Card"/>
    <s v="Debit Card"/>
    <s v="Toronto Downtown"/>
    <s v="Alberta"/>
    <s v="Small Business"/>
    <n v="118.95"/>
    <x v="0"/>
    <n v="731.76"/>
    <n v="0"/>
    <n v="731.76"/>
    <n v="475.8"/>
    <n v="255.95999999999998"/>
    <n v="0.34978681534929484"/>
    <x v="1"/>
    <s v="Wrong Item"/>
    <d v="2025-06-25T00:00:00"/>
    <s v="Refunded"/>
    <x v="1"/>
    <d v="2025-06-17T00:00:00"/>
  </r>
  <r>
    <x v="571"/>
    <s v="ORD-00238"/>
    <d v="2025-03-28T01:00:00"/>
    <s v="C0086"/>
    <s v="Adam Tremblay, Edmonton, Small Business"/>
    <s v="Adam Tremblay"/>
    <s v="Edmonton"/>
    <s v="Small Business"/>
    <n v="2"/>
    <s v="P029"/>
    <n v="4"/>
    <n v="300.16000000000003"/>
    <n v="0.15"/>
    <s v="Retail  Store"/>
    <s v="Retail Store"/>
    <m/>
    <s v="Unknown"/>
    <s v="Toronto Downtown"/>
    <s v="Alberta"/>
    <s v="Small Business"/>
    <n v="158.46"/>
    <x v="2"/>
    <n v="1200.6400000000001"/>
    <n v="180.096"/>
    <n v="1020.5440000000001"/>
    <n v="633.84"/>
    <n v="386.70400000000006"/>
    <n v="0.37891947823905686"/>
    <x v="0"/>
    <s v=""/>
    <s v=""/>
    <s v=""/>
    <x v="1"/>
    <d v="2025-04-07T00:00:00"/>
  </r>
  <r>
    <x v="572"/>
    <s v="ORD-00238"/>
    <d v="2025-03-28T01:00:00"/>
    <s v="C0086"/>
    <s v="Adam Tremblay, Edmonton, Small Business"/>
    <s v="Adam Tremblay"/>
    <s v="Edmonton"/>
    <s v="Small Business"/>
    <n v="2"/>
    <s v="P018"/>
    <n v="4"/>
    <n v="142.16"/>
    <n v="0"/>
    <s v="Retail Store"/>
    <s v="Retail Store"/>
    <s v="Gift Card"/>
    <s v="Gift Card"/>
    <s v="Calgary North"/>
    <s v="Alberta"/>
    <s v="Small Business"/>
    <n v="85.34"/>
    <x v="4"/>
    <n v="568.64"/>
    <n v="0"/>
    <n v="568.64"/>
    <n v="341.36"/>
    <n v="227.27999999999997"/>
    <n v="0.39969048958919523"/>
    <x v="1"/>
    <s v="Wrong Item"/>
    <d v="2025-04-20T00:00:00"/>
    <s v="Pending"/>
    <x v="1"/>
    <d v="2025-04-07T00:00:00"/>
  </r>
  <r>
    <x v="573"/>
    <s v="ORD-00238"/>
    <d v="2025-03-28T01:00:00"/>
    <s v="C0086"/>
    <s v="Adam Tremblay, Edmonton, Small Business"/>
    <s v="Adam Tremblay"/>
    <s v="Edmonton"/>
    <s v="Small Business"/>
    <n v="2"/>
    <s v="P011"/>
    <n v="3"/>
    <n v="275.76"/>
    <n v="0"/>
    <s v="Market place"/>
    <s v="Marketplace"/>
    <m/>
    <s v="Unknown"/>
    <s v="Vancouver West"/>
    <s v="Alberta"/>
    <s v="Small Business"/>
    <n v="156.97"/>
    <x v="4"/>
    <n v="827.28"/>
    <n v="0"/>
    <n v="827.28"/>
    <n v="470.90999999999997"/>
    <n v="356.37"/>
    <n v="0.43077313606034234"/>
    <x v="0"/>
    <s v=""/>
    <s v=""/>
    <s v=""/>
    <x v="1"/>
    <d v="2025-04-07T00:00:00"/>
  </r>
  <r>
    <x v="574"/>
    <s v="ORD-00238"/>
    <d v="2025-03-28T01:00:00"/>
    <s v="C0086"/>
    <s v="Adam Tremblay, Edmonton, Small Business"/>
    <s v="Adam Tremblay"/>
    <s v="Edmonton"/>
    <s v="Small Business"/>
    <n v="2"/>
    <s v="P006"/>
    <n v="1"/>
    <n v="88.61"/>
    <n v="0.1"/>
    <s v="Marketplace"/>
    <s v="Marketplace"/>
    <s v="Debit Card"/>
    <s v="Debit Card"/>
    <s v="Calgary North"/>
    <s v="Alberta"/>
    <s v="Small Business"/>
    <n v="49.75"/>
    <x v="3"/>
    <n v="88.61"/>
    <n v="8.8610000000000007"/>
    <n v="79.748999999999995"/>
    <n v="49.75"/>
    <n v="29.998999999999995"/>
    <n v="0.37616772624108136"/>
    <x v="0"/>
    <s v=""/>
    <s v=""/>
    <s v=""/>
    <x v="1"/>
    <d v="2025-04-07T00:00:00"/>
  </r>
  <r>
    <x v="575"/>
    <s v="ORD-00239"/>
    <d v="2025-01-26T00:00:00"/>
    <s v="C0071"/>
    <s v="Noah Gagnon, Toronto, Small Business"/>
    <s v="Noah Gagnon"/>
    <s v="Toronto"/>
    <s v="Small Business"/>
    <n v="2"/>
    <s v="P006"/>
    <n v="4"/>
    <n v="88.61"/>
    <n v="0.05"/>
    <s v="Retail  Store"/>
    <s v="Retail Store"/>
    <s v="CC"/>
    <s v="Credit Card"/>
    <s v="Toronto Downtown"/>
    <s v="Ontario"/>
    <s v="Small Business"/>
    <n v="49.75"/>
    <x v="3"/>
    <n v="354.44"/>
    <n v="17.722000000000001"/>
    <n v="336.71800000000002"/>
    <n v="199"/>
    <n v="137.71800000000002"/>
    <n v="0.40900100380734028"/>
    <x v="0"/>
    <s v=""/>
    <s v=""/>
    <s v=""/>
    <x v="1"/>
    <d v="2025-02-04T00:00:00"/>
  </r>
  <r>
    <x v="576"/>
    <s v="ORD-00239"/>
    <d v="2025-01-26T00:00:00"/>
    <s v="C0071"/>
    <s v="Noah Gagnon, Toronto, Small Business"/>
    <s v="Noah Gagnon"/>
    <s v="Toronto"/>
    <s v="Small Business"/>
    <n v="2"/>
    <s v="P030"/>
    <n v="3"/>
    <n v="75.75"/>
    <n v="0.1"/>
    <s v="Market place"/>
    <s v="Marketplace"/>
    <s v="Credit Card"/>
    <s v="Credit Card"/>
    <s v="Vancouver West"/>
    <s v="Ontario"/>
    <s v="Small Business"/>
    <n v="42.37"/>
    <x v="2"/>
    <n v="227.25"/>
    <n v="22.725000000000001"/>
    <n v="204.52500000000001"/>
    <n v="127.10999999999999"/>
    <n v="77.41500000000002"/>
    <n v="0.37851118445177862"/>
    <x v="0"/>
    <s v=""/>
    <s v=""/>
    <s v=""/>
    <x v="1"/>
    <d v="2025-02-04T00:00:00"/>
  </r>
  <r>
    <x v="577"/>
    <s v="ORD-00239"/>
    <d v="2025-01-26T00:00:00"/>
    <s v="C0071"/>
    <s v="Noah Gagnon, Toronto, Small Business"/>
    <s v="Noah Gagnon"/>
    <s v="Toronto"/>
    <s v="Small Business"/>
    <n v="2"/>
    <s v="P013"/>
    <n v="4"/>
    <n v="207.71"/>
    <n v="0"/>
    <s v="Marketplace"/>
    <s v="Marketplace"/>
    <m/>
    <s v="Unknown"/>
    <s v="Vancouver West"/>
    <s v="Ontario"/>
    <s v="Small Business"/>
    <n v="132.97"/>
    <x v="4"/>
    <n v="830.84"/>
    <n v="0"/>
    <n v="830.84"/>
    <n v="531.88"/>
    <n v="298.96000000000004"/>
    <n v="0.35982860719272064"/>
    <x v="0"/>
    <s v=""/>
    <s v=""/>
    <s v=""/>
    <x v="1"/>
    <d v="2025-02-04T00:00:00"/>
  </r>
  <r>
    <x v="578"/>
    <s v="ORD-00240"/>
    <d v="2025-06-03T00:00:00"/>
    <s v="C0029"/>
    <s v="Sara Dubois, Edmonton, Consumer"/>
    <s v="Sara Dubois"/>
    <s v="Edmonton"/>
    <s v="Consumer"/>
    <n v="2"/>
    <s v="P018"/>
    <n v="2"/>
    <n v="142.16"/>
    <n v="0"/>
    <s v="Online"/>
    <s v="Online"/>
    <s v="CC"/>
    <s v="Credit Card"/>
    <s v="Vancouver West"/>
    <s v="Alberta"/>
    <s v="Consumer"/>
    <n v="85.34"/>
    <x v="4"/>
    <n v="284.32"/>
    <n v="0"/>
    <n v="284.32"/>
    <n v="170.68"/>
    <n v="113.63999999999999"/>
    <n v="0.39969048958919523"/>
    <x v="0"/>
    <s v=""/>
    <s v=""/>
    <s v=""/>
    <x v="0"/>
    <d v="2025-06-06T00:00:00"/>
  </r>
  <r>
    <x v="579"/>
    <s v="ORD-00240"/>
    <d v="2025-06-03T00:00:00"/>
    <s v="C0029"/>
    <s v="Sara Dubois, Edmonton, Consumer"/>
    <s v="Sara Dubois"/>
    <s v="Edmonton"/>
    <s v="Consumer"/>
    <n v="2"/>
    <s v="P040"/>
    <n v="4"/>
    <n v="33.369999999999997"/>
    <n v="0"/>
    <s v="Market place"/>
    <s v="Marketplace"/>
    <s v="Debit Card"/>
    <s v="Debit Card"/>
    <s v="Calgary North"/>
    <s v="Alberta"/>
    <s v="Consumer"/>
    <n v="18.670000000000002"/>
    <x v="0"/>
    <n v="133.47999999999999"/>
    <n v="0"/>
    <n v="133.47999999999999"/>
    <n v="74.680000000000007"/>
    <n v="58.799999999999983"/>
    <n v="0.44051543302367385"/>
    <x v="0"/>
    <s v=""/>
    <s v=""/>
    <s v=""/>
    <x v="0"/>
    <d v="2025-06-06T00:00:00"/>
  </r>
  <r>
    <x v="580"/>
    <s v="ORD-00241"/>
    <d v="2025-09-24T00:00:00"/>
    <s v="C0180"/>
    <s v="Yara Dubois, Quebec City, Small Business"/>
    <s v="Yara Dubois"/>
    <s v="Quebec City"/>
    <s v="Small Business"/>
    <n v="2"/>
    <s v="P007"/>
    <n v="4"/>
    <n v="25.15"/>
    <n v="0.15"/>
    <s v="Retail  Store"/>
    <s v="Retail Store"/>
    <s v="CC"/>
    <s v="Credit Card"/>
    <s v="Vancouver West"/>
    <s v="Quebec"/>
    <s v="Small Business"/>
    <n v="14.24"/>
    <x v="3"/>
    <n v="100.6"/>
    <n v="15.089999999999998"/>
    <n v="85.509999999999991"/>
    <n v="56.96"/>
    <n v="28.54999999999999"/>
    <n v="0.33387907847035425"/>
    <x v="0"/>
    <s v=""/>
    <s v=""/>
    <s v=""/>
    <x v="1"/>
    <d v="2025-09-29T00:00:00"/>
  </r>
  <r>
    <x v="581"/>
    <s v="ORD-00241"/>
    <d v="2025-09-24T00:00:00"/>
    <s v="C0180"/>
    <s v="Yara Dubois, Quebec City, Small Business"/>
    <s v="Yara Dubois"/>
    <s v="Quebec City"/>
    <s v="Small Business"/>
    <n v="2"/>
    <s v="P003"/>
    <n v="3"/>
    <n v="265.73"/>
    <n v="0.15"/>
    <s v="Market place"/>
    <s v="Marketplace"/>
    <s v="Credit Card"/>
    <s v="Credit Card"/>
    <s v="Toronto Downtown"/>
    <s v="Quebec"/>
    <s v="Small Business"/>
    <n v="154.16999999999999"/>
    <x v="3"/>
    <n v="797.19"/>
    <n v="119.57850000000001"/>
    <n v="677.61150000000009"/>
    <n v="462.51"/>
    <n v="215.1015000000001"/>
    <n v="0.31744074591414118"/>
    <x v="0"/>
    <s v=""/>
    <s v=""/>
    <s v=""/>
    <x v="1"/>
    <d v="2025-09-29T00:00:00"/>
  </r>
  <r>
    <x v="582"/>
    <s v="ORD-00241"/>
    <d v="2025-09-24T00:00:00"/>
    <s v="C0180"/>
    <s v="Yara Dubois, Quebec City, Small Business"/>
    <s v="Yara Dubois"/>
    <s v="Quebec City"/>
    <s v="Small Business"/>
    <n v="2"/>
    <s v="P018"/>
    <n v="4"/>
    <n v="142.16"/>
    <n v="0"/>
    <s v="Retail  Store"/>
    <s v="Retail Store"/>
    <s v="Credit Card"/>
    <s v="Credit Card"/>
    <s v="Online Fulfillment"/>
    <s v="Quebec"/>
    <s v="Small Business"/>
    <n v="85.34"/>
    <x v="4"/>
    <n v="568.64"/>
    <n v="0"/>
    <n v="568.64"/>
    <n v="341.36"/>
    <n v="227.27999999999997"/>
    <n v="0.39969048958919523"/>
    <x v="0"/>
    <s v=""/>
    <s v=""/>
    <s v=""/>
    <x v="1"/>
    <d v="2025-09-29T00:00:00"/>
  </r>
  <r>
    <x v="583"/>
    <s v="ORD-00242"/>
    <d v="2025-02-17T00:00:00"/>
    <s v="C0103"/>
    <s v="Daniel Wilson, Victoria, Consumer"/>
    <s v="Daniel Wilson"/>
    <s v="Victoria"/>
    <s v="Consumer"/>
    <n v="2"/>
    <s v="P036"/>
    <n v="3"/>
    <n v="210.2"/>
    <n v="0.1"/>
    <s v="Retail Store"/>
    <s v="Retail Store"/>
    <m/>
    <s v="Unknown"/>
    <s v="Online Fulfillment"/>
    <s v="British Columbia"/>
    <s v="Consumer"/>
    <n v="136.25"/>
    <x v="0"/>
    <n v="630.59999999999991"/>
    <n v="63.059999999999995"/>
    <n v="567.54"/>
    <n v="408.75"/>
    <n v="158.78999999999996"/>
    <n v="0.27978644677027165"/>
    <x v="0"/>
    <s v=""/>
    <s v=""/>
    <s v=""/>
    <x v="0"/>
    <d v="2025-02-20T00:00:00"/>
  </r>
  <r>
    <x v="584"/>
    <s v="ORD-00242"/>
    <d v="2025-02-17T00:00:00"/>
    <s v="C0103"/>
    <s v="Daniel Wilson, Victoria, Consumer"/>
    <s v="Daniel Wilson"/>
    <s v="Victoria"/>
    <s v="Consumer"/>
    <n v="2"/>
    <s v="P014"/>
    <n v="3"/>
    <n v="91.75"/>
    <n v="0"/>
    <s v="Retail  Store"/>
    <s v="Retail Store"/>
    <s v="PayPal"/>
    <s v="PayPal"/>
    <s v="Online Fulfillment"/>
    <s v="British Columbia"/>
    <s v="Consumer"/>
    <n v="58.27"/>
    <x v="4"/>
    <n v="275.25"/>
    <n v="0"/>
    <n v="275.25"/>
    <n v="174.81"/>
    <n v="100.44"/>
    <n v="0.36490463215258856"/>
    <x v="0"/>
    <s v=""/>
    <s v=""/>
    <s v=""/>
    <x v="0"/>
    <d v="2025-02-20T00:00:00"/>
  </r>
  <r>
    <x v="585"/>
    <s v="ORD-00243"/>
    <d v="2025-12-11T00:00:00"/>
    <s v="C0151"/>
    <s v="Emma Khan, Regina, Consumer"/>
    <s v="Emma Khan"/>
    <s v="Regina"/>
    <s v="Consumer"/>
    <n v="2"/>
    <s v="P045"/>
    <n v="3"/>
    <n v="72.81"/>
    <n v="0.15"/>
    <s v="Market place"/>
    <s v="Marketplace"/>
    <s v="CC"/>
    <s v="Credit Card"/>
    <s v="Online Fulfillment"/>
    <s v="Saskatchewan"/>
    <s v="Consumer"/>
    <n v="37.99"/>
    <x v="1"/>
    <n v="218.43"/>
    <n v="32.764499999999998"/>
    <n v="185.66550000000001"/>
    <n v="113.97"/>
    <n v="71.69550000000001"/>
    <n v="0.38615413202775961"/>
    <x v="0"/>
    <s v=""/>
    <s v=""/>
    <s v=""/>
    <x v="1"/>
    <d v="2025-12-16T00:00:00"/>
  </r>
  <r>
    <x v="586"/>
    <s v="ORD-00243"/>
    <d v="2025-12-11T00:00:00"/>
    <s v="C0151"/>
    <s v="Emma Khan, Regina, Consumer"/>
    <s v="Emma Khan"/>
    <s v="Regina"/>
    <s v="Consumer"/>
    <n v="2"/>
    <s v="P037"/>
    <n v="2"/>
    <n v="236.51"/>
    <n v="0"/>
    <s v="Market place"/>
    <s v="Marketplace"/>
    <s v="Debit Card"/>
    <s v="Debit Card"/>
    <s v="Online Fulfillment"/>
    <s v="Saskatchewan"/>
    <s v="Consumer"/>
    <n v="142.84"/>
    <x v="0"/>
    <n v="473.02"/>
    <n v="0"/>
    <n v="473.02"/>
    <n v="285.68"/>
    <n v="187.33999999999997"/>
    <n v="0.39605090693839579"/>
    <x v="0"/>
    <s v=""/>
    <s v=""/>
    <s v=""/>
    <x v="1"/>
    <d v="2025-12-16T00:00:00"/>
  </r>
  <r>
    <x v="587"/>
    <s v="ORD-00244"/>
    <d v="2025-11-25T00:00:00"/>
    <s v="C0086"/>
    <s v="Adam Tremblay, Edmonton, Small Business"/>
    <s v="Adam Tremblay"/>
    <s v="Edmonton"/>
    <s v="Small Business"/>
    <n v="2"/>
    <s v="P011"/>
    <n v="2"/>
    <n v="275.76"/>
    <n v="0.1"/>
    <s v="Market place"/>
    <s v="Marketplace"/>
    <s v="PayPal"/>
    <s v="PayPal"/>
    <s v="Online Fulfillment"/>
    <s v="Alberta"/>
    <s v="Small Business"/>
    <n v="156.97"/>
    <x v="4"/>
    <n v="551.52"/>
    <n v="55.152000000000001"/>
    <n v="496.36799999999999"/>
    <n v="313.94"/>
    <n v="182.428"/>
    <n v="0.36752570673371371"/>
    <x v="0"/>
    <s v=""/>
    <s v=""/>
    <s v=""/>
    <x v="0"/>
    <d v="2025-11-28T00:00:00"/>
  </r>
  <r>
    <x v="588"/>
    <s v="ORD-00244"/>
    <d v="2025-11-25T00:00:00"/>
    <s v="C0086"/>
    <s v="Adam Tremblay, Edmonton, Small Business"/>
    <s v="Adam Tremblay"/>
    <s v="Edmonton"/>
    <s v="Small Business"/>
    <n v="2"/>
    <s v="P024"/>
    <n v="1"/>
    <n v="263.04000000000002"/>
    <n v="0.15"/>
    <s v="Market place"/>
    <s v="Marketplace"/>
    <s v="PayPal"/>
    <s v="PayPal"/>
    <s v="Calgary North"/>
    <s v="Alberta"/>
    <s v="Small Business"/>
    <n v="161.84"/>
    <x v="2"/>
    <n v="263.04000000000002"/>
    <n v="39.456000000000003"/>
    <n v="223.584"/>
    <n v="161.84"/>
    <n v="61.744"/>
    <n v="0.27615571776155717"/>
    <x v="1"/>
    <s v="Changed Mind"/>
    <d v="2025-12-02T00:00:00"/>
    <s v="Refunded"/>
    <x v="0"/>
    <d v="2025-11-28T00:00:00"/>
  </r>
  <r>
    <x v="589"/>
    <s v="ORD-00244"/>
    <d v="2025-11-25T00:00:00"/>
    <s v="C0086"/>
    <s v="Adam Tremblay, Edmonton, Small Business"/>
    <s v="Adam Tremblay"/>
    <s v="Edmonton"/>
    <s v="Small Business"/>
    <n v="2"/>
    <s v="P014"/>
    <n v="3"/>
    <n v="91.75"/>
    <n v="0.1"/>
    <s v="Retail  Store"/>
    <s v="Retail Store"/>
    <s v="CC"/>
    <s v="Credit Card"/>
    <s v="Montreal Central"/>
    <s v="Alberta"/>
    <s v="Small Business"/>
    <n v="58.27"/>
    <x v="4"/>
    <n v="275.25"/>
    <n v="27.525000000000002"/>
    <n v="247.72499999999999"/>
    <n v="174.81"/>
    <n v="72.914999999999992"/>
    <n v="0.29433848016954284"/>
    <x v="0"/>
    <s v=""/>
    <s v=""/>
    <s v=""/>
    <x v="0"/>
    <d v="2025-11-28T00:00:00"/>
  </r>
  <r>
    <x v="590"/>
    <s v="ORD-00244"/>
    <d v="2025-11-25T00:00:00"/>
    <s v="C0086"/>
    <s v="Adam Tremblay, Edmonton, Small Business"/>
    <s v="Adam Tremblay"/>
    <s v="Edmonton"/>
    <s v="Small Business"/>
    <n v="2"/>
    <s v="P049"/>
    <n v="4"/>
    <n v="300.56"/>
    <n v="0.15"/>
    <s v="Market place"/>
    <s v="Marketplace"/>
    <s v="CC"/>
    <s v="Credit Card"/>
    <s v="Montreal Central"/>
    <s v="Alberta"/>
    <s v="Small Business"/>
    <n v="158.86000000000001"/>
    <x v="1"/>
    <n v="1202.24"/>
    <n v="180.33599999999998"/>
    <n v="1021.904"/>
    <n v="635.44000000000005"/>
    <n v="386.46399999999994"/>
    <n v="0.37818033787909622"/>
    <x v="0"/>
    <s v=""/>
    <s v=""/>
    <s v=""/>
    <x v="0"/>
    <d v="2025-11-28T00:00:00"/>
  </r>
  <r>
    <x v="591"/>
    <s v="ORD-00245"/>
    <d v="2025-02-15T00:00:00"/>
    <s v="C0091"/>
    <s v="Emma Ali, Edmonton, Small Business"/>
    <s v="Emma Ali"/>
    <s v="Edmonton"/>
    <s v="Small Business"/>
    <n v="2"/>
    <s v="P013"/>
    <n v="3"/>
    <n v="207.71"/>
    <n v="0.15"/>
    <s v="Online"/>
    <s v="Online"/>
    <s v="Gift Card"/>
    <s v="Gift Card"/>
    <s v="Vancouver West"/>
    <s v="Alberta"/>
    <s v="Small Business"/>
    <n v="132.97"/>
    <x v="4"/>
    <n v="623.13"/>
    <n v="93.469499999999996"/>
    <n v="529.66049999999996"/>
    <n v="398.90999999999997"/>
    <n v="130.75049999999999"/>
    <n v="0.24685718493261249"/>
    <x v="0"/>
    <s v=""/>
    <s v=""/>
    <s v=""/>
    <x v="1"/>
    <d v="2025-02-24T01:00:00"/>
  </r>
  <r>
    <x v="592"/>
    <s v="ORD-00245"/>
    <d v="2025-02-15T00:00:00"/>
    <s v="C0091"/>
    <s v="Emma Ali, Edmonton, Small Business"/>
    <s v="Emma Ali"/>
    <s v="Edmonton"/>
    <s v="Small Business"/>
    <n v="2"/>
    <s v="P041"/>
    <n v="4"/>
    <n v="238.47"/>
    <n v="0.1"/>
    <s v="Online"/>
    <s v="Online"/>
    <s v="Credit Card"/>
    <s v="Credit Card"/>
    <s v="Montreal Central"/>
    <s v="Alberta"/>
    <s v="Small Business"/>
    <n v="127.65"/>
    <x v="1"/>
    <n v="953.88"/>
    <n v="95.388000000000005"/>
    <n v="858.49199999999996"/>
    <n v="510.6"/>
    <n v="347.89199999999994"/>
    <n v="0.40523615828685644"/>
    <x v="0"/>
    <s v=""/>
    <s v=""/>
    <s v=""/>
    <x v="1"/>
    <d v="2025-02-24T01:00:00"/>
  </r>
  <r>
    <x v="593"/>
    <s v="ORD-00245"/>
    <d v="2025-02-15T00:00:00"/>
    <s v="C0091"/>
    <s v="Emma Ali, Edmonton, Small Business"/>
    <s v="Emma Ali"/>
    <s v="Edmonton"/>
    <s v="Small Business"/>
    <n v="2"/>
    <s v="P043"/>
    <n v="4"/>
    <n v="96.33"/>
    <n v="0"/>
    <s v="Online"/>
    <s v="Online"/>
    <s v="Credit Card"/>
    <s v="Credit Card"/>
    <s v="Montreal Central"/>
    <s v="Alberta"/>
    <s v="Small Business"/>
    <n v="57.85"/>
    <x v="1"/>
    <n v="385.32"/>
    <n v="0"/>
    <n v="385.32"/>
    <n v="231.4"/>
    <n v="153.91999999999999"/>
    <n v="0.39946018893387314"/>
    <x v="0"/>
    <s v=""/>
    <s v=""/>
    <s v=""/>
    <x v="1"/>
    <d v="2025-02-24T01:00:00"/>
  </r>
  <r>
    <x v="594"/>
    <s v="ORD-00246"/>
    <d v="2025-01-30T00:00:00"/>
    <s v="C0177"/>
    <s v="Omar Gagnon, Montreal, Consumer"/>
    <s v="Omar Gagnon"/>
    <s v="Montreal"/>
    <s v="Consumer"/>
    <n v="2"/>
    <s v="P018"/>
    <n v="1"/>
    <n v="142.16"/>
    <n v="0.05"/>
    <s v="Online"/>
    <s v="Online"/>
    <s v="PayPal"/>
    <s v="PayPal"/>
    <s v="Vancouver West"/>
    <s v="Quebec"/>
    <s v="Consumer"/>
    <n v="85.34"/>
    <x v="4"/>
    <n v="142.16"/>
    <n v="7.1080000000000005"/>
    <n v="135.05199999999999"/>
    <n v="85.34"/>
    <n v="49.711999999999989"/>
    <n v="0.36809525219915284"/>
    <x v="1"/>
    <s v="Damaged"/>
    <d v="2025-02-25T01:00:00"/>
    <s v="Pending"/>
    <x v="1"/>
    <d v="2025-02-07T00:00:00"/>
  </r>
  <r>
    <x v="595"/>
    <s v="ORD-00247"/>
    <d v="2025-04-16T00:00:00"/>
    <s v="C0046"/>
    <s v="Ethan Martin, Montreal, Consumer"/>
    <s v="Ethan Martin"/>
    <s v="Montreal"/>
    <s v="Consumer"/>
    <n v="2"/>
    <s v="P008"/>
    <n v="4"/>
    <n v="110.88"/>
    <n v="0.15"/>
    <s v="Retail  Store"/>
    <s v="Retail Store"/>
    <s v="Credit Card"/>
    <s v="Credit Card"/>
    <s v="Montreal Central"/>
    <s v="Quebec"/>
    <s v="Consumer"/>
    <n v="57.09"/>
    <x v="3"/>
    <n v="443.52"/>
    <n v="66.527999999999992"/>
    <n v="376.99199999999996"/>
    <n v="228.36"/>
    <n v="148.63199999999995"/>
    <n v="0.39425770308123237"/>
    <x v="0"/>
    <s v=""/>
    <s v=""/>
    <s v=""/>
    <x v="0"/>
    <d v="2025-04-19T00:00:00"/>
  </r>
  <r>
    <x v="596"/>
    <s v="ORD-00247"/>
    <d v="2025-04-16T00:00:00"/>
    <s v="C0046"/>
    <s v="Ethan Martin, Montreal, Consumer"/>
    <s v="Ethan Martin"/>
    <s v="Montreal"/>
    <s v="Consumer"/>
    <n v="2"/>
    <s v="P028"/>
    <n v="2"/>
    <n v="52.79"/>
    <n v="0.1"/>
    <s v="Retail Store"/>
    <s v="Retail Store"/>
    <s v="CC"/>
    <s v="Credit Card"/>
    <s v="Toronto Downtown"/>
    <s v="Quebec"/>
    <s v="Consumer"/>
    <n v="28.17"/>
    <x v="2"/>
    <n v="105.58"/>
    <n v="10.558"/>
    <n v="95.021999999999991"/>
    <n v="56.34"/>
    <n v="38.681999999999988"/>
    <n v="0.40708467512786506"/>
    <x v="0"/>
    <s v=""/>
    <s v=""/>
    <s v=""/>
    <x v="0"/>
    <d v="2025-04-19T00:00:00"/>
  </r>
  <r>
    <x v="597"/>
    <s v="ORD-00247"/>
    <d v="2025-04-16T00:00:00"/>
    <s v="C0046"/>
    <s v="Ethan Martin, Montreal, Consumer"/>
    <s v="Ethan Martin"/>
    <s v="Montreal"/>
    <s v="Consumer"/>
    <n v="2"/>
    <s v="P014"/>
    <n v="3"/>
    <n v="91.75"/>
    <n v="0.1"/>
    <s v="Marketplace"/>
    <s v="Marketplace"/>
    <s v="Debit Card"/>
    <s v="Debit Card"/>
    <s v="Toronto Downtown"/>
    <s v="Quebec"/>
    <s v="Consumer"/>
    <n v="58.27"/>
    <x v="4"/>
    <n v="275.25"/>
    <n v="27.525000000000002"/>
    <n v="247.72499999999999"/>
    <n v="174.81"/>
    <n v="72.914999999999992"/>
    <n v="0.29433848016954284"/>
    <x v="0"/>
    <s v=""/>
    <s v=""/>
    <s v=""/>
    <x v="0"/>
    <d v="2025-04-19T00:00:00"/>
  </r>
  <r>
    <x v="598"/>
    <s v="ORD-00247"/>
    <d v="2025-04-16T00:00:00"/>
    <s v="C0046"/>
    <s v="Ethan Martin, Montreal, Consumer"/>
    <s v="Ethan Martin"/>
    <s v="Montreal"/>
    <s v="Consumer"/>
    <n v="2"/>
    <s v="P021"/>
    <n v="4"/>
    <n v="25.01"/>
    <n v="0"/>
    <s v="Retail Store"/>
    <s v="Retail Store"/>
    <s v="CC"/>
    <s v="Credit Card"/>
    <s v="Montreal Central"/>
    <s v="Quebec"/>
    <s v="Consumer"/>
    <n v="16.86"/>
    <x v="2"/>
    <n v="100.04"/>
    <n v="0"/>
    <n v="100.04"/>
    <n v="67.44"/>
    <n v="32.600000000000009"/>
    <n v="0.32586965213914443"/>
    <x v="0"/>
    <s v=""/>
    <s v=""/>
    <s v=""/>
    <x v="0"/>
    <d v="2025-04-19T00:00:00"/>
  </r>
  <r>
    <x v="599"/>
    <s v="ORD-00248"/>
    <d v="2025-06-01T00:00:00"/>
    <s v="C0009"/>
    <s v="Ethan Johnson, Regina, Corporate"/>
    <s v="Ethan Johnson"/>
    <s v="Regina"/>
    <s v="Corporate"/>
    <n v="2"/>
    <s v="P003"/>
    <n v="3"/>
    <n v="265.73"/>
    <n v="0"/>
    <s v="Online"/>
    <s v="Online"/>
    <s v="Gift Card"/>
    <s v="Gift Card"/>
    <s v="Montreal Central"/>
    <s v="Saskatchewan"/>
    <s v="Corporate"/>
    <n v="154.16999999999999"/>
    <x v="3"/>
    <n v="797.19"/>
    <n v="0"/>
    <n v="797.19"/>
    <n v="462.51"/>
    <n v="334.68000000000006"/>
    <n v="0.41982463402701997"/>
    <x v="0"/>
    <s v=""/>
    <s v=""/>
    <s v=""/>
    <x v="0"/>
    <d v="2025-06-03T00:00:00"/>
  </r>
  <r>
    <x v="600"/>
    <s v="ORD-00248"/>
    <d v="2025-06-01T00:00:00"/>
    <s v="C0009"/>
    <s v="Ethan Johnson, Regina, Corporate"/>
    <s v="Ethan Johnson"/>
    <s v="Regina"/>
    <s v="Corporate"/>
    <n v="2"/>
    <s v="P032"/>
    <n v="3"/>
    <n v="214.38"/>
    <n v="0.15"/>
    <s v="Marketplace"/>
    <s v="Marketplace"/>
    <s v="CC"/>
    <s v="Credit Card"/>
    <s v="Vancouver West"/>
    <s v="Saskatchewan"/>
    <s v="Corporate"/>
    <n v="131.51"/>
    <x v="0"/>
    <n v="643.14"/>
    <n v="96.470999999999989"/>
    <n v="546.66899999999998"/>
    <n v="394.53"/>
    <n v="152.13900000000001"/>
    <n v="0.27830186090669129"/>
    <x v="0"/>
    <s v=""/>
    <s v=""/>
    <s v=""/>
    <x v="0"/>
    <d v="2025-06-03T00:00:00"/>
  </r>
  <r>
    <x v="601"/>
    <s v="ORD-00249"/>
    <d v="2025-02-20T00:00:00"/>
    <s v="C0157"/>
    <s v="Daniel Martin, Edmonton, Consumer"/>
    <s v="Daniel Martin"/>
    <s v="Edmonton"/>
    <s v="Consumer"/>
    <n v="2"/>
    <s v="P024"/>
    <n v="1"/>
    <n v="263.04000000000002"/>
    <n v="0.05"/>
    <s v="Marketplace"/>
    <s v="Marketplace"/>
    <s v="PayPal"/>
    <s v="PayPal"/>
    <s v="Vancouver West"/>
    <s v="Alberta"/>
    <s v="Consumer"/>
    <n v="161.84"/>
    <x v="2"/>
    <n v="263.04000000000002"/>
    <n v="13.152000000000001"/>
    <n v="249.88800000000003"/>
    <n v="161.84"/>
    <n v="88.04800000000003"/>
    <n v="0.35234985273402492"/>
    <x v="0"/>
    <s v=""/>
    <s v=""/>
    <s v=""/>
    <x v="0"/>
    <d v="2025-02-23T00:00:00"/>
  </r>
  <r>
    <x v="602"/>
    <s v="ORD-00249"/>
    <d v="2025-02-20T00:00:00"/>
    <s v="C0157"/>
    <s v="Daniel Martin, Edmonton, Consumer"/>
    <s v="Daniel Martin"/>
    <s v="Edmonton"/>
    <s v="Consumer"/>
    <n v="2"/>
    <s v="P035"/>
    <n v="1"/>
    <n v="251.17"/>
    <n v="0"/>
    <s v="Online"/>
    <s v="Online"/>
    <s v="Debit Card"/>
    <s v="Debit Card"/>
    <s v="Toronto Downtown"/>
    <s v="Alberta"/>
    <s v="Consumer"/>
    <n v="151.59"/>
    <x v="0"/>
    <n v="251.17"/>
    <n v="0"/>
    <n v="251.17"/>
    <n v="151.59"/>
    <n v="99.579999999999984"/>
    <n v="0.39646454592507063"/>
    <x v="0"/>
    <s v=""/>
    <s v=""/>
    <s v=""/>
    <x v="0"/>
    <d v="2025-02-23T00:00:00"/>
  </r>
  <r>
    <x v="603"/>
    <s v="ORD-00249"/>
    <d v="2025-02-20T00:00:00"/>
    <s v="C0157"/>
    <s v="Daniel Martin, Edmonton, Consumer"/>
    <s v="Daniel Martin"/>
    <s v="Edmonton"/>
    <s v="Consumer"/>
    <n v="2"/>
    <s v="P004"/>
    <n v="3"/>
    <n v="195.38"/>
    <n v="0.15"/>
    <s v="Retail Store"/>
    <s v="Retail Store"/>
    <s v="Credit Card"/>
    <s v="Credit Card"/>
    <s v="Toronto Downtown"/>
    <s v="Alberta"/>
    <s v="Consumer"/>
    <n v="114.29"/>
    <x v="3"/>
    <n v="586.14"/>
    <n v="87.920999999999992"/>
    <n v="498.21899999999999"/>
    <n v="342.87"/>
    <n v="155.34899999999999"/>
    <n v="0.31180866245566707"/>
    <x v="0"/>
    <s v=""/>
    <s v=""/>
    <s v=""/>
    <x v="0"/>
    <d v="2025-02-23T00:00:00"/>
  </r>
  <r>
    <x v="604"/>
    <s v="ORD-00249"/>
    <d v="2025-02-20T00:00:00"/>
    <s v="C0157"/>
    <s v="Daniel Martin, Edmonton, Consumer"/>
    <s v="Daniel Martin"/>
    <s v="Edmonton"/>
    <s v="Consumer"/>
    <n v="2"/>
    <s v="P046"/>
    <n v="3"/>
    <n v="180.37"/>
    <n v="0.1"/>
    <s v="Marketplace"/>
    <s v="Marketplace"/>
    <m/>
    <s v="Unknown"/>
    <s v="Calgary North"/>
    <s v="Alberta"/>
    <s v="Consumer"/>
    <n v="107.55"/>
    <x v="1"/>
    <n v="541.11"/>
    <n v="54.111000000000004"/>
    <n v="486.99900000000002"/>
    <n v="322.64999999999998"/>
    <n v="164.34900000000005"/>
    <n v="0.33747297222376232"/>
    <x v="0"/>
    <s v=""/>
    <s v=""/>
    <s v=""/>
    <x v="0"/>
    <d v="2025-02-23T00:00:00"/>
  </r>
  <r>
    <x v="605"/>
    <s v="ORD-00250"/>
    <d v="2025-07-18T00:00:00"/>
    <s v="C0126"/>
    <s v="Emma Tremblay, Quebec City, Corporate"/>
    <s v="Emma Tremblay"/>
    <s v="Quebec City"/>
    <s v="Corporate"/>
    <n v="2"/>
    <s v="P034"/>
    <n v="3"/>
    <n v="141.46"/>
    <n v="0"/>
    <s v="Retail  Store"/>
    <s v="Retail Store"/>
    <m/>
    <s v="Unknown"/>
    <s v="Calgary North"/>
    <s v="Quebec"/>
    <s v="Corporate"/>
    <n v="78.650000000000006"/>
    <x v="0"/>
    <n v="424.38"/>
    <n v="0"/>
    <n v="424.38"/>
    <n v="235.95000000000002"/>
    <n v="188.42999999999998"/>
    <n v="0.44401244167962672"/>
    <x v="0"/>
    <s v=""/>
    <s v=""/>
    <s v=""/>
    <x v="1"/>
    <d v="2025-07-23T00:00:00"/>
  </r>
  <r>
    <x v="606"/>
    <s v="ORD-00251"/>
    <d v="2025-09-10T00:00:00"/>
    <s v="C0172"/>
    <s v="Adam Wilson, Edmonton, Consumer"/>
    <s v="Adam Wilson"/>
    <s v="Edmonton"/>
    <s v="Consumer"/>
    <n v="2"/>
    <s v="P029"/>
    <n v="2"/>
    <n v="300.16000000000003"/>
    <n v="0.15"/>
    <s v="Online"/>
    <s v="Online"/>
    <s v="PayPal"/>
    <s v="PayPal"/>
    <s v="Calgary North"/>
    <s v="Alberta"/>
    <s v="Consumer"/>
    <n v="158.46"/>
    <x v="2"/>
    <n v="600.32000000000005"/>
    <n v="90.048000000000002"/>
    <n v="510.27200000000005"/>
    <n v="316.92"/>
    <n v="193.35200000000003"/>
    <n v="0.37891947823905686"/>
    <x v="0"/>
    <s v=""/>
    <s v=""/>
    <s v=""/>
    <x v="0"/>
    <d v="2025-09-15T00:00:00"/>
  </r>
  <r>
    <x v="607"/>
    <s v="ORD-00252"/>
    <d v="2025-01-27T00:00:00"/>
    <s v="C0028"/>
    <s v="Liam Singh, Vancouver, Corporate"/>
    <s v="Liam Singh"/>
    <s v="Vancouver"/>
    <s v="Corporate"/>
    <n v="2"/>
    <s v="P023"/>
    <n v="1"/>
    <n v="82.77"/>
    <n v="0.05"/>
    <s v="Market place"/>
    <s v="Marketplace"/>
    <s v="PayPal"/>
    <s v="PayPal"/>
    <s v="Vancouver West"/>
    <s v="British Columbia"/>
    <s v="Corporate"/>
    <n v="46.51"/>
    <x v="2"/>
    <n v="82.77"/>
    <n v="4.1384999999999996"/>
    <n v="78.631500000000003"/>
    <n v="46.51"/>
    <n v="32.121500000000005"/>
    <n v="0.40850676891576537"/>
    <x v="0"/>
    <s v=""/>
    <s v=""/>
    <s v=""/>
    <x v="0"/>
    <d v="2025-01-29T00:00:00"/>
  </r>
  <r>
    <x v="608"/>
    <s v="ORD-00252"/>
    <d v="2025-01-27T00:00:00"/>
    <s v="C0028"/>
    <s v="Liam Singh, Vancouver, Corporate"/>
    <s v="Liam Singh"/>
    <s v="Vancouver"/>
    <s v="Corporate"/>
    <n v="2"/>
    <s v="P027"/>
    <n v="1"/>
    <n v="244.25"/>
    <n v="0.15"/>
    <s v="Online"/>
    <s v="Online"/>
    <s v="PayPal"/>
    <s v="PayPal"/>
    <s v="Online Fulfillment"/>
    <s v="British Columbia"/>
    <s v="Corporate"/>
    <n v="150.96"/>
    <x v="2"/>
    <n v="244.25"/>
    <n v="36.637499999999996"/>
    <n v="207.61250000000001"/>
    <n v="150.96"/>
    <n v="56.652500000000003"/>
    <n v="0.27287615148413513"/>
    <x v="0"/>
    <s v=""/>
    <s v=""/>
    <s v=""/>
    <x v="0"/>
    <d v="2025-01-29T00:00:00"/>
  </r>
  <r>
    <x v="609"/>
    <s v="ORD-00252"/>
    <d v="2025-01-27T00:00:00"/>
    <s v="C0028"/>
    <s v="Liam Singh, Vancouver, Corporate"/>
    <s v="Liam Singh"/>
    <s v="Vancouver"/>
    <s v="Corporate"/>
    <n v="2"/>
    <s v="P024"/>
    <n v="2"/>
    <n v="263.04000000000002"/>
    <n v="0.1"/>
    <s v="Online"/>
    <s v="Online"/>
    <s v="Gift Card"/>
    <s v="Gift Card"/>
    <s v="Vancouver West"/>
    <s v="British Columbia"/>
    <s v="Corporate"/>
    <n v="161.84"/>
    <x v="2"/>
    <n v="526.08000000000004"/>
    <n v="52.608000000000004"/>
    <n v="473.47200000000004"/>
    <n v="323.68"/>
    <n v="149.79200000000003"/>
    <n v="0.31636928899702627"/>
    <x v="0"/>
    <s v=""/>
    <s v=""/>
    <s v=""/>
    <x v="0"/>
    <d v="2025-01-29T00:00:00"/>
  </r>
  <r>
    <x v="610"/>
    <s v="ORD-00252"/>
    <d v="2025-01-27T00:00:00"/>
    <s v="C0028"/>
    <s v="Liam Singh, Vancouver, Corporate"/>
    <s v="Liam Singh"/>
    <s v="Vancouver"/>
    <s v="Corporate"/>
    <n v="2"/>
    <s v="P046"/>
    <n v="4"/>
    <n v="180.37"/>
    <n v="0.15"/>
    <s v="Retail Store"/>
    <s v="Retail Store"/>
    <s v="CC"/>
    <s v="Credit Card"/>
    <s v="Vancouver West"/>
    <s v="British Columbia"/>
    <s v="Corporate"/>
    <n v="107.55"/>
    <x v="1"/>
    <n v="721.48"/>
    <n v="108.22199999999999"/>
    <n v="613.25800000000004"/>
    <n v="430.2"/>
    <n v="183.05800000000005"/>
    <n v="0.29850079411927777"/>
    <x v="0"/>
    <s v=""/>
    <s v=""/>
    <s v=""/>
    <x v="0"/>
    <d v="2025-01-29T00:00:00"/>
  </r>
  <r>
    <x v="611"/>
    <s v="ORD-00253"/>
    <d v="2025-07-22T00:00:00"/>
    <s v="C0159"/>
    <s v="Yara Ali, Montreal, Consumer"/>
    <s v="Yara Ali"/>
    <s v="Montreal"/>
    <s v="Consumer"/>
    <n v="2"/>
    <s v="P008"/>
    <n v="4"/>
    <n v="110.88"/>
    <n v="0.05"/>
    <s v="Retail  Store"/>
    <s v="Retail Store"/>
    <s v="PayPal"/>
    <s v="PayPal"/>
    <s v="Montreal Central"/>
    <s v="Quebec"/>
    <s v="Consumer"/>
    <n v="57.09"/>
    <x v="3"/>
    <n v="443.52"/>
    <n v="22.176000000000002"/>
    <n v="421.34399999999999"/>
    <n v="228.36"/>
    <n v="192.98399999999998"/>
    <n v="0.45802005012531322"/>
    <x v="0"/>
    <s v=""/>
    <s v=""/>
    <s v=""/>
    <x v="0"/>
    <d v="2025-07-23T00:00:00"/>
  </r>
  <r>
    <x v="612"/>
    <s v="ORD-00253"/>
    <d v="2025-07-22T00:00:00"/>
    <s v="C0159"/>
    <s v="Yara Ali, Montreal, Consumer"/>
    <s v="Yara Ali"/>
    <s v="Montreal"/>
    <s v="Consumer"/>
    <n v="2"/>
    <s v="P002"/>
    <n v="1"/>
    <n v="105.38"/>
    <n v="0.1"/>
    <s v="Marketplace"/>
    <s v="Marketplace"/>
    <s v="CC"/>
    <s v="Credit Card"/>
    <s v="Online Fulfillment"/>
    <s v="Quebec"/>
    <s v="Consumer"/>
    <n v="67.290000000000006"/>
    <x v="3"/>
    <n v="105.38"/>
    <n v="10.538"/>
    <n v="94.841999999999999"/>
    <n v="67.290000000000006"/>
    <n v="27.551999999999992"/>
    <n v="0.29050420699690005"/>
    <x v="1"/>
    <s v="Damaged"/>
    <d v="2025-07-26T00:00:00"/>
    <s v="Pending"/>
    <x v="0"/>
    <d v="2025-07-23T00:00:00"/>
  </r>
  <r>
    <x v="613"/>
    <s v="ORD-00253"/>
    <d v="2025-07-22T00:00:00"/>
    <s v="C0159"/>
    <s v="Yara Ali, Montreal, Consumer"/>
    <s v="Yara Ali"/>
    <s v="Montreal"/>
    <s v="Consumer"/>
    <n v="2"/>
    <s v="P027"/>
    <n v="1"/>
    <n v="244.25"/>
    <n v="0"/>
    <s v="Online"/>
    <s v="Online"/>
    <m/>
    <s v="Unknown"/>
    <s v="Calgary North"/>
    <s v="Quebec"/>
    <s v="Consumer"/>
    <n v="150.96"/>
    <x v="2"/>
    <n v="244.25"/>
    <n v="0"/>
    <n v="244.25"/>
    <n v="150.96"/>
    <n v="93.289999999999992"/>
    <n v="0.38194472876151481"/>
    <x v="0"/>
    <s v=""/>
    <s v=""/>
    <s v=""/>
    <x v="0"/>
    <d v="2025-07-23T00:00:00"/>
  </r>
  <r>
    <x v="614"/>
    <s v="ORD-00253"/>
    <d v="2025-07-22T00:00:00"/>
    <s v="C0159"/>
    <s v="Yara Ali, Montreal, Consumer"/>
    <s v="Yara Ali"/>
    <s v="Montreal"/>
    <s v="Consumer"/>
    <n v="2"/>
    <s v="P036"/>
    <n v="1"/>
    <n v="210.2"/>
    <n v="0.05"/>
    <s v="Retail  Store"/>
    <s v="Retail Store"/>
    <s v="Debit Card"/>
    <s v="Debit Card"/>
    <s v="Online Fulfillment"/>
    <s v="Quebec"/>
    <s v="Consumer"/>
    <n v="136.25"/>
    <x v="0"/>
    <n v="210.2"/>
    <n v="10.51"/>
    <n v="199.69"/>
    <n v="136.25"/>
    <n v="63.44"/>
    <n v="0.31769242325604685"/>
    <x v="0"/>
    <s v=""/>
    <s v=""/>
    <s v=""/>
    <x v="0"/>
    <d v="2025-07-23T00:00:00"/>
  </r>
  <r>
    <x v="615"/>
    <s v="ORD-00254"/>
    <d v="2025-02-26T01:00:00"/>
    <s v="C0026"/>
    <s v="Omar Singh, Calgary, Small Business"/>
    <s v="Omar Singh"/>
    <s v="Calgary"/>
    <s v="Small Business"/>
    <n v="2"/>
    <s v="P031"/>
    <n v="3"/>
    <n v="208.81"/>
    <n v="0"/>
    <s v="Retail  Store"/>
    <s v="Retail Store"/>
    <s v="CC"/>
    <s v="Credit Card"/>
    <s v="Online Fulfillment"/>
    <s v="Alberta"/>
    <s v="Small Business"/>
    <n v="139.04"/>
    <x v="0"/>
    <n v="626.43000000000006"/>
    <n v="0"/>
    <n v="626.43000000000006"/>
    <n v="417.12"/>
    <n v="209.31000000000006"/>
    <n v="0.3341315071117284"/>
    <x v="0"/>
    <s v=""/>
    <s v=""/>
    <s v=""/>
    <x v="0"/>
    <d v="2025-03-01T01:00:00"/>
  </r>
  <r>
    <x v="616"/>
    <s v="ORD-00255"/>
    <d v="2025-09-20T00:00:00"/>
    <s v="C0073"/>
    <s v="Amina Tremblay, Vancouver, Corporate"/>
    <s v="Amina Tremblay"/>
    <s v="Vancouver"/>
    <s v="Corporate"/>
    <n v="2"/>
    <s v="P001"/>
    <n v="3"/>
    <n v="133.24"/>
    <n v="0"/>
    <s v="Retail Store"/>
    <s v="Retail Store"/>
    <s v="CC"/>
    <s v="Credit Card"/>
    <s v="Vancouver West"/>
    <s v="British Columbia"/>
    <s v="Corporate"/>
    <n v="77.540000000000006"/>
    <x v="3"/>
    <n v="399.72"/>
    <n v="0"/>
    <n v="399.72"/>
    <n v="232.62"/>
    <n v="167.10000000000002"/>
    <n v="0.41804262984088864"/>
    <x v="1"/>
    <s v="Damaged"/>
    <d v="2025-10-07T00:00:00"/>
    <s v="Refunded"/>
    <x v="1"/>
    <d v="2025-09-27T00:00:00"/>
  </r>
  <r>
    <x v="617"/>
    <s v="ORD-00256"/>
    <d v="2025-11-04T00:00:00"/>
    <s v="C0010"/>
    <s v="Sofia Ali, Quebec City, Consumer"/>
    <s v="Sofia Ali"/>
    <s v="Quebec City"/>
    <s v="Consumer"/>
    <n v="2"/>
    <s v="P031"/>
    <n v="2"/>
    <n v="208.81"/>
    <n v="0"/>
    <s v="Online"/>
    <s v="Online"/>
    <s v="Debit Card"/>
    <s v="Debit Card"/>
    <s v="Vancouver West"/>
    <s v="Quebec"/>
    <s v="Consumer"/>
    <n v="139.04"/>
    <x v="0"/>
    <n v="417.62"/>
    <n v="0"/>
    <n v="417.62"/>
    <n v="278.08"/>
    <n v="139.54000000000002"/>
    <n v="0.3341315071117284"/>
    <x v="0"/>
    <s v=""/>
    <s v=""/>
    <s v=""/>
    <x v="1"/>
    <d v="2025-11-10T00:00:00"/>
  </r>
  <r>
    <x v="618"/>
    <s v="ORD-00256"/>
    <d v="2025-11-04T00:00:00"/>
    <s v="C0010"/>
    <s v="Sofia Ali, Quebec City, Consumer"/>
    <s v="Sofia Ali"/>
    <s v="Quebec City"/>
    <s v="Consumer"/>
    <n v="2"/>
    <s v="P048"/>
    <n v="3"/>
    <n v="287.16000000000003"/>
    <n v="0"/>
    <s v="Marketplace"/>
    <s v="Marketplace"/>
    <s v="Gift Card"/>
    <s v="Gift Card"/>
    <s v="Montreal Central"/>
    <s v="Quebec"/>
    <s v="Consumer"/>
    <n v="148.21"/>
    <x v="1"/>
    <n v="861.48"/>
    <n v="0"/>
    <n v="861.48"/>
    <n v="444.63"/>
    <n v="416.85"/>
    <n v="0.48387658448251847"/>
    <x v="1"/>
    <s v="Changed Mind"/>
    <d v="2025-11-15T00:00:00"/>
    <s v="Pending"/>
    <x v="1"/>
    <d v="2025-11-10T00:00:00"/>
  </r>
  <r>
    <x v="619"/>
    <s v="ORD-00257"/>
    <d v="2025-12-05T00:00:00"/>
    <s v="C0005"/>
    <s v="Adam Ali, Victoria, Corporate"/>
    <s v="Adam Ali"/>
    <s v="Victoria"/>
    <s v="Corporate"/>
    <n v="2"/>
    <s v="P017"/>
    <n v="4"/>
    <n v="234.37"/>
    <n v="0"/>
    <s v="Marketplace"/>
    <s v="Marketplace"/>
    <s v="Gift Card"/>
    <s v="Gift Card"/>
    <s v="Vancouver West"/>
    <s v="British Columbia"/>
    <s v="Corporate"/>
    <n v="129.41999999999999"/>
    <x v="4"/>
    <n v="937.48"/>
    <n v="0"/>
    <n v="937.48"/>
    <n v="517.67999999999995"/>
    <n v="419.80000000000007"/>
    <n v="0.44779621965268601"/>
    <x v="0"/>
    <s v=""/>
    <s v=""/>
    <s v=""/>
    <x v="0"/>
    <d v="2025-12-08T00:00:00"/>
  </r>
  <r>
    <x v="620"/>
    <s v="ORD-00257"/>
    <d v="2025-12-05T00:00:00"/>
    <s v="C0005"/>
    <s v="Adam Ali, Victoria, Corporate"/>
    <s v="Adam Ali"/>
    <s v="Victoria"/>
    <s v="Corporate"/>
    <n v="2"/>
    <s v="P033"/>
    <n v="4"/>
    <n v="160"/>
    <n v="0.05"/>
    <s v="Retail Store"/>
    <s v="Retail Store"/>
    <m/>
    <s v="Unknown"/>
    <s v="Toronto Downtown"/>
    <s v="British Columbia"/>
    <s v="Corporate"/>
    <n v="101.58"/>
    <x v="0"/>
    <n v="640"/>
    <n v="32"/>
    <n v="608"/>
    <n v="406.32"/>
    <n v="201.68"/>
    <n v="0.33171052631578951"/>
    <x v="0"/>
    <s v=""/>
    <s v=""/>
    <s v=""/>
    <x v="0"/>
    <d v="2025-12-08T00:00:00"/>
  </r>
  <r>
    <x v="621"/>
    <s v="ORD-00257"/>
    <d v="2025-12-05T00:00:00"/>
    <s v="C0005"/>
    <s v="Adam Ali, Victoria, Corporate"/>
    <s v="Adam Ali"/>
    <s v="Victoria"/>
    <s v="Corporate"/>
    <n v="2"/>
    <s v="P029"/>
    <n v="3"/>
    <n v="300.16000000000003"/>
    <n v="0.05"/>
    <s v="Retail Store"/>
    <s v="Retail Store"/>
    <s v="Credit Card"/>
    <s v="Credit Card"/>
    <s v="Montreal Central"/>
    <s v="British Columbia"/>
    <s v="Corporate"/>
    <n v="158.46"/>
    <x v="2"/>
    <n v="900.48"/>
    <n v="45.024000000000001"/>
    <n v="855.45600000000002"/>
    <n v="475.38"/>
    <n v="380.07600000000002"/>
    <n v="0.44429637526652455"/>
    <x v="0"/>
    <s v=""/>
    <s v=""/>
    <s v=""/>
    <x v="0"/>
    <d v="2025-12-08T00:00:00"/>
  </r>
  <r>
    <x v="622"/>
    <s v="ORD-00257"/>
    <d v="2025-12-05T00:00:00"/>
    <s v="C0005"/>
    <s v="Adam Ali, Victoria, Corporate"/>
    <s v="Adam Ali"/>
    <s v="Victoria"/>
    <s v="Corporate"/>
    <n v="2"/>
    <s v="P037"/>
    <n v="1"/>
    <n v="236.51"/>
    <n v="0"/>
    <s v="Online"/>
    <s v="Online"/>
    <m/>
    <s v="Unknown"/>
    <s v="Vancouver West"/>
    <s v="British Columbia"/>
    <s v="Corporate"/>
    <n v="142.84"/>
    <x v="0"/>
    <n v="236.51"/>
    <n v="0"/>
    <n v="236.51"/>
    <n v="142.84"/>
    <n v="93.669999999999987"/>
    <n v="0.39605090693839579"/>
    <x v="0"/>
    <s v=""/>
    <s v=""/>
    <s v=""/>
    <x v="0"/>
    <d v="2025-12-08T00:00:00"/>
  </r>
  <r>
    <x v="623"/>
    <s v="ORD-00258"/>
    <d v="2025-11-11T00:00:00"/>
    <s v="C0131"/>
    <s v="Sofia Wilson, Montreal, Small Business"/>
    <s v="Sofia Wilson"/>
    <s v="Montreal"/>
    <s v="Small Business"/>
    <n v="2"/>
    <s v="P024"/>
    <n v="3"/>
    <n v="263.04000000000002"/>
    <n v="0.05"/>
    <s v="Market place"/>
    <s v="Marketplace"/>
    <m/>
    <s v="Unknown"/>
    <s v="Calgary North"/>
    <s v="Quebec"/>
    <s v="Small Business"/>
    <n v="161.84"/>
    <x v="2"/>
    <n v="789.12000000000012"/>
    <n v="39.45600000000001"/>
    <n v="749.6640000000001"/>
    <n v="485.52"/>
    <n v="264.14400000000012"/>
    <n v="0.35234985273402497"/>
    <x v="1"/>
    <s v="Late Delivery"/>
    <d v="2025-11-29T00:00:00"/>
    <s v="Pending"/>
    <x v="0"/>
    <d v="2025-11-14T00:00:00"/>
  </r>
  <r>
    <x v="624"/>
    <s v="ORD-00258"/>
    <d v="2025-11-11T00:00:00"/>
    <s v="C0131"/>
    <s v="Sofia Wilson, Montreal, Small Business"/>
    <s v="Sofia Wilson"/>
    <s v="Montreal"/>
    <s v="Small Business"/>
    <n v="2"/>
    <s v="P046"/>
    <n v="3"/>
    <n v="180.37"/>
    <n v="0"/>
    <s v="Marketplace"/>
    <s v="Marketplace"/>
    <s v="Credit Card"/>
    <s v="Credit Card"/>
    <s v="Calgary North"/>
    <s v="Quebec"/>
    <s v="Small Business"/>
    <n v="107.55"/>
    <x v="1"/>
    <n v="541.11"/>
    <n v="0"/>
    <n v="541.11"/>
    <n v="322.64999999999998"/>
    <n v="218.46000000000004"/>
    <n v="0.40372567500138612"/>
    <x v="0"/>
    <s v=""/>
    <s v=""/>
    <s v=""/>
    <x v="0"/>
    <d v="2025-11-14T00:00:00"/>
  </r>
  <r>
    <x v="625"/>
    <s v="ORD-00258"/>
    <d v="2025-11-11T00:00:00"/>
    <s v="C0131"/>
    <s v="Sofia Wilson, Montreal, Small Business"/>
    <s v="Sofia Wilson"/>
    <s v="Montreal"/>
    <s v="Small Business"/>
    <n v="2"/>
    <s v="P005"/>
    <n v="2"/>
    <n v="42.72"/>
    <n v="0.15"/>
    <s v="Online"/>
    <s v="Online"/>
    <s v="CC"/>
    <s v="Credit Card"/>
    <s v="Montreal Central"/>
    <s v="Quebec"/>
    <s v="Small Business"/>
    <n v="24.46"/>
    <x v="3"/>
    <n v="85.44"/>
    <n v="12.815999999999999"/>
    <n v="72.623999999999995"/>
    <n v="48.92"/>
    <n v="23.703999999999994"/>
    <n v="0.32639347873981045"/>
    <x v="0"/>
    <s v=""/>
    <s v=""/>
    <s v=""/>
    <x v="0"/>
    <d v="2025-11-14T00:00:00"/>
  </r>
  <r>
    <x v="626"/>
    <s v="ORD-00259"/>
    <d v="2025-08-25T00:00:00"/>
    <s v="C0032"/>
    <s v="Ethan Brown, Regina, Corporate"/>
    <s v="Ethan Brown"/>
    <s v="Regina"/>
    <s v="Corporate"/>
    <n v="2"/>
    <s v="P014"/>
    <n v="1"/>
    <n v="91.75"/>
    <n v="0.05"/>
    <s v="Retail  Store"/>
    <s v="Retail Store"/>
    <s v="Credit Card"/>
    <s v="Credit Card"/>
    <s v="Online Fulfillment"/>
    <s v="Saskatchewan"/>
    <s v="Corporate"/>
    <n v="58.27"/>
    <x v="4"/>
    <n v="91.75"/>
    <n v="4.5875000000000004"/>
    <n v="87.162499999999994"/>
    <n v="58.27"/>
    <n v="28.892499999999991"/>
    <n v="0.33147856016061944"/>
    <x v="0"/>
    <s v=""/>
    <s v=""/>
    <s v=""/>
    <x v="0"/>
    <d v="2025-08-28T00:00:00"/>
  </r>
  <r>
    <x v="627"/>
    <s v="ORD-00259"/>
    <d v="2025-08-25T00:00:00"/>
    <s v="C0032"/>
    <s v="Ethan Brown, Regina, Corporate"/>
    <s v="Ethan Brown"/>
    <s v="Regina"/>
    <s v="Corporate"/>
    <n v="2"/>
    <s v="P017"/>
    <n v="1"/>
    <n v="234.37"/>
    <n v="0.15"/>
    <s v="Marketplace"/>
    <s v="Marketplace"/>
    <s v="Debit Card"/>
    <s v="Debit Card"/>
    <s v="Vancouver West"/>
    <s v="Saskatchewan"/>
    <s v="Corporate"/>
    <n v="129.41999999999999"/>
    <x v="4"/>
    <n v="234.37"/>
    <n v="35.155499999999996"/>
    <n v="199.21450000000002"/>
    <n v="129.41999999999999"/>
    <n v="69.794500000000028"/>
    <n v="0.35034849370904236"/>
    <x v="0"/>
    <s v=""/>
    <s v=""/>
    <s v=""/>
    <x v="0"/>
    <d v="2025-08-28T00:00:00"/>
  </r>
  <r>
    <x v="628"/>
    <s v="ORD-00259"/>
    <d v="2025-08-25T00:00:00"/>
    <s v="C0032"/>
    <s v="Ethan Brown, Regina, Corporate"/>
    <s v="Ethan Brown"/>
    <s v="Regina"/>
    <s v="Corporate"/>
    <n v="2"/>
    <s v="P029"/>
    <n v="2"/>
    <n v="300.16000000000003"/>
    <n v="0.05"/>
    <s v="Retail Store"/>
    <s v="Retail Store"/>
    <s v="CC"/>
    <s v="Credit Card"/>
    <s v="Online Fulfillment"/>
    <s v="Saskatchewan"/>
    <s v="Corporate"/>
    <n v="158.46"/>
    <x v="2"/>
    <n v="600.32000000000005"/>
    <n v="30.016000000000005"/>
    <n v="570.30400000000009"/>
    <n v="316.92"/>
    <n v="253.38400000000007"/>
    <n v="0.4442963752665246"/>
    <x v="0"/>
    <s v=""/>
    <s v=""/>
    <s v=""/>
    <x v="0"/>
    <d v="2025-08-28T00:00:00"/>
  </r>
  <r>
    <x v="629"/>
    <s v="ORD-00260"/>
    <d v="2025-09-21T00:00:00"/>
    <s v="C0085"/>
    <s v="Maya Johnson, Calgary, Consumer"/>
    <s v="Maya Johnson"/>
    <s v="Calgary"/>
    <s v="Consumer"/>
    <n v="2"/>
    <s v="P019"/>
    <n v="1"/>
    <n v="183.73"/>
    <n v="0"/>
    <s v="Market place"/>
    <s v="Marketplace"/>
    <s v="PayPal"/>
    <s v="PayPal"/>
    <s v="Toronto Downtown"/>
    <s v="Alberta"/>
    <s v="Consumer"/>
    <n v="98.11"/>
    <x v="4"/>
    <n v="183.73"/>
    <n v="0"/>
    <n v="183.73"/>
    <n v="98.11"/>
    <n v="85.61999999999999"/>
    <n v="0.46600990584009139"/>
    <x v="0"/>
    <s v=""/>
    <s v=""/>
    <s v=""/>
    <x v="1"/>
    <d v="2025-10-01T00:00:00"/>
  </r>
  <r>
    <x v="630"/>
    <s v="ORD-00260"/>
    <d v="2025-09-21T00:00:00"/>
    <s v="C0085"/>
    <s v="Maya Johnson, Calgary, Consumer"/>
    <s v="Maya Johnson"/>
    <s v="Calgary"/>
    <s v="Consumer"/>
    <n v="2"/>
    <s v="P015"/>
    <n v="4"/>
    <n v="273.89"/>
    <n v="0.05"/>
    <s v="Retail  Store"/>
    <s v="Retail Store"/>
    <m/>
    <s v="Unknown"/>
    <s v="Calgary North"/>
    <s v="Alberta"/>
    <s v="Consumer"/>
    <n v="140.66999999999999"/>
    <x v="4"/>
    <n v="1095.56"/>
    <n v="54.777999999999999"/>
    <n v="1040.7819999999999"/>
    <n v="562.67999999999995"/>
    <n v="478.10199999999998"/>
    <n v="0.45936805209928688"/>
    <x v="0"/>
    <s v=""/>
    <s v=""/>
    <s v=""/>
    <x v="1"/>
    <d v="2025-10-01T00:00:00"/>
  </r>
  <r>
    <x v="631"/>
    <s v="ORD-00260"/>
    <d v="2025-09-21T00:00:00"/>
    <s v="C0085"/>
    <s v="Maya Johnson, Calgary, Consumer"/>
    <s v="Maya Johnson"/>
    <s v="Calgary"/>
    <s v="Consumer"/>
    <n v="2"/>
    <s v="P046"/>
    <n v="3"/>
    <n v="180.37"/>
    <n v="0.1"/>
    <s v="Retail Store"/>
    <s v="Retail Store"/>
    <s v="Debit Card"/>
    <s v="Debit Card"/>
    <s v="Montreal Central"/>
    <s v="Alberta"/>
    <s v="Consumer"/>
    <n v="107.55"/>
    <x v="1"/>
    <n v="541.11"/>
    <n v="54.111000000000004"/>
    <n v="486.99900000000002"/>
    <n v="322.64999999999998"/>
    <n v="164.34900000000005"/>
    <n v="0.33747297222376232"/>
    <x v="0"/>
    <s v=""/>
    <s v=""/>
    <s v=""/>
    <x v="1"/>
    <d v="2025-10-01T00:00:00"/>
  </r>
  <r>
    <x v="632"/>
    <s v="ORD-00260"/>
    <d v="2025-09-21T00:00:00"/>
    <s v="C0085"/>
    <s v="Maya Johnson, Calgary, Consumer"/>
    <s v="Maya Johnson"/>
    <s v="Calgary"/>
    <s v="Consumer"/>
    <n v="2"/>
    <s v="P018"/>
    <n v="4"/>
    <n v="142.16"/>
    <n v="0.15"/>
    <s v="Online"/>
    <s v="Online"/>
    <s v="Gift Card"/>
    <s v="Gift Card"/>
    <s v="Montreal Central"/>
    <s v="Alberta"/>
    <s v="Consumer"/>
    <n v="85.34"/>
    <x v="4"/>
    <n v="568.64"/>
    <n v="85.295999999999992"/>
    <n v="483.34399999999999"/>
    <n v="341.36"/>
    <n v="141.98399999999998"/>
    <n v="0.29375351716375908"/>
    <x v="1"/>
    <s v="Damaged"/>
    <d v="2025-10-09T00:00:00"/>
    <s v="Refunded"/>
    <x v="1"/>
    <d v="2025-10-01T00:00:00"/>
  </r>
  <r>
    <x v="633"/>
    <s v="ORD-00261"/>
    <d v="2025-05-16T00:00:00"/>
    <s v="C0154"/>
    <s v="Ethan Dubois, Winnipeg, Corporate"/>
    <s v="Ethan Dubois"/>
    <s v="Winnipeg"/>
    <s v="Corporate"/>
    <n v="2"/>
    <s v="P024"/>
    <n v="2"/>
    <n v="263.04000000000002"/>
    <n v="0.1"/>
    <s v="Online"/>
    <s v="Online"/>
    <s v="Gift Card"/>
    <s v="Gift Card"/>
    <s v="Montreal Central"/>
    <s v="Manitoba"/>
    <s v="Corporate"/>
    <n v="161.84"/>
    <x v="2"/>
    <n v="526.08000000000004"/>
    <n v="52.608000000000004"/>
    <n v="473.47200000000004"/>
    <n v="323.68"/>
    <n v="149.79200000000003"/>
    <n v="0.31636928899702627"/>
    <x v="0"/>
    <s v=""/>
    <s v=""/>
    <s v=""/>
    <x v="0"/>
    <d v="2025-05-17T00:00:00"/>
  </r>
  <r>
    <x v="634"/>
    <s v="ORD-00261"/>
    <d v="2025-05-16T00:00:00"/>
    <s v="C0154"/>
    <s v="Ethan Dubois, Winnipeg, Corporate"/>
    <s v="Ethan Dubois"/>
    <s v="Winnipeg"/>
    <s v="Corporate"/>
    <n v="2"/>
    <s v="P048"/>
    <n v="3"/>
    <n v="287.16000000000003"/>
    <n v="0"/>
    <s v="Marketplace"/>
    <s v="Marketplace"/>
    <s v="Debit Card"/>
    <s v="Debit Card"/>
    <s v="Montreal Central"/>
    <s v="Manitoba"/>
    <s v="Corporate"/>
    <n v="148.21"/>
    <x v="1"/>
    <n v="861.48"/>
    <n v="0"/>
    <n v="861.48"/>
    <n v="444.63"/>
    <n v="416.85"/>
    <n v="0.48387658448251847"/>
    <x v="0"/>
    <s v=""/>
    <s v=""/>
    <s v=""/>
    <x v="0"/>
    <d v="2025-05-17T00:00:00"/>
  </r>
  <r>
    <x v="635"/>
    <s v="ORD-00261"/>
    <d v="2025-05-16T00:00:00"/>
    <s v="C0154"/>
    <s v="Ethan Dubois, Winnipeg, Corporate"/>
    <s v="Ethan Dubois"/>
    <s v="Winnipeg"/>
    <s v="Corporate"/>
    <n v="2"/>
    <s v="P021"/>
    <n v="3"/>
    <n v="25.01"/>
    <n v="0"/>
    <s v="Marketplace"/>
    <s v="Marketplace"/>
    <s v="Debit Card"/>
    <s v="Debit Card"/>
    <s v="Vancouver West"/>
    <s v="Manitoba"/>
    <s v="Corporate"/>
    <n v="16.86"/>
    <x v="2"/>
    <n v="75.03"/>
    <n v="0"/>
    <n v="75.03"/>
    <n v="50.58"/>
    <n v="24.450000000000003"/>
    <n v="0.32586965213914437"/>
    <x v="0"/>
    <s v=""/>
    <s v=""/>
    <s v=""/>
    <x v="0"/>
    <d v="2025-05-17T00:00:00"/>
  </r>
  <r>
    <x v="636"/>
    <s v="ORD-00261"/>
    <d v="2025-05-16T00:00:00"/>
    <s v="C0154"/>
    <s v="Ethan Dubois, Winnipeg, Corporate"/>
    <s v="Ethan Dubois"/>
    <s v="Winnipeg"/>
    <s v="Corporate"/>
    <n v="2"/>
    <s v="P005"/>
    <n v="1"/>
    <n v="42.72"/>
    <n v="0.05"/>
    <s v="Market place"/>
    <s v="Marketplace"/>
    <s v="PayPal"/>
    <s v="PayPal"/>
    <s v="Vancouver West"/>
    <s v="Manitoba"/>
    <s v="Corporate"/>
    <n v="24.46"/>
    <x v="3"/>
    <n v="42.72"/>
    <n v="2.1360000000000001"/>
    <n v="40.583999999999996"/>
    <n v="24.46"/>
    <n v="16.123999999999995"/>
    <n v="0.39729942834614618"/>
    <x v="0"/>
    <s v=""/>
    <s v=""/>
    <s v=""/>
    <x v="0"/>
    <d v="2025-05-17T00:00:00"/>
  </r>
  <r>
    <x v="637"/>
    <s v="ORD-00262"/>
    <d v="2025-07-03T00:00:00"/>
    <s v="C0152"/>
    <s v="Daniel Khan, Halifax, Small Business"/>
    <s v="Daniel Khan"/>
    <s v="Halifax"/>
    <s v="Small Business"/>
    <n v="2"/>
    <s v="P018"/>
    <n v="1"/>
    <n v="142.16"/>
    <n v="0"/>
    <s v="Retail  Store"/>
    <s v="Retail Store"/>
    <s v="Gift Card"/>
    <s v="Gift Card"/>
    <s v="Vancouver West"/>
    <s v="Nova Scotia"/>
    <s v="Small Business"/>
    <n v="85.34"/>
    <x v="4"/>
    <n v="142.16"/>
    <n v="0"/>
    <n v="142.16"/>
    <n v="85.34"/>
    <n v="56.819999999999993"/>
    <n v="0.39969048958919523"/>
    <x v="0"/>
    <s v=""/>
    <s v=""/>
    <s v=""/>
    <x v="0"/>
    <d v="2025-07-06T00:00:00"/>
  </r>
  <r>
    <x v="638"/>
    <s v="ORD-00262"/>
    <d v="2025-07-03T00:00:00"/>
    <s v="c0152"/>
    <s v="Daniel Khan, Halifax, Small Business"/>
    <s v="Daniel Khan"/>
    <s v="Halifax"/>
    <s v="Small Business"/>
    <n v="2"/>
    <s v="P049"/>
    <n v="3"/>
    <n v="300.56"/>
    <n v="0.15"/>
    <s v="Online"/>
    <s v="Online"/>
    <s v="Credit Card"/>
    <s v="Credit Card"/>
    <s v="Online Fulfillment"/>
    <s v="Nova Scotia"/>
    <s v="Small Business"/>
    <n v="158.86000000000001"/>
    <x v="1"/>
    <n v="901.68000000000006"/>
    <n v="135.25200000000001"/>
    <n v="766.42800000000011"/>
    <n v="476.58000000000004"/>
    <n v="289.84800000000007"/>
    <n v="0.37818033787909633"/>
    <x v="0"/>
    <s v=""/>
    <s v=""/>
    <s v=""/>
    <x v="0"/>
    <d v="2025-07-06T00:00:00"/>
  </r>
  <r>
    <x v="639"/>
    <s v="ORD-00262"/>
    <d v="2025-07-03T00:00:00"/>
    <s v="C0152"/>
    <s v="Daniel Khan, Halifax, Small Business"/>
    <s v="Daniel Khan"/>
    <s v="Halifax"/>
    <s v="Small Business"/>
    <n v="2"/>
    <s v="P040"/>
    <n v="3"/>
    <n v="33.369999999999997"/>
    <n v="0.1"/>
    <s v="Marketplace"/>
    <s v="Marketplace"/>
    <m/>
    <s v="Unknown"/>
    <s v="Vancouver West"/>
    <s v="Nova Scotia"/>
    <s v="Small Business"/>
    <n v="18.670000000000002"/>
    <x v="0"/>
    <n v="100.10999999999999"/>
    <n v="10.010999999999999"/>
    <n v="90.09899999999999"/>
    <n v="56.010000000000005"/>
    <n v="34.088999999999984"/>
    <n v="0.37835048113741537"/>
    <x v="0"/>
    <s v=""/>
    <s v=""/>
    <s v=""/>
    <x v="0"/>
    <d v="2025-07-06T00:00:00"/>
  </r>
  <r>
    <x v="640"/>
    <s v="ORD-00263"/>
    <d v="2025-03-29T01:00:00"/>
    <s v="C0033"/>
    <s v="Adam Martin, Ottawa, Small Business"/>
    <s v="Adam Martin"/>
    <s v="Ottawa"/>
    <s v="Small Business"/>
    <n v="2"/>
    <s v="P006"/>
    <n v="1"/>
    <n v="88.61"/>
    <n v="0"/>
    <s v="Online"/>
    <s v="Online"/>
    <s v="Gift Card"/>
    <s v="Gift Card"/>
    <s v="Online Fulfillment"/>
    <s v="Ontario"/>
    <s v="Small Business"/>
    <n v="49.75"/>
    <x v="3"/>
    <n v="88.61"/>
    <n v="0"/>
    <n v="88.61"/>
    <n v="49.75"/>
    <n v="38.86"/>
    <n v="0.43855095361697327"/>
    <x v="0"/>
    <s v=""/>
    <s v=""/>
    <s v=""/>
    <x v="1"/>
    <d v="2025-04-07T00:00:00"/>
  </r>
  <r>
    <x v="641"/>
    <s v="ORD-00263"/>
    <d v="2025-03-29T01:00:00"/>
    <s v="C0033"/>
    <s v="Adam Martin, Ottawa, Small Business"/>
    <s v="Adam Martin"/>
    <s v="Ottawa"/>
    <s v="Small Business"/>
    <n v="2"/>
    <s v="P033"/>
    <n v="1"/>
    <n v="160"/>
    <n v="0"/>
    <s v="Marketplace"/>
    <s v="Marketplace"/>
    <s v="Gift Card"/>
    <s v="Gift Card"/>
    <s v="Online Fulfillment"/>
    <s v="Ontario"/>
    <s v="Small Business"/>
    <n v="101.58"/>
    <x v="0"/>
    <n v="160"/>
    <n v="0"/>
    <n v="160"/>
    <n v="101.58"/>
    <n v="58.42"/>
    <n v="0.36512500000000003"/>
    <x v="0"/>
    <s v=""/>
    <s v=""/>
    <s v=""/>
    <x v="1"/>
    <d v="2025-04-07T00:00:00"/>
  </r>
  <r>
    <x v="642"/>
    <s v="ORD-00264"/>
    <d v="2025-03-01T01:00:00"/>
    <s v="C0166"/>
    <s v="Omar Tremblay, Ottawa, Consumer"/>
    <s v="Omar Tremblay"/>
    <s v="Ottawa"/>
    <s v="Consumer"/>
    <n v="2"/>
    <s v="P045"/>
    <n v="3"/>
    <n v="72.81"/>
    <n v="0"/>
    <s v="Retail Store"/>
    <s v="Retail Store"/>
    <m/>
    <s v="Unknown"/>
    <s v="Vancouver West"/>
    <s v="Ontario"/>
    <s v="Consumer"/>
    <n v="37.99"/>
    <x v="1"/>
    <n v="218.43"/>
    <n v="0"/>
    <n v="218.43"/>
    <n v="113.97"/>
    <n v="104.46000000000001"/>
    <n v="0.47823101222359571"/>
    <x v="0"/>
    <s v=""/>
    <s v=""/>
    <s v=""/>
    <x v="0"/>
    <d v="2025-03-03T01:00:00"/>
  </r>
  <r>
    <x v="643"/>
    <s v="ORD-00264"/>
    <d v="2025-03-01T01:00:00"/>
    <s v="C0166"/>
    <s v="Omar Tremblay, Ottawa, Consumer"/>
    <s v="Omar Tremblay"/>
    <s v="Ottawa"/>
    <s v="Consumer"/>
    <n v="2"/>
    <s v="P002"/>
    <n v="1"/>
    <n v="105.38"/>
    <n v="0"/>
    <s v="Online"/>
    <s v="Online"/>
    <s v="Gift Card"/>
    <s v="Gift Card"/>
    <s v="Toronto Downtown"/>
    <s v="Ontario"/>
    <s v="Consumer"/>
    <n v="67.290000000000006"/>
    <x v="3"/>
    <n v="105.38"/>
    <n v="0"/>
    <n v="105.38"/>
    <n v="67.290000000000006"/>
    <n v="38.089999999999989"/>
    <n v="0.36145378629721003"/>
    <x v="0"/>
    <s v=""/>
    <s v=""/>
    <s v=""/>
    <x v="0"/>
    <d v="2025-03-03T01:00:00"/>
  </r>
  <r>
    <x v="644"/>
    <s v="ORD-00264"/>
    <d v="2025-03-01T01:00:00"/>
    <s v="C0166"/>
    <s v="Omar Tremblay, Ottawa, Consumer"/>
    <s v="Omar Tremblay"/>
    <s v="Ottawa"/>
    <s v="Consumer"/>
    <n v="2"/>
    <s v="P023"/>
    <n v="1"/>
    <n v="82.77"/>
    <n v="0"/>
    <s v="Online"/>
    <s v="Online"/>
    <s v="Gift Card"/>
    <s v="Gift Card"/>
    <s v="Toronto Downtown"/>
    <s v="Ontario"/>
    <s v="Consumer"/>
    <n v="46.51"/>
    <x v="2"/>
    <n v="82.77"/>
    <n v="0"/>
    <n v="82.77"/>
    <n v="46.51"/>
    <n v="36.26"/>
    <n v="0.43808143046997705"/>
    <x v="0"/>
    <s v=""/>
    <s v=""/>
    <s v=""/>
    <x v="0"/>
    <d v="2025-03-03T01:00:00"/>
  </r>
  <r>
    <x v="645"/>
    <s v="ORD-00265"/>
    <d v="2025-12-26T00:00:00"/>
    <s v="C0090"/>
    <s v="Emma Singh, Winnipeg, Small Business"/>
    <s v="Emma Singh"/>
    <s v="Winnipeg"/>
    <s v="Small Business"/>
    <n v="2"/>
    <s v="P048"/>
    <n v="4"/>
    <n v="287.16000000000003"/>
    <n v="0"/>
    <s v="Retail  Store"/>
    <s v="Retail Store"/>
    <s v="PayPal"/>
    <s v="PayPal"/>
    <s v="Calgary North"/>
    <s v="Manitoba"/>
    <s v="Small Business"/>
    <n v="148.21"/>
    <x v="1"/>
    <n v="1148.6400000000001"/>
    <n v="0"/>
    <n v="1148.6400000000001"/>
    <n v="592.84"/>
    <n v="555.80000000000007"/>
    <n v="0.48387658448251847"/>
    <x v="0"/>
    <s v=""/>
    <s v=""/>
    <s v=""/>
    <x v="1"/>
    <d v="2026-01-02T00:00:00"/>
  </r>
  <r>
    <x v="646"/>
    <s v="ORD-00266"/>
    <d v="2025-05-02T00:00:00"/>
    <s v="C0038"/>
    <s v="Sofia Dubois, Quebec City, Corporate"/>
    <s v="Sofia Dubois"/>
    <s v="Quebec City"/>
    <s v="Corporate"/>
    <n v="2"/>
    <s v="P050"/>
    <n v="1"/>
    <n v="34.909999999999997"/>
    <n v="0.1"/>
    <s v="Retail Store"/>
    <s v="Retail Store"/>
    <s v="Gift Card"/>
    <s v="Gift Card"/>
    <s v="Montreal Central"/>
    <s v="Quebec"/>
    <s v="Corporate"/>
    <n v="19.670000000000002"/>
    <x v="1"/>
    <n v="34.909999999999997"/>
    <n v="3.4909999999999997"/>
    <n v="31.418999999999997"/>
    <n v="19.670000000000002"/>
    <n v="11.748999999999995"/>
    <n v="0.37394570164550101"/>
    <x v="0"/>
    <s v=""/>
    <s v=""/>
    <s v=""/>
    <x v="1"/>
    <d v="2025-05-07T00:00:00"/>
  </r>
  <r>
    <x v="647"/>
    <s v="ORD-00266"/>
    <d v="2025-05-02T00:00:00"/>
    <s v="C0038"/>
    <s v="Sofia Dubois, Quebec City, Corporate"/>
    <s v="Sofia Dubois"/>
    <s v="Quebec City"/>
    <s v="Corporate"/>
    <n v="2"/>
    <s v="P024"/>
    <n v="1"/>
    <n v="263.04000000000002"/>
    <n v="0.1"/>
    <s v="Online"/>
    <s v="Online"/>
    <s v="Gift Card"/>
    <s v="Gift Card"/>
    <s v="Calgary North"/>
    <s v="Quebec"/>
    <s v="Corporate"/>
    <n v="161.84"/>
    <x v="2"/>
    <n v="263.04000000000002"/>
    <n v="26.304000000000002"/>
    <n v="236.73600000000002"/>
    <n v="161.84"/>
    <n v="74.896000000000015"/>
    <n v="0.31636928899702627"/>
    <x v="0"/>
    <s v=""/>
    <s v=""/>
    <s v=""/>
    <x v="1"/>
    <d v="2025-05-07T00:00:00"/>
  </r>
  <r>
    <x v="648"/>
    <s v="ORD-00266"/>
    <d v="2025-05-02T00:00:00"/>
    <s v="C0038"/>
    <s v="Sofia Dubois, Quebec City, Corporate"/>
    <s v="Sofia Dubois"/>
    <s v="Quebec City"/>
    <s v="Corporate"/>
    <n v="2"/>
    <s v="P049"/>
    <n v="2"/>
    <n v="300.56"/>
    <n v="0.1"/>
    <s v="Market place"/>
    <s v="Marketplace"/>
    <s v="Gift Card"/>
    <s v="Gift Card"/>
    <s v="Montreal Central"/>
    <s v="Quebec"/>
    <s v="Corporate"/>
    <n v="158.86000000000001"/>
    <x v="1"/>
    <n v="601.12"/>
    <n v="60.112000000000002"/>
    <n v="541.00800000000004"/>
    <n v="317.72000000000003"/>
    <n v="223.28800000000001"/>
    <n v="0.4127258746635909"/>
    <x v="0"/>
    <s v=""/>
    <s v=""/>
    <s v=""/>
    <x v="1"/>
    <d v="2025-05-07T00:00:00"/>
  </r>
  <r>
    <x v="649"/>
    <s v="ORD-00266"/>
    <d v="2025-05-02T00:00:00"/>
    <s v="C0038"/>
    <s v="Sofia Dubois, Quebec City, Corporate"/>
    <s v="Sofia Dubois"/>
    <s v="Quebec City"/>
    <s v="Corporate"/>
    <n v="2"/>
    <s v="P012"/>
    <n v="1"/>
    <n v="186.92"/>
    <n v="0"/>
    <s v="Marketplace"/>
    <s v="Marketplace"/>
    <s v="CC"/>
    <s v="Credit Card"/>
    <s v="Toronto Downtown"/>
    <s v="Quebec"/>
    <s v="Corporate"/>
    <n v="114.11"/>
    <x v="4"/>
    <n v="186.92"/>
    <n v="0"/>
    <n v="186.92"/>
    <n v="114.11"/>
    <n v="72.809999999999988"/>
    <n v="0.38952493045153003"/>
    <x v="1"/>
    <s v="Wrong Item"/>
    <d v="2025-05-14T00:00:00"/>
    <s v="Refunded"/>
    <x v="1"/>
    <d v="2025-05-07T00:00:00"/>
  </r>
  <r>
    <x v="650"/>
    <s v="ORD-00267"/>
    <d v="2025-12-27T00:00:00"/>
    <s v="C0110"/>
    <s v="Maya Tremblay, Calgary, Small Business"/>
    <s v="Maya Tremblay"/>
    <s v="Calgary"/>
    <s v="Small Business"/>
    <n v="2"/>
    <s v="P038"/>
    <n v="1"/>
    <n v="182.94"/>
    <n v="0.05"/>
    <s v="Marketplace"/>
    <s v="Marketplace"/>
    <s v="Credit Card"/>
    <s v="Credit Card"/>
    <s v="Toronto Downtown"/>
    <s v="Alberta"/>
    <s v="Small Business"/>
    <n v="118.95"/>
    <x v="0"/>
    <n v="182.94"/>
    <n v="9.1470000000000002"/>
    <n v="173.79300000000001"/>
    <n v="118.95"/>
    <n v="54.843000000000004"/>
    <n v="0.31556506878873142"/>
    <x v="0"/>
    <s v=""/>
    <s v=""/>
    <s v=""/>
    <x v="0"/>
    <d v="2025-12-31T00:00:00"/>
  </r>
  <r>
    <x v="651"/>
    <s v="ORD-00267"/>
    <d v="2025-12-27T00:00:00"/>
    <s v="C0110"/>
    <s v="Maya Tremblay, Calgary, Small Business"/>
    <s v="Maya Tremblay"/>
    <s v="Calgary"/>
    <s v="Small Business"/>
    <n v="2"/>
    <s v="P015"/>
    <n v="1"/>
    <n v="273.89"/>
    <n v="0.1"/>
    <s v="Market place"/>
    <s v="Marketplace"/>
    <s v="PayPal"/>
    <s v="PayPal"/>
    <s v="Montreal Central"/>
    <s v="Alberta"/>
    <s v="Small Business"/>
    <n v="140.66999999999999"/>
    <x v="4"/>
    <n v="273.89"/>
    <n v="27.388999999999999"/>
    <n v="246.50099999999998"/>
    <n v="140.66999999999999"/>
    <n v="105.83099999999999"/>
    <n v="0.42933294388258059"/>
    <x v="0"/>
    <s v=""/>
    <s v=""/>
    <s v=""/>
    <x v="0"/>
    <d v="2025-12-31T00:00:00"/>
  </r>
  <r>
    <x v="652"/>
    <s v="ORD-00268"/>
    <d v="2025-06-02T00:00:00"/>
    <s v="C0063"/>
    <s v="Ethan Singh, Toronto, Consumer"/>
    <s v="Ethan Singh"/>
    <s v="Toronto"/>
    <s v="Consumer"/>
    <n v="2"/>
    <s v="P041"/>
    <n v="3"/>
    <n v="238.47"/>
    <n v="0.15"/>
    <s v="Retail  Store"/>
    <s v="Retail Store"/>
    <s v="Credit Card"/>
    <s v="Credit Card"/>
    <s v="Vancouver West"/>
    <s v="Ontario"/>
    <s v="Consumer"/>
    <n v="127.65"/>
    <x v="1"/>
    <n v="715.41"/>
    <n v="107.3115"/>
    <n v="608.09849999999994"/>
    <n v="382.95000000000005"/>
    <n v="225.1484999999999"/>
    <n v="0.37025004995078908"/>
    <x v="1"/>
    <s v="Changed Mind"/>
    <d v="2025-06-14T00:00:00"/>
    <s v="Refunded"/>
    <x v="1"/>
    <d v="2025-06-11T00:00:00"/>
  </r>
  <r>
    <x v="653"/>
    <s v="ORD-00268"/>
    <d v="2025-06-02T00:00:00"/>
    <s v="C0063"/>
    <s v="Ethan Singh, Toronto, Consumer"/>
    <s v="Ethan Singh"/>
    <s v="Toronto"/>
    <s v="Consumer"/>
    <n v="2"/>
    <s v="P035"/>
    <n v="4"/>
    <n v="251.17"/>
    <n v="0"/>
    <s v="Retail  Store"/>
    <s v="Retail Store"/>
    <s v="CC"/>
    <s v="Credit Card"/>
    <s v="Vancouver West"/>
    <s v="Ontario"/>
    <s v="Consumer"/>
    <n v="151.59"/>
    <x v="0"/>
    <n v="1004.68"/>
    <n v="0"/>
    <n v="1004.68"/>
    <n v="606.36"/>
    <n v="398.31999999999994"/>
    <n v="0.39646454592507063"/>
    <x v="0"/>
    <s v=""/>
    <s v=""/>
    <s v=""/>
    <x v="1"/>
    <d v="2025-06-11T00:00:00"/>
  </r>
  <r>
    <x v="654"/>
    <s v="ORD-00269"/>
    <d v="2025-07-15T00:00:00"/>
    <s v="C0121"/>
    <s v="Sara Gagnon, Halifax, Corporate"/>
    <s v="Sara Gagnon"/>
    <s v="Halifax"/>
    <s v="Corporate"/>
    <n v="2"/>
    <s v="P038"/>
    <n v="1"/>
    <n v="182.94"/>
    <n v="0.15"/>
    <s v="Market place"/>
    <s v="Marketplace"/>
    <s v="Debit Card"/>
    <s v="Debit Card"/>
    <s v="Montreal Central"/>
    <s v="Nova Scotia"/>
    <s v="Corporate"/>
    <n v="118.95"/>
    <x v="0"/>
    <n v="182.94"/>
    <n v="27.440999999999999"/>
    <n v="155.499"/>
    <n v="118.95"/>
    <n v="36.548999999999992"/>
    <n v="0.23504331217564095"/>
    <x v="0"/>
    <s v=""/>
    <s v=""/>
    <s v=""/>
    <x v="0"/>
    <d v="2025-07-17T00:00:00"/>
  </r>
  <r>
    <x v="655"/>
    <s v="ORD-00269"/>
    <d v="2025-07-15T00:00:00"/>
    <s v="C0121"/>
    <s v="Sara Gagnon, Halifax, Corporate"/>
    <s v="Sara Gagnon"/>
    <s v="Halifax"/>
    <s v="Corporate"/>
    <n v="2"/>
    <s v="P042"/>
    <n v="3"/>
    <n v="102.78"/>
    <n v="0.1"/>
    <s v="Online"/>
    <s v="Online"/>
    <s v="PayPal"/>
    <s v="PayPal"/>
    <s v="Online Fulfillment"/>
    <s v="Nova Scotia"/>
    <s v="Corporate"/>
    <n v="62.65"/>
    <x v="1"/>
    <n v="308.34000000000003"/>
    <n v="30.834000000000003"/>
    <n v="277.50600000000003"/>
    <n v="187.95"/>
    <n v="89.55600000000004"/>
    <n v="0.32271734665196439"/>
    <x v="0"/>
    <s v=""/>
    <s v=""/>
    <s v=""/>
    <x v="0"/>
    <d v="2025-07-17T00:00:00"/>
  </r>
  <r>
    <x v="656"/>
    <s v="ORD-00269"/>
    <d v="2025-07-15T00:00:00"/>
    <s v="C0121"/>
    <s v="Sara Gagnon, Halifax, Corporate"/>
    <s v="Sara Gagnon"/>
    <s v="Halifax"/>
    <s v="Corporate"/>
    <n v="2"/>
    <s v="P020"/>
    <n v="3"/>
    <n v="56.99"/>
    <n v="0"/>
    <s v="Retail  Store"/>
    <s v="Retail Store"/>
    <s v="CC"/>
    <s v="Credit Card"/>
    <s v="Vancouver West"/>
    <s v="Nova Scotia"/>
    <s v="Corporate"/>
    <n v="33.65"/>
    <x v="4"/>
    <n v="170.97"/>
    <n v="0"/>
    <n v="170.97"/>
    <n v="100.94999999999999"/>
    <n v="70.02000000000001"/>
    <n v="0.40954553430426399"/>
    <x v="0"/>
    <s v=""/>
    <s v=""/>
    <s v=""/>
    <x v="0"/>
    <d v="2025-07-17T00:00:00"/>
  </r>
  <r>
    <x v="657"/>
    <s v="ORD-00269"/>
    <d v="2025-07-15T00:00:00"/>
    <s v="C0121"/>
    <s v="Sara Gagnon, Halifax, Corporate"/>
    <s v="Sara Gagnon"/>
    <s v="Halifax"/>
    <s v="Corporate"/>
    <n v="2"/>
    <s v="P033"/>
    <n v="4"/>
    <n v="160"/>
    <n v="0"/>
    <s v="Online"/>
    <s v="Online"/>
    <s v="Credit Card"/>
    <s v="Credit Card"/>
    <s v="Toronto Downtown"/>
    <s v="Nova Scotia"/>
    <s v="Corporate"/>
    <n v="101.58"/>
    <x v="0"/>
    <n v="640"/>
    <n v="0"/>
    <n v="640"/>
    <n v="406.32"/>
    <n v="233.68"/>
    <n v="0.36512500000000003"/>
    <x v="0"/>
    <s v=""/>
    <s v=""/>
    <s v=""/>
    <x v="0"/>
    <d v="2025-07-17T00:00:00"/>
  </r>
  <r>
    <x v="658"/>
    <s v="ORD-00270"/>
    <d v="2025-09-14T00:00:00"/>
    <s v="C0012"/>
    <s v="Sofia Dubois, Quebec City, Corporate"/>
    <s v="Sofia Dubois"/>
    <s v="Quebec City"/>
    <s v="Corporate"/>
    <n v="2"/>
    <s v="P023"/>
    <n v="2"/>
    <n v="82.77"/>
    <n v="0.15"/>
    <s v="Online"/>
    <s v="Online"/>
    <s v="Credit Card"/>
    <s v="Credit Card"/>
    <s v="Toronto Downtown"/>
    <s v="Quebec"/>
    <s v="Corporate"/>
    <n v="46.51"/>
    <x v="2"/>
    <n v="165.54"/>
    <n v="24.831"/>
    <n v="140.709"/>
    <n v="93.02"/>
    <n v="47.689000000000007"/>
    <n v="0.33891932996467894"/>
    <x v="0"/>
    <s v=""/>
    <s v=""/>
    <s v=""/>
    <x v="1"/>
    <d v="2025-09-19T00:00:00"/>
  </r>
  <r>
    <x v="659"/>
    <s v="ORD-00270"/>
    <d v="2025-09-14T00:00:00"/>
    <s v="C0012"/>
    <s v="Sofia Dubois, Quebec City, Corporate"/>
    <s v="Sofia Dubois"/>
    <s v="Quebec City"/>
    <s v="Corporate"/>
    <n v="2"/>
    <s v="P040"/>
    <n v="3"/>
    <n v="33.369999999999997"/>
    <n v="0"/>
    <s v="Online"/>
    <s v="Online"/>
    <m/>
    <s v="Unknown"/>
    <s v="Calgary North"/>
    <s v="Quebec"/>
    <s v="Corporate"/>
    <n v="18.670000000000002"/>
    <x v="0"/>
    <n v="100.10999999999999"/>
    <n v="0"/>
    <n v="100.10999999999999"/>
    <n v="56.010000000000005"/>
    <n v="44.09999999999998"/>
    <n v="0.44051543302367385"/>
    <x v="0"/>
    <s v=""/>
    <s v=""/>
    <s v=""/>
    <x v="1"/>
    <d v="2025-09-19T00:00:00"/>
  </r>
  <r>
    <x v="660"/>
    <s v="ORD-00270"/>
    <d v="2025-09-14T00:00:00"/>
    <s v="C0012"/>
    <s v="Sofia Dubois, Quebec City, Corporate"/>
    <s v="Sofia Dubois"/>
    <s v="Quebec City"/>
    <s v="Corporate"/>
    <n v="2"/>
    <s v="P026"/>
    <n v="2"/>
    <n v="228.91"/>
    <n v="0.1"/>
    <s v="Online"/>
    <s v="Online"/>
    <s v="Debit Card"/>
    <s v="Debit Card"/>
    <s v="Calgary North"/>
    <s v="Quebec"/>
    <s v="Corporate"/>
    <n v="149.4"/>
    <x v="2"/>
    <n v="457.82"/>
    <n v="45.782000000000004"/>
    <n v="412.03800000000001"/>
    <n v="298.8"/>
    <n v="113.238"/>
    <n v="0.27482416670307108"/>
    <x v="1"/>
    <s v="Wrong Item"/>
    <d v="2025-09-26T00:00:00"/>
    <s v="Refunded"/>
    <x v="1"/>
    <d v="2025-09-19T00:00:00"/>
  </r>
  <r>
    <x v="661"/>
    <s v="ORD-00271"/>
    <d v="2025-02-26T01:00:00"/>
    <s v="C0096"/>
    <s v="Liam Singh, Ottawa, Corporate"/>
    <s v="Liam Singh"/>
    <s v="Ottawa"/>
    <s v="Corporate"/>
    <n v="2"/>
    <s v="P003"/>
    <n v="1"/>
    <n v="265.73"/>
    <n v="0.1"/>
    <s v="Online"/>
    <s v="Online"/>
    <s v="Debit Card"/>
    <s v="Debit Card"/>
    <s v="Vancouver West"/>
    <s v="Ontario"/>
    <s v="Corporate"/>
    <n v="154.16999999999999"/>
    <x v="3"/>
    <n v="265.73"/>
    <n v="26.573000000000004"/>
    <n v="239.15700000000001"/>
    <n v="154.16999999999999"/>
    <n v="84.987000000000023"/>
    <n v="0.35536070447446666"/>
    <x v="0"/>
    <s v=""/>
    <s v=""/>
    <s v=""/>
    <x v="0"/>
    <d v="2025-03-03T01:00:00"/>
  </r>
  <r>
    <x v="662"/>
    <s v="ORD-00271"/>
    <d v="2025-02-26T01:00:00"/>
    <s v="C0096"/>
    <s v="Liam Singh, Ottawa, Corporate"/>
    <s v="Liam Singh"/>
    <s v="Ottawa"/>
    <s v="Corporate"/>
    <n v="2"/>
    <s v="P039"/>
    <n v="3"/>
    <n v="154.47"/>
    <n v="0.1"/>
    <s v="Marketplace"/>
    <s v="Marketplace"/>
    <s v="Gift Card"/>
    <s v="Gift Card"/>
    <s v="Calgary North"/>
    <s v="Ontario"/>
    <s v="Corporate"/>
    <n v="102.57"/>
    <x v="0"/>
    <n v="463.40999999999997"/>
    <n v="46.341000000000001"/>
    <n v="417.06899999999996"/>
    <n v="307.70999999999998"/>
    <n v="109.35899999999998"/>
    <n v="0.26220841155779978"/>
    <x v="0"/>
    <s v=""/>
    <s v=""/>
    <s v=""/>
    <x v="0"/>
    <d v="2025-03-03T01:00:00"/>
  </r>
  <r>
    <x v="663"/>
    <s v="ORD-00271"/>
    <d v="2025-02-26T01:00:00"/>
    <s v="C0096"/>
    <s v="Liam Singh, Ottawa, Corporate"/>
    <s v="Liam Singh"/>
    <s v="Ottawa"/>
    <s v="Corporate"/>
    <n v="2"/>
    <s v="P037"/>
    <n v="4"/>
    <n v="236.51"/>
    <n v="0.15"/>
    <s v="Marketplace"/>
    <s v="Marketplace"/>
    <s v="Debit Card"/>
    <s v="Debit Card"/>
    <s v="Calgary North"/>
    <s v="Ontario"/>
    <s v="Corporate"/>
    <n v="142.84"/>
    <x v="0"/>
    <n v="946.04"/>
    <n v="141.90599999999998"/>
    <n v="804.13400000000001"/>
    <n v="571.36"/>
    <n v="232.774"/>
    <n v="0.28947165522164214"/>
    <x v="0"/>
    <s v=""/>
    <s v=""/>
    <s v=""/>
    <x v="0"/>
    <d v="2025-03-03T01:00:00"/>
  </r>
  <r>
    <x v="664"/>
    <s v="ORD-00271"/>
    <d v="2025-02-26T01:00:00"/>
    <s v="C0096"/>
    <s v="Liam Singh, Ottawa, Corporate"/>
    <s v="Liam Singh"/>
    <s v="Ottawa"/>
    <s v="Corporate"/>
    <n v="2"/>
    <s v="P045"/>
    <n v="4"/>
    <n v="72.81"/>
    <n v="0.15"/>
    <s v="Market place"/>
    <s v="Marketplace"/>
    <s v="Debit Card"/>
    <s v="Debit Card"/>
    <s v="Toronto Downtown"/>
    <s v="Ontario"/>
    <s v="Corporate"/>
    <n v="37.99"/>
    <x v="1"/>
    <n v="291.24"/>
    <n v="43.686"/>
    <n v="247.554"/>
    <n v="151.96"/>
    <n v="95.593999999999994"/>
    <n v="0.38615413202775956"/>
    <x v="0"/>
    <s v=""/>
    <s v=""/>
    <s v=""/>
    <x v="0"/>
    <d v="2025-03-03T01:00:00"/>
  </r>
  <r>
    <x v="665"/>
    <s v="ORD-00272"/>
    <d v="2025-01-03T00:00:00"/>
    <s v="C0132"/>
    <s v="Omar Brown, Quebec City, Small Business"/>
    <s v="Omar Brown"/>
    <s v="Quebec City"/>
    <s v="Small Business"/>
    <n v="2"/>
    <s v="P037"/>
    <n v="1"/>
    <n v="236.51"/>
    <n v="0.05"/>
    <s v="Retail  Store"/>
    <s v="Retail Store"/>
    <s v="Credit Card"/>
    <s v="Credit Card"/>
    <s v="Toronto Downtown"/>
    <s v="Quebec"/>
    <s v="Small Business"/>
    <n v="142.84"/>
    <x v="0"/>
    <n v="236.51"/>
    <n v="11.8255"/>
    <n v="224.68449999999999"/>
    <n v="142.84"/>
    <n v="81.844499999999982"/>
    <n v="0.36426411256673241"/>
    <x v="1"/>
    <s v="Late Delivery"/>
    <d v="2025-01-26T00:00:00"/>
    <s v="Refunded"/>
    <x v="1"/>
    <d v="2025-01-13T00:00:00"/>
  </r>
  <r>
    <x v="666"/>
    <s v="ORD-00272"/>
    <d v="2025-01-03T00:00:00"/>
    <s v="C0132"/>
    <s v="Omar Brown, Quebec City, Small Business"/>
    <s v="Omar Brown"/>
    <s v="Quebec City"/>
    <s v="Small Business"/>
    <n v="2"/>
    <s v="P020"/>
    <n v="1"/>
    <n v="56.99"/>
    <n v="0.15"/>
    <s v="Market place"/>
    <s v="Marketplace"/>
    <m/>
    <s v="Unknown"/>
    <s v="Online Fulfillment"/>
    <s v="Quebec"/>
    <s v="Small Business"/>
    <n v="33.65"/>
    <x v="4"/>
    <n v="56.99"/>
    <n v="8.5485000000000007"/>
    <n v="48.441500000000005"/>
    <n v="33.65"/>
    <n v="14.791500000000006"/>
    <n v="0.30534768741678114"/>
    <x v="1"/>
    <s v="Wrong Item"/>
    <d v="2025-01-17T00:00:00"/>
    <s v="Refunded"/>
    <x v="1"/>
    <d v="2025-01-13T00:00:00"/>
  </r>
  <r>
    <x v="667"/>
    <s v="ORD-00272"/>
    <d v="2025-01-03T00:00:00"/>
    <s v="C0132"/>
    <s v="Omar Brown, Quebec City, Small Business"/>
    <s v="Omar Brown"/>
    <s v="Quebec City"/>
    <s v="Small Business"/>
    <n v="2"/>
    <s v="P042"/>
    <n v="2"/>
    <n v="102.78"/>
    <n v="0.1"/>
    <s v="Marketplace"/>
    <s v="Marketplace"/>
    <s v="Gift Card"/>
    <s v="Gift Card"/>
    <s v="Vancouver West"/>
    <s v="Quebec"/>
    <s v="Small Business"/>
    <n v="62.65"/>
    <x v="1"/>
    <n v="205.56"/>
    <n v="20.556000000000001"/>
    <n v="185.00399999999999"/>
    <n v="125.3"/>
    <n v="59.703999999999994"/>
    <n v="0.32271734665196428"/>
    <x v="0"/>
    <s v=""/>
    <s v=""/>
    <s v=""/>
    <x v="1"/>
    <d v="2025-01-13T00:00:00"/>
  </r>
  <r>
    <x v="668"/>
    <s v="ORD-00273"/>
    <d v="2025-11-19T00:00:00"/>
    <s v="C0020"/>
    <s v="Ethan Singh, Quebec City, Consumer"/>
    <s v="Ethan Singh"/>
    <s v="Quebec City"/>
    <s v="Consumer"/>
    <n v="2"/>
    <s v="P029"/>
    <n v="3"/>
    <n v="300.16000000000003"/>
    <n v="0"/>
    <s v="Retail Store"/>
    <s v="Retail Store"/>
    <m/>
    <s v="Unknown"/>
    <s v="Toronto Downtown"/>
    <s v="Quebec"/>
    <s v="Consumer"/>
    <n v="158.46"/>
    <x v="2"/>
    <n v="900.48"/>
    <n v="0"/>
    <n v="900.48"/>
    <n v="475.38"/>
    <n v="425.1"/>
    <n v="0.47208155650319833"/>
    <x v="1"/>
    <s v="Damaged"/>
    <d v="2025-11-28T00:00:00"/>
    <s v="Refunded"/>
    <x v="0"/>
    <d v="2025-11-22T00:00:00"/>
  </r>
  <r>
    <x v="669"/>
    <s v="ORD-00274"/>
    <d v="2025-08-05T00:00:00"/>
    <s v="C0044"/>
    <s v="Yara Tremblay, Edmonton, Corporate"/>
    <s v="Yara Tremblay"/>
    <s v="Edmonton"/>
    <s v="Corporate"/>
    <n v="2"/>
    <s v="P022"/>
    <n v="2"/>
    <n v="61.81"/>
    <n v="0"/>
    <s v="Online"/>
    <s v="Online"/>
    <s v="Debit Card"/>
    <s v="Debit Card"/>
    <s v="Montreal Central"/>
    <s v="Alberta"/>
    <s v="Corporate"/>
    <n v="33.19"/>
    <x v="2"/>
    <n v="123.62"/>
    <n v="0"/>
    <n v="123.62"/>
    <n v="66.38"/>
    <n v="57.240000000000009"/>
    <n v="0.46303187186539402"/>
    <x v="0"/>
    <s v=""/>
    <s v=""/>
    <s v=""/>
    <x v="1"/>
    <d v="2025-08-11T00:00:00"/>
  </r>
  <r>
    <x v="670"/>
    <s v="ORD-00274"/>
    <d v="2025-08-05T00:00:00"/>
    <s v="C0044"/>
    <s v="Yara Tremblay, Edmonton, Corporate"/>
    <s v="Yara Tremblay"/>
    <s v="Edmonton"/>
    <s v="Corporate"/>
    <n v="2"/>
    <s v="P035"/>
    <n v="1"/>
    <n v="251.17"/>
    <n v="0"/>
    <s v="Market place"/>
    <s v="Marketplace"/>
    <s v="Debit Card"/>
    <s v="Debit Card"/>
    <s v="Montreal Central"/>
    <s v="Alberta"/>
    <s v="Corporate"/>
    <n v="151.59"/>
    <x v="0"/>
    <n v="251.17"/>
    <n v="0"/>
    <n v="251.17"/>
    <n v="151.59"/>
    <n v="99.579999999999984"/>
    <n v="0.39646454592507063"/>
    <x v="0"/>
    <s v=""/>
    <s v=""/>
    <s v=""/>
    <x v="1"/>
    <d v="2025-08-11T00:00:00"/>
  </r>
  <r>
    <x v="671"/>
    <s v="ORD-00274"/>
    <d v="2025-08-05T00:00:00"/>
    <s v="C0044"/>
    <s v="Yara Tremblay, Edmonton, Corporate"/>
    <s v="Yara Tremblay"/>
    <s v="Edmonton"/>
    <s v="Corporate"/>
    <n v="2"/>
    <s v="P010"/>
    <n v="4"/>
    <n v="37.82"/>
    <n v="0.05"/>
    <s v="Retail Store"/>
    <s v="Retail Store"/>
    <s v="CC"/>
    <s v="Credit Card"/>
    <s v="Vancouver West"/>
    <s v="Alberta"/>
    <s v="Corporate"/>
    <n v="24.76"/>
    <x v="3"/>
    <n v="151.28"/>
    <n v="7.5640000000000001"/>
    <n v="143.71600000000001"/>
    <n v="99.04"/>
    <n v="44.676000000000002"/>
    <n v="0.31086309109632887"/>
    <x v="0"/>
    <s v=""/>
    <s v=""/>
    <s v=""/>
    <x v="1"/>
    <d v="2025-08-11T00:00:00"/>
  </r>
  <r>
    <x v="672"/>
    <s v="ORD-00275"/>
    <d v="2025-04-26T00:00:00"/>
    <s v="C0011"/>
    <s v="Liam Wilson, Montreal, Small Business"/>
    <s v="Liam Wilson"/>
    <s v="Montreal"/>
    <s v="Small Business"/>
    <n v="2"/>
    <s v="P028"/>
    <n v="2"/>
    <n v="52.79"/>
    <n v="0"/>
    <s v="Market place"/>
    <s v="Marketplace"/>
    <s v="CC"/>
    <s v="Credit Card"/>
    <s v="Toronto Downtown"/>
    <s v="Quebec"/>
    <s v="Small Business"/>
    <n v="28.17"/>
    <x v="2"/>
    <n v="105.58"/>
    <n v="0"/>
    <n v="105.58"/>
    <n v="56.34"/>
    <n v="49.239999999999995"/>
    <n v="0.46637620761507859"/>
    <x v="1"/>
    <s v="Late Delivery"/>
    <d v="2025-05-01T00:00:00"/>
    <s v="Refunded"/>
    <x v="0"/>
    <d v="2025-04-27T00:00:00"/>
  </r>
  <r>
    <x v="673"/>
    <s v="ORD-00275"/>
    <d v="2025-04-26T00:00:00"/>
    <s v="C0011"/>
    <s v="Liam Wilson, Montreal, Small Business"/>
    <s v="Liam Wilson"/>
    <s v="Montreal"/>
    <s v="Small Business"/>
    <n v="2"/>
    <s v="P010"/>
    <n v="1"/>
    <n v="37.82"/>
    <n v="0.1"/>
    <s v="Market place"/>
    <s v="Marketplace"/>
    <s v="Gift Card"/>
    <s v="Gift Card"/>
    <s v="Online Fulfillment"/>
    <s v="Quebec"/>
    <s v="Small Business"/>
    <n v="24.76"/>
    <x v="3"/>
    <n v="37.82"/>
    <n v="3.782"/>
    <n v="34.037999999999997"/>
    <n v="24.76"/>
    <n v="9.2779999999999951"/>
    <n v="0.27257770726834701"/>
    <x v="1"/>
    <s v="Damaged"/>
    <d v="2025-05-03T00:00:00"/>
    <s v="Refunded"/>
    <x v="0"/>
    <d v="2025-04-27T00:00:00"/>
  </r>
  <r>
    <x v="674"/>
    <s v="ORD-00275"/>
    <d v="2025-04-26T00:00:00"/>
    <s v="C0011"/>
    <s v="Liam Wilson, Montreal, Small Business"/>
    <s v="Liam Wilson"/>
    <s v="Montreal"/>
    <s v="Small Business"/>
    <n v="2"/>
    <s v="P041"/>
    <n v="4"/>
    <n v="238.47"/>
    <n v="0.15"/>
    <s v="Retail  Store"/>
    <s v="Retail Store"/>
    <s v="Credit Card"/>
    <s v="Credit Card"/>
    <s v="Toronto Downtown"/>
    <s v="Quebec"/>
    <s v="Small Business"/>
    <n v="127.65"/>
    <x v="1"/>
    <n v="953.88"/>
    <n v="143.08199999999999"/>
    <n v="810.798"/>
    <n v="510.6"/>
    <n v="300.19799999999998"/>
    <n v="0.3702500499507892"/>
    <x v="0"/>
    <s v=""/>
    <s v=""/>
    <s v=""/>
    <x v="0"/>
    <d v="2025-04-27T00:00:00"/>
  </r>
  <r>
    <x v="675"/>
    <s v="ORD-00276"/>
    <d v="2025-02-25T01:00:00"/>
    <s v="c0137"/>
    <s v="Ethan Martin, Ottawa, Consumer"/>
    <s v="Ethan Martin"/>
    <s v="Ottawa"/>
    <s v="Consumer"/>
    <n v="2"/>
    <s v="P021"/>
    <n v="2"/>
    <n v="25.01"/>
    <n v="0.05"/>
    <s v="Retail  Store"/>
    <s v="Retail Store"/>
    <m/>
    <s v="Unknown"/>
    <s v="Vancouver West"/>
    <s v="Ontario"/>
    <s v="Consumer"/>
    <n v="16.86"/>
    <x v="2"/>
    <n v="50.02"/>
    <n v="2.5010000000000003"/>
    <n v="47.519000000000005"/>
    <n v="33.72"/>
    <n v="13.799000000000007"/>
    <n v="0.29038910751488889"/>
    <x v="1"/>
    <s v="Wrong Item"/>
    <d v="2025-03-21T01:00:00"/>
    <s v="Refunded"/>
    <x v="1"/>
    <d v="2025-03-05T01:00:00"/>
  </r>
  <r>
    <x v="676"/>
    <s v="ORD-00276"/>
    <d v="2025-02-25T01:00:00"/>
    <s v="C0137"/>
    <s v="Ethan Martin, Ottawa, Consumer"/>
    <s v="Ethan Martin"/>
    <s v="Ottawa"/>
    <s v="Consumer"/>
    <n v="2"/>
    <s v="P016"/>
    <n v="1"/>
    <n v="103.3"/>
    <n v="0"/>
    <s v="Market place"/>
    <s v="Marketplace"/>
    <s v="Gift Card"/>
    <s v="Gift Card"/>
    <s v="Online Fulfillment"/>
    <s v="Ontario"/>
    <s v="Consumer"/>
    <n v="70.180000000000007"/>
    <x v="4"/>
    <n v="103.3"/>
    <n v="0"/>
    <n v="103.3"/>
    <n v="70.180000000000007"/>
    <n v="33.11999999999999"/>
    <n v="0.32061955469506281"/>
    <x v="0"/>
    <s v=""/>
    <s v=""/>
    <s v=""/>
    <x v="1"/>
    <d v="2025-03-05T01:00:00"/>
  </r>
  <r>
    <x v="677"/>
    <s v="ORD-00276"/>
    <d v="2025-02-25T01:00:00"/>
    <s v="C0137"/>
    <s v="Ethan Martin, Ottawa, Consumer"/>
    <s v="Ethan Martin"/>
    <s v="Ottawa"/>
    <s v="Consumer"/>
    <n v="2"/>
    <s v="P034"/>
    <n v="1"/>
    <n v="141.46"/>
    <n v="0.1"/>
    <s v="Online"/>
    <s v="Online"/>
    <s v="PayPal"/>
    <s v="PayPal"/>
    <s v="Vancouver West"/>
    <s v="Ontario"/>
    <s v="Consumer"/>
    <n v="78.650000000000006"/>
    <x v="0"/>
    <n v="141.46"/>
    <n v="14.146000000000001"/>
    <n v="127.31400000000001"/>
    <n v="78.650000000000006"/>
    <n v="48.664000000000001"/>
    <n v="0.38223604631069635"/>
    <x v="1"/>
    <s v="Late Delivery"/>
    <d v="2025-03-06T01:00:00"/>
    <s v="Refunded"/>
    <x v="1"/>
    <d v="2025-03-05T01:00:00"/>
  </r>
  <r>
    <x v="678"/>
    <s v="ORD-00277"/>
    <d v="2025-07-17T00:00:00"/>
    <s v="C0092"/>
    <s v="Adam Gagnon, Edmonton, Consumer"/>
    <s v="Adam Gagnon"/>
    <s v="Edmonton"/>
    <s v="Consumer"/>
    <n v="2"/>
    <s v="P018"/>
    <n v="3"/>
    <n v="142.16"/>
    <n v="0.15"/>
    <s v="Retail  Store"/>
    <s v="Retail Store"/>
    <s v="Debit Card"/>
    <s v="Debit Card"/>
    <s v="Montreal Central"/>
    <s v="Alberta"/>
    <s v="Consumer"/>
    <n v="85.34"/>
    <x v="4"/>
    <n v="426.48"/>
    <n v="63.972000000000001"/>
    <n v="362.50800000000004"/>
    <n v="256.02"/>
    <n v="106.48800000000006"/>
    <n v="0.29375351716375925"/>
    <x v="0"/>
    <s v=""/>
    <s v=""/>
    <s v=""/>
    <x v="1"/>
    <d v="2025-07-25T00:00:00"/>
  </r>
  <r>
    <x v="679"/>
    <s v="ORD-00277"/>
    <d v="2025-07-17T00:00:00"/>
    <s v="C0092"/>
    <s v="Adam Gagnon, Edmonton, Consumer"/>
    <s v="Adam Gagnon"/>
    <s v="Edmonton"/>
    <s v="Consumer"/>
    <n v="2"/>
    <s v="P038"/>
    <n v="4"/>
    <n v="182.94"/>
    <n v="0"/>
    <s v="Marketplace"/>
    <s v="Marketplace"/>
    <s v="Credit Card"/>
    <s v="Credit Card"/>
    <s v="Calgary North"/>
    <s v="Alberta"/>
    <s v="Consumer"/>
    <n v="118.95"/>
    <x v="0"/>
    <n v="731.76"/>
    <n v="0"/>
    <n v="731.76"/>
    <n v="475.8"/>
    <n v="255.95999999999998"/>
    <n v="0.34978681534929484"/>
    <x v="0"/>
    <s v=""/>
    <s v=""/>
    <s v=""/>
    <x v="1"/>
    <d v="2025-07-25T00:00:00"/>
  </r>
  <r>
    <x v="680"/>
    <s v="ORD-00278"/>
    <d v="2025-11-23T00:00:00"/>
    <s v="C0037"/>
    <s v="Maya Dubois, Winnipeg, Small Business"/>
    <s v="Maya Dubois"/>
    <s v="Winnipeg"/>
    <s v="Small Business"/>
    <n v="2"/>
    <s v="P027"/>
    <n v="3"/>
    <n v="244.25"/>
    <n v="0.05"/>
    <s v="Retail  Store"/>
    <s v="Retail Store"/>
    <m/>
    <s v="Unknown"/>
    <s v="Online Fulfillment"/>
    <s v="Manitoba"/>
    <s v="Small Business"/>
    <n v="150.96"/>
    <x v="2"/>
    <n v="732.75"/>
    <n v="36.637500000000003"/>
    <n v="696.11249999999995"/>
    <n v="452.88"/>
    <n v="243.23249999999996"/>
    <n v="0.34941550395948928"/>
    <x v="1"/>
    <s v="Damaged"/>
    <d v="2025-12-11T00:00:00"/>
    <s v="Pending"/>
    <x v="1"/>
    <d v="2025-11-29T00:00:00"/>
  </r>
  <r>
    <x v="681"/>
    <s v="ORD-00279"/>
    <d v="2025-06-29T00:00:00"/>
    <s v="C0120"/>
    <s v="Adam Brown, Winnipeg, Consumer"/>
    <s v="Adam Brown"/>
    <s v="Winnipeg"/>
    <s v="Consumer"/>
    <n v="2"/>
    <s v="P011"/>
    <n v="2"/>
    <n v="275.76"/>
    <n v="0"/>
    <s v="Marketplace"/>
    <s v="Marketplace"/>
    <s v="CC"/>
    <s v="Credit Card"/>
    <s v="Vancouver West"/>
    <s v="Manitoba"/>
    <s v="Consumer"/>
    <n v="156.97"/>
    <x v="4"/>
    <n v="551.52"/>
    <n v="0"/>
    <n v="551.52"/>
    <n v="313.94"/>
    <n v="237.57999999999998"/>
    <n v="0.43077313606034229"/>
    <x v="0"/>
    <s v=""/>
    <s v=""/>
    <s v=""/>
    <x v="0"/>
    <d v="2025-07-02T00:00:00"/>
  </r>
  <r>
    <x v="682"/>
    <s v="ORD-00279"/>
    <d v="2025-06-29T00:00:00"/>
    <s v="C0120"/>
    <s v="Adam Brown, Winnipeg, Consumer"/>
    <s v="Adam Brown"/>
    <s v="Winnipeg"/>
    <s v="Consumer"/>
    <n v="2"/>
    <s v="P025"/>
    <n v="1"/>
    <n v="115.28"/>
    <n v="0.05"/>
    <s v="Retail Store"/>
    <s v="Retail Store"/>
    <s v="Credit Card"/>
    <s v="Credit Card"/>
    <s v="Online Fulfillment"/>
    <s v="Manitoba"/>
    <s v="Consumer"/>
    <n v="61.65"/>
    <x v="2"/>
    <n v="115.28"/>
    <n v="5.7640000000000002"/>
    <n v="109.51600000000001"/>
    <n v="61.65"/>
    <n v="47.866000000000007"/>
    <n v="0.43706855619270246"/>
    <x v="0"/>
    <s v=""/>
    <s v=""/>
    <s v=""/>
    <x v="0"/>
    <d v="2025-07-02T00:00:00"/>
  </r>
  <r>
    <x v="683"/>
    <s v="ORD-00279"/>
    <d v="2025-06-29T00:00:00"/>
    <s v="C0120"/>
    <s v="Adam Brown, Winnipeg, Consumer"/>
    <s v="Adam Brown"/>
    <s v="Winnipeg"/>
    <s v="Consumer"/>
    <n v="2"/>
    <s v="P035"/>
    <n v="2"/>
    <n v="251.17"/>
    <n v="0.05"/>
    <s v="Online"/>
    <s v="Online"/>
    <s v="Gift Card"/>
    <s v="Gift Card"/>
    <s v="Vancouver West"/>
    <s v="Manitoba"/>
    <s v="Consumer"/>
    <n v="151.59"/>
    <x v="0"/>
    <n v="502.34"/>
    <n v="25.117000000000001"/>
    <n v="477.22299999999996"/>
    <n v="303.18"/>
    <n v="174.04299999999995"/>
    <n v="0.36469952202639011"/>
    <x v="0"/>
    <s v=""/>
    <s v=""/>
    <s v=""/>
    <x v="0"/>
    <d v="2025-07-02T00:00:00"/>
  </r>
  <r>
    <x v="684"/>
    <s v="ORD-00280"/>
    <d v="2025-10-18T00:00:00"/>
    <s v="C0107"/>
    <s v="Ethan Dubois, Vancouver, Small Business"/>
    <s v="Ethan Dubois"/>
    <s v="Vancouver"/>
    <s v="Small Business"/>
    <n v="2"/>
    <s v="P030"/>
    <n v="2"/>
    <n v="75.75"/>
    <n v="0.05"/>
    <s v="Market place"/>
    <s v="Marketplace"/>
    <s v="Debit Card"/>
    <s v="Debit Card"/>
    <s v="Montreal Central"/>
    <s v="British Columbia"/>
    <s v="Small Business"/>
    <n v="42.37"/>
    <x v="2"/>
    <n v="151.5"/>
    <n v="7.5750000000000002"/>
    <n v="143.92500000000001"/>
    <n v="84.74"/>
    <n v="59.185000000000016"/>
    <n v="0.41122112211221129"/>
    <x v="0"/>
    <s v=""/>
    <s v=""/>
    <s v=""/>
    <x v="1"/>
    <d v="2025-10-26T00:00:00"/>
  </r>
  <r>
    <x v="685"/>
    <s v="ORD-00280"/>
    <d v="2025-10-18T00:00:00"/>
    <s v="C0107"/>
    <s v="Ethan Dubois, Vancouver, Small Business"/>
    <s v="Ethan Dubois"/>
    <s v="Vancouver"/>
    <s v="Small Business"/>
    <n v="2"/>
    <s v="P006"/>
    <n v="3"/>
    <n v="88.61"/>
    <n v="0.15"/>
    <s v="Retail Store"/>
    <s v="Retail Store"/>
    <s v="PayPal"/>
    <s v="PayPal"/>
    <s v="Online Fulfillment"/>
    <s v="British Columbia"/>
    <s v="Small Business"/>
    <n v="49.75"/>
    <x v="3"/>
    <n v="265.83"/>
    <n v="39.874499999999998"/>
    <n v="225.95549999999997"/>
    <n v="149.25"/>
    <n v="76.705499999999972"/>
    <n v="0.33947171013761551"/>
    <x v="0"/>
    <s v=""/>
    <s v=""/>
    <s v=""/>
    <x v="1"/>
    <d v="2025-10-26T00:00:00"/>
  </r>
  <r>
    <x v="686"/>
    <s v="ORD-00281"/>
    <d v="2025-11-09T00:00:00"/>
    <s v="C0103"/>
    <s v="Daniel Wilson, Victoria, Consumer"/>
    <s v="Daniel Wilson"/>
    <s v="Victoria"/>
    <s v="Consumer"/>
    <n v="2"/>
    <s v="P024"/>
    <n v="1"/>
    <n v="263.04000000000002"/>
    <n v="0.05"/>
    <s v="Market place"/>
    <s v="Marketplace"/>
    <s v="Credit Card"/>
    <s v="Credit Card"/>
    <s v="Online Fulfillment"/>
    <s v="British Columbia"/>
    <s v="Consumer"/>
    <n v="161.84"/>
    <x v="2"/>
    <n v="263.04000000000002"/>
    <n v="13.152000000000001"/>
    <n v="249.88800000000003"/>
    <n v="161.84"/>
    <n v="88.04800000000003"/>
    <n v="0.35234985273402492"/>
    <x v="0"/>
    <s v=""/>
    <s v=""/>
    <s v=""/>
    <x v="0"/>
    <d v="2025-11-12T00:00:00"/>
  </r>
  <r>
    <x v="687"/>
    <s v="ORD-00281"/>
    <d v="2025-11-09T00:00:00"/>
    <s v="C0103"/>
    <s v="Daniel Wilson, Victoria, Consumer"/>
    <s v="Daniel Wilson"/>
    <s v="Victoria"/>
    <s v="Consumer"/>
    <n v="2"/>
    <s v="P035"/>
    <n v="3"/>
    <n v="251.17"/>
    <n v="0.15"/>
    <s v="Retail Store"/>
    <s v="Retail Store"/>
    <s v="CC"/>
    <s v="Credit Card"/>
    <s v="Calgary North"/>
    <s v="British Columbia"/>
    <s v="Consumer"/>
    <n v="151.59"/>
    <x v="0"/>
    <n v="753.51"/>
    <n v="113.0265"/>
    <n v="640.48350000000005"/>
    <n v="454.77"/>
    <n v="185.71350000000007"/>
    <n v="0.28995828932361262"/>
    <x v="0"/>
    <s v=""/>
    <s v=""/>
    <s v=""/>
    <x v="0"/>
    <d v="2025-11-12T00:00:00"/>
  </r>
  <r>
    <x v="688"/>
    <s v="ORD-00282"/>
    <d v="2025-03-11T01:00:00"/>
    <s v="C0014"/>
    <s v="Liam Singh, Calgary, Corporate"/>
    <s v="Liam Singh"/>
    <s v="Calgary"/>
    <s v="Corporate"/>
    <n v="2"/>
    <s v="P004"/>
    <n v="2"/>
    <n v="195.38"/>
    <n v="0.05"/>
    <s v="Online"/>
    <s v="Online"/>
    <s v="CC"/>
    <s v="Credit Card"/>
    <s v="Montreal Central"/>
    <s v="Alberta"/>
    <s v="Corporate"/>
    <n v="114.29"/>
    <x v="3"/>
    <n v="390.76"/>
    <n v="19.538"/>
    <n v="371.22199999999998"/>
    <n v="228.58"/>
    <n v="142.64199999999997"/>
    <n v="0.38424985588138627"/>
    <x v="0"/>
    <s v=""/>
    <s v=""/>
    <s v=""/>
    <x v="0"/>
    <d v="2025-03-16T01:00:00"/>
  </r>
  <r>
    <x v="689"/>
    <s v="ORD-00282"/>
    <d v="2025-03-11T01:00:00"/>
    <s v="C0014"/>
    <s v="Liam Singh, Calgary, Corporate"/>
    <s v="Liam Singh"/>
    <s v="Calgary"/>
    <s v="Corporate"/>
    <n v="2"/>
    <s v="P036"/>
    <n v="3"/>
    <n v="210.2"/>
    <n v="0.15"/>
    <s v="Online"/>
    <s v="Online"/>
    <s v="PayPal"/>
    <s v="PayPal"/>
    <s v="Vancouver West"/>
    <s v="Alberta"/>
    <s v="Corporate"/>
    <n v="136.25"/>
    <x v="0"/>
    <n v="630.59999999999991"/>
    <n v="94.589999999999989"/>
    <n v="536.00999999999988"/>
    <n v="408.75"/>
    <n v="127.25999999999988"/>
    <n v="0.23742094363911104"/>
    <x v="0"/>
    <s v=""/>
    <s v=""/>
    <s v=""/>
    <x v="0"/>
    <d v="2025-03-16T01:00:00"/>
  </r>
  <r>
    <x v="690"/>
    <s v="ORD-00282"/>
    <d v="2025-03-11T01:00:00"/>
    <s v="C0014"/>
    <s v="Liam Singh, Calgary, Corporate"/>
    <s v="Liam Singh"/>
    <s v="Calgary"/>
    <s v="Corporate"/>
    <n v="2"/>
    <s v="P034"/>
    <n v="3"/>
    <n v="141.46"/>
    <n v="0"/>
    <s v="Online"/>
    <s v="Online"/>
    <s v="Gift Card"/>
    <s v="Gift Card"/>
    <s v="Vancouver West"/>
    <s v="Alberta"/>
    <s v="Corporate"/>
    <n v="78.650000000000006"/>
    <x v="0"/>
    <n v="424.38"/>
    <n v="0"/>
    <n v="424.38"/>
    <n v="235.95000000000002"/>
    <n v="188.42999999999998"/>
    <n v="0.44401244167962672"/>
    <x v="0"/>
    <s v=""/>
    <s v=""/>
    <s v=""/>
    <x v="0"/>
    <d v="2025-03-16T01:00:00"/>
  </r>
  <r>
    <x v="691"/>
    <s v="ORD-00283"/>
    <d v="2025-09-20T00:00:00"/>
    <s v="c0093"/>
    <s v="Maya Dubois, Halifax, Small Business"/>
    <s v="Maya Dubois"/>
    <s v="Halifax"/>
    <s v="Small Business"/>
    <n v="2"/>
    <s v="P009"/>
    <n v="1"/>
    <n v="147.46"/>
    <n v="0"/>
    <s v="Online"/>
    <s v="Online"/>
    <s v="Gift Card"/>
    <s v="Gift Card"/>
    <s v="Toronto Downtown"/>
    <s v="Nova Scotia"/>
    <s v="Small Business"/>
    <n v="100.95"/>
    <x v="3"/>
    <n v="147.46"/>
    <n v="0"/>
    <n v="147.46"/>
    <n v="100.95"/>
    <n v="46.510000000000005"/>
    <n v="0.31540756815407572"/>
    <x v="0"/>
    <s v=""/>
    <s v=""/>
    <s v=""/>
    <x v="1"/>
    <d v="2025-09-30T00:00:00"/>
  </r>
  <r>
    <x v="692"/>
    <s v="ORD-00283"/>
    <d v="2025-09-20T00:00:00"/>
    <s v="C0093"/>
    <s v="Maya Dubois, Halifax, Small Business"/>
    <s v="Maya Dubois"/>
    <s v="Halifax"/>
    <s v="Small Business"/>
    <n v="2"/>
    <s v="P039"/>
    <n v="1"/>
    <n v="154.47"/>
    <n v="0"/>
    <s v="Market place"/>
    <s v="Marketplace"/>
    <s v="Gift Card"/>
    <s v="Gift Card"/>
    <s v="Vancouver West"/>
    <s v="Nova Scotia"/>
    <s v="Small Business"/>
    <n v="102.57"/>
    <x v="0"/>
    <n v="154.47"/>
    <n v="0"/>
    <n v="154.47"/>
    <n v="102.57"/>
    <n v="51.900000000000006"/>
    <n v="0.33598757040201988"/>
    <x v="0"/>
    <s v=""/>
    <s v=""/>
    <s v=""/>
    <x v="1"/>
    <d v="2025-09-30T00:00:00"/>
  </r>
  <r>
    <x v="693"/>
    <s v="ORD-00284"/>
    <d v="2025-11-25T00:00:00"/>
    <s v="C0054"/>
    <s v="Emma Khan, Toronto, Consumer"/>
    <s v="Emma Khan"/>
    <s v="Toronto"/>
    <s v="Consumer"/>
    <n v="2"/>
    <s v="P007"/>
    <n v="4"/>
    <n v="25.15"/>
    <n v="0.1"/>
    <s v="Retail Store"/>
    <s v="Retail Store"/>
    <s v="CC"/>
    <s v="Credit Card"/>
    <s v="Montreal Central"/>
    <s v="Ontario"/>
    <s v="Consumer"/>
    <n v="14.24"/>
    <x v="3"/>
    <n v="100.6"/>
    <n v="10.06"/>
    <n v="90.539999999999992"/>
    <n v="56.96"/>
    <n v="33.579999999999991"/>
    <n v="0.37088579633311236"/>
    <x v="0"/>
    <s v=""/>
    <s v=""/>
    <s v=""/>
    <x v="1"/>
    <d v="2025-11-30T00:00:00"/>
  </r>
  <r>
    <x v="694"/>
    <s v="ORD-00284"/>
    <d v="2025-11-25T00:00:00"/>
    <s v="C0054"/>
    <s v="Emma Khan, Toronto, Consumer"/>
    <s v="Emma Khan"/>
    <s v="Toronto"/>
    <s v="Consumer"/>
    <n v="2"/>
    <s v="P049"/>
    <n v="1"/>
    <n v="300.56"/>
    <n v="0"/>
    <s v="Retail Store"/>
    <s v="Retail Store"/>
    <s v="Debit Card"/>
    <s v="Debit Card"/>
    <s v="Online Fulfillment"/>
    <s v="Ontario"/>
    <s v="Consumer"/>
    <n v="158.86000000000001"/>
    <x v="1"/>
    <n v="300.56"/>
    <n v="0"/>
    <n v="300.56"/>
    <n v="158.86000000000001"/>
    <n v="141.69999999999999"/>
    <n v="0.47145328719723179"/>
    <x v="0"/>
    <s v=""/>
    <s v=""/>
    <s v=""/>
    <x v="1"/>
    <d v="2025-11-30T00:00:00"/>
  </r>
  <r>
    <x v="695"/>
    <s v="ORD-00284"/>
    <d v="2025-11-25T00:00:00"/>
    <s v="C0054"/>
    <s v="Emma Khan, Toronto, Consumer"/>
    <s v="Emma Khan"/>
    <s v="Toronto"/>
    <s v="Consumer"/>
    <n v="2"/>
    <s v="P018"/>
    <n v="4"/>
    <n v="142.16"/>
    <n v="0"/>
    <s v="Marketplace"/>
    <s v="Marketplace"/>
    <s v="PayPal"/>
    <s v="PayPal"/>
    <s v="Online Fulfillment"/>
    <s v="Ontario"/>
    <s v="Consumer"/>
    <n v="85.34"/>
    <x v="4"/>
    <n v="568.64"/>
    <n v="0"/>
    <n v="568.64"/>
    <n v="341.36"/>
    <n v="227.27999999999997"/>
    <n v="0.39969048958919523"/>
    <x v="0"/>
    <s v=""/>
    <s v=""/>
    <s v=""/>
    <x v="1"/>
    <d v="2025-11-30T00:00:00"/>
  </r>
  <r>
    <x v="696"/>
    <s v="ORD-00285"/>
    <d v="2025-09-20T00:00:00"/>
    <s v="C0051"/>
    <s v="Emma Tremblay, Calgary, Consumer"/>
    <s v="Emma Tremblay"/>
    <s v="Calgary"/>
    <s v="Consumer"/>
    <n v="2"/>
    <s v="P040"/>
    <n v="4"/>
    <n v="33.369999999999997"/>
    <n v="0"/>
    <s v="Market place"/>
    <s v="Marketplace"/>
    <s v="CC"/>
    <s v="Credit Card"/>
    <s v="Calgary North"/>
    <s v="Alberta"/>
    <s v="Consumer"/>
    <n v="18.670000000000002"/>
    <x v="0"/>
    <n v="133.47999999999999"/>
    <n v="0"/>
    <n v="133.47999999999999"/>
    <n v="74.680000000000007"/>
    <n v="58.799999999999983"/>
    <n v="0.44051543302367385"/>
    <x v="0"/>
    <s v=""/>
    <s v=""/>
    <s v=""/>
    <x v="1"/>
    <d v="2025-09-28T00:00:00"/>
  </r>
  <r>
    <x v="697"/>
    <s v="ORD-00285"/>
    <d v="2025-09-20T00:00:00"/>
    <s v="C0051"/>
    <s v="Emma Tremblay, Calgary, Consumer"/>
    <s v="Emma Tremblay"/>
    <s v="Calgary"/>
    <s v="Consumer"/>
    <n v="2"/>
    <s v="P038"/>
    <n v="3"/>
    <n v="182.94"/>
    <n v="0"/>
    <s v="Retail Store"/>
    <s v="Retail Store"/>
    <s v="Gift Card"/>
    <s v="Gift Card"/>
    <s v="Toronto Downtown"/>
    <s v="Alberta"/>
    <s v="Consumer"/>
    <n v="118.95"/>
    <x v="0"/>
    <n v="548.81999999999994"/>
    <n v="0"/>
    <n v="548.81999999999994"/>
    <n v="356.85"/>
    <n v="191.96999999999991"/>
    <n v="0.34978681534929473"/>
    <x v="0"/>
    <s v=""/>
    <s v=""/>
    <s v=""/>
    <x v="1"/>
    <d v="2025-09-28T00:00:00"/>
  </r>
  <r>
    <x v="698"/>
    <s v="ORD-00285"/>
    <d v="2025-09-20T00:00:00"/>
    <s v="C0051"/>
    <s v="Emma Tremblay, Calgary, Consumer"/>
    <s v="Emma Tremblay"/>
    <s v="Calgary"/>
    <s v="Consumer"/>
    <n v="2"/>
    <s v="P018"/>
    <n v="3"/>
    <n v="142.16"/>
    <n v="0.05"/>
    <s v="Marketplace"/>
    <s v="Marketplace"/>
    <s v="CC"/>
    <s v="Credit Card"/>
    <s v="Online Fulfillment"/>
    <s v="Alberta"/>
    <s v="Consumer"/>
    <n v="85.34"/>
    <x v="4"/>
    <n v="426.48"/>
    <n v="21.324000000000002"/>
    <n v="405.15600000000001"/>
    <n v="256.02"/>
    <n v="149.13600000000002"/>
    <n v="0.36809525219915296"/>
    <x v="0"/>
    <s v=""/>
    <s v=""/>
    <s v=""/>
    <x v="1"/>
    <d v="2025-09-28T00:00:00"/>
  </r>
  <r>
    <x v="699"/>
    <s v="ORD-00285"/>
    <d v="2025-09-20T00:00:00"/>
    <s v="C0051"/>
    <s v="Emma Tremblay, Calgary, Consumer"/>
    <s v="Emma Tremblay"/>
    <s v="Calgary"/>
    <s v="Consumer"/>
    <n v="2"/>
    <s v="P045"/>
    <n v="1"/>
    <n v="72.81"/>
    <n v="0.05"/>
    <s v="Online"/>
    <s v="Online"/>
    <s v="Debit Card"/>
    <s v="Debit Card"/>
    <s v="Vancouver West"/>
    <s v="Alberta"/>
    <s v="Consumer"/>
    <n v="37.99"/>
    <x v="1"/>
    <n v="72.81"/>
    <n v="3.6405000000000003"/>
    <n v="69.169499999999999"/>
    <n v="37.99"/>
    <n v="31.179499999999997"/>
    <n v="0.45076948655115329"/>
    <x v="0"/>
    <s v=""/>
    <s v=""/>
    <s v=""/>
    <x v="1"/>
    <d v="2025-09-28T00:00:00"/>
  </r>
  <r>
    <x v="700"/>
    <s v="ORD-00286"/>
    <d v="2025-07-14T00:00:00"/>
    <s v="C0046"/>
    <s v="Ethan Martin, Montreal, Consumer"/>
    <s v="Ethan Martin"/>
    <s v="Montreal"/>
    <s v="Consumer"/>
    <n v="2"/>
    <s v="P049"/>
    <n v="1"/>
    <n v="300.56"/>
    <n v="0.15"/>
    <s v="Online"/>
    <s v="Online"/>
    <m/>
    <s v="Unknown"/>
    <s v="Montreal Central"/>
    <s v="Quebec"/>
    <s v="Consumer"/>
    <n v="158.86000000000001"/>
    <x v="1"/>
    <n v="300.56"/>
    <n v="45.083999999999996"/>
    <n v="255.476"/>
    <n v="158.86000000000001"/>
    <n v="96.615999999999985"/>
    <n v="0.37818033787909622"/>
    <x v="0"/>
    <s v=""/>
    <s v=""/>
    <s v=""/>
    <x v="0"/>
    <d v="2025-07-15T00:00:00"/>
  </r>
  <r>
    <x v="701"/>
    <s v="ORD-00286"/>
    <d v="2025-07-14T00:00:00"/>
    <s v="C0046"/>
    <s v="Ethan Martin, Montreal, Consumer"/>
    <s v="Ethan Martin"/>
    <s v="Montreal"/>
    <s v="Consumer"/>
    <n v="2"/>
    <s v="P019"/>
    <n v="4"/>
    <n v="183.73"/>
    <n v="0.05"/>
    <s v="Marketplace"/>
    <s v="Marketplace"/>
    <m/>
    <s v="Unknown"/>
    <s v="Toronto Downtown"/>
    <s v="Quebec"/>
    <s v="Consumer"/>
    <n v="98.11"/>
    <x v="4"/>
    <n v="734.92"/>
    <n v="36.746000000000002"/>
    <n v="698.17399999999998"/>
    <n v="392.44"/>
    <n v="305.73399999999998"/>
    <n v="0.43790516404220148"/>
    <x v="0"/>
    <s v=""/>
    <s v=""/>
    <s v=""/>
    <x v="0"/>
    <d v="2025-07-15T00:00:00"/>
  </r>
  <r>
    <x v="702"/>
    <s v="ORD-00287"/>
    <d v="2025-11-24T00:00:00"/>
    <s v="C0002"/>
    <s v="Amina Khan, Montreal, Corporate"/>
    <s v="Amina Khan"/>
    <s v="Montreal"/>
    <s v="Corporate"/>
    <n v="2"/>
    <s v="P050"/>
    <n v="3"/>
    <n v="34.909999999999997"/>
    <n v="0.1"/>
    <s v="Retail  Store"/>
    <s v="Retail Store"/>
    <s v="Gift Card"/>
    <s v="Gift Card"/>
    <s v="Calgary North"/>
    <s v="Quebec"/>
    <s v="Corporate"/>
    <n v="19.670000000000002"/>
    <x v="1"/>
    <n v="104.72999999999999"/>
    <n v="10.472999999999999"/>
    <n v="94.256999999999991"/>
    <n v="59.010000000000005"/>
    <n v="35.246999999999986"/>
    <n v="0.37394570164550101"/>
    <x v="0"/>
    <s v=""/>
    <s v=""/>
    <s v=""/>
    <x v="1"/>
    <d v="2025-11-29T00:00:00"/>
  </r>
  <r>
    <x v="703"/>
    <s v="ORD-00287"/>
    <d v="2025-11-24T00:00:00"/>
    <s v="C0002"/>
    <s v="Amina Khan, Montreal, Corporate"/>
    <s v="Amina Khan"/>
    <s v="Montreal"/>
    <s v="Corporate"/>
    <n v="2"/>
    <s v="P049"/>
    <n v="4"/>
    <n v="300.56"/>
    <n v="0.1"/>
    <s v="Online"/>
    <s v="Online"/>
    <s v="CC"/>
    <s v="Credit Card"/>
    <s v="Calgary North"/>
    <s v="Quebec"/>
    <s v="Corporate"/>
    <n v="158.86000000000001"/>
    <x v="1"/>
    <n v="1202.24"/>
    <n v="120.224"/>
    <n v="1082.0160000000001"/>
    <n v="635.44000000000005"/>
    <n v="446.57600000000002"/>
    <n v="0.4127258746635909"/>
    <x v="1"/>
    <s v="Damaged"/>
    <d v="2025-12-06T00:00:00"/>
    <s v="Pending"/>
    <x v="1"/>
    <d v="2025-11-29T00:00:00"/>
  </r>
  <r>
    <x v="704"/>
    <s v="ORD-00288"/>
    <d v="2025-12-01T00:00:00"/>
    <s v="C0066"/>
    <s v="Omar Gagnon, Edmonton, Consumer"/>
    <s v="Omar Gagnon"/>
    <s v="Edmonton"/>
    <s v="Consumer"/>
    <n v="2"/>
    <s v="P001"/>
    <n v="2"/>
    <n v="133.24"/>
    <n v="0"/>
    <s v="Marketplace"/>
    <s v="Marketplace"/>
    <m/>
    <s v="Unknown"/>
    <s v="Vancouver West"/>
    <s v="Alberta"/>
    <s v="Consumer"/>
    <n v="77.540000000000006"/>
    <x v="3"/>
    <n v="266.48"/>
    <n v="0"/>
    <n v="266.48"/>
    <n v="155.08000000000001"/>
    <n v="111.4"/>
    <n v="0.41804262984088864"/>
    <x v="0"/>
    <s v=""/>
    <s v=""/>
    <s v=""/>
    <x v="0"/>
    <d v="2025-12-02T00:00:00"/>
  </r>
  <r>
    <x v="705"/>
    <s v="ORD-00288"/>
    <d v="2025-12-01T00:00:00"/>
    <s v="C0066"/>
    <s v="Omar Gagnon, Edmonton, Consumer"/>
    <s v="Omar Gagnon"/>
    <s v="Edmonton"/>
    <s v="Consumer"/>
    <n v="2"/>
    <s v="P043"/>
    <n v="1"/>
    <n v="96.33"/>
    <n v="0"/>
    <s v="Online"/>
    <s v="Online"/>
    <s v="Credit Card"/>
    <s v="Credit Card"/>
    <s v="Montreal Central"/>
    <s v="Alberta"/>
    <s v="Consumer"/>
    <n v="57.85"/>
    <x v="1"/>
    <n v="96.33"/>
    <n v="0"/>
    <n v="96.33"/>
    <n v="57.85"/>
    <n v="38.479999999999997"/>
    <n v="0.39946018893387314"/>
    <x v="0"/>
    <s v=""/>
    <s v=""/>
    <s v=""/>
    <x v="0"/>
    <d v="2025-12-02T00:00:00"/>
  </r>
  <r>
    <x v="706"/>
    <s v="ORD-00289"/>
    <d v="2025-05-05T00:00:00"/>
    <s v="C0122"/>
    <s v="Sofia Khan, Halifax, Consumer"/>
    <s v="Sofia Khan"/>
    <s v="Halifax"/>
    <s v="Consumer"/>
    <n v="2"/>
    <s v="P028"/>
    <n v="2"/>
    <n v="52.79"/>
    <n v="0"/>
    <s v="Marketplace"/>
    <s v="Marketplace"/>
    <s v="PayPal"/>
    <s v="PayPal"/>
    <s v="Vancouver West"/>
    <s v="Nova Scotia"/>
    <s v="Consumer"/>
    <n v="28.17"/>
    <x v="2"/>
    <n v="105.58"/>
    <n v="0"/>
    <n v="105.58"/>
    <n v="56.34"/>
    <n v="49.239999999999995"/>
    <n v="0.46637620761507859"/>
    <x v="0"/>
    <s v=""/>
    <s v=""/>
    <s v=""/>
    <x v="1"/>
    <d v="2025-05-10T00:00:00"/>
  </r>
  <r>
    <x v="707"/>
    <s v="ORD-00289"/>
    <d v="2025-05-05T00:00:00"/>
    <s v="C0122"/>
    <s v="Sofia Khan, Halifax, Consumer"/>
    <s v="Sofia Khan"/>
    <s v="Halifax"/>
    <s v="Consumer"/>
    <n v="2"/>
    <s v="P049"/>
    <n v="2"/>
    <n v="300.56"/>
    <n v="0.05"/>
    <s v="Online"/>
    <s v="Online"/>
    <s v="Credit Card"/>
    <s v="Credit Card"/>
    <s v="Vancouver West"/>
    <s v="Nova Scotia"/>
    <s v="Consumer"/>
    <n v="158.86000000000001"/>
    <x v="1"/>
    <n v="601.12"/>
    <n v="30.056000000000001"/>
    <n v="571.06399999999996"/>
    <n v="317.72000000000003"/>
    <n v="253.34399999999994"/>
    <n v="0.44363503915498081"/>
    <x v="0"/>
    <s v=""/>
    <s v=""/>
    <s v=""/>
    <x v="1"/>
    <d v="2025-05-10T00:00:00"/>
  </r>
  <r>
    <x v="708"/>
    <s v="ORD-00289"/>
    <d v="2025-05-05T00:00:00"/>
    <s v="C0122"/>
    <s v="Sofia Khan, Halifax, Consumer"/>
    <s v="Sofia Khan"/>
    <s v="Halifax"/>
    <s v="Consumer"/>
    <n v="2"/>
    <s v="P046"/>
    <n v="4"/>
    <n v="180.37"/>
    <n v="0.05"/>
    <s v="Market place"/>
    <s v="Marketplace"/>
    <s v="Gift Card"/>
    <s v="Gift Card"/>
    <s v="Calgary North"/>
    <s v="Nova Scotia"/>
    <s v="Consumer"/>
    <n v="107.55"/>
    <x v="1"/>
    <n v="721.48"/>
    <n v="36.074000000000005"/>
    <n v="685.40600000000006"/>
    <n v="430.2"/>
    <n v="255.20600000000007"/>
    <n v="0.37234281579093276"/>
    <x v="0"/>
    <s v=""/>
    <s v=""/>
    <s v=""/>
    <x v="1"/>
    <d v="2025-05-10T00:00:00"/>
  </r>
  <r>
    <x v="709"/>
    <s v="ORD-00290"/>
    <d v="2025-03-18T01:00:00"/>
    <s v="C0041"/>
    <s v="Amina Wilson, Regina, Consumer"/>
    <s v="Amina Wilson"/>
    <s v="Regina"/>
    <s v="Consumer"/>
    <n v="2"/>
    <s v="P006"/>
    <n v="3"/>
    <n v="88.61"/>
    <n v="0"/>
    <s v="Marketplace"/>
    <s v="Marketplace"/>
    <s v="Gift Card"/>
    <s v="Gift Card"/>
    <s v="Toronto Downtown"/>
    <s v="Saskatchewan"/>
    <s v="Consumer"/>
    <n v="49.75"/>
    <x v="3"/>
    <n v="265.83"/>
    <n v="0"/>
    <n v="265.83"/>
    <n v="149.25"/>
    <n v="116.57999999999998"/>
    <n v="0.43855095361697322"/>
    <x v="0"/>
    <s v=""/>
    <s v=""/>
    <s v=""/>
    <x v="0"/>
    <d v="2025-03-19T01:00:00"/>
  </r>
  <r>
    <x v="710"/>
    <s v="ORD-00290"/>
    <d v="2025-03-18T01:00:00"/>
    <s v="C0041"/>
    <s v="Amina Wilson, Regina, Consumer"/>
    <s v="Amina Wilson"/>
    <s v="Regina"/>
    <s v="Consumer"/>
    <n v="2"/>
    <s v="P005"/>
    <n v="4"/>
    <n v="42.72"/>
    <n v="0.1"/>
    <s v="Retail  Store"/>
    <s v="Retail Store"/>
    <s v="CC"/>
    <s v="Credit Card"/>
    <s v="Vancouver West"/>
    <s v="Saskatchewan"/>
    <s v="Consumer"/>
    <n v="24.46"/>
    <x v="3"/>
    <n v="170.88"/>
    <n v="17.088000000000001"/>
    <n v="153.792"/>
    <n v="97.84"/>
    <n v="55.951999999999998"/>
    <n v="0.36381606325426546"/>
    <x v="0"/>
    <s v=""/>
    <s v=""/>
    <s v=""/>
    <x v="0"/>
    <d v="2025-03-19T01:00:00"/>
  </r>
  <r>
    <x v="711"/>
    <s v="ORD-00290"/>
    <d v="2025-03-18T01:00:00"/>
    <s v="C0041"/>
    <s v="Amina Wilson, Regina, Consumer"/>
    <s v="Amina Wilson"/>
    <s v="Regina"/>
    <s v="Consumer"/>
    <n v="2"/>
    <s v="P043"/>
    <n v="3"/>
    <n v="96.33"/>
    <n v="0"/>
    <s v="Online"/>
    <s v="Online"/>
    <s v="Credit Card"/>
    <s v="Credit Card"/>
    <s v="Calgary North"/>
    <s v="Saskatchewan"/>
    <s v="Consumer"/>
    <n v="57.85"/>
    <x v="1"/>
    <n v="288.99"/>
    <n v="0"/>
    <n v="288.99"/>
    <n v="173.55"/>
    <n v="115.44"/>
    <n v="0.39946018893387314"/>
    <x v="0"/>
    <s v=""/>
    <s v=""/>
    <s v=""/>
    <x v="0"/>
    <d v="2025-03-19T01:00:00"/>
  </r>
  <r>
    <x v="712"/>
    <s v="ORD-00290"/>
    <d v="2025-03-18T01:00:00"/>
    <s v="C0041"/>
    <s v="Amina Wilson, Regina, Consumer"/>
    <s v="Amina Wilson"/>
    <s v="Regina"/>
    <s v="Consumer"/>
    <n v="2"/>
    <s v="P009"/>
    <n v="3"/>
    <n v="147.46"/>
    <n v="0"/>
    <s v="Online"/>
    <s v="Online"/>
    <s v="Credit Card"/>
    <s v="Credit Card"/>
    <s v="Calgary North"/>
    <s v="Saskatchewan"/>
    <s v="Consumer"/>
    <n v="100.95"/>
    <x v="3"/>
    <n v="442.38"/>
    <n v="0"/>
    <n v="442.38"/>
    <n v="302.85000000000002"/>
    <n v="139.52999999999997"/>
    <n v="0.31540756815407561"/>
    <x v="0"/>
    <s v=""/>
    <s v=""/>
    <s v=""/>
    <x v="0"/>
    <d v="2025-03-19T01:00:00"/>
  </r>
  <r>
    <x v="713"/>
    <s v="ORD-00291"/>
    <d v="2025-10-15T00:00:00"/>
    <s v="C0165"/>
    <s v="Ethan Dubois, Calgary, Consumer"/>
    <s v="Ethan Dubois"/>
    <s v="Calgary"/>
    <s v="Consumer"/>
    <n v="2"/>
    <s v="P017"/>
    <n v="4"/>
    <n v="234.37"/>
    <n v="0.1"/>
    <s v="Retail  Store"/>
    <s v="Retail Store"/>
    <s v="Debit Card"/>
    <s v="Debit Card"/>
    <s v="Online Fulfillment"/>
    <s v="Alberta"/>
    <s v="Consumer"/>
    <n v="129.41999999999999"/>
    <x v="4"/>
    <n v="937.48"/>
    <n v="93.748000000000005"/>
    <n v="843.73199999999997"/>
    <n v="517.67999999999995"/>
    <n v="326.05200000000002"/>
    <n v="0.38644024405853994"/>
    <x v="0"/>
    <s v=""/>
    <s v=""/>
    <s v=""/>
    <x v="1"/>
    <d v="2025-10-24T00:00:00"/>
  </r>
  <r>
    <x v="714"/>
    <s v="ORD-00291"/>
    <d v="2025-10-15T00:00:00"/>
    <s v="C0165"/>
    <s v="Ethan Dubois, Calgary, Consumer"/>
    <s v="Ethan Dubois"/>
    <s v="Calgary"/>
    <s v="Consumer"/>
    <n v="2"/>
    <s v="P008"/>
    <n v="1"/>
    <n v="110.88"/>
    <n v="0"/>
    <s v="Online"/>
    <s v="Online"/>
    <s v="PayPal"/>
    <s v="PayPal"/>
    <s v="Toronto Downtown"/>
    <s v="Alberta"/>
    <s v="Consumer"/>
    <n v="57.09"/>
    <x v="3"/>
    <n v="110.88"/>
    <n v="0"/>
    <n v="110.88"/>
    <n v="57.09"/>
    <n v="53.789999999999992"/>
    <n v="0.48511904761904756"/>
    <x v="0"/>
    <s v=""/>
    <s v=""/>
    <s v=""/>
    <x v="1"/>
    <d v="2025-10-24T00:00:00"/>
  </r>
  <r>
    <x v="715"/>
    <s v="ORD-00291"/>
    <d v="2025-10-15T00:00:00"/>
    <s v="C0165"/>
    <s v="Ethan Dubois, Calgary, Consumer"/>
    <s v="Ethan Dubois"/>
    <s v="Calgary"/>
    <s v="Consumer"/>
    <n v="2"/>
    <s v="P002"/>
    <n v="2"/>
    <n v="105.38"/>
    <n v="0"/>
    <s v="Retail Store"/>
    <s v="Retail Store"/>
    <s v="Gift Card"/>
    <s v="Gift Card"/>
    <s v="Montreal Central"/>
    <s v="Alberta"/>
    <s v="Consumer"/>
    <n v="67.290000000000006"/>
    <x v="3"/>
    <n v="210.76"/>
    <n v="0"/>
    <n v="210.76"/>
    <n v="134.58000000000001"/>
    <n v="76.179999999999978"/>
    <n v="0.36145378629721003"/>
    <x v="0"/>
    <s v=""/>
    <s v=""/>
    <s v=""/>
    <x v="1"/>
    <d v="2025-10-24T00:00:00"/>
  </r>
  <r>
    <x v="716"/>
    <s v="ORD-00292"/>
    <d v="2025-06-25T00:00:00"/>
    <s v="c0172"/>
    <s v="Adam Wilson, Edmonton, Consumer"/>
    <s v="Adam Wilson"/>
    <s v="Edmonton"/>
    <s v="Consumer"/>
    <n v="2"/>
    <s v="P003"/>
    <n v="2"/>
    <n v="265.73"/>
    <n v="0"/>
    <s v="Retail Store"/>
    <s v="Retail Store"/>
    <m/>
    <s v="Unknown"/>
    <s v="Calgary North"/>
    <s v="Alberta"/>
    <s v="Consumer"/>
    <n v="154.16999999999999"/>
    <x v="3"/>
    <n v="531.46"/>
    <n v="0"/>
    <n v="531.46"/>
    <n v="308.33999999999997"/>
    <n v="223.12000000000006"/>
    <n v="0.41982463402701997"/>
    <x v="0"/>
    <s v=""/>
    <s v=""/>
    <s v=""/>
    <x v="1"/>
    <d v="2025-07-02T00:00:00"/>
  </r>
  <r>
    <x v="717"/>
    <s v="ORD-00293"/>
    <d v="2025-08-24T00:00:00"/>
    <s v="C0180"/>
    <s v="Yara Dubois, Quebec City, Small Business"/>
    <s v="Yara Dubois"/>
    <s v="Quebec City"/>
    <s v="Small Business"/>
    <n v="2"/>
    <s v="P044"/>
    <n v="2"/>
    <n v="208.89"/>
    <n v="0"/>
    <s v="Online"/>
    <s v="Online"/>
    <s v="PayPal"/>
    <s v="PayPal"/>
    <s v="Toronto Downtown"/>
    <s v="Quebec"/>
    <s v="Small Business"/>
    <n v="133.05000000000001"/>
    <x v="1"/>
    <n v="417.78"/>
    <n v="0"/>
    <n v="417.78"/>
    <n v="266.10000000000002"/>
    <n v="151.67999999999995"/>
    <n v="0.36306189860692223"/>
    <x v="0"/>
    <s v=""/>
    <s v=""/>
    <s v=""/>
    <x v="1"/>
    <d v="2025-09-03T00:00:00"/>
  </r>
  <r>
    <x v="718"/>
    <s v="ORD-00293"/>
    <d v="2025-08-24T00:00:00"/>
    <s v="C0180"/>
    <s v="Yara Dubois, Quebec City, Small Business"/>
    <s v="Yara Dubois"/>
    <s v="Quebec City"/>
    <s v="Small Business"/>
    <n v="2"/>
    <s v="P005"/>
    <n v="3"/>
    <n v="42.72"/>
    <n v="0"/>
    <s v="Marketplace"/>
    <s v="Marketplace"/>
    <s v="PayPal"/>
    <s v="PayPal"/>
    <s v="Online Fulfillment"/>
    <s v="Quebec"/>
    <s v="Small Business"/>
    <n v="24.46"/>
    <x v="3"/>
    <n v="128.16"/>
    <n v="0"/>
    <n v="128.16"/>
    <n v="73.38"/>
    <n v="54.78"/>
    <n v="0.42743445692883897"/>
    <x v="0"/>
    <s v=""/>
    <s v=""/>
    <s v=""/>
    <x v="1"/>
    <d v="2025-09-03T00:00:00"/>
  </r>
  <r>
    <x v="719"/>
    <s v="ORD-00293"/>
    <d v="2025-08-24T00:00:00"/>
    <s v="C0180"/>
    <s v="Yara Dubois, Quebec City, Small Business"/>
    <s v="Yara Dubois"/>
    <s v="Quebec City"/>
    <s v="Small Business"/>
    <n v="2"/>
    <s v="P027"/>
    <n v="1"/>
    <n v="244.25"/>
    <n v="0"/>
    <s v="Retail Store"/>
    <s v="Retail Store"/>
    <s v="CC"/>
    <s v="Credit Card"/>
    <s v="Online Fulfillment"/>
    <s v="Quebec"/>
    <s v="Small Business"/>
    <n v="150.96"/>
    <x v="2"/>
    <n v="244.25"/>
    <n v="0"/>
    <n v="244.25"/>
    <n v="150.96"/>
    <n v="93.289999999999992"/>
    <n v="0.38194472876151481"/>
    <x v="0"/>
    <s v=""/>
    <s v=""/>
    <s v=""/>
    <x v="1"/>
    <d v="2025-09-03T00:00:00"/>
  </r>
  <r>
    <x v="720"/>
    <s v="ORD-00294"/>
    <d v="2025-06-08T00:00:00"/>
    <s v="C0019"/>
    <s v="Amina Wilson, Winnipeg, Corporate"/>
    <s v="Amina Wilson"/>
    <s v="Winnipeg"/>
    <s v="Corporate"/>
    <n v="2"/>
    <s v="P025"/>
    <n v="3"/>
    <n v="115.28"/>
    <n v="0"/>
    <s v="Retail Store"/>
    <s v="Retail Store"/>
    <m/>
    <s v="Unknown"/>
    <s v="Montreal Central"/>
    <s v="Manitoba"/>
    <s v="Corporate"/>
    <n v="61.65"/>
    <x v="2"/>
    <n v="345.84000000000003"/>
    <n v="0"/>
    <n v="345.84000000000003"/>
    <n v="184.95"/>
    <n v="160.89000000000004"/>
    <n v="0.46521512838306739"/>
    <x v="0"/>
    <s v=""/>
    <s v=""/>
    <s v=""/>
    <x v="1"/>
    <d v="2025-06-15T00:00:00"/>
  </r>
  <r>
    <x v="721"/>
    <s v="ORD-00294"/>
    <d v="2025-06-08T00:00:00"/>
    <s v="C0019"/>
    <s v="Amina Wilson, Winnipeg, Corporate"/>
    <s v="Amina Wilson"/>
    <s v="Winnipeg"/>
    <s v="Corporate"/>
    <n v="2"/>
    <s v="P015"/>
    <n v="4"/>
    <n v="273.89"/>
    <n v="0"/>
    <s v="Retail  Store"/>
    <s v="Retail Store"/>
    <s v="CC"/>
    <s v="Credit Card"/>
    <s v="Online Fulfillment"/>
    <s v="Manitoba"/>
    <s v="Corporate"/>
    <n v="140.66999999999999"/>
    <x v="4"/>
    <n v="1095.56"/>
    <n v="0"/>
    <n v="1095.56"/>
    <n v="562.67999999999995"/>
    <n v="532.88"/>
    <n v="0.48639964949432257"/>
    <x v="0"/>
    <s v=""/>
    <s v=""/>
    <s v=""/>
    <x v="1"/>
    <d v="2025-06-15T00:00:00"/>
  </r>
  <r>
    <x v="722"/>
    <s v="ORD-00295"/>
    <d v="2025-05-12T00:00:00"/>
    <s v="C0029"/>
    <s v="Sara Dubois, Edmonton, Consumer"/>
    <s v="Sara Dubois"/>
    <s v="Edmonton"/>
    <s v="Consumer"/>
    <n v="2"/>
    <s v="P015"/>
    <n v="3"/>
    <n v="273.89"/>
    <n v="0"/>
    <s v="Market place"/>
    <s v="Marketplace"/>
    <s v="PayPal"/>
    <s v="PayPal"/>
    <s v="Vancouver West"/>
    <s v="Alberta"/>
    <s v="Consumer"/>
    <n v="140.66999999999999"/>
    <x v="4"/>
    <n v="821.67"/>
    <n v="0"/>
    <n v="821.67"/>
    <n v="422.01"/>
    <n v="399.65999999999997"/>
    <n v="0.48639964949432252"/>
    <x v="0"/>
    <s v=""/>
    <s v=""/>
    <s v=""/>
    <x v="0"/>
    <d v="2025-05-14T00:00:00"/>
  </r>
  <r>
    <x v="723"/>
    <s v="ORD-00295"/>
    <d v="2025-05-12T00:00:00"/>
    <s v="C0029"/>
    <s v="Sara Dubois, Edmonton, Consumer"/>
    <s v="Sara Dubois"/>
    <s v="Edmonton"/>
    <s v="Consumer"/>
    <n v="2"/>
    <s v="P046"/>
    <n v="2"/>
    <n v="180.37"/>
    <n v="0.1"/>
    <s v="Retail Store"/>
    <s v="Retail Store"/>
    <s v="Gift Card"/>
    <s v="Gift Card"/>
    <s v="Online Fulfillment"/>
    <s v="Alberta"/>
    <s v="Consumer"/>
    <n v="107.55"/>
    <x v="1"/>
    <n v="360.74"/>
    <n v="36.074000000000005"/>
    <n v="324.666"/>
    <n v="215.1"/>
    <n v="109.566"/>
    <n v="0.33747297222376227"/>
    <x v="0"/>
    <s v=""/>
    <s v=""/>
    <s v=""/>
    <x v="0"/>
    <d v="2025-05-14T00:00:00"/>
  </r>
  <r>
    <x v="724"/>
    <s v="ORD-00295"/>
    <d v="2025-05-12T00:00:00"/>
    <s v="C0029"/>
    <s v="Sara Dubois, Edmonton, Consumer"/>
    <s v="Sara Dubois"/>
    <s v="Edmonton"/>
    <s v="Consumer"/>
    <n v="2"/>
    <s v="P014"/>
    <n v="2"/>
    <n v="91.75"/>
    <n v="0.05"/>
    <s v="Retail Store"/>
    <s v="Retail Store"/>
    <s v="PayPal"/>
    <s v="PayPal"/>
    <s v="Online Fulfillment"/>
    <s v="Alberta"/>
    <s v="Consumer"/>
    <n v="58.27"/>
    <x v="4"/>
    <n v="183.5"/>
    <n v="9.1750000000000007"/>
    <n v="174.32499999999999"/>
    <n v="116.54"/>
    <n v="57.784999999999982"/>
    <n v="0.33147856016061944"/>
    <x v="0"/>
    <s v=""/>
    <s v=""/>
    <s v=""/>
    <x v="0"/>
    <d v="2025-05-14T00:00:00"/>
  </r>
  <r>
    <x v="725"/>
    <s v="ORD-00295"/>
    <d v="2025-05-12T00:00:00"/>
    <s v="C0029"/>
    <s v="Sara Dubois, Edmonton, Consumer"/>
    <s v="Sara Dubois"/>
    <s v="Edmonton"/>
    <s v="Consumer"/>
    <n v="2"/>
    <s v="P031"/>
    <n v="3"/>
    <n v="208.81"/>
    <n v="0"/>
    <s v="Marketplace"/>
    <s v="Marketplace"/>
    <s v="Gift Card"/>
    <s v="Gift Card"/>
    <s v="Calgary North"/>
    <s v="Alberta"/>
    <s v="Consumer"/>
    <n v="139.04"/>
    <x v="0"/>
    <n v="626.43000000000006"/>
    <n v="0"/>
    <n v="626.43000000000006"/>
    <n v="417.12"/>
    <n v="209.31000000000006"/>
    <n v="0.3341315071117284"/>
    <x v="0"/>
    <s v=""/>
    <s v=""/>
    <s v=""/>
    <x v="0"/>
    <d v="2025-05-14T00:00:00"/>
  </r>
  <r>
    <x v="726"/>
    <s v="ORD-00296"/>
    <d v="2025-10-04T00:00:00"/>
    <s v="C0161"/>
    <s v="Maya Wilson, Winnipeg, Consumer"/>
    <s v="Maya Wilson"/>
    <s v="Winnipeg"/>
    <s v="Consumer"/>
    <n v="2"/>
    <s v="P013"/>
    <n v="3"/>
    <n v="207.71"/>
    <n v="0"/>
    <s v="Marketplace"/>
    <s v="Marketplace"/>
    <m/>
    <s v="Unknown"/>
    <s v="Online Fulfillment"/>
    <s v="Manitoba"/>
    <s v="Consumer"/>
    <n v="132.97"/>
    <x v="4"/>
    <n v="623.13"/>
    <n v="0"/>
    <n v="623.13"/>
    <n v="398.90999999999997"/>
    <n v="224.22000000000003"/>
    <n v="0.35982860719272064"/>
    <x v="1"/>
    <s v="Late Delivery"/>
    <d v="2025-10-18T00:00:00"/>
    <s v="Refunded"/>
    <x v="0"/>
    <d v="2025-10-09T00:00:00"/>
  </r>
  <r>
    <x v="727"/>
    <s v="ORD-00296"/>
    <d v="2025-10-04T00:00:00"/>
    <s v="C0161"/>
    <s v="Maya Wilson, Winnipeg, Consumer"/>
    <s v="Maya Wilson"/>
    <s v="Winnipeg"/>
    <s v="Consumer"/>
    <n v="2"/>
    <s v="P041"/>
    <n v="1"/>
    <n v="238.47"/>
    <n v="0.15"/>
    <s v="Online"/>
    <s v="Online"/>
    <s v="Credit Card"/>
    <s v="Credit Card"/>
    <s v="Online Fulfillment"/>
    <s v="Manitoba"/>
    <s v="Consumer"/>
    <n v="127.65"/>
    <x v="1"/>
    <n v="238.47"/>
    <n v="35.770499999999998"/>
    <n v="202.6995"/>
    <n v="127.65"/>
    <n v="75.049499999999995"/>
    <n v="0.3702500499507892"/>
    <x v="0"/>
    <s v=""/>
    <s v=""/>
    <s v=""/>
    <x v="0"/>
    <d v="2025-10-09T00:00:00"/>
  </r>
  <r>
    <x v="728"/>
    <s v="ORD-00297"/>
    <d v="2025-03-15T01:00:00"/>
    <s v="C0003"/>
    <s v="Noah Gagnon, Calgary, Small Business"/>
    <s v="Noah Gagnon"/>
    <s v="Calgary"/>
    <s v="Small Business"/>
    <n v="2"/>
    <s v="P004"/>
    <n v="1"/>
    <n v="195.38"/>
    <n v="0"/>
    <s v="Retail Store"/>
    <s v="Retail Store"/>
    <s v="PayPal"/>
    <s v="PayPal"/>
    <s v="Vancouver West"/>
    <s v="Alberta"/>
    <s v="Small Business"/>
    <n v="114.29"/>
    <x v="3"/>
    <n v="195.38"/>
    <n v="0"/>
    <n v="195.38"/>
    <n v="114.29"/>
    <n v="81.089999999999989"/>
    <n v="0.41503736308731698"/>
    <x v="0"/>
    <s v=""/>
    <s v=""/>
    <s v=""/>
    <x v="1"/>
    <d v="2025-03-24T01:00:00"/>
  </r>
  <r>
    <x v="729"/>
    <s v="ORD-00297"/>
    <d v="2025-03-15T01:00:00"/>
    <s v="C0003"/>
    <s v="Noah Gagnon, Calgary, Small Business"/>
    <s v="Noah Gagnon"/>
    <s v="Calgary"/>
    <s v="Small Business"/>
    <n v="2"/>
    <s v="P013"/>
    <n v="2"/>
    <n v="207.71"/>
    <n v="0.15"/>
    <s v="Market place"/>
    <s v="Marketplace"/>
    <s v="Gift Card"/>
    <s v="Gift Card"/>
    <s v="Vancouver West"/>
    <s v="Alberta"/>
    <s v="Small Business"/>
    <n v="132.97"/>
    <x v="4"/>
    <n v="415.42"/>
    <n v="62.313000000000002"/>
    <n v="353.10700000000003"/>
    <n v="265.94"/>
    <n v="87.16700000000003"/>
    <n v="0.24685718493261255"/>
    <x v="0"/>
    <s v=""/>
    <s v=""/>
    <s v=""/>
    <x v="1"/>
    <d v="2025-03-24T01:00:00"/>
  </r>
  <r>
    <x v="730"/>
    <s v="ORD-00297"/>
    <d v="2025-03-15T01:00:00"/>
    <s v="C0003"/>
    <s v="Noah Gagnon, Calgary, Small Business"/>
    <s v="Noah Gagnon"/>
    <s v="Calgary"/>
    <s v="Small Business"/>
    <n v="2"/>
    <s v="P001"/>
    <n v="2"/>
    <n v="133.24"/>
    <n v="0.05"/>
    <s v="Marketplace"/>
    <s v="Marketplace"/>
    <m/>
    <s v="Unknown"/>
    <s v="Vancouver West"/>
    <s v="Alberta"/>
    <s v="Small Business"/>
    <n v="77.540000000000006"/>
    <x v="3"/>
    <n v="266.48"/>
    <n v="13.324000000000002"/>
    <n v="253.15600000000001"/>
    <n v="155.08000000000001"/>
    <n v="98.075999999999993"/>
    <n v="0.38741329456935641"/>
    <x v="0"/>
    <s v=""/>
    <s v=""/>
    <s v=""/>
    <x v="1"/>
    <d v="2025-03-24T01:00:00"/>
  </r>
  <r>
    <x v="731"/>
    <s v="ORD-00298"/>
    <d v="2025-09-24T00:00:00"/>
    <s v="C0168"/>
    <s v="Maya Singh, Calgary, Small Business"/>
    <s v="Maya Singh"/>
    <s v="Calgary"/>
    <s v="Small Business"/>
    <n v="2"/>
    <s v="P021"/>
    <n v="3"/>
    <n v="25.01"/>
    <n v="0.05"/>
    <s v="Marketplace"/>
    <s v="Marketplace"/>
    <s v="Gift Card"/>
    <s v="Gift Card"/>
    <s v="Vancouver West"/>
    <s v="Alberta"/>
    <s v="Small Business"/>
    <n v="16.86"/>
    <x v="2"/>
    <n v="75.03"/>
    <n v="3.7515000000000001"/>
    <n v="71.278500000000008"/>
    <n v="50.58"/>
    <n v="20.69850000000001"/>
    <n v="0.29038910751488889"/>
    <x v="0"/>
    <s v=""/>
    <s v=""/>
    <s v=""/>
    <x v="0"/>
    <d v="2025-09-25T00:00:00"/>
  </r>
  <r>
    <x v="732"/>
    <s v="ORD-00299"/>
    <d v="2025-05-15T00:00:00"/>
    <s v="C0044"/>
    <s v="Yara Tremblay, Edmonton, Corporate"/>
    <s v="Yara Tremblay"/>
    <s v="Edmonton"/>
    <s v="Corporate"/>
    <n v="2"/>
    <s v="P013"/>
    <n v="2"/>
    <n v="207.71"/>
    <n v="0.15"/>
    <s v="Retail Store"/>
    <s v="Retail Store"/>
    <s v="Debit Card"/>
    <s v="Debit Card"/>
    <s v="Vancouver West"/>
    <s v="Alberta"/>
    <s v="Corporate"/>
    <n v="132.97"/>
    <x v="4"/>
    <n v="415.42"/>
    <n v="62.313000000000002"/>
    <n v="353.10700000000003"/>
    <n v="265.94"/>
    <n v="87.16700000000003"/>
    <n v="0.24685718493261255"/>
    <x v="0"/>
    <s v=""/>
    <s v=""/>
    <s v=""/>
    <x v="1"/>
    <d v="2025-05-24T00:00:00"/>
  </r>
  <r>
    <x v="733"/>
    <s v="ORD-00299"/>
    <d v="2025-05-15T00:00:00"/>
    <s v="C0044"/>
    <s v="Yara Tremblay, Edmonton, Corporate"/>
    <s v="Yara Tremblay"/>
    <s v="Edmonton"/>
    <s v="Corporate"/>
    <n v="2"/>
    <s v="P006"/>
    <n v="1"/>
    <n v="88.61"/>
    <n v="0.1"/>
    <s v="Retail  Store"/>
    <s v="Retail Store"/>
    <s v="CC"/>
    <s v="Credit Card"/>
    <s v="Calgary North"/>
    <s v="Alberta"/>
    <s v="Corporate"/>
    <n v="49.75"/>
    <x v="3"/>
    <n v="88.61"/>
    <n v="8.8610000000000007"/>
    <n v="79.748999999999995"/>
    <n v="49.75"/>
    <n v="29.998999999999995"/>
    <n v="0.37616772624108136"/>
    <x v="0"/>
    <s v=""/>
    <s v=""/>
    <s v=""/>
    <x v="1"/>
    <d v="2025-05-24T00:00:00"/>
  </r>
  <r>
    <x v="734"/>
    <s v="ORD-00299"/>
    <d v="2025-05-15T00:00:00"/>
    <s v="C0044"/>
    <s v="Yara Tremblay, Edmonton, Corporate"/>
    <s v="Yara Tremblay"/>
    <s v="Edmonton"/>
    <s v="Corporate"/>
    <n v="2"/>
    <s v="P029"/>
    <n v="3"/>
    <n v="300.16000000000003"/>
    <n v="0.1"/>
    <s v="Retail  Store"/>
    <s v="Retail Store"/>
    <m/>
    <s v="Unknown"/>
    <s v="Montreal Central"/>
    <s v="Alberta"/>
    <s v="Corporate"/>
    <n v="158.46"/>
    <x v="2"/>
    <n v="900.48"/>
    <n v="90.048000000000002"/>
    <n v="810.43200000000002"/>
    <n v="475.38"/>
    <n v="335.05200000000002"/>
    <n v="0.41342395167022034"/>
    <x v="1"/>
    <s v="Changed Mind"/>
    <d v="2025-06-04T00:00:00"/>
    <s v="Refunded"/>
    <x v="1"/>
    <d v="2025-05-24T00:00:00"/>
  </r>
  <r>
    <x v="735"/>
    <s v="ORD-00299"/>
    <d v="2025-05-15T00:00:00"/>
    <s v="C0044"/>
    <s v="Yara Tremblay, Edmonton, Corporate"/>
    <s v="Yara Tremblay"/>
    <s v="Edmonton"/>
    <s v="Corporate"/>
    <n v="2"/>
    <s v="P007"/>
    <n v="2"/>
    <n v="25.15"/>
    <n v="0.1"/>
    <s v="Market place"/>
    <s v="Marketplace"/>
    <s v="CC"/>
    <s v="Credit Card"/>
    <s v="Vancouver West"/>
    <s v="Alberta"/>
    <s v="Corporate"/>
    <n v="14.24"/>
    <x v="3"/>
    <n v="50.3"/>
    <n v="5.03"/>
    <n v="45.269999999999996"/>
    <n v="28.48"/>
    <n v="16.789999999999996"/>
    <n v="0.37088579633311236"/>
    <x v="0"/>
    <s v=""/>
    <s v=""/>
    <s v=""/>
    <x v="1"/>
    <d v="2025-05-24T00:00:00"/>
  </r>
  <r>
    <x v="736"/>
    <s v="ORD-00300"/>
    <d v="2025-10-13T00:00:00"/>
    <s v="C0159"/>
    <s v="Yara Ali, Montreal, Consumer"/>
    <s v="Yara Ali"/>
    <s v="Montreal"/>
    <s v="Consumer"/>
    <n v="2"/>
    <s v="P039"/>
    <n v="4"/>
    <n v="154.47"/>
    <n v="0"/>
    <s v="Online"/>
    <s v="Online"/>
    <s v="Gift Card"/>
    <s v="Gift Card"/>
    <s v="Montreal Central"/>
    <s v="Quebec"/>
    <s v="Consumer"/>
    <n v="102.57"/>
    <x v="0"/>
    <n v="617.88"/>
    <n v="0"/>
    <n v="617.88"/>
    <n v="410.28"/>
    <n v="207.60000000000002"/>
    <n v="0.33598757040201988"/>
    <x v="0"/>
    <s v=""/>
    <s v=""/>
    <s v=""/>
    <x v="0"/>
    <d v="2025-10-16T00:00:00"/>
  </r>
  <r>
    <x v="737"/>
    <s v="ORD-00300"/>
    <d v="2025-10-13T00:00:00"/>
    <s v="C0159"/>
    <s v="Yara Ali, Montreal, Consumer"/>
    <s v="Yara Ali"/>
    <s v="Montreal"/>
    <s v="Consumer"/>
    <n v="2"/>
    <s v="P035"/>
    <n v="4"/>
    <n v="251.17"/>
    <n v="0.15"/>
    <s v="Retail Store"/>
    <s v="Retail Store"/>
    <s v="Debit Card"/>
    <s v="Debit Card"/>
    <s v="Vancouver West"/>
    <s v="Quebec"/>
    <s v="Consumer"/>
    <n v="151.59"/>
    <x v="0"/>
    <n v="1004.68"/>
    <n v="150.702"/>
    <n v="853.97799999999995"/>
    <n v="606.36"/>
    <n v="247.61799999999994"/>
    <n v="0.28995828932361251"/>
    <x v="0"/>
    <s v=""/>
    <s v=""/>
    <s v=""/>
    <x v="0"/>
    <d v="2025-10-16T00:00:00"/>
  </r>
  <r>
    <x v="738"/>
    <s v="ORD-00300"/>
    <d v="2025-10-13T00:00:00"/>
    <s v="C0159"/>
    <s v="Yara Ali, Montreal, Consumer"/>
    <s v="Yara Ali"/>
    <s v="Montreal"/>
    <s v="Consumer"/>
    <n v="2"/>
    <s v="P021"/>
    <n v="4"/>
    <n v="25.01"/>
    <n v="0.05"/>
    <s v="Market place"/>
    <s v="Marketplace"/>
    <s v="Debit Card"/>
    <s v="Debit Card"/>
    <s v="Vancouver West"/>
    <s v="Quebec"/>
    <s v="Consumer"/>
    <n v="16.86"/>
    <x v="2"/>
    <n v="100.04"/>
    <n v="5.0020000000000007"/>
    <n v="95.038000000000011"/>
    <n v="67.44"/>
    <n v="27.598000000000013"/>
    <n v="0.29038910751488889"/>
    <x v="0"/>
    <s v=""/>
    <s v=""/>
    <s v=""/>
    <x v="0"/>
    <d v="2025-10-16T00:00:00"/>
  </r>
  <r>
    <x v="739"/>
    <s v="ORD-00300"/>
    <d v="2025-10-13T00:00:00"/>
    <s v="C0159"/>
    <s v="Yara Ali, Montreal, Consumer"/>
    <s v="Yara Ali"/>
    <s v="Montreal"/>
    <s v="Consumer"/>
    <n v="2"/>
    <s v="P045"/>
    <n v="2"/>
    <n v="72.81"/>
    <n v="0.1"/>
    <s v="Marketplace"/>
    <s v="Marketplace"/>
    <s v="PayPal"/>
    <s v="PayPal"/>
    <s v="Toronto Downtown"/>
    <s v="Quebec"/>
    <s v="Consumer"/>
    <n v="37.99"/>
    <x v="1"/>
    <n v="145.62"/>
    <n v="14.562000000000001"/>
    <n v="131.05799999999999"/>
    <n v="75.98"/>
    <n v="55.077999999999989"/>
    <n v="0.42025668024843954"/>
    <x v="0"/>
    <s v=""/>
    <s v=""/>
    <s v=""/>
    <x v="0"/>
    <d v="2025-10-16T00:00:00"/>
  </r>
  <r>
    <x v="740"/>
    <s v="ORD-00301"/>
    <d v="2025-11-08T00:00:00"/>
    <s v="C0175"/>
    <s v="Emma Martin, Vancouver, Consumer"/>
    <s v="Emma Martin"/>
    <s v="Vancouver"/>
    <s v="Consumer"/>
    <n v="2"/>
    <s v="P018"/>
    <n v="3"/>
    <n v="142.16"/>
    <n v="0.05"/>
    <s v="Online"/>
    <s v="Online"/>
    <s v="Credit Card"/>
    <s v="Credit Card"/>
    <s v="Vancouver West"/>
    <s v="British Columbia"/>
    <s v="Consumer"/>
    <n v="85.34"/>
    <x v="4"/>
    <n v="426.48"/>
    <n v="21.324000000000002"/>
    <n v="405.15600000000001"/>
    <n v="256.02"/>
    <n v="149.13600000000002"/>
    <n v="0.36809525219915296"/>
    <x v="0"/>
    <s v=""/>
    <s v=""/>
    <s v=""/>
    <x v="1"/>
    <d v="2025-11-17T00:00:00"/>
  </r>
  <r>
    <x v="741"/>
    <s v="ORD-00302"/>
    <d v="2025-11-03T00:00:00"/>
    <s v="C0036"/>
    <s v="Liam Khan, Vancouver, Corporate"/>
    <s v="Liam Khan"/>
    <s v="Vancouver"/>
    <s v="Corporate"/>
    <n v="2"/>
    <s v="P041"/>
    <n v="2"/>
    <n v="238.47"/>
    <n v="0"/>
    <s v="Online"/>
    <s v="Online"/>
    <s v="PayPal"/>
    <s v="PayPal"/>
    <s v="Montreal Central"/>
    <s v="British Columbia"/>
    <s v="Corporate"/>
    <n v="127.65"/>
    <x v="1"/>
    <n v="476.94"/>
    <n v="0"/>
    <n v="476.94"/>
    <n v="255.3"/>
    <n v="221.64"/>
    <n v="0.46471254245817079"/>
    <x v="1"/>
    <s v="Damaged"/>
    <d v="2025-11-24T00:00:00"/>
    <s v="Refunded"/>
    <x v="1"/>
    <d v="2025-11-10T00:00:00"/>
  </r>
  <r>
    <x v="742"/>
    <s v="ORD-00303"/>
    <d v="2025-05-19T00:00:00"/>
    <s v="C0131"/>
    <s v="Sofia Wilson, Montreal, Small Business"/>
    <s v="Sofia Wilson"/>
    <s v="Montreal"/>
    <s v="Small Business"/>
    <n v="2"/>
    <s v="P043"/>
    <n v="3"/>
    <n v="96.33"/>
    <n v="0"/>
    <s v="Retail Store"/>
    <s v="Retail Store"/>
    <s v="Credit Card"/>
    <s v="Credit Card"/>
    <s v="Toronto Downtown"/>
    <s v="Quebec"/>
    <s v="Small Business"/>
    <n v="57.85"/>
    <x v="1"/>
    <n v="288.99"/>
    <n v="0"/>
    <n v="288.99"/>
    <n v="173.55"/>
    <n v="115.44"/>
    <n v="0.39946018893387314"/>
    <x v="0"/>
    <s v=""/>
    <s v=""/>
    <s v=""/>
    <x v="0"/>
    <d v="2025-05-24T00:00:00"/>
  </r>
  <r>
    <x v="743"/>
    <s v="ORD-00303"/>
    <d v="2025-05-19T00:00:00"/>
    <s v="C0131"/>
    <s v="Sofia Wilson, Montreal, Small Business"/>
    <s v="Sofia Wilson"/>
    <s v="Montreal"/>
    <s v="Small Business"/>
    <n v="2"/>
    <s v="P041"/>
    <n v="1"/>
    <n v="238.47"/>
    <n v="0.05"/>
    <s v="Online"/>
    <s v="Online"/>
    <m/>
    <s v="Unknown"/>
    <s v="Toronto Downtown"/>
    <s v="Quebec"/>
    <s v="Small Business"/>
    <n v="127.65"/>
    <x v="1"/>
    <n v="238.47"/>
    <n v="11.923500000000001"/>
    <n v="226.54650000000001"/>
    <n v="127.65"/>
    <n v="98.896500000000003"/>
    <n v="0.43653951837702193"/>
    <x v="0"/>
    <s v=""/>
    <s v=""/>
    <s v=""/>
    <x v="0"/>
    <d v="2025-05-24T00:00:00"/>
  </r>
  <r>
    <x v="744"/>
    <s v="ORD-00303"/>
    <d v="2025-05-19T00:00:00"/>
    <s v="C0131"/>
    <s v="Sofia Wilson, Montreal, Small Business"/>
    <s v="Sofia Wilson"/>
    <s v="Montreal"/>
    <s v="Small Business"/>
    <n v="2"/>
    <s v="P003"/>
    <n v="1"/>
    <n v="265.73"/>
    <n v="0"/>
    <s v="Online"/>
    <s v="Online"/>
    <s v="Gift Card"/>
    <s v="Gift Card"/>
    <s v="Online Fulfillment"/>
    <s v="Quebec"/>
    <s v="Small Business"/>
    <n v="154.16999999999999"/>
    <x v="3"/>
    <n v="265.73"/>
    <n v="0"/>
    <n v="265.73"/>
    <n v="154.16999999999999"/>
    <n v="111.56000000000003"/>
    <n v="0.41982463402701997"/>
    <x v="0"/>
    <s v=""/>
    <s v=""/>
    <s v=""/>
    <x v="0"/>
    <d v="2025-05-24T00:00:00"/>
  </r>
  <r>
    <x v="745"/>
    <s v="ORD-00303"/>
    <d v="2025-05-19T00:00:00"/>
    <s v="C0131"/>
    <s v="Sofia Wilson, Montreal, Small Business"/>
    <s v="Sofia Wilson"/>
    <s v="Montreal"/>
    <s v="Small Business"/>
    <n v="2"/>
    <s v="P047"/>
    <n v="1"/>
    <n v="228.81"/>
    <n v="0"/>
    <s v="Market place"/>
    <s v="Marketplace"/>
    <s v="PayPal"/>
    <s v="PayPal"/>
    <s v="Vancouver West"/>
    <s v="Quebec"/>
    <s v="Small Business"/>
    <n v="130.9"/>
    <x v="1"/>
    <n v="228.81"/>
    <n v="0"/>
    <n v="228.81"/>
    <n v="130.9"/>
    <n v="97.91"/>
    <n v="0.42790961933481925"/>
    <x v="1"/>
    <s v="Damaged"/>
    <d v="2025-06-11T00:00:00"/>
    <s v="Refunded"/>
    <x v="0"/>
    <d v="2025-05-24T00:00:00"/>
  </r>
  <r>
    <x v="746"/>
    <s v="ORD-00304"/>
    <d v="2025-06-19T00:00:00"/>
    <s v="C0118"/>
    <s v="Adam Gagnon, Toronto, Corporate"/>
    <s v="Adam Gagnon"/>
    <s v="Toronto"/>
    <s v="Corporate"/>
    <n v="2"/>
    <s v="P026"/>
    <n v="4"/>
    <n v="228.91"/>
    <n v="0.05"/>
    <s v="Market place"/>
    <s v="Marketplace"/>
    <s v="Debit Card"/>
    <s v="Debit Card"/>
    <s v="Vancouver West"/>
    <s v="Ontario"/>
    <s v="Corporate"/>
    <n v="149.4"/>
    <x v="2"/>
    <n v="915.64"/>
    <n v="45.782000000000004"/>
    <n v="869.85799999999995"/>
    <n v="597.6"/>
    <n v="272.25799999999992"/>
    <n v="0.312991315823962"/>
    <x v="1"/>
    <s v="Late Delivery"/>
    <d v="2025-07-11T00:00:00"/>
    <s v="Refunded"/>
    <x v="1"/>
    <d v="2025-06-28T00:00:00"/>
  </r>
  <r>
    <x v="747"/>
    <s v="ORD-00304"/>
    <d v="2025-06-19T00:00:00"/>
    <s v="C0118"/>
    <s v="Adam Gagnon, Toronto, Corporate"/>
    <s v="Adam Gagnon"/>
    <s v="Toronto"/>
    <s v="Corporate"/>
    <n v="2"/>
    <s v="P016"/>
    <n v="4"/>
    <n v="103.3"/>
    <n v="0"/>
    <s v="Market place"/>
    <s v="Marketplace"/>
    <m/>
    <s v="Unknown"/>
    <s v="Montreal Central"/>
    <s v="Ontario"/>
    <s v="Corporate"/>
    <n v="70.180000000000007"/>
    <x v="4"/>
    <n v="413.2"/>
    <n v="0"/>
    <n v="413.2"/>
    <n v="280.72000000000003"/>
    <n v="132.47999999999996"/>
    <n v="0.32061955469506281"/>
    <x v="0"/>
    <s v=""/>
    <s v=""/>
    <s v=""/>
    <x v="1"/>
    <d v="2025-06-28T00:00:00"/>
  </r>
  <r>
    <x v="748"/>
    <s v="ORD-00304"/>
    <d v="2025-06-19T00:00:00"/>
    <s v="C0118"/>
    <s v="Adam Gagnon, Toronto, Corporate"/>
    <s v="Adam Gagnon"/>
    <s v="Toronto"/>
    <s v="Corporate"/>
    <n v="2"/>
    <s v="P009"/>
    <n v="3"/>
    <n v="147.46"/>
    <n v="0.05"/>
    <s v="Market place"/>
    <s v="Marketplace"/>
    <s v="CC"/>
    <s v="Credit Card"/>
    <s v="Vancouver West"/>
    <s v="Ontario"/>
    <s v="Corporate"/>
    <n v="100.95"/>
    <x v="3"/>
    <n v="442.38"/>
    <n v="22.119"/>
    <n v="420.26099999999997"/>
    <n v="302.85000000000002"/>
    <n v="117.41099999999994"/>
    <n v="0.2793763875306059"/>
    <x v="0"/>
    <s v=""/>
    <s v=""/>
    <s v=""/>
    <x v="1"/>
    <d v="2025-06-28T00:00:00"/>
  </r>
  <r>
    <x v="749"/>
    <s v="ORD-00305"/>
    <d v="2025-05-25T00:00:00"/>
    <s v="C0175"/>
    <s v="Emma Martin, Vancouver, Consumer"/>
    <s v="Emma Martin"/>
    <s v="Vancouver"/>
    <s v="Consumer"/>
    <n v="2"/>
    <s v="P027"/>
    <n v="2"/>
    <n v="244.25"/>
    <n v="0"/>
    <s v="Online"/>
    <s v="Online"/>
    <s v="Debit Card"/>
    <s v="Debit Card"/>
    <s v="Calgary North"/>
    <s v="British Columbia"/>
    <s v="Consumer"/>
    <n v="150.96"/>
    <x v="2"/>
    <n v="488.5"/>
    <n v="0"/>
    <n v="488.5"/>
    <n v="301.92"/>
    <n v="186.57999999999998"/>
    <n v="0.38194472876151481"/>
    <x v="0"/>
    <s v=""/>
    <s v=""/>
    <s v=""/>
    <x v="0"/>
    <d v="2025-05-28T00:00:00"/>
  </r>
  <r>
    <x v="750"/>
    <s v="ORD-00305"/>
    <d v="2025-05-25T00:00:00"/>
    <s v="C0175"/>
    <s v="Emma Martin, Vancouver, Consumer"/>
    <s v="Emma Martin"/>
    <s v="Vancouver"/>
    <s v="Consumer"/>
    <n v="2"/>
    <s v="P007"/>
    <n v="2"/>
    <n v="25.15"/>
    <n v="0.1"/>
    <s v="Marketplace"/>
    <s v="Marketplace"/>
    <s v="Gift Card"/>
    <s v="Gift Card"/>
    <s v="Online Fulfillment"/>
    <s v="British Columbia"/>
    <s v="Consumer"/>
    <n v="14.24"/>
    <x v="3"/>
    <n v="50.3"/>
    <n v="5.03"/>
    <n v="45.269999999999996"/>
    <n v="28.48"/>
    <n v="16.789999999999996"/>
    <n v="0.37088579633311236"/>
    <x v="0"/>
    <s v=""/>
    <s v=""/>
    <s v=""/>
    <x v="0"/>
    <d v="2025-05-28T00:00:00"/>
  </r>
  <r>
    <x v="751"/>
    <s v="ORD-00305"/>
    <d v="2025-05-25T00:00:00"/>
    <s v="C0175"/>
    <s v="Emma Martin, Vancouver, Consumer"/>
    <s v="Emma Martin"/>
    <s v="Vancouver"/>
    <s v="Consumer"/>
    <n v="2"/>
    <s v="P046"/>
    <n v="4"/>
    <n v="180.37"/>
    <n v="0.05"/>
    <s v="Online"/>
    <s v="Online"/>
    <s v="Gift Card"/>
    <s v="Gift Card"/>
    <s v="Toronto Downtown"/>
    <s v="British Columbia"/>
    <s v="Consumer"/>
    <n v="107.55"/>
    <x v="1"/>
    <n v="721.48"/>
    <n v="36.074000000000005"/>
    <n v="685.40600000000006"/>
    <n v="430.2"/>
    <n v="255.20600000000007"/>
    <n v="0.37234281579093276"/>
    <x v="0"/>
    <s v=""/>
    <s v=""/>
    <s v=""/>
    <x v="0"/>
    <d v="2025-05-28T00:00:00"/>
  </r>
  <r>
    <x v="752"/>
    <s v="ORD-00306"/>
    <d v="2025-06-20T00:00:00"/>
    <s v="C0178"/>
    <s v="Daniel Johnson, Edmonton, Corporate"/>
    <s v="Daniel Johnson"/>
    <s v="Edmonton"/>
    <s v="Corporate"/>
    <n v="2"/>
    <s v="P042"/>
    <n v="1"/>
    <n v="102.78"/>
    <n v="0"/>
    <s v="Market place"/>
    <s v="Marketplace"/>
    <s v="Credit Card"/>
    <s v="Credit Card"/>
    <s v="Montreal Central"/>
    <s v="Alberta"/>
    <s v="Corporate"/>
    <n v="62.65"/>
    <x v="1"/>
    <n v="102.78"/>
    <n v="0"/>
    <n v="102.78"/>
    <n v="62.65"/>
    <n v="40.130000000000003"/>
    <n v="0.39044561198676786"/>
    <x v="0"/>
    <s v=""/>
    <s v=""/>
    <s v=""/>
    <x v="1"/>
    <d v="2025-06-26T00:00:00"/>
  </r>
  <r>
    <x v="753"/>
    <s v="ORD-00306"/>
    <d v="2025-06-20T00:00:00"/>
    <s v="C0178"/>
    <s v="Daniel Johnson, Edmonton, Corporate"/>
    <s v="Daniel Johnson"/>
    <s v="Edmonton"/>
    <s v="Corporate"/>
    <n v="2"/>
    <s v="P008"/>
    <n v="4"/>
    <n v="110.88"/>
    <n v="0.15"/>
    <s v="Marketplace"/>
    <s v="Marketplace"/>
    <s v="Debit Card"/>
    <s v="Debit Card"/>
    <s v="Online Fulfillment"/>
    <s v="Alberta"/>
    <s v="Corporate"/>
    <n v="57.09"/>
    <x v="3"/>
    <n v="443.52"/>
    <n v="66.527999999999992"/>
    <n v="376.99199999999996"/>
    <n v="228.36"/>
    <n v="148.63199999999995"/>
    <n v="0.39425770308123237"/>
    <x v="0"/>
    <s v=""/>
    <s v=""/>
    <s v=""/>
    <x v="1"/>
    <d v="2025-06-26T00:00:00"/>
  </r>
  <r>
    <x v="754"/>
    <s v="ORD-00307"/>
    <d v="2025-10-27T00:00:00"/>
    <s v="C0075"/>
    <s v="Sara Tremblay, Winnipeg, Corporate"/>
    <s v="Sara Tremblay"/>
    <s v="Winnipeg"/>
    <s v="Corporate"/>
    <n v="2"/>
    <s v="P002"/>
    <n v="2"/>
    <n v="105.38"/>
    <n v="0.1"/>
    <s v="Online"/>
    <s v="Online"/>
    <s v="CC"/>
    <s v="Credit Card"/>
    <s v="Vancouver West"/>
    <s v="Manitoba"/>
    <s v="Corporate"/>
    <n v="67.290000000000006"/>
    <x v="3"/>
    <n v="210.76"/>
    <n v="21.076000000000001"/>
    <n v="189.684"/>
    <n v="134.58000000000001"/>
    <n v="55.103999999999985"/>
    <n v="0.29050420699690005"/>
    <x v="0"/>
    <s v=""/>
    <s v=""/>
    <s v=""/>
    <x v="1"/>
    <d v="2025-11-03T00:00:00"/>
  </r>
  <r>
    <x v="755"/>
    <s v="ORD-00307"/>
    <d v="2025-10-27T00:00:00"/>
    <s v="C0075"/>
    <s v="Sara Tremblay, Winnipeg, Corporate"/>
    <s v="Sara Tremblay"/>
    <s v="Winnipeg"/>
    <s v="Corporate"/>
    <n v="2"/>
    <s v="P022"/>
    <n v="1"/>
    <n v="61.81"/>
    <n v="0"/>
    <s v="Online"/>
    <s v="Online"/>
    <s v="Debit Card"/>
    <s v="Debit Card"/>
    <s v="Montreal Central"/>
    <s v="Manitoba"/>
    <s v="Corporate"/>
    <n v="33.19"/>
    <x v="2"/>
    <n v="61.81"/>
    <n v="0"/>
    <n v="61.81"/>
    <n v="33.19"/>
    <n v="28.620000000000005"/>
    <n v="0.46303187186539402"/>
    <x v="0"/>
    <s v=""/>
    <s v=""/>
    <s v=""/>
    <x v="1"/>
    <d v="2025-11-03T00:00:00"/>
  </r>
  <r>
    <x v="756"/>
    <s v="ORD-00308"/>
    <d v="2025-10-28T00:00:00"/>
    <s v="C0117"/>
    <s v="Maya Brown, Ottawa, Small Business"/>
    <s v="Maya Brown"/>
    <s v="Ottawa"/>
    <s v="Small Business"/>
    <n v="2"/>
    <s v="P020"/>
    <n v="3"/>
    <n v="56.99"/>
    <n v="0.15"/>
    <s v="Retail Store"/>
    <s v="Retail Store"/>
    <s v="CC"/>
    <s v="Credit Card"/>
    <s v="Calgary North"/>
    <s v="Ontario"/>
    <s v="Small Business"/>
    <n v="33.65"/>
    <x v="4"/>
    <n v="170.97"/>
    <n v="25.645499999999998"/>
    <n v="145.3245"/>
    <n v="100.94999999999999"/>
    <n v="44.374500000000012"/>
    <n v="0.30534768741678114"/>
    <x v="0"/>
    <s v=""/>
    <s v=""/>
    <s v=""/>
    <x v="1"/>
    <d v="2025-11-05T00:00:00"/>
  </r>
  <r>
    <x v="757"/>
    <s v="ORD-00309"/>
    <d v="2025-04-09T00:00:00"/>
    <s v="C0014"/>
    <s v="Liam Singh, Calgary, Corporate"/>
    <s v="Liam Singh"/>
    <s v="Calgary"/>
    <s v="Corporate"/>
    <n v="2"/>
    <s v="P015"/>
    <n v="1"/>
    <n v="273.89"/>
    <n v="0"/>
    <s v="Online"/>
    <s v="Online"/>
    <m/>
    <s v="Unknown"/>
    <s v="Vancouver West"/>
    <s v="Alberta"/>
    <s v="Corporate"/>
    <n v="140.66999999999999"/>
    <x v="4"/>
    <n v="273.89"/>
    <n v="0"/>
    <n v="273.89"/>
    <n v="140.66999999999999"/>
    <n v="133.22"/>
    <n v="0.48639964949432257"/>
    <x v="0"/>
    <s v=""/>
    <s v=""/>
    <s v=""/>
    <x v="1"/>
    <d v="2025-04-19T00:00:00"/>
  </r>
  <r>
    <x v="758"/>
    <s v="ORD-00309"/>
    <d v="2025-04-09T00:00:00"/>
    <s v="C0014"/>
    <s v="Liam Singh, Calgary, Corporate"/>
    <s v="Liam Singh"/>
    <s v="Calgary"/>
    <s v="Corporate"/>
    <n v="2"/>
    <s v="P019"/>
    <n v="3"/>
    <n v="183.73"/>
    <n v="0.15"/>
    <s v="Market place"/>
    <s v="Marketplace"/>
    <s v="Debit Card"/>
    <s v="Debit Card"/>
    <s v="Vancouver West"/>
    <s v="Alberta"/>
    <s v="Corporate"/>
    <n v="98.11"/>
    <x v="4"/>
    <n v="551.18999999999994"/>
    <n v="82.678499999999985"/>
    <n v="468.51149999999996"/>
    <n v="294.33"/>
    <n v="174.18149999999997"/>
    <n v="0.37177635981187224"/>
    <x v="0"/>
    <s v=""/>
    <s v=""/>
    <s v=""/>
    <x v="1"/>
    <d v="2025-04-19T00:00:00"/>
  </r>
  <r>
    <x v="759"/>
    <s v="ORD-00310"/>
    <d v="2025-12-02T00:00:00"/>
    <s v="C0062"/>
    <s v="Emma Tremblay, Calgary, Consumer"/>
    <s v="Emma Tremblay"/>
    <s v="Calgary"/>
    <s v="Consumer"/>
    <n v="2"/>
    <s v="P045"/>
    <n v="4"/>
    <n v="72.81"/>
    <n v="0.05"/>
    <s v="Marketplace"/>
    <s v="Marketplace"/>
    <s v="Gift Card"/>
    <s v="Gift Card"/>
    <s v="Montreal Central"/>
    <s v="Alberta"/>
    <s v="Consumer"/>
    <n v="37.99"/>
    <x v="1"/>
    <n v="291.24"/>
    <n v="14.562000000000001"/>
    <n v="276.678"/>
    <n v="151.96"/>
    <n v="124.71799999999999"/>
    <n v="0.45076948655115329"/>
    <x v="1"/>
    <s v="Changed Mind"/>
    <d v="2025-12-23T00:00:00"/>
    <s v="Refunded"/>
    <x v="1"/>
    <d v="2025-12-09T00:00:00"/>
  </r>
  <r>
    <x v="760"/>
    <s v="ORD-00310"/>
    <d v="2025-12-02T00:00:00"/>
    <s v="C0062"/>
    <s v="Emma Tremblay, Calgary, Consumer"/>
    <s v="Emma Tremblay"/>
    <s v="Calgary"/>
    <s v="Consumer"/>
    <n v="2"/>
    <s v="P033"/>
    <n v="3"/>
    <n v="160"/>
    <n v="0"/>
    <s v="Online"/>
    <s v="Online"/>
    <s v="Credit Card"/>
    <s v="Credit Card"/>
    <s v="Vancouver West"/>
    <s v="Alberta"/>
    <s v="Consumer"/>
    <n v="101.58"/>
    <x v="0"/>
    <n v="480"/>
    <n v="0"/>
    <n v="480"/>
    <n v="304.74"/>
    <n v="175.26"/>
    <n v="0.36512499999999998"/>
    <x v="0"/>
    <s v=""/>
    <s v=""/>
    <s v=""/>
    <x v="1"/>
    <d v="2025-12-09T00:00:00"/>
  </r>
  <r>
    <x v="761"/>
    <s v="ORD-00311"/>
    <d v="2025-08-04T00:00:00"/>
    <s v="C0091"/>
    <s v="Emma Ali, Edmonton, Small Business"/>
    <s v="Emma Ali"/>
    <s v="Edmonton"/>
    <s v="Small Business"/>
    <n v="2"/>
    <s v="P034"/>
    <n v="1"/>
    <n v="141.46"/>
    <n v="0"/>
    <s v="Retail  Store"/>
    <s v="Retail Store"/>
    <s v="CC"/>
    <s v="Credit Card"/>
    <s v="Toronto Downtown"/>
    <s v="Alberta"/>
    <s v="Small Business"/>
    <n v="78.650000000000006"/>
    <x v="0"/>
    <n v="141.46"/>
    <n v="0"/>
    <n v="141.46"/>
    <n v="78.650000000000006"/>
    <n v="62.81"/>
    <n v="0.44401244167962672"/>
    <x v="0"/>
    <s v=""/>
    <s v=""/>
    <s v=""/>
    <x v="0"/>
    <d v="2025-08-07T00:00:00"/>
  </r>
  <r>
    <x v="762"/>
    <s v="ORD-00311"/>
    <d v="2025-08-04T00:00:00"/>
    <s v="C0091"/>
    <s v="Emma Ali, Edmonton, Small Business"/>
    <s v="Emma Ali"/>
    <s v="Edmonton"/>
    <s v="Small Business"/>
    <n v="2"/>
    <s v="P033"/>
    <n v="4"/>
    <n v="160"/>
    <n v="0.1"/>
    <s v="Online"/>
    <s v="Online"/>
    <s v="Debit Card"/>
    <s v="Debit Card"/>
    <s v="Montreal Central"/>
    <s v="Alberta"/>
    <s v="Small Business"/>
    <n v="101.58"/>
    <x v="0"/>
    <n v="640"/>
    <n v="64"/>
    <n v="576"/>
    <n v="406.32"/>
    <n v="169.68"/>
    <n v="0.29458333333333336"/>
    <x v="0"/>
    <s v=""/>
    <s v=""/>
    <s v=""/>
    <x v="0"/>
    <d v="2025-08-07T00:00:00"/>
  </r>
  <r>
    <x v="763"/>
    <s v="ORD-00312"/>
    <d v="2025-02-10T00:00:00"/>
    <s v="C0012"/>
    <s v="Sofia Dubois, Quebec City, Corporate"/>
    <s v="Sofia Dubois"/>
    <s v="Quebec City"/>
    <s v="Corporate"/>
    <n v="2"/>
    <s v="P009"/>
    <n v="1"/>
    <n v="147.46"/>
    <n v="0.05"/>
    <s v="Online"/>
    <s v="Online"/>
    <s v="Debit Card"/>
    <s v="Debit Card"/>
    <s v="Montreal Central"/>
    <s v="Quebec"/>
    <s v="Corporate"/>
    <n v="100.95"/>
    <x v="3"/>
    <n v="147.46"/>
    <n v="7.3730000000000011"/>
    <n v="140.08700000000002"/>
    <n v="100.95"/>
    <n v="39.137000000000015"/>
    <n v="0.27937638753060606"/>
    <x v="0"/>
    <s v=""/>
    <s v=""/>
    <s v=""/>
    <x v="0"/>
    <d v="2025-02-14T00:00:00"/>
  </r>
  <r>
    <x v="764"/>
    <s v="ORD-00312"/>
    <d v="2025-02-10T00:00:00"/>
    <s v="C0012"/>
    <s v="Sofia Dubois, Quebec City, Corporate"/>
    <s v="Sofia Dubois"/>
    <s v="Quebec City"/>
    <s v="Corporate"/>
    <n v="2"/>
    <s v="P008"/>
    <n v="4"/>
    <n v="110.88"/>
    <n v="0.15"/>
    <s v="Retail Store"/>
    <s v="Retail Store"/>
    <m/>
    <s v="Unknown"/>
    <s v="Vancouver West"/>
    <s v="Quebec"/>
    <s v="Corporate"/>
    <n v="57.09"/>
    <x v="3"/>
    <n v="443.52"/>
    <n v="66.527999999999992"/>
    <n v="376.99199999999996"/>
    <n v="228.36"/>
    <n v="148.63199999999995"/>
    <n v="0.39425770308123237"/>
    <x v="0"/>
    <s v=""/>
    <s v=""/>
    <s v=""/>
    <x v="0"/>
    <d v="2025-02-14T00:00:00"/>
  </r>
  <r>
    <x v="765"/>
    <s v="ORD-00312"/>
    <d v="2025-02-10T00:00:00"/>
    <s v="C0012"/>
    <s v="Sofia Dubois, Quebec City, Corporate"/>
    <s v="Sofia Dubois"/>
    <s v="Quebec City"/>
    <s v="Corporate"/>
    <n v="2"/>
    <s v="P038"/>
    <n v="2"/>
    <n v="182.94"/>
    <n v="0.1"/>
    <s v="Market place"/>
    <s v="Marketplace"/>
    <s v="PayPal"/>
    <s v="PayPal"/>
    <s v="Montreal Central"/>
    <s v="Quebec"/>
    <s v="Corporate"/>
    <n v="118.95"/>
    <x v="0"/>
    <n v="365.88"/>
    <n v="36.588000000000001"/>
    <n v="329.29199999999997"/>
    <n v="237.9"/>
    <n v="91.391999999999967"/>
    <n v="0.27754090594366088"/>
    <x v="0"/>
    <s v=""/>
    <s v=""/>
    <s v=""/>
    <x v="0"/>
    <d v="2025-02-14T00:00:00"/>
  </r>
  <r>
    <x v="766"/>
    <s v="ORD-00313"/>
    <d v="2025-12-31T00:00:00"/>
    <s v="C0077"/>
    <s v="Yara Dubois, Ottawa, Consumer"/>
    <s v="Yara Dubois"/>
    <s v="Ottawa"/>
    <s v="Consumer"/>
    <n v="2"/>
    <s v="P034"/>
    <n v="1"/>
    <n v="141.46"/>
    <n v="0.1"/>
    <s v="Online"/>
    <s v="Online"/>
    <s v="CC"/>
    <s v="Credit Card"/>
    <s v="Montreal Central"/>
    <s v="Ontario"/>
    <s v="Consumer"/>
    <n v="78.650000000000006"/>
    <x v="0"/>
    <n v="141.46"/>
    <n v="14.146000000000001"/>
    <n v="127.31400000000001"/>
    <n v="78.650000000000006"/>
    <n v="48.664000000000001"/>
    <n v="0.38223604631069635"/>
    <x v="0"/>
    <s v=""/>
    <s v=""/>
    <s v=""/>
    <x v="1"/>
    <d v="2026-01-10T00:00:00"/>
  </r>
  <r>
    <x v="767"/>
    <s v="ORD-00313"/>
    <d v="2025-12-31T00:00:00"/>
    <s v="C0077"/>
    <s v="Yara Dubois, Ottawa, Consumer"/>
    <s v="Yara Dubois"/>
    <s v="Ottawa"/>
    <s v="Consumer"/>
    <n v="2"/>
    <s v="P017"/>
    <n v="2"/>
    <n v="234.37"/>
    <n v="0.1"/>
    <s v="Market place"/>
    <s v="Marketplace"/>
    <s v="Debit Card"/>
    <s v="Debit Card"/>
    <s v="Montreal Central"/>
    <s v="Ontario"/>
    <s v="Consumer"/>
    <n v="129.41999999999999"/>
    <x v="4"/>
    <n v="468.74"/>
    <n v="46.874000000000002"/>
    <n v="421.86599999999999"/>
    <n v="258.83999999999997"/>
    <n v="163.02600000000001"/>
    <n v="0.38644024405853994"/>
    <x v="0"/>
    <s v=""/>
    <s v=""/>
    <s v=""/>
    <x v="1"/>
    <d v="2026-01-10T00:00:00"/>
  </r>
  <r>
    <x v="768"/>
    <s v="ORD-00314"/>
    <d v="2025-10-13T00:00:00"/>
    <s v="C0092"/>
    <s v="Adam Gagnon, Edmonton, Consumer"/>
    <s v="Adam Gagnon"/>
    <s v="Edmonton"/>
    <s v="Consumer"/>
    <n v="2"/>
    <s v="P043"/>
    <n v="1"/>
    <n v="96.33"/>
    <n v="0"/>
    <s v="Online"/>
    <s v="Online"/>
    <s v="Credit Card"/>
    <s v="Credit Card"/>
    <s v="Online Fulfillment"/>
    <s v="Alberta"/>
    <s v="Consumer"/>
    <n v="57.85"/>
    <x v="1"/>
    <n v="96.33"/>
    <n v="0"/>
    <n v="96.33"/>
    <n v="57.85"/>
    <n v="38.479999999999997"/>
    <n v="0.39946018893387314"/>
    <x v="0"/>
    <s v=""/>
    <s v=""/>
    <s v=""/>
    <x v="1"/>
    <d v="2025-10-18T00:00:00"/>
  </r>
  <r>
    <x v="769"/>
    <s v="ORD-00315"/>
    <d v="2025-09-27T00:00:00"/>
    <s v="C0114"/>
    <s v="Yara Brown, Toronto, Corporate"/>
    <s v="Yara Brown"/>
    <s v="Toronto"/>
    <s v="Corporate"/>
    <n v="2"/>
    <s v="P012"/>
    <n v="2"/>
    <n v="186.92"/>
    <n v="0"/>
    <s v="Retail Store"/>
    <s v="Retail Store"/>
    <s v="PayPal"/>
    <s v="PayPal"/>
    <s v="Vancouver West"/>
    <s v="Ontario"/>
    <s v="Corporate"/>
    <n v="114.11"/>
    <x v="4"/>
    <n v="373.84"/>
    <n v="0"/>
    <n v="373.84"/>
    <n v="228.22"/>
    <n v="145.61999999999998"/>
    <n v="0.38952493045153003"/>
    <x v="1"/>
    <s v="Wrong Item"/>
    <d v="2025-10-24T00:00:00"/>
    <s v="Pending"/>
    <x v="1"/>
    <d v="2025-10-06T00:00:00"/>
  </r>
  <r>
    <x v="770"/>
    <s v="ORD-00315"/>
    <d v="2025-09-27T00:00:00"/>
    <s v="C0114"/>
    <s v="Yara Brown, Toronto, Corporate"/>
    <s v="Yara Brown"/>
    <s v="Toronto"/>
    <s v="Corporate"/>
    <n v="2"/>
    <s v="P034"/>
    <n v="2"/>
    <n v="141.46"/>
    <n v="0.15"/>
    <s v="Online"/>
    <s v="Online"/>
    <s v="Credit Card"/>
    <s v="Credit Card"/>
    <s v="Online Fulfillment"/>
    <s v="Ontario"/>
    <s v="Corporate"/>
    <n v="78.650000000000006"/>
    <x v="0"/>
    <n v="282.92"/>
    <n v="42.438000000000002"/>
    <n v="240.48200000000003"/>
    <n v="157.30000000000001"/>
    <n v="83.182000000000016"/>
    <n v="0.34589699021132564"/>
    <x v="1"/>
    <s v="Damaged"/>
    <d v="2025-10-11T00:00:00"/>
    <s v="Pending"/>
    <x v="1"/>
    <d v="2025-10-06T00:00:00"/>
  </r>
  <r>
    <x v="771"/>
    <s v="ORD-00316"/>
    <d v="2025-11-27T00:00:00"/>
    <s v="C0098"/>
    <s v="Ethan Johnson, Winnipeg, Small Business"/>
    <s v="Ethan Johnson"/>
    <s v="Winnipeg"/>
    <s v="Small Business"/>
    <n v="2"/>
    <s v="P022"/>
    <n v="1"/>
    <n v="61.81"/>
    <n v="0"/>
    <s v="Retail Store"/>
    <s v="Retail Store"/>
    <s v="Debit Card"/>
    <s v="Debit Card"/>
    <s v="Montreal Central"/>
    <s v="Manitoba"/>
    <s v="Small Business"/>
    <n v="33.19"/>
    <x v="2"/>
    <n v="61.81"/>
    <n v="0"/>
    <n v="61.81"/>
    <n v="33.19"/>
    <n v="28.620000000000005"/>
    <n v="0.46303187186539402"/>
    <x v="0"/>
    <s v=""/>
    <s v=""/>
    <s v=""/>
    <x v="0"/>
    <d v="2025-11-30T00:00:00"/>
  </r>
  <r>
    <x v="772"/>
    <s v="ORD-00316"/>
    <d v="2025-11-27T00:00:00"/>
    <s v="C0098"/>
    <s v="Ethan Johnson, Winnipeg, Small Business"/>
    <s v="Ethan Johnson"/>
    <s v="Winnipeg"/>
    <s v="Small Business"/>
    <n v="2"/>
    <s v="P037"/>
    <n v="1"/>
    <n v="236.51"/>
    <n v="0"/>
    <s v="Retail Store"/>
    <s v="Retail Store"/>
    <s v="CC"/>
    <s v="Credit Card"/>
    <s v="Toronto Downtown"/>
    <s v="Manitoba"/>
    <s v="Small Business"/>
    <n v="142.84"/>
    <x v="0"/>
    <n v="236.51"/>
    <n v="0"/>
    <n v="236.51"/>
    <n v="142.84"/>
    <n v="93.669999999999987"/>
    <n v="0.39605090693839579"/>
    <x v="0"/>
    <s v=""/>
    <s v=""/>
    <s v=""/>
    <x v="0"/>
    <d v="2025-11-30T00:00:00"/>
  </r>
  <r>
    <x v="773"/>
    <s v="ORD-00316"/>
    <d v="2025-11-27T00:00:00"/>
    <s v="C0098"/>
    <s v="Ethan Johnson, Winnipeg, Small Business"/>
    <s v="Ethan Johnson"/>
    <s v="Winnipeg"/>
    <s v="Small Business"/>
    <n v="2"/>
    <s v="P040"/>
    <n v="1"/>
    <n v="33.369999999999997"/>
    <n v="0"/>
    <s v="Market place"/>
    <s v="Marketplace"/>
    <m/>
    <s v="Unknown"/>
    <s v="Montreal Central"/>
    <s v="Manitoba"/>
    <s v="Small Business"/>
    <n v="18.670000000000002"/>
    <x v="0"/>
    <n v="33.369999999999997"/>
    <n v="0"/>
    <n v="33.369999999999997"/>
    <n v="18.670000000000002"/>
    <n v="14.699999999999996"/>
    <n v="0.44051543302367385"/>
    <x v="0"/>
    <s v=""/>
    <s v=""/>
    <s v=""/>
    <x v="0"/>
    <d v="2025-11-30T00:00:00"/>
  </r>
  <r>
    <x v="774"/>
    <s v="ORD-00316"/>
    <d v="2025-11-27T00:00:00"/>
    <s v="C0098"/>
    <s v="Ethan Johnson, Winnipeg, Small Business"/>
    <s v="Ethan Johnson"/>
    <s v="Winnipeg"/>
    <s v="Small Business"/>
    <n v="2"/>
    <s v="P039"/>
    <n v="3"/>
    <n v="154.47"/>
    <n v="0"/>
    <s v="Retail  Store"/>
    <s v="Retail Store"/>
    <s v="Debit Card"/>
    <s v="Debit Card"/>
    <s v="Vancouver West"/>
    <s v="Manitoba"/>
    <s v="Small Business"/>
    <n v="102.57"/>
    <x v="0"/>
    <n v="463.40999999999997"/>
    <n v="0"/>
    <n v="463.40999999999997"/>
    <n v="307.70999999999998"/>
    <n v="155.69999999999999"/>
    <n v="0.33598757040201982"/>
    <x v="0"/>
    <s v=""/>
    <s v=""/>
    <s v=""/>
    <x v="0"/>
    <d v="2025-11-30T00:00:00"/>
  </r>
  <r>
    <x v="775"/>
    <s v="ORD-00317"/>
    <d v="2025-04-20T00:00:00"/>
    <s v="C0160"/>
    <s v="Yara Johnson, Victoria, Corporate"/>
    <s v="Yara Johnson"/>
    <s v="Victoria"/>
    <s v="Corporate"/>
    <n v="2"/>
    <s v="P017"/>
    <n v="1"/>
    <n v="234.37"/>
    <n v="0"/>
    <s v="Online"/>
    <s v="Online"/>
    <s v="Gift Card"/>
    <s v="Gift Card"/>
    <s v="Calgary North"/>
    <s v="British Columbia"/>
    <s v="Corporate"/>
    <n v="129.41999999999999"/>
    <x v="4"/>
    <n v="234.37"/>
    <n v="0"/>
    <n v="234.37"/>
    <n v="129.41999999999999"/>
    <n v="104.95000000000002"/>
    <n v="0.44779621965268601"/>
    <x v="0"/>
    <s v=""/>
    <s v=""/>
    <s v=""/>
    <x v="0"/>
    <d v="2025-04-22T00:00:00"/>
  </r>
  <r>
    <x v="776"/>
    <s v="ORD-00317"/>
    <d v="2025-04-20T00:00:00"/>
    <s v="C0160"/>
    <s v="Yara Johnson, Victoria, Corporate"/>
    <s v="Yara Johnson"/>
    <s v="Victoria"/>
    <s v="Corporate"/>
    <n v="2"/>
    <s v="P024"/>
    <n v="4"/>
    <n v="263.04000000000002"/>
    <n v="0.15"/>
    <s v="Retail  Store"/>
    <s v="Retail Store"/>
    <m/>
    <s v="Unknown"/>
    <s v="Calgary North"/>
    <s v="British Columbia"/>
    <s v="Corporate"/>
    <n v="161.84"/>
    <x v="2"/>
    <n v="1052.1600000000001"/>
    <n v="157.82400000000001"/>
    <n v="894.33600000000001"/>
    <n v="647.36"/>
    <n v="246.976"/>
    <n v="0.27615571776155717"/>
    <x v="0"/>
    <s v=""/>
    <s v=""/>
    <s v=""/>
    <x v="0"/>
    <d v="2025-04-22T00:00:00"/>
  </r>
  <r>
    <x v="777"/>
    <s v="ORD-00317"/>
    <d v="2025-04-20T00:00:00"/>
    <s v="C0160"/>
    <s v="Yara Johnson, Victoria, Corporate"/>
    <s v="Yara Johnson"/>
    <s v="Victoria"/>
    <s v="Corporate"/>
    <n v="2"/>
    <s v="P047"/>
    <n v="3"/>
    <n v="228.81"/>
    <n v="0"/>
    <s v="Retail  Store"/>
    <s v="Retail Store"/>
    <s v="PayPal"/>
    <s v="PayPal"/>
    <s v="Calgary North"/>
    <s v="British Columbia"/>
    <s v="Corporate"/>
    <n v="130.9"/>
    <x v="1"/>
    <n v="686.43000000000006"/>
    <n v="0"/>
    <n v="686.43000000000006"/>
    <n v="392.70000000000005"/>
    <n v="293.73"/>
    <n v="0.42790961933481925"/>
    <x v="0"/>
    <s v=""/>
    <s v=""/>
    <s v=""/>
    <x v="0"/>
    <d v="2025-04-22T00:00:00"/>
  </r>
  <r>
    <x v="778"/>
    <s v="ORD-00318"/>
    <d v="2025-08-04T00:00:00"/>
    <s v="c0095"/>
    <s v="Daniel Martin, Montreal, Consumer"/>
    <s v="Daniel Martin"/>
    <s v="Montreal"/>
    <s v="Consumer"/>
    <n v="2"/>
    <s v="P020"/>
    <n v="4"/>
    <n v="56.99"/>
    <n v="0.15"/>
    <s v="Retail  Store"/>
    <s v="Retail Store"/>
    <s v="Credit Card"/>
    <s v="Credit Card"/>
    <s v="Montreal Central"/>
    <s v="Quebec"/>
    <s v="Consumer"/>
    <n v="33.65"/>
    <x v="4"/>
    <n v="227.96"/>
    <n v="34.194000000000003"/>
    <n v="193.76600000000002"/>
    <n v="134.6"/>
    <n v="59.166000000000025"/>
    <n v="0.30534768741678114"/>
    <x v="0"/>
    <s v=""/>
    <s v=""/>
    <s v=""/>
    <x v="1"/>
    <d v="2025-08-11T00:00:00"/>
  </r>
  <r>
    <x v="779"/>
    <s v="ORD-00318"/>
    <d v="2025-08-04T00:00:00"/>
    <s v="C0095"/>
    <s v="Daniel Martin, Montreal, Consumer"/>
    <s v="Daniel Martin"/>
    <s v="Montreal"/>
    <s v="Consumer"/>
    <n v="2"/>
    <s v="P037"/>
    <n v="1"/>
    <n v="236.51"/>
    <n v="0"/>
    <s v="Online"/>
    <s v="Online"/>
    <m/>
    <s v="Unknown"/>
    <s v="Online Fulfillment"/>
    <s v="Quebec"/>
    <s v="Consumer"/>
    <n v="142.84"/>
    <x v="0"/>
    <n v="236.51"/>
    <n v="0"/>
    <n v="236.51"/>
    <n v="142.84"/>
    <n v="93.669999999999987"/>
    <n v="0.39605090693839579"/>
    <x v="0"/>
    <s v=""/>
    <s v=""/>
    <s v=""/>
    <x v="1"/>
    <d v="2025-08-11T00:00:00"/>
  </r>
  <r>
    <x v="780"/>
    <s v="ORD-00319"/>
    <d v="2025-11-16T00:00:00"/>
    <s v="C0060"/>
    <s v="Sara Singh, Calgary, Corporate"/>
    <s v="Sara Singh"/>
    <s v="Calgary"/>
    <s v="Corporate"/>
    <n v="2"/>
    <s v="P003"/>
    <n v="4"/>
    <n v="265.73"/>
    <n v="0.05"/>
    <s v="Marketplace"/>
    <s v="Marketplace"/>
    <s v="CC"/>
    <s v="Credit Card"/>
    <s v="Online Fulfillment"/>
    <s v="Alberta"/>
    <s v="Corporate"/>
    <n v="154.16999999999999"/>
    <x v="3"/>
    <n v="1062.92"/>
    <n v="53.146000000000008"/>
    <n v="1009.7740000000001"/>
    <n v="616.67999999999995"/>
    <n v="393.09400000000016"/>
    <n v="0.38928908844949478"/>
    <x v="0"/>
    <s v=""/>
    <s v=""/>
    <s v=""/>
    <x v="1"/>
    <d v="2025-11-26T00:00:00"/>
  </r>
  <r>
    <x v="781"/>
    <s v="ORD-00320"/>
    <d v="2025-09-25T00:00:00"/>
    <s v="C0036"/>
    <s v="Liam Khan, Vancouver, Corporate"/>
    <s v="Liam Khan"/>
    <s v="Vancouver"/>
    <s v="Corporate"/>
    <n v="2"/>
    <s v="P021"/>
    <n v="4"/>
    <n v="25.01"/>
    <n v="0.15"/>
    <s v="Market place"/>
    <s v="Marketplace"/>
    <s v="PayPal"/>
    <s v="PayPal"/>
    <s v="Calgary North"/>
    <s v="British Columbia"/>
    <s v="Corporate"/>
    <n v="16.86"/>
    <x v="2"/>
    <n v="100.04"/>
    <n v="15.006"/>
    <n v="85.034000000000006"/>
    <n v="67.44"/>
    <n v="17.594000000000008"/>
    <n v="0.20690547310487578"/>
    <x v="0"/>
    <s v=""/>
    <s v=""/>
    <s v=""/>
    <x v="1"/>
    <d v="2025-10-01T00:00:00"/>
  </r>
  <r>
    <x v="782"/>
    <s v="ORD-00320"/>
    <d v="2025-09-25T00:00:00"/>
    <s v="C0036"/>
    <s v="Liam Khan, Vancouver, Corporate"/>
    <s v="Liam Khan"/>
    <s v="Vancouver"/>
    <s v="Corporate"/>
    <n v="2"/>
    <s v="P022"/>
    <n v="4"/>
    <n v="61.81"/>
    <n v="0.05"/>
    <s v="Market place"/>
    <s v="Marketplace"/>
    <s v="Gift Card"/>
    <s v="Gift Card"/>
    <s v="Toronto Downtown"/>
    <s v="British Columbia"/>
    <s v="Corporate"/>
    <n v="33.19"/>
    <x v="2"/>
    <n v="247.24"/>
    <n v="12.362000000000002"/>
    <n v="234.87800000000001"/>
    <n v="132.76"/>
    <n v="102.11800000000002"/>
    <n v="0.43477039143725688"/>
    <x v="0"/>
    <s v=""/>
    <s v=""/>
    <s v=""/>
    <x v="1"/>
    <d v="2025-10-01T00:00:00"/>
  </r>
  <r>
    <x v="783"/>
    <s v="ORD-00320"/>
    <d v="2025-09-25T00:00:00"/>
    <s v="C0036"/>
    <s v="Liam Khan, Vancouver, Corporate"/>
    <s v="Liam Khan"/>
    <s v="Vancouver"/>
    <s v="Corporate"/>
    <n v="2"/>
    <s v="P032"/>
    <n v="1"/>
    <n v="214.38"/>
    <n v="0.1"/>
    <s v="Retail  Store"/>
    <s v="Retail Store"/>
    <s v="PayPal"/>
    <s v="PayPal"/>
    <s v="Vancouver West"/>
    <s v="British Columbia"/>
    <s v="Corporate"/>
    <n v="131.51"/>
    <x v="0"/>
    <n v="214.38"/>
    <n v="21.438000000000002"/>
    <n v="192.94200000000001"/>
    <n v="131.51"/>
    <n v="61.432000000000016"/>
    <n v="0.31839620196743068"/>
    <x v="0"/>
    <s v=""/>
    <s v=""/>
    <s v=""/>
    <x v="1"/>
    <d v="2025-10-01T00:00:00"/>
  </r>
  <r>
    <x v="784"/>
    <s v="ORD-00321"/>
    <d v="2025-05-24T00:00:00"/>
    <s v="C0064"/>
    <s v="Amina Singh, Toronto, Small Business"/>
    <s v="Amina Singh"/>
    <s v="Toronto"/>
    <s v="Small Business"/>
    <n v="2"/>
    <s v="P006"/>
    <n v="2"/>
    <n v="88.61"/>
    <n v="0"/>
    <s v="Retail Store"/>
    <s v="Retail Store"/>
    <s v="Debit Card"/>
    <s v="Debit Card"/>
    <s v="Calgary North"/>
    <s v="Ontario"/>
    <s v="Small Business"/>
    <n v="49.75"/>
    <x v="3"/>
    <n v="177.22"/>
    <n v="0"/>
    <n v="177.22"/>
    <n v="99.5"/>
    <n v="77.72"/>
    <n v="0.43855095361697327"/>
    <x v="0"/>
    <s v=""/>
    <s v=""/>
    <s v=""/>
    <x v="1"/>
    <d v="2025-06-01T00:00:00"/>
  </r>
  <r>
    <x v="785"/>
    <s v="ORD-00321"/>
    <d v="2025-05-24T00:00:00"/>
    <s v="C0064"/>
    <s v="Amina Singh, Toronto, Small Business"/>
    <s v="Amina Singh"/>
    <s v="Toronto"/>
    <s v="Small Business"/>
    <n v="2"/>
    <s v="P048"/>
    <n v="2"/>
    <n v="287.16000000000003"/>
    <n v="0"/>
    <s v="Retail Store"/>
    <s v="Retail Store"/>
    <s v="PayPal"/>
    <s v="PayPal"/>
    <s v="Toronto Downtown"/>
    <s v="Ontario"/>
    <s v="Small Business"/>
    <n v="148.21"/>
    <x v="1"/>
    <n v="574.32000000000005"/>
    <n v="0"/>
    <n v="574.32000000000005"/>
    <n v="296.42"/>
    <n v="277.90000000000003"/>
    <n v="0.48387658448251847"/>
    <x v="0"/>
    <s v=""/>
    <s v=""/>
    <s v=""/>
    <x v="1"/>
    <d v="2025-06-01T00:00:00"/>
  </r>
  <r>
    <x v="786"/>
    <s v="ORD-00321"/>
    <d v="2025-05-24T00:00:00"/>
    <s v="C0064"/>
    <s v="Amina Singh, Toronto, Small Business"/>
    <s v="Amina Singh"/>
    <s v="Toronto"/>
    <s v="Small Business"/>
    <n v="2"/>
    <s v="P042"/>
    <n v="3"/>
    <n v="102.78"/>
    <n v="0"/>
    <s v="Online"/>
    <s v="Online"/>
    <s v="CC"/>
    <s v="Credit Card"/>
    <s v="Online Fulfillment"/>
    <s v="Ontario"/>
    <s v="Small Business"/>
    <n v="62.65"/>
    <x v="1"/>
    <n v="308.34000000000003"/>
    <n v="0"/>
    <n v="308.34000000000003"/>
    <n v="187.95"/>
    <n v="120.39000000000004"/>
    <n v="0.39044561198676797"/>
    <x v="0"/>
    <s v=""/>
    <s v=""/>
    <s v=""/>
    <x v="1"/>
    <d v="2025-06-01T00:00:00"/>
  </r>
  <r>
    <x v="787"/>
    <s v="ORD-00321"/>
    <d v="2025-05-24T00:00:00"/>
    <s v="C0064"/>
    <s v="Amina Singh, Toronto, Small Business"/>
    <s v="Amina Singh"/>
    <s v="Toronto"/>
    <s v="Small Business"/>
    <n v="2"/>
    <s v="P040"/>
    <n v="4"/>
    <n v="33.369999999999997"/>
    <n v="0.05"/>
    <s v="Retail Store"/>
    <s v="Retail Store"/>
    <s v="Gift Card"/>
    <s v="Gift Card"/>
    <s v="Montreal Central"/>
    <s v="Ontario"/>
    <s v="Small Business"/>
    <n v="18.670000000000002"/>
    <x v="0"/>
    <n v="133.47999999999999"/>
    <n v="6.6739999999999995"/>
    <n v="126.80599999999998"/>
    <n v="74.680000000000007"/>
    <n v="52.125999999999976"/>
    <n v="0.41106887686702509"/>
    <x v="1"/>
    <s v="Changed Mind"/>
    <d v="2025-06-03T00:00:00"/>
    <s v="Refunded"/>
    <x v="1"/>
    <d v="2025-06-01T00:00:00"/>
  </r>
  <r>
    <x v="788"/>
    <s v="ORD-00322"/>
    <d v="2025-03-29T01:00:00"/>
    <s v="C0142"/>
    <s v="Liam Gagnon, Toronto, Consumer"/>
    <s v="Liam Gagnon"/>
    <s v="Toronto"/>
    <s v="Consumer"/>
    <n v="2"/>
    <s v="P027"/>
    <n v="2"/>
    <n v="244.25"/>
    <n v="0.1"/>
    <s v="Online"/>
    <s v="Online"/>
    <m/>
    <s v="Unknown"/>
    <s v="Online Fulfillment"/>
    <s v="Ontario"/>
    <s v="Consumer"/>
    <n v="150.96"/>
    <x v="2"/>
    <n v="488.5"/>
    <n v="48.85"/>
    <n v="439.65"/>
    <n v="301.92"/>
    <n v="137.72999999999996"/>
    <n v="0.31327192084612754"/>
    <x v="1"/>
    <s v="Wrong Item"/>
    <d v="2025-04-15T00:00:00"/>
    <s v="Refunded"/>
    <x v="1"/>
    <d v="2025-04-05T01:00:00"/>
  </r>
  <r>
    <x v="789"/>
    <s v="ORD-00323"/>
    <d v="2025-12-20T00:00:00"/>
    <s v="C0012"/>
    <s v="Sofia Dubois, Quebec City, Corporate"/>
    <s v="Sofia Dubois"/>
    <s v="Quebec City"/>
    <s v="Corporate"/>
    <n v="2"/>
    <s v="P047"/>
    <n v="1"/>
    <n v="228.81"/>
    <n v="0.1"/>
    <s v="Online"/>
    <s v="Online"/>
    <s v="Gift Card"/>
    <s v="Gift Card"/>
    <s v="Calgary North"/>
    <s v="Quebec"/>
    <s v="Corporate"/>
    <n v="130.9"/>
    <x v="1"/>
    <n v="228.81"/>
    <n v="22.881"/>
    <n v="205.929"/>
    <n v="130.9"/>
    <n v="75.028999999999996"/>
    <n v="0.3643440214831325"/>
    <x v="0"/>
    <s v=""/>
    <s v=""/>
    <s v=""/>
    <x v="0"/>
    <d v="2025-12-22T00:00:00"/>
  </r>
  <r>
    <x v="790"/>
    <s v="ORD-00323"/>
    <d v="2025-12-20T00:00:00"/>
    <s v="C0012"/>
    <s v="Sofia Dubois, Quebec City, Corporate"/>
    <s v="Sofia Dubois"/>
    <s v="Quebec City"/>
    <s v="Corporate"/>
    <n v="2"/>
    <s v="P014"/>
    <n v="4"/>
    <n v="91.75"/>
    <n v="0"/>
    <s v="Retail  Store"/>
    <s v="Retail Store"/>
    <s v="Gift Card"/>
    <s v="Gift Card"/>
    <s v="Montreal Central"/>
    <s v="Quebec"/>
    <s v="Corporate"/>
    <n v="58.27"/>
    <x v="4"/>
    <n v="367"/>
    <n v="0"/>
    <n v="367"/>
    <n v="233.08"/>
    <n v="133.91999999999999"/>
    <n v="0.3649046321525885"/>
    <x v="0"/>
    <s v=""/>
    <s v=""/>
    <s v=""/>
    <x v="0"/>
    <d v="2025-12-22T00:00:00"/>
  </r>
  <r>
    <x v="791"/>
    <s v="ORD-00323"/>
    <d v="2025-12-20T00:00:00"/>
    <s v="C0012"/>
    <s v="Sofia Dubois, Quebec City, Corporate"/>
    <s v="Sofia Dubois"/>
    <s v="Quebec City"/>
    <s v="Corporate"/>
    <n v="2"/>
    <s v="P021"/>
    <n v="4"/>
    <n v="25.01"/>
    <n v="0"/>
    <s v="Online"/>
    <s v="Online"/>
    <s v="Gift Card"/>
    <s v="Gift Card"/>
    <s v="Vancouver West"/>
    <s v="Quebec"/>
    <s v="Corporate"/>
    <n v="16.86"/>
    <x v="2"/>
    <n v="100.04"/>
    <n v="0"/>
    <n v="100.04"/>
    <n v="67.44"/>
    <n v="32.600000000000009"/>
    <n v="0.32586965213914443"/>
    <x v="0"/>
    <s v=""/>
    <s v=""/>
    <s v=""/>
    <x v="0"/>
    <d v="2025-12-22T00:00:00"/>
  </r>
  <r>
    <x v="792"/>
    <s v="ORD-00323"/>
    <d v="2025-12-20T00:00:00"/>
    <s v="C0012"/>
    <s v="Sofia Dubois, Quebec City, Corporate"/>
    <s v="Sofia Dubois"/>
    <s v="Quebec City"/>
    <s v="Corporate"/>
    <n v="2"/>
    <s v="P026"/>
    <n v="3"/>
    <n v="228.91"/>
    <n v="0.05"/>
    <s v="Retail  Store"/>
    <s v="Retail Store"/>
    <s v="Debit Card"/>
    <s v="Debit Card"/>
    <s v="Calgary North"/>
    <s v="Quebec"/>
    <s v="Corporate"/>
    <n v="149.4"/>
    <x v="2"/>
    <n v="686.73"/>
    <n v="34.336500000000001"/>
    <n v="652.39350000000002"/>
    <n v="448.20000000000005"/>
    <n v="204.19349999999997"/>
    <n v="0.312991315823962"/>
    <x v="0"/>
    <s v=""/>
    <s v=""/>
    <s v=""/>
    <x v="0"/>
    <d v="2025-12-22T00:00:00"/>
  </r>
  <r>
    <x v="793"/>
    <s v="ORD-00324"/>
    <d v="2025-05-06T00:00:00"/>
    <s v="C0017"/>
    <s v="Omar Gagnon, Quebec City, Corporate"/>
    <s v="Omar Gagnon"/>
    <s v="Quebec City"/>
    <s v="Corporate"/>
    <n v="2"/>
    <s v="P001"/>
    <n v="1"/>
    <n v="133.24"/>
    <n v="0.05"/>
    <s v="Retail  Store"/>
    <s v="Retail Store"/>
    <s v="Gift Card"/>
    <s v="Gift Card"/>
    <s v="Toronto Downtown"/>
    <s v="Quebec"/>
    <s v="Corporate"/>
    <n v="77.540000000000006"/>
    <x v="3"/>
    <n v="133.24"/>
    <n v="6.6620000000000008"/>
    <n v="126.578"/>
    <n v="77.540000000000006"/>
    <n v="49.037999999999997"/>
    <n v="0.38741329456935641"/>
    <x v="1"/>
    <s v="Wrong Item"/>
    <d v="2025-05-30T00:00:00"/>
    <s v="Refunded"/>
    <x v="0"/>
    <d v="2025-05-10T00:00:00"/>
  </r>
  <r>
    <x v="794"/>
    <s v="ORD-00324"/>
    <d v="2025-05-06T00:00:00"/>
    <s v="C0017"/>
    <s v="Omar Gagnon, Quebec City, Corporate"/>
    <s v="Omar Gagnon"/>
    <s v="Quebec City"/>
    <s v="Corporate"/>
    <n v="2"/>
    <s v="P049"/>
    <n v="3"/>
    <n v="300.56"/>
    <n v="0"/>
    <s v="Retail Store"/>
    <s v="Retail Store"/>
    <s v="CC"/>
    <s v="Credit Card"/>
    <s v="Montreal Central"/>
    <s v="Quebec"/>
    <s v="Corporate"/>
    <n v="158.86000000000001"/>
    <x v="1"/>
    <n v="901.68000000000006"/>
    <n v="0"/>
    <n v="901.68000000000006"/>
    <n v="476.58000000000004"/>
    <n v="425.1"/>
    <n v="0.47145328719723184"/>
    <x v="0"/>
    <s v=""/>
    <s v=""/>
    <s v=""/>
    <x v="0"/>
    <d v="2025-05-10T00:00:00"/>
  </r>
  <r>
    <x v="795"/>
    <s v="ORD-00325"/>
    <d v="2025-01-02T00:00:00"/>
    <s v="C0002"/>
    <s v="Amina Khan, Montreal, Corporate"/>
    <s v="Amina Khan"/>
    <s v="Montreal"/>
    <s v="Corporate"/>
    <n v="2"/>
    <s v="P019"/>
    <n v="4"/>
    <n v="183.73"/>
    <n v="0"/>
    <s v="Marketplace"/>
    <s v="Marketplace"/>
    <s v="CC"/>
    <s v="Credit Card"/>
    <s v="Calgary North"/>
    <s v="Quebec"/>
    <s v="Corporate"/>
    <n v="98.11"/>
    <x v="4"/>
    <n v="734.92"/>
    <n v="0"/>
    <n v="734.92"/>
    <n v="392.44"/>
    <n v="342.47999999999996"/>
    <n v="0.46600990584009139"/>
    <x v="0"/>
    <s v=""/>
    <s v=""/>
    <s v=""/>
    <x v="1"/>
    <d v="2025-01-12T00:00:00"/>
  </r>
  <r>
    <x v="796"/>
    <s v="ORD-00325"/>
    <d v="2025-01-02T00:00:00"/>
    <s v="C0002"/>
    <s v="Amina Khan, Montreal, Corporate"/>
    <s v="Amina Khan"/>
    <s v="Montreal"/>
    <s v="Corporate"/>
    <n v="2"/>
    <s v="P021"/>
    <n v="1"/>
    <n v="25.01"/>
    <n v="0"/>
    <s v="Retail Store"/>
    <s v="Retail Store"/>
    <s v="CC"/>
    <s v="Credit Card"/>
    <s v="Online Fulfillment"/>
    <s v="Quebec"/>
    <s v="Corporate"/>
    <n v="16.86"/>
    <x v="2"/>
    <n v="25.01"/>
    <n v="0"/>
    <n v="25.01"/>
    <n v="16.86"/>
    <n v="8.1500000000000021"/>
    <n v="0.32586965213914443"/>
    <x v="1"/>
    <s v="Late Delivery"/>
    <d v="2025-01-15T00:00:00"/>
    <s v="Pending"/>
    <x v="1"/>
    <d v="2025-01-12T00:00:00"/>
  </r>
  <r>
    <x v="797"/>
    <s v="ORD-00326"/>
    <d v="2025-03-21T01:00:00"/>
    <s v="C0092"/>
    <s v="Adam Gagnon, Edmonton, Consumer"/>
    <s v="Adam Gagnon"/>
    <s v="Edmonton"/>
    <s v="Consumer"/>
    <n v="2"/>
    <s v="P012"/>
    <n v="4"/>
    <n v="186.92"/>
    <n v="0"/>
    <s v="Online"/>
    <s v="Online"/>
    <s v="Credit Card"/>
    <s v="Credit Card"/>
    <s v="Calgary North"/>
    <s v="Alberta"/>
    <s v="Consumer"/>
    <n v="114.11"/>
    <x v="4"/>
    <n v="747.68"/>
    <n v="0"/>
    <n v="747.68"/>
    <n v="456.44"/>
    <n v="291.23999999999995"/>
    <n v="0.38952493045153003"/>
    <x v="0"/>
    <s v=""/>
    <s v=""/>
    <s v=""/>
    <x v="1"/>
    <d v="2025-03-27T01:00:00"/>
  </r>
  <r>
    <x v="798"/>
    <s v="ORD-00326"/>
    <d v="2025-03-21T01:00:00"/>
    <s v="C0092"/>
    <s v="Adam Gagnon, Edmonton, Consumer"/>
    <s v="Adam Gagnon"/>
    <s v="Edmonton"/>
    <s v="Consumer"/>
    <n v="2"/>
    <s v="P024"/>
    <n v="3"/>
    <n v="263.04000000000002"/>
    <n v="0.05"/>
    <s v="Retail Store"/>
    <s v="Retail Store"/>
    <m/>
    <s v="Unknown"/>
    <s v="Vancouver West"/>
    <s v="Alberta"/>
    <s v="Consumer"/>
    <n v="161.84"/>
    <x v="2"/>
    <n v="789.12000000000012"/>
    <n v="39.45600000000001"/>
    <n v="749.6640000000001"/>
    <n v="485.52"/>
    <n v="264.14400000000012"/>
    <n v="0.35234985273402497"/>
    <x v="0"/>
    <s v=""/>
    <s v=""/>
    <s v=""/>
    <x v="1"/>
    <d v="2025-03-27T01:00:00"/>
  </r>
  <r>
    <x v="799"/>
    <s v="ORD-00326"/>
    <d v="2025-03-21T01:00:00"/>
    <s v="C0092"/>
    <s v="Adam Gagnon, Edmonton, Consumer"/>
    <s v="Adam Gagnon"/>
    <s v="Edmonton"/>
    <s v="Consumer"/>
    <n v="2"/>
    <s v="P036"/>
    <n v="3"/>
    <n v="210.2"/>
    <n v="0"/>
    <s v="Market place"/>
    <s v="Marketplace"/>
    <s v="Credit Card"/>
    <s v="Credit Card"/>
    <s v="Calgary North"/>
    <s v="Alberta"/>
    <s v="Consumer"/>
    <n v="136.25"/>
    <x v="0"/>
    <n v="630.59999999999991"/>
    <n v="0"/>
    <n v="630.59999999999991"/>
    <n v="408.75"/>
    <n v="221.84999999999991"/>
    <n v="0.35180780209324441"/>
    <x v="0"/>
    <s v=""/>
    <s v=""/>
    <s v=""/>
    <x v="1"/>
    <d v="2025-03-27T01:00:00"/>
  </r>
  <r>
    <x v="800"/>
    <s v="ORD-00327"/>
    <d v="2025-09-28T00:00:00"/>
    <s v="C0156"/>
    <s v="Noah Johnson, Victoria, Consumer"/>
    <s v="Noah Johnson"/>
    <s v="Victoria"/>
    <s v="Consumer"/>
    <n v="2"/>
    <s v="P013"/>
    <n v="2"/>
    <n v="207.71"/>
    <n v="0"/>
    <s v="Online"/>
    <s v="Online"/>
    <s v="Gift Card"/>
    <s v="Gift Card"/>
    <s v="Montreal Central"/>
    <s v="British Columbia"/>
    <s v="Consumer"/>
    <n v="132.97"/>
    <x v="4"/>
    <n v="415.42"/>
    <n v="0"/>
    <n v="415.42"/>
    <n v="265.94"/>
    <n v="149.48000000000002"/>
    <n v="0.35982860719272064"/>
    <x v="0"/>
    <s v=""/>
    <s v=""/>
    <s v=""/>
    <x v="1"/>
    <d v="2025-10-05T00:00:00"/>
  </r>
  <r>
    <x v="801"/>
    <s v="ORD-00328"/>
    <d v="2025-12-03T00:00:00"/>
    <s v="C0079"/>
    <s v="Liam Singh, Edmonton, Small Business"/>
    <s v="Liam Singh"/>
    <s v="Edmonton"/>
    <s v="Small Business"/>
    <n v="2"/>
    <s v="P043"/>
    <n v="3"/>
    <n v="96.33"/>
    <n v="0"/>
    <s v="Online"/>
    <s v="Online"/>
    <s v="PayPal"/>
    <s v="PayPal"/>
    <s v="Online Fulfillment"/>
    <s v="Alberta"/>
    <s v="Small Business"/>
    <n v="57.85"/>
    <x v="1"/>
    <n v="288.99"/>
    <n v="0"/>
    <n v="288.99"/>
    <n v="173.55"/>
    <n v="115.44"/>
    <n v="0.39946018893387314"/>
    <x v="1"/>
    <s v="Damaged"/>
    <d v="2025-12-25T00:00:00"/>
    <s v="Refunded"/>
    <x v="1"/>
    <d v="2025-12-09T00:00:00"/>
  </r>
  <r>
    <x v="802"/>
    <s v="ORD-00328"/>
    <d v="2025-12-03T00:00:00"/>
    <s v="C0079"/>
    <s v="Liam Singh, Edmonton, Small Business"/>
    <s v="Liam Singh"/>
    <s v="Edmonton"/>
    <s v="Small Business"/>
    <n v="2"/>
    <s v="P029"/>
    <n v="1"/>
    <n v="300.16000000000003"/>
    <n v="0"/>
    <s v="Online"/>
    <s v="Online"/>
    <s v="CC"/>
    <s v="Credit Card"/>
    <s v="Online Fulfillment"/>
    <s v="Alberta"/>
    <s v="Small Business"/>
    <n v="158.46"/>
    <x v="2"/>
    <n v="300.16000000000003"/>
    <n v="0"/>
    <n v="300.16000000000003"/>
    <n v="158.46"/>
    <n v="141.70000000000002"/>
    <n v="0.47208155650319833"/>
    <x v="0"/>
    <s v=""/>
    <s v=""/>
    <s v=""/>
    <x v="1"/>
    <d v="2025-12-09T00:00:00"/>
  </r>
  <r>
    <x v="803"/>
    <s v="ORD-00329"/>
    <d v="2025-04-27T00:00:00"/>
    <s v="C0061"/>
    <s v="Maya Gagnon, Calgary, Corporate"/>
    <s v="Maya Gagnon"/>
    <s v="Calgary"/>
    <s v="Corporate"/>
    <n v="2"/>
    <s v="P007"/>
    <n v="3"/>
    <n v="25.15"/>
    <n v="0.1"/>
    <s v="Market place"/>
    <s v="Marketplace"/>
    <s v="Gift Card"/>
    <s v="Gift Card"/>
    <s v="Calgary North"/>
    <s v="Alberta"/>
    <s v="Corporate"/>
    <n v="14.24"/>
    <x v="3"/>
    <n v="75.449999999999989"/>
    <n v="7.544999999999999"/>
    <n v="67.904999999999987"/>
    <n v="42.72"/>
    <n v="25.184999999999988"/>
    <n v="0.37088579633311231"/>
    <x v="0"/>
    <s v=""/>
    <s v=""/>
    <s v=""/>
    <x v="0"/>
    <d v="2025-04-30T00:00:00"/>
  </r>
  <r>
    <x v="804"/>
    <s v="ORD-00329"/>
    <d v="2025-04-27T00:00:00"/>
    <s v="C0061"/>
    <s v="Maya Gagnon, Calgary, Corporate"/>
    <s v="Maya Gagnon"/>
    <s v="Calgary"/>
    <s v="Corporate"/>
    <n v="2"/>
    <s v="P019"/>
    <n v="1"/>
    <n v="183.73"/>
    <n v="0"/>
    <s v="Retail Store"/>
    <s v="Retail Store"/>
    <s v="Gift Card"/>
    <s v="Gift Card"/>
    <s v="Vancouver West"/>
    <s v="Alberta"/>
    <s v="Corporate"/>
    <n v="98.11"/>
    <x v="4"/>
    <n v="183.73"/>
    <n v="0"/>
    <n v="183.73"/>
    <n v="98.11"/>
    <n v="85.61999999999999"/>
    <n v="0.46600990584009139"/>
    <x v="0"/>
    <s v=""/>
    <s v=""/>
    <s v=""/>
    <x v="0"/>
    <d v="2025-04-30T00:00:00"/>
  </r>
  <r>
    <x v="805"/>
    <s v="ORD-00329"/>
    <d v="2025-04-27T00:00:00"/>
    <s v="C0061"/>
    <s v="Maya Gagnon, Calgary, Corporate"/>
    <s v="Maya Gagnon"/>
    <s v="Calgary"/>
    <s v="Corporate"/>
    <n v="2"/>
    <s v="P008"/>
    <n v="1"/>
    <n v="110.88"/>
    <n v="0"/>
    <s v="Retail Store"/>
    <s v="Retail Store"/>
    <s v="CC"/>
    <s v="Credit Card"/>
    <s v="Montreal Central"/>
    <s v="Alberta"/>
    <s v="Corporate"/>
    <n v="57.09"/>
    <x v="3"/>
    <n v="110.88"/>
    <n v="0"/>
    <n v="110.88"/>
    <n v="57.09"/>
    <n v="53.789999999999992"/>
    <n v="0.48511904761904756"/>
    <x v="1"/>
    <s v="Changed Mind"/>
    <d v="2025-05-18T00:00:00"/>
    <s v="Refunded"/>
    <x v="0"/>
    <d v="2025-04-30T00:00:00"/>
  </r>
  <r>
    <x v="806"/>
    <s v="ORD-00330"/>
    <d v="2025-10-01T00:00:00"/>
    <s v="C0161"/>
    <s v="Maya Wilson, Winnipeg, Consumer"/>
    <s v="Maya Wilson"/>
    <s v="Winnipeg"/>
    <s v="Consumer"/>
    <n v="2"/>
    <s v="P020"/>
    <n v="2"/>
    <n v="56.99"/>
    <n v="0"/>
    <s v="Market place"/>
    <s v="Marketplace"/>
    <s v="Debit Card"/>
    <s v="Debit Card"/>
    <s v="Vancouver West"/>
    <s v="Manitoba"/>
    <s v="Consumer"/>
    <n v="33.65"/>
    <x v="4"/>
    <n v="113.98"/>
    <n v="0"/>
    <n v="113.98"/>
    <n v="67.3"/>
    <n v="46.680000000000007"/>
    <n v="0.40954553430426394"/>
    <x v="0"/>
    <s v=""/>
    <s v=""/>
    <s v=""/>
    <x v="0"/>
    <d v="2025-10-04T00:00:00"/>
  </r>
  <r>
    <x v="807"/>
    <s v="ORD-00331"/>
    <d v="2025-02-16T00:00:00"/>
    <s v="C0128"/>
    <s v="Sofia Gagnon, Montreal, Corporate"/>
    <s v="Sofia Gagnon"/>
    <s v="Montreal"/>
    <s v="Corporate"/>
    <n v="2"/>
    <s v="P005"/>
    <n v="4"/>
    <n v="42.72"/>
    <n v="0.15"/>
    <s v="Online"/>
    <s v="Online"/>
    <s v="Debit Card"/>
    <s v="Debit Card"/>
    <s v="Calgary North"/>
    <s v="Quebec"/>
    <s v="Corporate"/>
    <n v="24.46"/>
    <x v="3"/>
    <n v="170.88"/>
    <n v="25.631999999999998"/>
    <n v="145.24799999999999"/>
    <n v="97.84"/>
    <n v="47.407999999999987"/>
    <n v="0.32639347873981045"/>
    <x v="0"/>
    <s v=""/>
    <s v=""/>
    <s v=""/>
    <x v="0"/>
    <d v="2025-02-18T00:00:00"/>
  </r>
  <r>
    <x v="808"/>
    <s v="ORD-00331"/>
    <d v="2025-02-16T00:00:00"/>
    <s v="C0128"/>
    <s v="Sofia Gagnon, Montreal, Corporate"/>
    <s v="Sofia Gagnon"/>
    <s v="Montreal"/>
    <s v="Corporate"/>
    <n v="2"/>
    <s v="P004"/>
    <n v="2"/>
    <n v="195.38"/>
    <n v="0.15"/>
    <s v="Marketplace"/>
    <s v="Marketplace"/>
    <m/>
    <s v="Unknown"/>
    <s v="Vancouver West"/>
    <s v="Quebec"/>
    <s v="Corporate"/>
    <n v="114.29"/>
    <x v="3"/>
    <n v="390.76"/>
    <n v="58.613999999999997"/>
    <n v="332.14600000000002"/>
    <n v="228.58"/>
    <n v="103.566"/>
    <n v="0.31180866245566707"/>
    <x v="0"/>
    <s v=""/>
    <s v=""/>
    <s v=""/>
    <x v="0"/>
    <d v="2025-02-18T00:00:00"/>
  </r>
  <r>
    <x v="809"/>
    <s v="ORD-00331"/>
    <d v="2025-02-16T00:00:00"/>
    <s v="C0128"/>
    <s v="Sofia Gagnon, Montreal, Corporate"/>
    <s v="Sofia Gagnon"/>
    <s v="Montreal"/>
    <s v="Corporate"/>
    <n v="2"/>
    <s v="P022"/>
    <n v="4"/>
    <n v="61.81"/>
    <n v="0.05"/>
    <s v="Market place"/>
    <s v="Marketplace"/>
    <s v="CC"/>
    <s v="Credit Card"/>
    <s v="Toronto Downtown"/>
    <s v="Quebec"/>
    <s v="Corporate"/>
    <n v="33.19"/>
    <x v="2"/>
    <n v="247.24"/>
    <n v="12.362000000000002"/>
    <n v="234.87800000000001"/>
    <n v="132.76"/>
    <n v="102.11800000000002"/>
    <n v="0.43477039143725688"/>
    <x v="0"/>
    <s v=""/>
    <s v=""/>
    <s v=""/>
    <x v="0"/>
    <d v="2025-02-18T00:00:00"/>
  </r>
  <r>
    <x v="810"/>
    <s v="ORD-00332"/>
    <d v="2025-07-29T00:00:00"/>
    <s v="C0014"/>
    <s v="Liam Singh, Calgary, Corporate"/>
    <s v="Liam Singh"/>
    <s v="Calgary"/>
    <s v="Corporate"/>
    <n v="2"/>
    <s v="P015"/>
    <n v="2"/>
    <n v="273.89"/>
    <n v="0.05"/>
    <s v="Market place"/>
    <s v="Marketplace"/>
    <m/>
    <s v="Unknown"/>
    <s v="Toronto Downtown"/>
    <s v="Alberta"/>
    <s v="Corporate"/>
    <n v="140.66999999999999"/>
    <x v="4"/>
    <n v="547.78"/>
    <n v="27.388999999999999"/>
    <n v="520.39099999999996"/>
    <n v="281.33999999999997"/>
    <n v="239.05099999999999"/>
    <n v="0.45936805209928688"/>
    <x v="0"/>
    <s v=""/>
    <s v=""/>
    <s v=""/>
    <x v="0"/>
    <d v="2025-08-02T00:00:00"/>
  </r>
  <r>
    <x v="811"/>
    <s v="ORD-00333"/>
    <d v="2025-03-15T01:00:00"/>
    <s v="C0152"/>
    <s v="Daniel Khan, Halifax, Small Business"/>
    <s v="Daniel Khan"/>
    <s v="Halifax"/>
    <s v="Small Business"/>
    <n v="2"/>
    <s v="P049"/>
    <n v="1"/>
    <n v="300.56"/>
    <n v="0.1"/>
    <s v="Retail Store"/>
    <s v="Retail Store"/>
    <m/>
    <s v="Unknown"/>
    <s v="Calgary North"/>
    <s v="Nova Scotia"/>
    <s v="Small Business"/>
    <n v="158.86000000000001"/>
    <x v="1"/>
    <n v="300.56"/>
    <n v="30.056000000000001"/>
    <n v="270.50400000000002"/>
    <n v="158.86000000000001"/>
    <n v="111.64400000000001"/>
    <n v="0.4127258746635909"/>
    <x v="1"/>
    <s v="Wrong Item"/>
    <d v="2025-03-22T01:00:00"/>
    <s v="Refunded"/>
    <x v="1"/>
    <d v="2025-03-20T01:00:00"/>
  </r>
  <r>
    <x v="812"/>
    <s v="ORD-00334"/>
    <d v="2025-06-11T00:00:00"/>
    <s v="C0014"/>
    <s v="Liam Singh, Calgary, Corporate"/>
    <s v="Liam Singh"/>
    <s v="Calgary"/>
    <s v="Corporate"/>
    <n v="2"/>
    <s v="P041"/>
    <n v="1"/>
    <n v="238.47"/>
    <n v="0.15"/>
    <s v="Retail  Store"/>
    <s v="Retail Store"/>
    <s v="Debit Card"/>
    <s v="Debit Card"/>
    <s v="Online Fulfillment"/>
    <s v="Alberta"/>
    <s v="Corporate"/>
    <n v="127.65"/>
    <x v="1"/>
    <n v="238.47"/>
    <n v="35.770499999999998"/>
    <n v="202.6995"/>
    <n v="127.65"/>
    <n v="75.049499999999995"/>
    <n v="0.3702500499507892"/>
    <x v="0"/>
    <s v=""/>
    <s v=""/>
    <s v=""/>
    <x v="0"/>
    <d v="2025-06-14T00:00:00"/>
  </r>
  <r>
    <x v="813"/>
    <s v="ORD-00334"/>
    <d v="2025-06-11T00:00:00"/>
    <s v="C0014"/>
    <s v="Liam Singh, Calgary, Corporate"/>
    <s v="Liam Singh"/>
    <s v="Calgary"/>
    <s v="Corporate"/>
    <n v="2"/>
    <s v="P024"/>
    <n v="2"/>
    <n v="263.04000000000002"/>
    <n v="0"/>
    <s v="Online"/>
    <s v="Online"/>
    <s v="Debit Card"/>
    <s v="Debit Card"/>
    <s v="Montreal Central"/>
    <s v="Alberta"/>
    <s v="Corporate"/>
    <n v="161.84"/>
    <x v="2"/>
    <n v="526.08000000000004"/>
    <n v="0"/>
    <n v="526.08000000000004"/>
    <n v="323.68"/>
    <n v="202.40000000000003"/>
    <n v="0.38473236009732364"/>
    <x v="0"/>
    <s v=""/>
    <s v=""/>
    <s v=""/>
    <x v="0"/>
    <d v="2025-06-14T00:00:00"/>
  </r>
  <r>
    <x v="814"/>
    <s v="ORD-00335"/>
    <d v="2025-04-23T00:00:00"/>
    <s v="C0025"/>
    <s v="Ethan Johnson, Edmonton, Consumer"/>
    <s v="Ethan Johnson"/>
    <s v="Edmonton"/>
    <s v="Consumer"/>
    <n v="2"/>
    <s v="P050"/>
    <n v="2"/>
    <n v="34.909999999999997"/>
    <n v="0.15"/>
    <s v="Retail Store"/>
    <s v="Retail Store"/>
    <s v="Debit Card"/>
    <s v="Debit Card"/>
    <s v="Vancouver West"/>
    <s v="Alberta"/>
    <s v="Consumer"/>
    <n v="19.670000000000002"/>
    <x v="1"/>
    <n v="69.819999999999993"/>
    <n v="10.472999999999999"/>
    <n v="59.346999999999994"/>
    <n v="39.340000000000003"/>
    <n v="20.006999999999991"/>
    <n v="0.33711897821288345"/>
    <x v="0"/>
    <s v=""/>
    <s v=""/>
    <s v=""/>
    <x v="1"/>
    <d v="2025-05-03T00:00:00"/>
  </r>
  <r>
    <x v="815"/>
    <s v="ORD-00335"/>
    <d v="2025-04-23T00:00:00"/>
    <s v="C0025"/>
    <s v="Ethan Johnson, Edmonton, Consumer"/>
    <s v="Ethan Johnson"/>
    <s v="Edmonton"/>
    <s v="Consumer"/>
    <n v="2"/>
    <s v="P035"/>
    <n v="4"/>
    <n v="251.17"/>
    <n v="0.15"/>
    <s v="Market place"/>
    <s v="Marketplace"/>
    <s v="CC"/>
    <s v="Credit Card"/>
    <s v="Montreal Central"/>
    <s v="Alberta"/>
    <s v="Consumer"/>
    <n v="151.59"/>
    <x v="0"/>
    <n v="1004.68"/>
    <n v="150.702"/>
    <n v="853.97799999999995"/>
    <n v="606.36"/>
    <n v="247.61799999999994"/>
    <n v="0.28995828932361251"/>
    <x v="1"/>
    <s v="Changed Mind"/>
    <d v="2025-05-23T00:00:00"/>
    <s v="Refunded"/>
    <x v="1"/>
    <d v="2025-05-03T00:00:00"/>
  </r>
  <r>
    <x v="816"/>
    <s v="ORD-00336"/>
    <d v="2025-02-10T00:00:00"/>
    <s v="C0104"/>
    <s v="Yara Ali, Ottawa, Small Business"/>
    <s v="Yara Ali"/>
    <s v="Ottawa"/>
    <s v="Small Business"/>
    <n v="2"/>
    <s v="P015"/>
    <n v="4"/>
    <n v="273.89"/>
    <n v="0.15"/>
    <s v="Online"/>
    <s v="Online"/>
    <s v="Gift Card"/>
    <s v="Gift Card"/>
    <s v="Online Fulfillment"/>
    <s v="Ontario"/>
    <s v="Small Business"/>
    <n v="140.66999999999999"/>
    <x v="4"/>
    <n v="1095.56"/>
    <n v="164.33399999999997"/>
    <n v="931.226"/>
    <n v="562.67999999999995"/>
    <n v="368.54600000000005"/>
    <n v="0.39576429352273246"/>
    <x v="0"/>
    <s v=""/>
    <s v=""/>
    <s v=""/>
    <x v="1"/>
    <d v="2025-02-17T00:00:00"/>
  </r>
  <r>
    <x v="817"/>
    <s v="ORD-00336"/>
    <d v="2025-02-10T00:00:00"/>
    <s v="C0104"/>
    <s v="Yara Ali, Ottawa, Small Business"/>
    <s v="Yara Ali"/>
    <s v="Ottawa"/>
    <s v="Small Business"/>
    <n v="2"/>
    <s v="P009"/>
    <n v="2"/>
    <n v="147.46"/>
    <n v="0.1"/>
    <s v="Market place"/>
    <s v="Marketplace"/>
    <s v="PayPal"/>
    <s v="PayPal"/>
    <s v="Toronto Downtown"/>
    <s v="Ontario"/>
    <s v="Small Business"/>
    <n v="100.95"/>
    <x v="3"/>
    <n v="294.92"/>
    <n v="29.492000000000004"/>
    <n v="265.428"/>
    <n v="201.9"/>
    <n v="63.527999999999992"/>
    <n v="0.23934174239341741"/>
    <x v="0"/>
    <s v=""/>
    <s v=""/>
    <s v=""/>
    <x v="1"/>
    <d v="2025-02-17T00:00:00"/>
  </r>
  <r>
    <x v="818"/>
    <s v="ORD-00336"/>
    <d v="2025-02-10T00:00:00"/>
    <s v="C0104"/>
    <s v="Yara Ali, Ottawa, Small Business"/>
    <s v="Yara Ali"/>
    <s v="Ottawa"/>
    <s v="Small Business"/>
    <n v="2"/>
    <s v="P022"/>
    <n v="2"/>
    <n v="61.81"/>
    <n v="0.05"/>
    <s v="Online"/>
    <s v="Online"/>
    <s v="Credit Card"/>
    <s v="Credit Card"/>
    <s v="Toronto Downtown"/>
    <s v="Ontario"/>
    <s v="Small Business"/>
    <n v="33.19"/>
    <x v="2"/>
    <n v="123.62"/>
    <n v="6.1810000000000009"/>
    <n v="117.43900000000001"/>
    <n v="66.38"/>
    <n v="51.059000000000012"/>
    <n v="0.43477039143725688"/>
    <x v="0"/>
    <s v=""/>
    <s v=""/>
    <s v=""/>
    <x v="1"/>
    <d v="2025-02-17T00:00:00"/>
  </r>
  <r>
    <x v="819"/>
    <s v="ORD-00337"/>
    <d v="2025-12-21T00:00:00"/>
    <s v="C0090"/>
    <s v="Emma Singh, Winnipeg, Small Business"/>
    <s v="Emma Singh"/>
    <s v="Winnipeg"/>
    <s v="Small Business"/>
    <n v="2"/>
    <s v="P039"/>
    <n v="1"/>
    <n v="154.47"/>
    <n v="0.05"/>
    <s v="Online"/>
    <s v="Online"/>
    <s v="PayPal"/>
    <s v="PayPal"/>
    <s v="Online Fulfillment"/>
    <s v="Manitoba"/>
    <s v="Small Business"/>
    <n v="102.57"/>
    <x v="0"/>
    <n v="154.47"/>
    <n v="7.7235000000000005"/>
    <n v="146.7465"/>
    <n v="102.57"/>
    <n v="44.176500000000004"/>
    <n v="0.30103954779159986"/>
    <x v="0"/>
    <s v=""/>
    <s v=""/>
    <s v=""/>
    <x v="0"/>
    <d v="2025-12-25T00:00:00"/>
  </r>
  <r>
    <x v="820"/>
    <s v="ORD-00337"/>
    <d v="2025-12-21T00:00:00"/>
    <s v="C0090"/>
    <s v="Emma Singh, Winnipeg, Small Business"/>
    <s v="Emma Singh"/>
    <s v="Winnipeg"/>
    <s v="Small Business"/>
    <n v="2"/>
    <s v="P002"/>
    <n v="3"/>
    <n v="105.38"/>
    <n v="0.05"/>
    <s v="Marketplace"/>
    <s v="Marketplace"/>
    <s v="Credit Card"/>
    <s v="Credit Card"/>
    <s v="Toronto Downtown"/>
    <s v="Manitoba"/>
    <s v="Small Business"/>
    <n v="67.290000000000006"/>
    <x v="3"/>
    <n v="316.14"/>
    <n v="15.807"/>
    <n v="300.33299999999997"/>
    <n v="201.87"/>
    <n v="98.462999999999965"/>
    <n v="0.32784609083916844"/>
    <x v="0"/>
    <s v=""/>
    <s v=""/>
    <s v=""/>
    <x v="0"/>
    <d v="2025-12-25T00:00:00"/>
  </r>
  <r>
    <x v="821"/>
    <s v="ORD-00338"/>
    <d v="2025-08-09T00:00:00"/>
    <s v="C0094"/>
    <s v="Daniel Dubois, Montreal, Consumer"/>
    <s v="Daniel Dubois"/>
    <s v="Montreal"/>
    <s v="Consumer"/>
    <n v="2"/>
    <s v="P009"/>
    <n v="3"/>
    <n v="147.46"/>
    <n v="0.15"/>
    <s v="Marketplace"/>
    <s v="Marketplace"/>
    <m/>
    <s v="Unknown"/>
    <s v="Toronto Downtown"/>
    <s v="Quebec"/>
    <s v="Consumer"/>
    <n v="100.95"/>
    <x v="3"/>
    <n v="442.38"/>
    <n v="66.356999999999999"/>
    <n v="376.02300000000002"/>
    <n v="302.85000000000002"/>
    <n v="73.173000000000002"/>
    <n v="0.19459713900479492"/>
    <x v="0"/>
    <s v=""/>
    <s v=""/>
    <s v=""/>
    <x v="1"/>
    <d v="2025-08-15T00:00:00"/>
  </r>
  <r>
    <x v="822"/>
    <s v="ORD-00338"/>
    <d v="2025-08-09T00:00:00"/>
    <s v="C0094"/>
    <s v="Daniel Dubois, Montreal, Consumer"/>
    <s v="Daniel Dubois"/>
    <s v="Montreal"/>
    <s v="Consumer"/>
    <n v="2"/>
    <s v="P048"/>
    <n v="2"/>
    <n v="287.16000000000003"/>
    <n v="0.05"/>
    <s v="Market place"/>
    <s v="Marketplace"/>
    <s v="Credit Card"/>
    <s v="Credit Card"/>
    <s v="Montreal Central"/>
    <s v="Quebec"/>
    <s v="Consumer"/>
    <n v="148.21"/>
    <x v="1"/>
    <n v="574.32000000000005"/>
    <n v="28.716000000000005"/>
    <n v="545.60400000000004"/>
    <n v="296.42"/>
    <n v="249.18400000000003"/>
    <n v="0.45671219419212472"/>
    <x v="0"/>
    <s v=""/>
    <s v=""/>
    <s v=""/>
    <x v="1"/>
    <d v="2025-08-15T00:00:00"/>
  </r>
  <r>
    <x v="823"/>
    <s v="ORD-00339"/>
    <d v="2025-11-01T00:00:00"/>
    <s v="C0104"/>
    <s v="Yara Ali, Ottawa, Small Business"/>
    <s v="Yara Ali"/>
    <s v="Ottawa"/>
    <s v="Small Business"/>
    <n v="2"/>
    <s v="P018"/>
    <n v="3"/>
    <n v="142.16"/>
    <n v="0"/>
    <s v="Market place"/>
    <s v="Marketplace"/>
    <s v="CC"/>
    <s v="Credit Card"/>
    <s v="Vancouver West"/>
    <s v="Ontario"/>
    <s v="Small Business"/>
    <n v="85.34"/>
    <x v="4"/>
    <n v="426.48"/>
    <n v="0"/>
    <n v="426.48"/>
    <n v="256.02"/>
    <n v="170.46000000000004"/>
    <n v="0.39969048958919534"/>
    <x v="0"/>
    <s v=""/>
    <s v=""/>
    <s v=""/>
    <x v="0"/>
    <d v="2025-11-04T00:00:00"/>
  </r>
  <r>
    <x v="824"/>
    <s v="ORD-00339"/>
    <d v="2025-11-01T00:00:00"/>
    <s v="C0104"/>
    <s v="Yara Ali, Ottawa, Small Business"/>
    <s v="Yara Ali"/>
    <s v="Ottawa"/>
    <s v="Small Business"/>
    <n v="2"/>
    <s v="P010"/>
    <n v="2"/>
    <n v="37.82"/>
    <n v="0.15"/>
    <s v="Online"/>
    <s v="Online"/>
    <s v="PayPal"/>
    <s v="PayPal"/>
    <s v="Calgary North"/>
    <s v="Ontario"/>
    <s v="Small Business"/>
    <n v="24.76"/>
    <x v="3"/>
    <n v="75.64"/>
    <n v="11.346"/>
    <n v="64.293999999999997"/>
    <n v="49.52"/>
    <n v="14.773999999999994"/>
    <n v="0.22978816063707336"/>
    <x v="0"/>
    <s v=""/>
    <s v=""/>
    <s v=""/>
    <x v="0"/>
    <d v="2025-11-04T00:00:00"/>
  </r>
  <r>
    <x v="825"/>
    <s v="ORD-00339"/>
    <d v="2025-11-01T00:00:00"/>
    <s v="C0104"/>
    <s v="Yara Ali, Ottawa, Small Business"/>
    <s v="Yara Ali"/>
    <s v="Ottawa"/>
    <s v="Small Business"/>
    <n v="2"/>
    <s v="P046"/>
    <n v="2"/>
    <n v="180.37"/>
    <n v="0"/>
    <s v="Online"/>
    <s v="Online"/>
    <s v="Gift Card"/>
    <s v="Gift Card"/>
    <s v="Montreal Central"/>
    <s v="Ontario"/>
    <s v="Small Business"/>
    <n v="107.55"/>
    <x v="1"/>
    <n v="360.74"/>
    <n v="0"/>
    <n v="360.74"/>
    <n v="215.1"/>
    <n v="145.64000000000001"/>
    <n v="0.40372567500138606"/>
    <x v="0"/>
    <s v=""/>
    <s v=""/>
    <s v=""/>
    <x v="0"/>
    <d v="2025-11-04T00:00:00"/>
  </r>
  <r>
    <x v="826"/>
    <s v="ORD-00340"/>
    <d v="2025-01-14T00:00:00"/>
    <s v="c0064"/>
    <s v="Amina Singh, Toronto, Small Business"/>
    <s v="Amina Singh"/>
    <s v="Toronto"/>
    <s v="Small Business"/>
    <n v="2"/>
    <s v="P026"/>
    <n v="3"/>
    <n v="228.91"/>
    <n v="0"/>
    <s v="Market place"/>
    <s v="Marketplace"/>
    <s v="PayPal"/>
    <s v="PayPal"/>
    <s v="Vancouver West"/>
    <s v="Ontario"/>
    <s v="Small Business"/>
    <n v="149.4"/>
    <x v="2"/>
    <n v="686.73"/>
    <n v="0"/>
    <n v="686.73"/>
    <n v="448.20000000000005"/>
    <n v="238.52999999999997"/>
    <n v="0.34734175003276391"/>
    <x v="0"/>
    <s v=""/>
    <s v=""/>
    <s v=""/>
    <x v="0"/>
    <d v="2025-01-18T00:00:00"/>
  </r>
  <r>
    <x v="827"/>
    <s v="ORD-00340"/>
    <d v="2025-01-14T00:00:00"/>
    <s v="C0064"/>
    <s v="Amina Singh, Toronto, Small Business"/>
    <s v="Amina Singh"/>
    <s v="Toronto"/>
    <s v="Small Business"/>
    <n v="2"/>
    <s v="P049"/>
    <n v="3"/>
    <n v="300.56"/>
    <n v="0.15"/>
    <s v="Retail  Store"/>
    <s v="Retail Store"/>
    <s v="Gift Card"/>
    <s v="Gift Card"/>
    <s v="Calgary North"/>
    <s v="Ontario"/>
    <s v="Small Business"/>
    <n v="158.86000000000001"/>
    <x v="1"/>
    <n v="901.68000000000006"/>
    <n v="135.25200000000001"/>
    <n v="766.42800000000011"/>
    <n v="476.58000000000004"/>
    <n v="289.84800000000007"/>
    <n v="0.37818033787909633"/>
    <x v="0"/>
    <s v=""/>
    <s v=""/>
    <s v=""/>
    <x v="0"/>
    <d v="2025-01-18T00:00:00"/>
  </r>
  <r>
    <x v="828"/>
    <s v="ORD-00340"/>
    <d v="2025-01-14T00:00:00"/>
    <s v="C0064"/>
    <s v="Amina Singh, Toronto, Small Business"/>
    <s v="Amina Singh"/>
    <s v="Toronto"/>
    <s v="Small Business"/>
    <n v="2"/>
    <s v="P032"/>
    <n v="3"/>
    <n v="214.38"/>
    <n v="0.05"/>
    <s v="Online"/>
    <s v="Online"/>
    <s v="CC"/>
    <s v="Credit Card"/>
    <s v="Calgary North"/>
    <s v="Ontario"/>
    <s v="Small Business"/>
    <n v="131.51"/>
    <x v="0"/>
    <n v="643.14"/>
    <n v="32.157000000000004"/>
    <n v="610.98299999999995"/>
    <n v="394.53"/>
    <n v="216.45299999999997"/>
    <n v="0.35427008607440796"/>
    <x v="0"/>
    <s v=""/>
    <s v=""/>
    <s v=""/>
    <x v="0"/>
    <d v="2025-01-18T00:00:00"/>
  </r>
  <r>
    <x v="829"/>
    <s v="ORD-00340"/>
    <d v="2025-01-14T00:00:00"/>
    <s v="C0064"/>
    <s v="Amina Singh, Toronto, Small Business"/>
    <s v="Amina Singh"/>
    <s v="Toronto"/>
    <s v="Small Business"/>
    <n v="2"/>
    <s v="P013"/>
    <n v="3"/>
    <n v="207.71"/>
    <n v="0.1"/>
    <s v="Retail Store"/>
    <s v="Retail Store"/>
    <s v="CC"/>
    <s v="Credit Card"/>
    <s v="Online Fulfillment"/>
    <s v="Ontario"/>
    <s v="Small Business"/>
    <n v="132.97"/>
    <x v="4"/>
    <n v="623.13"/>
    <n v="62.313000000000002"/>
    <n v="560.81700000000001"/>
    <n v="398.90999999999997"/>
    <n v="161.90700000000004"/>
    <n v="0.28869845243635633"/>
    <x v="1"/>
    <s v="Damaged"/>
    <d v="2025-01-27T00:00:00"/>
    <s v="Refunded"/>
    <x v="0"/>
    <d v="2025-01-18T00:00:00"/>
  </r>
  <r>
    <x v="830"/>
    <s v="ORD-00341"/>
    <d v="2025-02-13T00:00:00"/>
    <s v="C0016"/>
    <s v="Sofia Martin, Victoria, Small Business"/>
    <s v="Sofia Martin"/>
    <s v="Victoria"/>
    <s v="Small Business"/>
    <n v="2"/>
    <s v="P024"/>
    <n v="1"/>
    <n v="263.04000000000002"/>
    <n v="0.1"/>
    <s v="Online"/>
    <s v="Online"/>
    <s v="PayPal"/>
    <s v="PayPal"/>
    <s v="Montreal Central"/>
    <s v="British Columbia"/>
    <s v="Small Business"/>
    <n v="161.84"/>
    <x v="2"/>
    <n v="263.04000000000002"/>
    <n v="26.304000000000002"/>
    <n v="236.73600000000002"/>
    <n v="161.84"/>
    <n v="74.896000000000015"/>
    <n v="0.31636928899702627"/>
    <x v="0"/>
    <s v=""/>
    <s v=""/>
    <s v=""/>
    <x v="1"/>
    <d v="2025-02-18T00:00:00"/>
  </r>
  <r>
    <x v="831"/>
    <s v="ORD-00341"/>
    <d v="2025-02-13T00:00:00"/>
    <s v="C0016"/>
    <s v="Sofia Martin, Victoria, Small Business"/>
    <s v="Sofia Martin"/>
    <s v="Victoria"/>
    <s v="Small Business"/>
    <n v="2"/>
    <s v="P008"/>
    <n v="2"/>
    <n v="110.88"/>
    <n v="0.15"/>
    <s v="Online"/>
    <s v="Online"/>
    <s v="Credit Card"/>
    <s v="Credit Card"/>
    <s v="Calgary North"/>
    <s v="British Columbia"/>
    <s v="Small Business"/>
    <n v="57.09"/>
    <x v="3"/>
    <n v="221.76"/>
    <n v="33.263999999999996"/>
    <n v="188.49599999999998"/>
    <n v="114.18"/>
    <n v="74.315999999999974"/>
    <n v="0.39425770308123237"/>
    <x v="0"/>
    <s v=""/>
    <s v=""/>
    <s v=""/>
    <x v="1"/>
    <d v="2025-02-18T00:00:00"/>
  </r>
  <r>
    <x v="832"/>
    <s v="ORD-00341"/>
    <d v="2025-02-13T00:00:00"/>
    <s v="C0016"/>
    <s v="Sofia Martin, Victoria, Small Business"/>
    <s v="Sofia Martin"/>
    <s v="Victoria"/>
    <s v="Small Business"/>
    <n v="2"/>
    <s v="P013"/>
    <n v="3"/>
    <n v="207.71"/>
    <n v="0"/>
    <s v="Market place"/>
    <s v="Marketplace"/>
    <s v="Gift Card"/>
    <s v="Gift Card"/>
    <s v="Vancouver West"/>
    <s v="British Columbia"/>
    <s v="Small Business"/>
    <n v="132.97"/>
    <x v="4"/>
    <n v="623.13"/>
    <n v="0"/>
    <n v="623.13"/>
    <n v="398.90999999999997"/>
    <n v="224.22000000000003"/>
    <n v="0.35982860719272064"/>
    <x v="0"/>
    <s v=""/>
    <s v=""/>
    <s v=""/>
    <x v="1"/>
    <d v="2025-02-18T00:00:00"/>
  </r>
  <r>
    <x v="833"/>
    <s v="ORD-00342"/>
    <d v="2025-03-31T01:00:00"/>
    <s v="C0176"/>
    <s v="Yara Ali, Toronto, Corporate"/>
    <s v="Yara Ali"/>
    <s v="Toronto"/>
    <s v="Corporate"/>
    <n v="2"/>
    <s v="P029"/>
    <n v="2"/>
    <n v="300.16000000000003"/>
    <n v="0.05"/>
    <s v="Online"/>
    <s v="Online"/>
    <s v="CC"/>
    <s v="Credit Card"/>
    <s v="Online Fulfillment"/>
    <s v="Ontario"/>
    <s v="Corporate"/>
    <n v="158.46"/>
    <x v="2"/>
    <n v="600.32000000000005"/>
    <n v="30.016000000000005"/>
    <n v="570.30400000000009"/>
    <n v="316.92"/>
    <n v="253.38400000000007"/>
    <n v="0.4442963752665246"/>
    <x v="1"/>
    <s v="Wrong Item"/>
    <d v="2025-04-07T00:00:00"/>
    <s v="Pending"/>
    <x v="1"/>
    <d v="2025-04-06T01:00:00"/>
  </r>
  <r>
    <x v="834"/>
    <s v="ORD-00342"/>
    <d v="2025-03-31T01:00:00"/>
    <s v="C0176"/>
    <s v="Yara Ali, Toronto, Corporate"/>
    <s v="Yara Ali"/>
    <s v="Toronto"/>
    <s v="Corporate"/>
    <n v="2"/>
    <s v="P028"/>
    <n v="2"/>
    <n v="52.79"/>
    <n v="0.05"/>
    <s v="Online"/>
    <s v="Online"/>
    <s v="Credit Card"/>
    <s v="Credit Card"/>
    <s v="Calgary North"/>
    <s v="Ontario"/>
    <s v="Corporate"/>
    <n v="28.17"/>
    <x v="2"/>
    <n v="105.58"/>
    <n v="5.2789999999999999"/>
    <n v="100.301"/>
    <n v="56.34"/>
    <n v="43.960999999999999"/>
    <n v="0.43829074485797748"/>
    <x v="1"/>
    <s v="Wrong Item"/>
    <d v="2025-04-15T00:00:00"/>
    <s v="Refunded"/>
    <x v="1"/>
    <d v="2025-04-06T01:00:00"/>
  </r>
  <r>
    <x v="835"/>
    <s v="ORD-00342"/>
    <d v="2025-03-31T01:00:00"/>
    <s v="C0176"/>
    <s v="Yara Ali, Toronto, Corporate"/>
    <s v="Yara Ali"/>
    <s v="Toronto"/>
    <s v="Corporate"/>
    <n v="2"/>
    <s v="P005"/>
    <n v="1"/>
    <n v="42.72"/>
    <n v="0"/>
    <s v="Online"/>
    <s v="Online"/>
    <s v="Credit Card"/>
    <s v="Credit Card"/>
    <s v="Vancouver West"/>
    <s v="Ontario"/>
    <s v="Corporate"/>
    <n v="24.46"/>
    <x v="3"/>
    <n v="42.72"/>
    <n v="0"/>
    <n v="42.72"/>
    <n v="24.46"/>
    <n v="18.259999999999998"/>
    <n v="0.42743445692883891"/>
    <x v="1"/>
    <s v="Damaged"/>
    <d v="2025-04-13T00:00:00"/>
    <s v="Pending"/>
    <x v="1"/>
    <d v="2025-04-06T01:00:00"/>
  </r>
  <r>
    <x v="836"/>
    <s v="ORD-00343"/>
    <d v="2025-07-02T00:00:00"/>
    <s v="C0057"/>
    <s v="Adam Ali, Toronto, Corporate"/>
    <s v="Adam Ali"/>
    <s v="Toronto"/>
    <s v="Corporate"/>
    <n v="2"/>
    <s v="P033"/>
    <n v="3"/>
    <n v="160"/>
    <n v="0"/>
    <s v="Online"/>
    <s v="Online"/>
    <s v="Debit Card"/>
    <s v="Debit Card"/>
    <s v="Toronto Downtown"/>
    <s v="Ontario"/>
    <s v="Corporate"/>
    <n v="101.58"/>
    <x v="0"/>
    <n v="480"/>
    <n v="0"/>
    <n v="480"/>
    <n v="304.74"/>
    <n v="175.26"/>
    <n v="0.36512499999999998"/>
    <x v="0"/>
    <s v=""/>
    <s v=""/>
    <s v=""/>
    <x v="1"/>
    <d v="2025-07-11T00:00:00"/>
  </r>
  <r>
    <x v="837"/>
    <s v="ORD-00343"/>
    <d v="2025-07-02T00:00:00"/>
    <s v="C0057"/>
    <s v="Adam Ali, Toronto, Corporate"/>
    <s v="Adam Ali"/>
    <s v="Toronto"/>
    <s v="Corporate"/>
    <n v="2"/>
    <s v="P020"/>
    <n v="4"/>
    <n v="56.99"/>
    <n v="0.15"/>
    <s v="Retail  Store"/>
    <s v="Retail Store"/>
    <s v="PayPal"/>
    <s v="PayPal"/>
    <s v="Toronto Downtown"/>
    <s v="Ontario"/>
    <s v="Corporate"/>
    <n v="33.65"/>
    <x v="4"/>
    <n v="227.96"/>
    <n v="34.194000000000003"/>
    <n v="193.76600000000002"/>
    <n v="134.6"/>
    <n v="59.166000000000025"/>
    <n v="0.30534768741678114"/>
    <x v="0"/>
    <s v=""/>
    <s v=""/>
    <s v=""/>
    <x v="1"/>
    <d v="2025-07-11T00:00:00"/>
  </r>
  <r>
    <x v="838"/>
    <s v="ORD-00344"/>
    <d v="2025-08-09T00:00:00"/>
    <s v="C0086"/>
    <s v="Adam Tremblay, Edmonton, Small Business"/>
    <s v="Adam Tremblay"/>
    <s v="Edmonton"/>
    <s v="Small Business"/>
    <n v="2"/>
    <s v="P015"/>
    <n v="3"/>
    <n v="273.89"/>
    <n v="0"/>
    <s v="Marketplace"/>
    <s v="Marketplace"/>
    <s v="PayPal"/>
    <s v="PayPal"/>
    <s v="Montreal Central"/>
    <s v="Alberta"/>
    <s v="Small Business"/>
    <n v="140.66999999999999"/>
    <x v="4"/>
    <n v="821.67"/>
    <n v="0"/>
    <n v="821.67"/>
    <n v="422.01"/>
    <n v="399.65999999999997"/>
    <n v="0.48639964949432252"/>
    <x v="1"/>
    <s v="Not as Described"/>
    <d v="2025-08-24T00:00:00"/>
    <s v="Refunded"/>
    <x v="0"/>
    <d v="2025-08-12T00:00:00"/>
  </r>
  <r>
    <x v="839"/>
    <s v="ORD-00345"/>
    <d v="2025-04-19T00:00:00"/>
    <s v="C0053"/>
    <s v="Ethan Brown, Halifax, Consumer"/>
    <s v="Ethan Brown"/>
    <s v="Halifax"/>
    <s v="Consumer"/>
    <n v="2"/>
    <s v="P034"/>
    <n v="2"/>
    <n v="141.46"/>
    <n v="0"/>
    <s v="Market place"/>
    <s v="Marketplace"/>
    <s v="CC"/>
    <s v="Credit Card"/>
    <s v="Vancouver West"/>
    <s v="Nova Scotia"/>
    <s v="Consumer"/>
    <n v="78.650000000000006"/>
    <x v="0"/>
    <n v="282.92"/>
    <n v="0"/>
    <n v="282.92"/>
    <n v="157.30000000000001"/>
    <n v="125.62"/>
    <n v="0.44401244167962672"/>
    <x v="0"/>
    <s v=""/>
    <s v=""/>
    <s v=""/>
    <x v="1"/>
    <d v="2025-04-27T00:00:00"/>
  </r>
  <r>
    <x v="840"/>
    <s v="ORD-00345"/>
    <d v="2025-04-19T00:00:00"/>
    <s v="C0053"/>
    <s v="Ethan Brown, Halifax, Consumer"/>
    <s v="Ethan Brown"/>
    <s v="Halifax"/>
    <s v="Consumer"/>
    <n v="2"/>
    <s v="P024"/>
    <n v="4"/>
    <n v="263.04000000000002"/>
    <n v="0.1"/>
    <s v="Marketplace"/>
    <s v="Marketplace"/>
    <s v="Debit Card"/>
    <s v="Debit Card"/>
    <s v="Vancouver West"/>
    <s v="Nova Scotia"/>
    <s v="Consumer"/>
    <n v="161.84"/>
    <x v="2"/>
    <n v="1052.1600000000001"/>
    <n v="105.21600000000001"/>
    <n v="946.94400000000007"/>
    <n v="647.36"/>
    <n v="299.58400000000006"/>
    <n v="0.31636928899702627"/>
    <x v="0"/>
    <s v=""/>
    <s v=""/>
    <s v=""/>
    <x v="1"/>
    <d v="2025-04-27T00:00:00"/>
  </r>
  <r>
    <x v="841"/>
    <s v="ORD-00346"/>
    <d v="2025-05-24T00:00:00"/>
    <s v="C0102"/>
    <s v="Adam Brown, Montreal, Small Business"/>
    <s v="Adam Brown"/>
    <s v="Montreal"/>
    <s v="Small Business"/>
    <n v="2"/>
    <s v="P033"/>
    <n v="1"/>
    <n v="160"/>
    <n v="0"/>
    <s v="Market place"/>
    <s v="Marketplace"/>
    <s v="PayPal"/>
    <s v="PayPal"/>
    <s v="Calgary North"/>
    <s v="Quebec"/>
    <s v="Small Business"/>
    <n v="101.58"/>
    <x v="0"/>
    <n v="160"/>
    <n v="0"/>
    <n v="160"/>
    <n v="101.58"/>
    <n v="58.42"/>
    <n v="0.36512500000000003"/>
    <x v="0"/>
    <s v=""/>
    <s v=""/>
    <s v=""/>
    <x v="1"/>
    <d v="2025-06-03T00:00:00"/>
  </r>
  <r>
    <x v="842"/>
    <s v="ORD-00346"/>
    <d v="2025-05-24T00:00:00"/>
    <s v="C0102"/>
    <s v="Adam Brown, Montreal, Small Business"/>
    <s v="Adam Brown"/>
    <s v="Montreal"/>
    <s v="Small Business"/>
    <n v="2"/>
    <s v="P049"/>
    <n v="1"/>
    <n v="300.56"/>
    <n v="0.05"/>
    <s v="Retail  Store"/>
    <s v="Retail Store"/>
    <s v="Credit Card"/>
    <s v="Credit Card"/>
    <s v="Vancouver West"/>
    <s v="Quebec"/>
    <s v="Small Business"/>
    <n v="158.86000000000001"/>
    <x v="1"/>
    <n v="300.56"/>
    <n v="15.028"/>
    <n v="285.53199999999998"/>
    <n v="158.86000000000001"/>
    <n v="126.67199999999997"/>
    <n v="0.44363503915498081"/>
    <x v="0"/>
    <s v=""/>
    <s v=""/>
    <s v=""/>
    <x v="1"/>
    <d v="2025-06-03T00:00:00"/>
  </r>
  <r>
    <x v="843"/>
    <s v="ORD-00347"/>
    <d v="2025-08-26T00:00:00"/>
    <s v="C0103"/>
    <s v="Daniel Wilson, Victoria, Consumer"/>
    <s v="Daniel Wilson"/>
    <s v="Victoria"/>
    <s v="Consumer"/>
    <n v="2"/>
    <s v="P033"/>
    <n v="4"/>
    <n v="160"/>
    <n v="0"/>
    <s v="Retail  Store"/>
    <s v="Retail Store"/>
    <m/>
    <s v="Unknown"/>
    <s v="Calgary North"/>
    <s v="British Columbia"/>
    <s v="Consumer"/>
    <n v="101.58"/>
    <x v="0"/>
    <n v="640"/>
    <n v="0"/>
    <n v="640"/>
    <n v="406.32"/>
    <n v="233.68"/>
    <n v="0.36512500000000003"/>
    <x v="0"/>
    <s v=""/>
    <s v=""/>
    <s v=""/>
    <x v="0"/>
    <d v="2025-08-30T00:00:00"/>
  </r>
  <r>
    <x v="844"/>
    <s v="ORD-00347"/>
    <d v="2025-08-26T00:00:00"/>
    <s v="C0103"/>
    <s v="Daniel Wilson, Victoria, Consumer"/>
    <s v="Daniel Wilson"/>
    <s v="Victoria"/>
    <s v="Consumer"/>
    <n v="2"/>
    <s v="P046"/>
    <n v="1"/>
    <n v="180.37"/>
    <n v="0.15"/>
    <s v="Retail  Store"/>
    <s v="Retail Store"/>
    <s v="Gift Card"/>
    <s v="Gift Card"/>
    <s v="Montreal Central"/>
    <s v="British Columbia"/>
    <s v="Consumer"/>
    <n v="107.55"/>
    <x v="1"/>
    <n v="180.37"/>
    <n v="27.055499999999999"/>
    <n v="153.31450000000001"/>
    <n v="107.55"/>
    <n v="45.764500000000012"/>
    <n v="0.29850079411927777"/>
    <x v="0"/>
    <s v=""/>
    <s v=""/>
    <s v=""/>
    <x v="0"/>
    <d v="2025-08-30T00:00:00"/>
  </r>
  <r>
    <x v="845"/>
    <s v="ORD-00347"/>
    <d v="2025-08-26T00:00:00"/>
    <s v="C0103"/>
    <s v="Daniel Wilson, Victoria, Consumer"/>
    <s v="Daniel Wilson"/>
    <s v="Victoria"/>
    <s v="Consumer"/>
    <n v="2"/>
    <s v="P029"/>
    <n v="3"/>
    <n v="300.16000000000003"/>
    <n v="0.1"/>
    <s v="Online"/>
    <s v="Online"/>
    <s v="Credit Card"/>
    <s v="Credit Card"/>
    <s v="Online Fulfillment"/>
    <s v="British Columbia"/>
    <s v="Consumer"/>
    <n v="158.46"/>
    <x v="2"/>
    <n v="900.48"/>
    <n v="90.048000000000002"/>
    <n v="810.43200000000002"/>
    <n v="475.38"/>
    <n v="335.05200000000002"/>
    <n v="0.41342395167022034"/>
    <x v="0"/>
    <s v=""/>
    <s v=""/>
    <s v=""/>
    <x v="0"/>
    <d v="2025-08-30T00:00:00"/>
  </r>
  <r>
    <x v="846"/>
    <s v="ORD-00347"/>
    <d v="2025-08-26T00:00:00"/>
    <s v="C0103"/>
    <s v="Daniel Wilson, Victoria, Consumer"/>
    <s v="Daniel Wilson"/>
    <s v="Victoria"/>
    <s v="Consumer"/>
    <n v="2"/>
    <s v="P024"/>
    <n v="3"/>
    <n v="263.04000000000002"/>
    <n v="0.15"/>
    <s v="Market place"/>
    <s v="Marketplace"/>
    <s v="PayPal"/>
    <s v="PayPal"/>
    <s v="Online Fulfillment"/>
    <s v="British Columbia"/>
    <s v="Consumer"/>
    <n v="161.84"/>
    <x v="2"/>
    <n v="789.12000000000012"/>
    <n v="118.36800000000001"/>
    <n v="670.75200000000007"/>
    <n v="485.52"/>
    <n v="185.23200000000008"/>
    <n v="0.27615571776155728"/>
    <x v="0"/>
    <s v=""/>
    <s v=""/>
    <s v=""/>
    <x v="0"/>
    <d v="2025-08-30T00:00:00"/>
  </r>
  <r>
    <x v="847"/>
    <s v="ORD-00348"/>
    <d v="2025-02-03T00:00:00"/>
    <s v="C0121"/>
    <s v="Sara Gagnon, Halifax, Corporate"/>
    <s v="Sara Gagnon"/>
    <s v="Halifax"/>
    <s v="Corporate"/>
    <n v="2"/>
    <s v="P011"/>
    <n v="2"/>
    <n v="275.76"/>
    <n v="0.05"/>
    <s v="Retail Store"/>
    <s v="Retail Store"/>
    <s v="Credit Card"/>
    <s v="Credit Card"/>
    <s v="Vancouver West"/>
    <s v="Nova Scotia"/>
    <s v="Corporate"/>
    <n v="156.97"/>
    <x v="4"/>
    <n v="551.52"/>
    <n v="27.576000000000001"/>
    <n v="523.94399999999996"/>
    <n v="313.94"/>
    <n v="210.00399999999996"/>
    <n v="0.40081382743193927"/>
    <x v="0"/>
    <s v=""/>
    <s v=""/>
    <s v=""/>
    <x v="0"/>
    <d v="2025-02-05T00:00:00"/>
  </r>
  <r>
    <x v="848"/>
    <s v="ORD-00348"/>
    <d v="2025-02-03T00:00:00"/>
    <s v="C0121"/>
    <s v="Sara Gagnon, Halifax, Corporate"/>
    <s v="Sara Gagnon"/>
    <s v="Halifax"/>
    <s v="Corporate"/>
    <n v="2"/>
    <s v="P044"/>
    <n v="3"/>
    <n v="208.89"/>
    <n v="0.1"/>
    <s v="Online"/>
    <s v="Online"/>
    <s v="Debit Card"/>
    <s v="Debit Card"/>
    <s v="Toronto Downtown"/>
    <s v="Nova Scotia"/>
    <s v="Corporate"/>
    <n v="133.05000000000001"/>
    <x v="1"/>
    <n v="626.66999999999996"/>
    <n v="62.667000000000002"/>
    <n v="564.00299999999993"/>
    <n v="399.15000000000003"/>
    <n v="164.85299999999989"/>
    <n v="0.29229099845213574"/>
    <x v="0"/>
    <s v=""/>
    <s v=""/>
    <s v=""/>
    <x v="0"/>
    <d v="2025-02-05T00:00:00"/>
  </r>
  <r>
    <x v="849"/>
    <s v="ORD-00348"/>
    <d v="2025-02-03T00:00:00"/>
    <s v="C0121"/>
    <s v="Sara Gagnon, Halifax, Corporate"/>
    <s v="Sara Gagnon"/>
    <s v="Halifax"/>
    <s v="Corporate"/>
    <n v="2"/>
    <s v="P038"/>
    <n v="1"/>
    <n v="182.94"/>
    <n v="0.05"/>
    <s v="Marketplace"/>
    <s v="Marketplace"/>
    <s v="Credit Card"/>
    <s v="Credit Card"/>
    <s v="Toronto Downtown"/>
    <s v="Nova Scotia"/>
    <s v="Corporate"/>
    <n v="118.95"/>
    <x v="0"/>
    <n v="182.94"/>
    <n v="9.1470000000000002"/>
    <n v="173.79300000000001"/>
    <n v="118.95"/>
    <n v="54.843000000000004"/>
    <n v="0.31556506878873142"/>
    <x v="0"/>
    <s v=""/>
    <s v=""/>
    <s v=""/>
    <x v="0"/>
    <d v="2025-02-05T00:00:00"/>
  </r>
  <r>
    <x v="850"/>
    <s v="ORD-00348"/>
    <d v="2025-02-03T00:00:00"/>
    <s v="C0121"/>
    <s v="Sara Gagnon, Halifax, Corporate"/>
    <s v="Sara Gagnon"/>
    <s v="Halifax"/>
    <s v="Corporate"/>
    <n v="2"/>
    <s v="P040"/>
    <n v="1"/>
    <n v="33.369999999999997"/>
    <n v="0.05"/>
    <s v="Retail Store"/>
    <s v="Retail Store"/>
    <s v="Credit Card"/>
    <s v="Credit Card"/>
    <s v="Online Fulfillment"/>
    <s v="Nova Scotia"/>
    <s v="Corporate"/>
    <n v="18.670000000000002"/>
    <x v="0"/>
    <n v="33.369999999999997"/>
    <n v="1.6684999999999999"/>
    <n v="31.701499999999996"/>
    <n v="18.670000000000002"/>
    <n v="13.031499999999994"/>
    <n v="0.41106887686702509"/>
    <x v="0"/>
    <s v=""/>
    <s v=""/>
    <s v=""/>
    <x v="0"/>
    <d v="2025-02-05T00:00:00"/>
  </r>
  <r>
    <x v="851"/>
    <s v="ORD-00349"/>
    <d v="2025-06-08T00:00:00"/>
    <s v="C0085"/>
    <s v="Maya Johnson, Calgary, Consumer"/>
    <s v="Maya Johnson"/>
    <s v="Calgary"/>
    <s v="Consumer"/>
    <n v="2"/>
    <s v="P003"/>
    <n v="3"/>
    <n v="265.73"/>
    <n v="0.05"/>
    <s v="Online"/>
    <s v="Online"/>
    <s v="Credit Card"/>
    <s v="Credit Card"/>
    <s v="Toronto Downtown"/>
    <s v="Alberta"/>
    <s v="Consumer"/>
    <n v="154.16999999999999"/>
    <x v="3"/>
    <n v="797.19"/>
    <n v="39.859500000000004"/>
    <n v="757.33050000000003"/>
    <n v="462.51"/>
    <n v="294.82050000000004"/>
    <n v="0.38928908844949467"/>
    <x v="0"/>
    <s v=""/>
    <s v=""/>
    <s v=""/>
    <x v="1"/>
    <d v="2025-06-15T00:00:00"/>
  </r>
  <r>
    <x v="852"/>
    <s v="ORD-00349"/>
    <d v="2025-06-08T00:00:00"/>
    <s v="C0085"/>
    <s v="Maya Johnson, Calgary, Consumer"/>
    <s v="Maya Johnson"/>
    <s v="Calgary"/>
    <s v="Consumer"/>
    <n v="2"/>
    <s v="P023"/>
    <n v="2"/>
    <n v="82.77"/>
    <n v="0.05"/>
    <s v="Retail Store"/>
    <s v="Retail Store"/>
    <s v="PayPal"/>
    <s v="PayPal"/>
    <s v="Calgary North"/>
    <s v="Alberta"/>
    <s v="Consumer"/>
    <n v="46.51"/>
    <x v="2"/>
    <n v="165.54"/>
    <n v="8.2769999999999992"/>
    <n v="157.26300000000001"/>
    <n v="93.02"/>
    <n v="64.243000000000009"/>
    <n v="0.40850676891576537"/>
    <x v="0"/>
    <s v=""/>
    <s v=""/>
    <s v=""/>
    <x v="1"/>
    <d v="2025-06-15T00:00:00"/>
  </r>
  <r>
    <x v="853"/>
    <s v="ORD-00349"/>
    <d v="2025-06-08T00:00:00"/>
    <s v="C0085"/>
    <s v="Maya Johnson, Calgary, Consumer"/>
    <s v="Maya Johnson"/>
    <s v="Calgary"/>
    <s v="Consumer"/>
    <n v="2"/>
    <s v="P010"/>
    <n v="3"/>
    <n v="37.82"/>
    <n v="0.1"/>
    <s v="Online"/>
    <s v="Online"/>
    <s v="Gift Card"/>
    <s v="Gift Card"/>
    <s v="Online Fulfillment"/>
    <s v="Alberta"/>
    <s v="Consumer"/>
    <n v="24.76"/>
    <x v="3"/>
    <n v="113.46000000000001"/>
    <n v="11.346000000000002"/>
    <n v="102.114"/>
    <n v="74.28"/>
    <n v="27.834000000000003"/>
    <n v="0.27257770726834718"/>
    <x v="0"/>
    <s v=""/>
    <s v=""/>
    <s v=""/>
    <x v="1"/>
    <d v="2025-06-15T00:00:00"/>
  </r>
  <r>
    <x v="854"/>
    <s v="ORD-00349"/>
    <d v="2025-06-08T00:00:00"/>
    <s v="C0085"/>
    <s v="Maya Johnson, Calgary, Consumer"/>
    <s v="Maya Johnson"/>
    <s v="Calgary"/>
    <s v="Consumer"/>
    <n v="2"/>
    <s v="P002"/>
    <n v="4"/>
    <n v="105.38"/>
    <n v="0"/>
    <s v="Marketplace"/>
    <s v="Marketplace"/>
    <s v="Gift Card"/>
    <s v="Gift Card"/>
    <s v="Online Fulfillment"/>
    <s v="Alberta"/>
    <s v="Consumer"/>
    <n v="67.290000000000006"/>
    <x v="3"/>
    <n v="421.52"/>
    <n v="0"/>
    <n v="421.52"/>
    <n v="269.16000000000003"/>
    <n v="152.35999999999996"/>
    <n v="0.36145378629721003"/>
    <x v="0"/>
    <s v=""/>
    <s v=""/>
    <s v=""/>
    <x v="1"/>
    <d v="2025-06-15T00:00:00"/>
  </r>
  <r>
    <x v="855"/>
    <s v="ORD-00350"/>
    <d v="2025-09-15T00:00:00"/>
    <s v="C0162"/>
    <s v="Sara Singh, Vancouver, Small Business"/>
    <s v="Sara Singh"/>
    <s v="Vancouver"/>
    <s v="Small Business"/>
    <n v="2"/>
    <s v="P040"/>
    <n v="2"/>
    <n v="33.369999999999997"/>
    <n v="0.15"/>
    <s v="Marketplace"/>
    <s v="Marketplace"/>
    <s v="Gift Card"/>
    <s v="Gift Card"/>
    <s v="Montreal Central"/>
    <s v="British Columbia"/>
    <s v="Small Business"/>
    <n v="18.670000000000002"/>
    <x v="0"/>
    <n v="66.739999999999995"/>
    <n v="10.010999999999999"/>
    <n v="56.728999999999999"/>
    <n v="37.340000000000003"/>
    <n v="19.388999999999996"/>
    <n v="0.34178286238079281"/>
    <x v="0"/>
    <s v=""/>
    <s v=""/>
    <s v=""/>
    <x v="0"/>
    <d v="2025-09-18T00:00:00"/>
  </r>
  <r>
    <x v="856"/>
    <s v="ORD-00351"/>
    <d v="2025-02-25T01:00:00"/>
    <s v="C0175"/>
    <s v="Emma Martin, Vancouver, Consumer"/>
    <s v="Emma Martin"/>
    <s v="Vancouver"/>
    <s v="Consumer"/>
    <n v="2"/>
    <s v="P040"/>
    <n v="4"/>
    <n v="33.369999999999997"/>
    <n v="0.05"/>
    <s v="Online"/>
    <s v="Online"/>
    <m/>
    <s v="Unknown"/>
    <s v="Montreal Central"/>
    <s v="British Columbia"/>
    <s v="Consumer"/>
    <n v="18.670000000000002"/>
    <x v="0"/>
    <n v="133.47999999999999"/>
    <n v="6.6739999999999995"/>
    <n v="126.80599999999998"/>
    <n v="74.680000000000007"/>
    <n v="52.125999999999976"/>
    <n v="0.41106887686702509"/>
    <x v="0"/>
    <s v=""/>
    <s v=""/>
    <s v=""/>
    <x v="0"/>
    <d v="2025-02-26T01:00:00"/>
  </r>
  <r>
    <x v="857"/>
    <s v="ORD-00352"/>
    <d v="2025-06-18T00:00:00"/>
    <s v="C0038"/>
    <s v="Sofia Dubois, Quebec City, Corporate"/>
    <s v="Sofia Dubois"/>
    <s v="Quebec City"/>
    <s v="Corporate"/>
    <n v="2"/>
    <s v="P026"/>
    <n v="3"/>
    <n v="228.91"/>
    <n v="0"/>
    <s v="Market place"/>
    <s v="Marketplace"/>
    <s v="PayPal"/>
    <s v="PayPal"/>
    <s v="Online Fulfillment"/>
    <s v="Quebec"/>
    <s v="Corporate"/>
    <n v="149.4"/>
    <x v="2"/>
    <n v="686.73"/>
    <n v="0"/>
    <n v="686.73"/>
    <n v="448.20000000000005"/>
    <n v="238.52999999999997"/>
    <n v="0.34734175003276391"/>
    <x v="0"/>
    <s v=""/>
    <s v=""/>
    <s v=""/>
    <x v="1"/>
    <d v="2025-06-26T00:00:00"/>
  </r>
  <r>
    <x v="858"/>
    <s v="ORD-00352"/>
    <d v="2025-06-18T00:00:00"/>
    <s v="C0038"/>
    <s v="Sofia Dubois, Quebec City, Corporate"/>
    <s v="Sofia Dubois"/>
    <s v="Quebec City"/>
    <s v="Corporate"/>
    <n v="2"/>
    <s v="P040"/>
    <n v="4"/>
    <n v="33.369999999999997"/>
    <n v="0"/>
    <s v="Market place"/>
    <s v="Marketplace"/>
    <m/>
    <s v="Unknown"/>
    <s v="Montreal Central"/>
    <s v="Quebec"/>
    <s v="Corporate"/>
    <n v="18.670000000000002"/>
    <x v="0"/>
    <n v="133.47999999999999"/>
    <n v="0"/>
    <n v="133.47999999999999"/>
    <n v="74.680000000000007"/>
    <n v="58.799999999999983"/>
    <n v="0.44051543302367385"/>
    <x v="1"/>
    <s v="Wrong Item"/>
    <d v="2025-07-10T00:00:00"/>
    <s v="Pending"/>
    <x v="1"/>
    <d v="2025-06-26T00:00:00"/>
  </r>
  <r>
    <x v="859"/>
    <s v="ORD-00352"/>
    <d v="2025-06-18T00:00:00"/>
    <s v="C0038"/>
    <s v="Sofia Dubois, Quebec City, Corporate"/>
    <s v="Sofia Dubois"/>
    <s v="Quebec City"/>
    <s v="Corporate"/>
    <n v="2"/>
    <s v="P019"/>
    <n v="2"/>
    <n v="183.73"/>
    <n v="0"/>
    <s v="Retail  Store"/>
    <s v="Retail Store"/>
    <s v="Credit Card"/>
    <s v="Credit Card"/>
    <s v="Montreal Central"/>
    <s v="Quebec"/>
    <s v="Corporate"/>
    <n v="98.11"/>
    <x v="4"/>
    <n v="367.46"/>
    <n v="0"/>
    <n v="367.46"/>
    <n v="196.22"/>
    <n v="171.23999999999998"/>
    <n v="0.46600990584009139"/>
    <x v="0"/>
    <s v=""/>
    <s v=""/>
    <s v=""/>
    <x v="1"/>
    <d v="2025-06-26T00:00:00"/>
  </r>
  <r>
    <x v="860"/>
    <s v="ORD-00352"/>
    <d v="2025-06-18T00:00:00"/>
    <s v="c0038"/>
    <s v="Sofia Dubois, Quebec City, Corporate"/>
    <s v="Sofia Dubois"/>
    <s v="Quebec City"/>
    <s v="Corporate"/>
    <n v="2"/>
    <s v="P014"/>
    <n v="3"/>
    <n v="91.75"/>
    <n v="0"/>
    <s v="Marketplace"/>
    <s v="Marketplace"/>
    <s v="Credit Card"/>
    <s v="Credit Card"/>
    <s v="Calgary North"/>
    <s v="Quebec"/>
    <s v="Corporate"/>
    <n v="58.27"/>
    <x v="4"/>
    <n v="275.25"/>
    <n v="0"/>
    <n v="275.25"/>
    <n v="174.81"/>
    <n v="100.44"/>
    <n v="0.36490463215258856"/>
    <x v="0"/>
    <s v=""/>
    <s v=""/>
    <s v=""/>
    <x v="1"/>
    <d v="2025-06-26T00:00:00"/>
  </r>
  <r>
    <x v="861"/>
    <s v="ORD-00353"/>
    <d v="2025-09-25T00:00:00"/>
    <s v="C0173"/>
    <s v="Adam Johnson, Vancouver, Small Business"/>
    <s v="Adam Johnson"/>
    <s v="Vancouver"/>
    <s v="Small Business"/>
    <n v="2"/>
    <s v="P019"/>
    <n v="1"/>
    <n v="183.73"/>
    <n v="0.05"/>
    <s v="Online"/>
    <s v="Online"/>
    <s v="CC"/>
    <s v="Credit Card"/>
    <s v="Online Fulfillment"/>
    <s v="British Columbia"/>
    <s v="Small Business"/>
    <n v="98.11"/>
    <x v="4"/>
    <n v="183.73"/>
    <n v="9.1865000000000006"/>
    <n v="174.54349999999999"/>
    <n v="98.11"/>
    <n v="76.433499999999995"/>
    <n v="0.43790516404220148"/>
    <x v="0"/>
    <s v=""/>
    <s v=""/>
    <s v=""/>
    <x v="1"/>
    <d v="2025-10-04T00:00:00"/>
  </r>
  <r>
    <x v="862"/>
    <s v="ORD-00353"/>
    <d v="2025-09-25T00:00:00"/>
    <s v="C0173"/>
    <s v="Adam Johnson, Vancouver, Small Business"/>
    <s v="Adam Johnson"/>
    <s v="Vancouver"/>
    <s v="Small Business"/>
    <n v="2"/>
    <s v="P019"/>
    <n v="1"/>
    <n v="183.73"/>
    <n v="0.15"/>
    <s v="Market place"/>
    <s v="Marketplace"/>
    <s v="Gift Card"/>
    <s v="Gift Card"/>
    <s v="Toronto Downtown"/>
    <s v="British Columbia"/>
    <s v="Small Business"/>
    <n v="98.11"/>
    <x v="4"/>
    <n v="183.73"/>
    <n v="27.559499999999996"/>
    <n v="156.1705"/>
    <n v="98.11"/>
    <n v="58.060500000000005"/>
    <n v="0.37177635981187229"/>
    <x v="1"/>
    <s v="Wrong Item"/>
    <d v="2025-10-21T00:00:00"/>
    <s v="Pending"/>
    <x v="1"/>
    <d v="2025-10-04T00:00:00"/>
  </r>
  <r>
    <x v="863"/>
    <s v="ORD-00354"/>
    <d v="2025-01-03T00:00:00"/>
    <s v="C0088"/>
    <s v="Yara Johnson, Quebec City, Consumer"/>
    <s v="Yara Johnson"/>
    <s v="Quebec City"/>
    <s v="Consumer"/>
    <n v="2"/>
    <s v="P026"/>
    <n v="2"/>
    <n v="228.91"/>
    <n v="0.05"/>
    <s v="Online"/>
    <s v="Online"/>
    <s v="CC"/>
    <s v="Credit Card"/>
    <s v="Vancouver West"/>
    <s v="Quebec"/>
    <s v="Consumer"/>
    <n v="149.4"/>
    <x v="2"/>
    <n v="457.82"/>
    <n v="22.891000000000002"/>
    <n v="434.92899999999997"/>
    <n v="298.8"/>
    <n v="136.12899999999996"/>
    <n v="0.312991315823962"/>
    <x v="0"/>
    <s v=""/>
    <s v=""/>
    <s v=""/>
    <x v="1"/>
    <d v="2025-01-13T00:00:00"/>
  </r>
  <r>
    <x v="864"/>
    <s v="ORD-00355"/>
    <d v="2025-04-28T00:00:00"/>
    <s v="C0171"/>
    <s v="Yara Gagnon, Winnipeg, Corporate"/>
    <s v="Yara Gagnon"/>
    <s v="Winnipeg"/>
    <s v="Corporate"/>
    <n v="2"/>
    <s v="P028"/>
    <n v="1"/>
    <n v="52.79"/>
    <n v="0"/>
    <s v="Marketplace"/>
    <s v="Marketplace"/>
    <s v="PayPal"/>
    <s v="PayPal"/>
    <s v="Montreal Central"/>
    <s v="Manitoba"/>
    <s v="Corporate"/>
    <n v="28.17"/>
    <x v="2"/>
    <n v="52.79"/>
    <n v="0"/>
    <n v="52.79"/>
    <n v="28.17"/>
    <n v="24.619999999999997"/>
    <n v="0.46637620761507859"/>
    <x v="0"/>
    <s v=""/>
    <s v=""/>
    <s v=""/>
    <x v="1"/>
    <d v="2025-05-05T00:00:00"/>
  </r>
  <r>
    <x v="865"/>
    <s v="ORD-00355"/>
    <d v="2025-04-28T00:00:00"/>
    <s v="C0171"/>
    <s v="Yara Gagnon, Winnipeg, Corporate"/>
    <s v="Yara Gagnon"/>
    <s v="Winnipeg"/>
    <s v="Corporate"/>
    <n v="2"/>
    <s v="P004"/>
    <n v="1"/>
    <n v="195.38"/>
    <n v="0.15"/>
    <s v="Retail  Store"/>
    <s v="Retail Store"/>
    <s v="Gift Card"/>
    <s v="Gift Card"/>
    <s v="Vancouver West"/>
    <s v="Manitoba"/>
    <s v="Corporate"/>
    <n v="114.29"/>
    <x v="3"/>
    <n v="195.38"/>
    <n v="29.306999999999999"/>
    <n v="166.07300000000001"/>
    <n v="114.29"/>
    <n v="51.783000000000001"/>
    <n v="0.31180866245566707"/>
    <x v="0"/>
    <s v=""/>
    <s v=""/>
    <s v=""/>
    <x v="1"/>
    <d v="2025-05-05T00:00:00"/>
  </r>
  <r>
    <x v="866"/>
    <s v="ORD-00355"/>
    <d v="2025-04-28T00:00:00"/>
    <s v="C0171"/>
    <s v="Yara Gagnon, Winnipeg, Corporate"/>
    <s v="Yara Gagnon"/>
    <s v="Winnipeg"/>
    <s v="Corporate"/>
    <n v="2"/>
    <s v="P021"/>
    <n v="3"/>
    <n v="25.01"/>
    <n v="0"/>
    <s v="Online"/>
    <s v="Online"/>
    <s v="CC"/>
    <s v="Credit Card"/>
    <s v="Calgary North"/>
    <s v="Manitoba"/>
    <s v="Corporate"/>
    <n v="16.86"/>
    <x v="2"/>
    <n v="75.03"/>
    <n v="0"/>
    <n v="75.03"/>
    <n v="50.58"/>
    <n v="24.450000000000003"/>
    <n v="0.32586965213914437"/>
    <x v="0"/>
    <s v=""/>
    <s v=""/>
    <s v=""/>
    <x v="1"/>
    <d v="2025-05-05T00:00:00"/>
  </r>
  <r>
    <x v="867"/>
    <s v="ORD-00356"/>
    <d v="2025-07-28T00:00:00"/>
    <s v="C0116"/>
    <s v="Sofia Dubois, Winnipeg, Consumer"/>
    <s v="Sofia Dubois"/>
    <s v="Winnipeg"/>
    <s v="Consumer"/>
    <n v="2"/>
    <s v="P005"/>
    <n v="4"/>
    <n v="42.72"/>
    <n v="0.15"/>
    <s v="Retail Store"/>
    <s v="Retail Store"/>
    <s v="PayPal"/>
    <s v="PayPal"/>
    <s v="Calgary North"/>
    <s v="Manitoba"/>
    <s v="Consumer"/>
    <n v="24.46"/>
    <x v="3"/>
    <n v="170.88"/>
    <n v="25.631999999999998"/>
    <n v="145.24799999999999"/>
    <n v="97.84"/>
    <n v="47.407999999999987"/>
    <n v="0.32639347873981045"/>
    <x v="0"/>
    <s v=""/>
    <s v=""/>
    <s v=""/>
    <x v="1"/>
    <d v="2025-08-06T00:00:00"/>
  </r>
  <r>
    <x v="868"/>
    <s v="ORD-00356"/>
    <d v="2025-07-28T00:00:00"/>
    <s v="C0116"/>
    <s v="Sofia Dubois, Winnipeg, Consumer"/>
    <s v="Sofia Dubois"/>
    <s v="Winnipeg"/>
    <s v="Consumer"/>
    <n v="2"/>
    <s v="P046"/>
    <n v="4"/>
    <n v="180.37"/>
    <n v="0.05"/>
    <s v="Online"/>
    <s v="Online"/>
    <m/>
    <s v="Unknown"/>
    <s v="Calgary North"/>
    <s v="Manitoba"/>
    <s v="Consumer"/>
    <n v="107.55"/>
    <x v="1"/>
    <n v="721.48"/>
    <n v="36.074000000000005"/>
    <n v="685.40600000000006"/>
    <n v="430.2"/>
    <n v="255.20600000000007"/>
    <n v="0.37234281579093276"/>
    <x v="1"/>
    <s v="Damaged"/>
    <d v="2025-08-07T00:00:00"/>
    <s v="Refunded"/>
    <x v="1"/>
    <d v="2025-08-06T00:00:00"/>
  </r>
  <r>
    <x v="869"/>
    <s v="ORD-00356"/>
    <d v="2025-07-28T00:00:00"/>
    <s v="C0116"/>
    <s v="Sofia Dubois, Winnipeg, Consumer"/>
    <s v="Sofia Dubois"/>
    <s v="Winnipeg"/>
    <s v="Consumer"/>
    <n v="2"/>
    <s v="P013"/>
    <n v="2"/>
    <n v="207.71"/>
    <n v="0.1"/>
    <s v="Online"/>
    <s v="Online"/>
    <s v="PayPal"/>
    <s v="PayPal"/>
    <s v="Toronto Downtown"/>
    <s v="Manitoba"/>
    <s v="Consumer"/>
    <n v="132.97"/>
    <x v="4"/>
    <n v="415.42"/>
    <n v="41.542000000000002"/>
    <n v="373.87800000000004"/>
    <n v="265.94"/>
    <n v="107.93800000000005"/>
    <n v="0.28869845243635633"/>
    <x v="0"/>
    <s v=""/>
    <s v=""/>
    <s v=""/>
    <x v="1"/>
    <d v="2025-08-06T00:00:00"/>
  </r>
  <r>
    <x v="870"/>
    <s v="ORD-00356"/>
    <d v="2025-07-28T00:00:00"/>
    <s v="c0116"/>
    <s v="Sofia Dubois, Winnipeg, Consumer"/>
    <s v="Sofia Dubois"/>
    <s v="Winnipeg"/>
    <s v="Consumer"/>
    <n v="2"/>
    <s v="P001"/>
    <n v="1"/>
    <n v="133.24"/>
    <n v="0"/>
    <s v="Retail  Store"/>
    <s v="Retail Store"/>
    <m/>
    <s v="Unknown"/>
    <s v="Montreal Central"/>
    <s v="Manitoba"/>
    <s v="Consumer"/>
    <n v="77.540000000000006"/>
    <x v="3"/>
    <n v="133.24"/>
    <n v="0"/>
    <n v="133.24"/>
    <n v="77.540000000000006"/>
    <n v="55.7"/>
    <n v="0.41804262984088864"/>
    <x v="0"/>
    <s v=""/>
    <s v=""/>
    <s v=""/>
    <x v="1"/>
    <d v="2025-08-06T00:00:00"/>
  </r>
  <r>
    <x v="871"/>
    <s v="ORD-00357"/>
    <d v="2025-06-18T00:00:00"/>
    <s v="C0018"/>
    <s v="Liam Tremblay, Toronto, Consumer"/>
    <s v="Liam Tremblay"/>
    <s v="Toronto"/>
    <s v="Consumer"/>
    <n v="2"/>
    <s v="P044"/>
    <n v="3"/>
    <n v="208.89"/>
    <n v="0.15"/>
    <s v="Retail Store"/>
    <s v="Retail Store"/>
    <s v="PayPal"/>
    <s v="PayPal"/>
    <s v="Calgary North"/>
    <s v="Ontario"/>
    <s v="Consumer"/>
    <n v="133.05000000000001"/>
    <x v="1"/>
    <n v="626.66999999999996"/>
    <n v="94.000499999999988"/>
    <n v="532.66949999999997"/>
    <n v="399.15000000000003"/>
    <n v="133.51949999999994"/>
    <n v="0.25066105718461434"/>
    <x v="0"/>
    <s v=""/>
    <s v=""/>
    <s v=""/>
    <x v="0"/>
    <d v="2025-06-19T00:00:00"/>
  </r>
  <r>
    <x v="872"/>
    <s v="ORD-00357"/>
    <d v="2025-06-18T00:00:00"/>
    <s v="C0018"/>
    <s v="Liam Tremblay, Toronto, Consumer"/>
    <s v="Liam Tremblay"/>
    <s v="Toronto"/>
    <s v="Consumer"/>
    <n v="2"/>
    <s v="P016"/>
    <n v="4"/>
    <n v="103.3"/>
    <n v="0.1"/>
    <s v="Marketplace"/>
    <s v="Marketplace"/>
    <s v="Gift Card"/>
    <s v="Gift Card"/>
    <s v="Online Fulfillment"/>
    <s v="Ontario"/>
    <s v="Consumer"/>
    <n v="70.180000000000007"/>
    <x v="4"/>
    <n v="413.2"/>
    <n v="41.32"/>
    <n v="371.88"/>
    <n v="280.72000000000003"/>
    <n v="91.159999999999968"/>
    <n v="0.24513283855006984"/>
    <x v="0"/>
    <s v=""/>
    <s v=""/>
    <s v=""/>
    <x v="0"/>
    <d v="2025-06-19T00:00:00"/>
  </r>
  <r>
    <x v="873"/>
    <s v="ORD-00357"/>
    <d v="2025-06-18T00:00:00"/>
    <s v="C0018"/>
    <s v="Liam Tremblay, Toronto, Consumer"/>
    <s v="Liam Tremblay"/>
    <s v="Toronto"/>
    <s v="Consumer"/>
    <n v="2"/>
    <s v="P015"/>
    <n v="2"/>
    <n v="273.89"/>
    <n v="0.15"/>
    <s v="Retail Store"/>
    <s v="Retail Store"/>
    <s v="Credit Card"/>
    <s v="Credit Card"/>
    <s v="Montreal Central"/>
    <s v="Ontario"/>
    <s v="Consumer"/>
    <n v="140.66999999999999"/>
    <x v="4"/>
    <n v="547.78"/>
    <n v="82.166999999999987"/>
    <n v="465.613"/>
    <n v="281.33999999999997"/>
    <n v="184.27300000000002"/>
    <n v="0.39576429352273246"/>
    <x v="0"/>
    <s v=""/>
    <s v=""/>
    <s v=""/>
    <x v="0"/>
    <d v="2025-06-19T00:00:00"/>
  </r>
  <r>
    <x v="874"/>
    <s v="ORD-00358"/>
    <d v="2025-03-26T01:00:00"/>
    <s v="C0098"/>
    <s v="Ethan Johnson, Winnipeg, Small Business"/>
    <s v="Ethan Johnson"/>
    <s v="Winnipeg"/>
    <s v="Small Business"/>
    <n v="2"/>
    <s v="P008"/>
    <n v="1"/>
    <n v="110.88"/>
    <n v="0"/>
    <s v="Marketplace"/>
    <s v="Marketplace"/>
    <s v="Debit Card"/>
    <s v="Debit Card"/>
    <s v="Calgary North"/>
    <s v="Manitoba"/>
    <s v="Small Business"/>
    <n v="57.09"/>
    <x v="3"/>
    <n v="110.88"/>
    <n v="0"/>
    <n v="110.88"/>
    <n v="57.09"/>
    <n v="53.789999999999992"/>
    <n v="0.48511904761904756"/>
    <x v="0"/>
    <s v=""/>
    <s v=""/>
    <s v=""/>
    <x v="1"/>
    <d v="2025-04-01T01:00:00"/>
  </r>
  <r>
    <x v="875"/>
    <s v="ORD-00358"/>
    <d v="2025-03-26T01:00:00"/>
    <s v="C0098"/>
    <s v="Ethan Johnson, Winnipeg, Small Business"/>
    <s v="Ethan Johnson"/>
    <s v="Winnipeg"/>
    <s v="Small Business"/>
    <n v="2"/>
    <s v="P043"/>
    <n v="2"/>
    <n v="96.33"/>
    <n v="0"/>
    <s v="Retail  Store"/>
    <s v="Retail Store"/>
    <s v="Gift Card"/>
    <s v="Gift Card"/>
    <s v="Calgary North"/>
    <s v="Manitoba"/>
    <s v="Small Business"/>
    <n v="57.85"/>
    <x v="1"/>
    <n v="192.66"/>
    <n v="0"/>
    <n v="192.66"/>
    <n v="115.7"/>
    <n v="76.959999999999994"/>
    <n v="0.39946018893387314"/>
    <x v="0"/>
    <s v=""/>
    <s v=""/>
    <s v=""/>
    <x v="1"/>
    <d v="2025-04-01T01:00:00"/>
  </r>
  <r>
    <x v="876"/>
    <s v="ORD-00359"/>
    <d v="2025-08-16T00:00:00"/>
    <s v="C0031"/>
    <s v="Adam Brown, Edmonton, Small Business"/>
    <s v="Adam Brown"/>
    <s v="Edmonton"/>
    <s v="Small Business"/>
    <n v="2"/>
    <s v="P012"/>
    <n v="2"/>
    <n v="186.92"/>
    <n v="0"/>
    <s v="Retail  Store"/>
    <s v="Retail Store"/>
    <s v="PayPal"/>
    <s v="PayPal"/>
    <s v="Toronto Downtown"/>
    <s v="Alberta"/>
    <s v="Small Business"/>
    <n v="114.11"/>
    <x v="4"/>
    <n v="373.84"/>
    <n v="0"/>
    <n v="373.84"/>
    <n v="228.22"/>
    <n v="145.61999999999998"/>
    <n v="0.38952493045153003"/>
    <x v="1"/>
    <s v="Late Delivery"/>
    <d v="2025-09-03T00:00:00"/>
    <s v="Refunded"/>
    <x v="1"/>
    <d v="2025-08-26T00:00:00"/>
  </r>
  <r>
    <x v="877"/>
    <s v="ORD-00359"/>
    <d v="2025-08-16T00:00:00"/>
    <s v="C0031"/>
    <s v="Adam Brown, Edmonton, Small Business"/>
    <s v="Adam Brown"/>
    <s v="Edmonton"/>
    <s v="Small Business"/>
    <n v="2"/>
    <s v="P021"/>
    <n v="1"/>
    <n v="25.01"/>
    <n v="0.15"/>
    <s v="Marketplace"/>
    <s v="Marketplace"/>
    <s v="PayPal"/>
    <s v="PayPal"/>
    <s v="Vancouver West"/>
    <s v="Alberta"/>
    <s v="Small Business"/>
    <n v="16.86"/>
    <x v="2"/>
    <n v="25.01"/>
    <n v="3.7515000000000001"/>
    <n v="21.258500000000002"/>
    <n v="16.86"/>
    <n v="4.3985000000000021"/>
    <n v="0.20690547310487578"/>
    <x v="0"/>
    <s v=""/>
    <s v=""/>
    <s v=""/>
    <x v="1"/>
    <d v="2025-08-26T00:00:00"/>
  </r>
  <r>
    <x v="878"/>
    <s v="ORD-00359"/>
    <d v="2025-08-16T00:00:00"/>
    <s v="C0031"/>
    <s v="Adam Brown, Edmonton, Small Business"/>
    <s v="Adam Brown"/>
    <s v="Edmonton"/>
    <s v="Small Business"/>
    <n v="2"/>
    <s v="P029"/>
    <n v="4"/>
    <n v="300.16000000000003"/>
    <n v="0"/>
    <s v="Retail Store"/>
    <s v="Retail Store"/>
    <s v="CC"/>
    <s v="Credit Card"/>
    <s v="Calgary North"/>
    <s v="Alberta"/>
    <s v="Small Business"/>
    <n v="158.46"/>
    <x v="2"/>
    <n v="1200.6400000000001"/>
    <n v="0"/>
    <n v="1200.6400000000001"/>
    <n v="633.84"/>
    <n v="566.80000000000007"/>
    <n v="0.47208155650319833"/>
    <x v="0"/>
    <s v=""/>
    <s v=""/>
    <s v=""/>
    <x v="1"/>
    <d v="2025-08-26T00:00:00"/>
  </r>
  <r>
    <x v="879"/>
    <s v="ORD-00360"/>
    <d v="2025-03-03T01:00:00"/>
    <s v="C0016"/>
    <s v="Sofia Martin, Victoria, Small Business"/>
    <s v="Sofia Martin"/>
    <s v="Victoria"/>
    <s v="Small Business"/>
    <n v="2"/>
    <s v="P041"/>
    <n v="1"/>
    <n v="238.47"/>
    <n v="0.1"/>
    <s v="Retail  Store"/>
    <s v="Retail Store"/>
    <m/>
    <s v="Unknown"/>
    <s v="Vancouver West"/>
    <s v="British Columbia"/>
    <s v="Small Business"/>
    <n v="127.65"/>
    <x v="1"/>
    <n v="238.47"/>
    <n v="23.847000000000001"/>
    <n v="214.62299999999999"/>
    <n v="127.65"/>
    <n v="86.972999999999985"/>
    <n v="0.40523615828685644"/>
    <x v="0"/>
    <s v=""/>
    <s v=""/>
    <s v=""/>
    <x v="1"/>
    <d v="2025-03-07T01:00:00"/>
  </r>
  <r>
    <x v="880"/>
    <s v="ORD-00360"/>
    <d v="2025-03-03T01:00:00"/>
    <s v="C0016"/>
    <s v="Sofia Martin, Victoria, Small Business"/>
    <s v="Sofia Martin"/>
    <s v="Victoria"/>
    <s v="Small Business"/>
    <n v="2"/>
    <s v="P012"/>
    <n v="3"/>
    <n v="186.92"/>
    <n v="0"/>
    <s v="Marketplace"/>
    <s v="Marketplace"/>
    <s v="Debit Card"/>
    <s v="Debit Card"/>
    <s v="Online Fulfillment"/>
    <s v="British Columbia"/>
    <s v="Small Business"/>
    <n v="114.11"/>
    <x v="4"/>
    <n v="560.76"/>
    <n v="0"/>
    <n v="560.76"/>
    <n v="342.33"/>
    <n v="218.43"/>
    <n v="0.38952493045153008"/>
    <x v="0"/>
    <s v=""/>
    <s v=""/>
    <s v=""/>
    <x v="1"/>
    <d v="2025-03-07T01:00:00"/>
  </r>
  <r>
    <x v="881"/>
    <s v="ORD-00360"/>
    <d v="2025-03-03T01:00:00"/>
    <s v="C0016"/>
    <s v="Sofia Martin, Victoria, Small Business"/>
    <s v="Sofia Martin"/>
    <s v="Victoria"/>
    <s v="Small Business"/>
    <n v="2"/>
    <s v="P034"/>
    <n v="4"/>
    <n v="141.46"/>
    <n v="0.1"/>
    <s v="Marketplace"/>
    <s v="Marketplace"/>
    <s v="Debit Card"/>
    <s v="Debit Card"/>
    <s v="Vancouver West"/>
    <s v="British Columbia"/>
    <s v="Small Business"/>
    <n v="78.650000000000006"/>
    <x v="0"/>
    <n v="565.84"/>
    <n v="56.584000000000003"/>
    <n v="509.25600000000003"/>
    <n v="314.60000000000002"/>
    <n v="194.65600000000001"/>
    <n v="0.38223604631069635"/>
    <x v="0"/>
    <s v=""/>
    <s v=""/>
    <s v=""/>
    <x v="1"/>
    <d v="2025-03-07T01:00:00"/>
  </r>
  <r>
    <x v="882"/>
    <s v="ORD-00360"/>
    <d v="2025-03-03T01:00:00"/>
    <s v="C0016"/>
    <s v="Sofia Martin, Victoria, Small Business"/>
    <s v="Sofia Martin"/>
    <s v="Victoria"/>
    <s v="Small Business"/>
    <n v="2"/>
    <s v="P016"/>
    <n v="3"/>
    <n v="103.3"/>
    <n v="0"/>
    <s v="Market place"/>
    <s v="Marketplace"/>
    <m/>
    <s v="Unknown"/>
    <s v="Montreal Central"/>
    <s v="British Columbia"/>
    <s v="Small Business"/>
    <n v="70.180000000000007"/>
    <x v="4"/>
    <n v="309.89999999999998"/>
    <n v="0"/>
    <n v="309.89999999999998"/>
    <n v="210.54000000000002"/>
    <n v="99.359999999999957"/>
    <n v="0.32061955469506281"/>
    <x v="1"/>
    <s v="Damaged"/>
    <d v="2025-03-19T01:00:00"/>
    <s v="Refunded"/>
    <x v="1"/>
    <d v="2025-03-07T01:00: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36">
  <r>
    <s v="RET-00001"/>
    <s v="OL-000005"/>
    <d v="2025-03-01T01:00:00"/>
    <x v="0"/>
    <s v="Refunded"/>
    <n v="105.38"/>
  </r>
  <r>
    <s v="RET-00002"/>
    <s v="OL-000006"/>
    <d v="2025-03-04T01:00:00"/>
    <x v="1"/>
    <s v="Refunded"/>
    <n v="212.86"/>
  </r>
  <r>
    <s v="RET-00003"/>
    <s v="OL-000008"/>
    <d v="2025-02-23T00:00:00"/>
    <x v="1"/>
    <s v="Refunded"/>
    <n v="378.36"/>
  </r>
  <r>
    <s v="RET-00004"/>
    <s v="OL-000039"/>
    <d v="2025-12-26T00:00:00"/>
    <x v="0"/>
    <s v="Refunded"/>
    <n v="840.8"/>
  </r>
  <r>
    <s v="RET-00005"/>
    <s v="OL-000041"/>
    <d v="2025-11-11T00:00:00"/>
    <x v="0"/>
    <s v="Pending"/>
    <n v="113.25"/>
  </r>
  <r>
    <s v="RET-00006"/>
    <s v="OL-000047"/>
    <d v="2025-12-27T00:00:00"/>
    <x v="1"/>
    <s v="Pending"/>
    <n v="61.81"/>
  </r>
  <r>
    <s v="RET-00007"/>
    <s v="OL-000048"/>
    <d v="2025-11-19T00:00:00"/>
    <x v="0"/>
    <s v="Pending"/>
    <n v="45.27"/>
  </r>
  <r>
    <s v="RET-00008"/>
    <s v="OL-000053"/>
    <d v="2026-01-07T00:00:00"/>
    <x v="2"/>
    <s v="Refunded"/>
    <n v="146.75"/>
  </r>
  <r>
    <s v="RET-00009"/>
    <s v="OL-000055"/>
    <d v="2025-12-27T00:00:00"/>
    <x v="1"/>
    <s v="Refunded"/>
    <n v="879.3"/>
  </r>
  <r>
    <s v="RET-00010"/>
    <s v="OL-000060"/>
    <d v="2025-05-05T00:00:00"/>
    <x v="2"/>
    <s v="Refunded"/>
    <n v="115.28"/>
  </r>
  <r>
    <s v="RET-00011"/>
    <s v="OL-000062"/>
    <d v="2025-08-02T00:00:00"/>
    <x v="2"/>
    <s v="Refunded"/>
    <n v="434.74"/>
  </r>
  <r>
    <s v="RET-00012"/>
    <s v="OL-000074"/>
    <d v="2025-05-19T00:00:00"/>
    <x v="1"/>
    <s v="Refunded"/>
    <n v="104.73"/>
  </r>
  <r>
    <s v="RET-00013"/>
    <s v="OL-000087"/>
    <d v="2025-06-30T00:00:00"/>
    <x v="0"/>
    <s v="Pending"/>
    <n v="252.44"/>
  </r>
  <r>
    <s v="RET-00014"/>
    <s v="OL-000114"/>
    <d v="2025-03-18T01:00:00"/>
    <x v="1"/>
    <s v="Refunded"/>
    <n v="749.66"/>
  </r>
  <r>
    <s v="RET-00015"/>
    <s v="OL-000115"/>
    <d v="2025-11-09T00:00:00"/>
    <x v="2"/>
    <s v="Refunded"/>
    <n v="58.72"/>
  </r>
  <r>
    <s v="RET-00016"/>
    <s v="OL-000116"/>
    <d v="2025-12-30T00:00:00"/>
    <x v="3"/>
    <s v="Pending"/>
    <n v="540.29"/>
  </r>
  <r>
    <s v="RET-00017"/>
    <s v="OL-000118"/>
    <d v="2025-03-23T01:00:00"/>
    <x v="1"/>
    <s v="Refunded"/>
    <n v="840.8"/>
  </r>
  <r>
    <s v="RET-00018"/>
    <s v="OL-000151"/>
    <d v="2025-09-15T00:00:00"/>
    <x v="1"/>
    <s v="Refunded"/>
    <n v="376.99"/>
  </r>
  <r>
    <s v="RET-00019"/>
    <s v="OL-000154"/>
    <d v="2025-09-24T00:00:00"/>
    <x v="1"/>
    <s v="Refunded"/>
    <n v="246.5"/>
  </r>
  <r>
    <s v="RET-00020"/>
    <s v="OL-000156"/>
    <d v="2025-11-14T00:00:00"/>
    <x v="0"/>
    <s v="Refunded"/>
    <n v="824.08"/>
  </r>
  <r>
    <s v="RET-00021"/>
    <s v="OL-000160"/>
    <d v="2025-11-24T00:00:00"/>
    <x v="2"/>
    <s v="Pending"/>
    <n v="493.94"/>
  </r>
  <r>
    <s v="RET-00022"/>
    <s v="OL-000164"/>
    <d v="2025-12-28T00:00:00"/>
    <x v="1"/>
    <s v="Pending"/>
    <n v="421.52"/>
  </r>
  <r>
    <s v="RET-00023"/>
    <s v="OL-000182"/>
    <d v="2025-03-18T01:00:00"/>
    <x v="2"/>
    <s v="Refunded"/>
    <n v="300.56"/>
  </r>
  <r>
    <s v="RET-00024"/>
    <s v="OL-000187"/>
    <d v="2025-03-11T01:00:00"/>
    <x v="1"/>
    <s v="Refunded"/>
    <n v="529.66"/>
  </r>
  <r>
    <s v="RET-00025"/>
    <s v="OL-000188"/>
    <d v="2025-03-06T01:00:00"/>
    <x v="4"/>
    <s v="Pending"/>
    <n v="160"/>
  </r>
  <r>
    <s v="RET-00026"/>
    <s v="OL-000198"/>
    <d v="2025-10-02T00:00:00"/>
    <x v="0"/>
    <s v="Pending"/>
    <n v="128.78"/>
  </r>
  <r>
    <s v="RET-00027"/>
    <s v="OL-000201"/>
    <d v="2025-04-28T00:00:00"/>
    <x v="0"/>
    <s v="Refunded"/>
    <n v="187.93"/>
  </r>
  <r>
    <s v="RET-00028"/>
    <s v="OL-000227"/>
    <d v="2025-08-01T00:00:00"/>
    <x v="2"/>
    <s v="Refunded"/>
    <n v="162.33000000000001"/>
  </r>
  <r>
    <s v="RET-00029"/>
    <s v="OL-000231"/>
    <d v="2025-11-27T00:00:00"/>
    <x v="4"/>
    <s v="Refunded"/>
    <n v="66.739999999999995"/>
  </r>
  <r>
    <s v="RET-00030"/>
    <s v="OL-000236"/>
    <d v="2025-10-27T00:00:00"/>
    <x v="0"/>
    <s v="Pending"/>
    <n v="287.16000000000003"/>
  </r>
  <r>
    <s v="RET-00031"/>
    <s v="OL-000241"/>
    <d v="2025-04-04T01:00:00"/>
    <x v="0"/>
    <s v="Refunded"/>
    <n v="151.5"/>
  </r>
  <r>
    <s v="RET-00032"/>
    <s v="OL-000246"/>
    <d v="2025-09-12T00:00:00"/>
    <x v="3"/>
    <s v="Refunded"/>
    <n v="218.43"/>
  </r>
  <r>
    <s v="RET-00033"/>
    <s v="OL-000254"/>
    <d v="2025-08-22T00:00:00"/>
    <x v="2"/>
    <s v="Refunded"/>
    <n v="308.94"/>
  </r>
  <r>
    <s v="RET-00034"/>
    <s v="OL-000255"/>
    <d v="2025-08-20T00:00:00"/>
    <x v="3"/>
    <s v="Pending"/>
    <n v="857.52"/>
  </r>
  <r>
    <s v="RET-00035"/>
    <s v="OL-000269"/>
    <d v="2025-11-13T00:00:00"/>
    <x v="1"/>
    <s v="Pending"/>
    <n v="179.15"/>
  </r>
  <r>
    <s v="RET-00036"/>
    <s v="OL-000282"/>
    <d v="2025-07-05T00:00:00"/>
    <x v="0"/>
    <s v="Pending"/>
    <n v="710.21"/>
  </r>
  <r>
    <s v="RET-00037"/>
    <s v="OL-000297"/>
    <d v="2025-03-24T01:00:00"/>
    <x v="1"/>
    <s v="Pending"/>
    <n v="210.15"/>
  </r>
  <r>
    <s v="RET-00038"/>
    <s v="OL-000308"/>
    <d v="2025-02-19T00:00:00"/>
    <x v="2"/>
    <s v="Refunded"/>
    <n v="67.900000000000006"/>
  </r>
  <r>
    <s v="RET-00039"/>
    <s v="OL-000310"/>
    <d v="2026-01-03T00:00:00"/>
    <x v="4"/>
    <s v="Pending"/>
    <n v="25.01"/>
  </r>
  <r>
    <s v="RET-00040"/>
    <s v="OL-000322"/>
    <d v="2025-02-15T00:00:00"/>
    <x v="0"/>
    <s v="Refunded"/>
    <n v="100.3"/>
  </r>
  <r>
    <s v="RET-00041"/>
    <s v="OL-000323"/>
    <d v="2025-02-12T00:00:00"/>
    <x v="0"/>
    <s v="Pending"/>
    <n v="37.82"/>
  </r>
  <r>
    <s v="RET-00042"/>
    <s v="OL-000340"/>
    <d v="2025-07-18T00:00:00"/>
    <x v="4"/>
    <s v="Refunded"/>
    <n v="438.06"/>
  </r>
  <r>
    <s v="RET-00043"/>
    <s v="OL-000346"/>
    <d v="2025-11-21T00:00:00"/>
    <x v="0"/>
    <s v="Refunded"/>
    <n v="228.91"/>
  </r>
  <r>
    <s v="RET-00044"/>
    <s v="OL-000347"/>
    <d v="2025-11-11T00:00:00"/>
    <x v="0"/>
    <s v="Refunded"/>
    <n v="357.34"/>
  </r>
  <r>
    <s v="RET-00045"/>
    <s v="OL-000357"/>
    <d v="2025-09-01T00:00:00"/>
    <x v="1"/>
    <s v="Refunded"/>
    <n v="391.95"/>
  </r>
  <r>
    <s v="RET-00046"/>
    <s v="OL-000358"/>
    <d v="2025-08-21T00:00:00"/>
    <x v="1"/>
    <s v="Refunded"/>
    <n v="757.33"/>
  </r>
  <r>
    <s v="RET-00047"/>
    <s v="OL-000362"/>
    <d v="2025-07-16T00:00:00"/>
    <x v="3"/>
    <s v="Pending"/>
    <n v="476.94"/>
  </r>
  <r>
    <s v="RET-00048"/>
    <s v="OL-000369"/>
    <d v="2025-07-12T00:00:00"/>
    <x v="3"/>
    <s v="Pending"/>
    <n v="188"/>
  </r>
  <r>
    <s v="RET-00049"/>
    <s v="OL-000379"/>
    <d v="2025-06-13T00:00:00"/>
    <x v="2"/>
    <s v="Refunded"/>
    <n v="281.42"/>
  </r>
  <r>
    <s v="RET-00050"/>
    <s v="OL-000380"/>
    <d v="2025-06-11T00:00:00"/>
    <x v="4"/>
    <s v="Refunded"/>
    <n v="851.44"/>
  </r>
  <r>
    <s v="RET-00051"/>
    <s v="OL-000382"/>
    <d v="2025-09-20T00:00:00"/>
    <x v="0"/>
    <s v="Refunded"/>
    <n v="115.28"/>
  </r>
  <r>
    <s v="RET-00052"/>
    <s v="OL-000392"/>
    <d v="2025-11-10T00:00:00"/>
    <x v="4"/>
    <s v="Refunded"/>
    <n v="879.3"/>
  </r>
  <r>
    <s v="RET-00053"/>
    <s v="OL-000395"/>
    <d v="2025-09-01T00:00:00"/>
    <x v="0"/>
    <s v="Pending"/>
    <n v="155.97999999999999"/>
  </r>
  <r>
    <s v="RET-00054"/>
    <s v="OL-000408"/>
    <d v="2025-09-26T00:00:00"/>
    <x v="4"/>
    <s v="Refunded"/>
    <n v="166.07"/>
  </r>
  <r>
    <s v="RET-00055"/>
    <s v="OL-000415"/>
    <d v="2025-05-12T00:00:00"/>
    <x v="2"/>
    <s v="Refunded"/>
    <n v="79.75"/>
  </r>
  <r>
    <s v="RET-00056"/>
    <s v="OL-000422"/>
    <d v="2025-11-09T00:00:00"/>
    <x v="0"/>
    <s v="Refunded"/>
    <n v="309.89999999999998"/>
  </r>
  <r>
    <s v="RET-00057"/>
    <s v="OL-000428"/>
    <d v="2025-11-14T00:00:00"/>
    <x v="0"/>
    <s v="Refunded"/>
    <n v="721.48"/>
  </r>
  <r>
    <s v="RET-00058"/>
    <s v="OL-000433"/>
    <d v="2025-03-12T01:00:00"/>
    <x v="4"/>
    <s v="Refunded"/>
    <n v="814.64"/>
  </r>
  <r>
    <s v="RET-00059"/>
    <s v="OL-000446"/>
    <d v="2025-06-08T00:00:00"/>
    <x v="2"/>
    <s v="Pending"/>
    <n v="821.67"/>
  </r>
  <r>
    <s v="RET-00060"/>
    <s v="OL-000456"/>
    <d v="2025-09-12T00:00:00"/>
    <x v="2"/>
    <s v="Refunded"/>
    <n v="153.31"/>
  </r>
  <r>
    <s v="RET-00061"/>
    <s v="OL-000457"/>
    <d v="2025-08-22T00:00:00"/>
    <x v="1"/>
    <s v="Refunded"/>
    <n v="31.42"/>
  </r>
  <r>
    <s v="RET-00062"/>
    <s v="OL-000458"/>
    <d v="2025-08-16T00:00:00"/>
    <x v="4"/>
    <s v="Pending"/>
    <n v="643.14"/>
  </r>
  <r>
    <s v="RET-00063"/>
    <s v="OL-000462"/>
    <d v="2025-02-02T00:00:00"/>
    <x v="4"/>
    <s v="Refunded"/>
    <n v="703.37"/>
  </r>
  <r>
    <s v="RET-00064"/>
    <s v="OL-000469"/>
    <d v="2025-02-21T00:00:00"/>
    <x v="3"/>
    <s v="Refunded"/>
    <n v="102.11"/>
  </r>
  <r>
    <s v="RET-00065"/>
    <s v="OL-000473"/>
    <d v="2025-08-20T00:00:00"/>
    <x v="0"/>
    <s v="Pending"/>
    <n v="100.04"/>
  </r>
  <r>
    <s v="RET-00066"/>
    <s v="OL-000474"/>
    <d v="2025-10-31T00:00:00"/>
    <x v="3"/>
    <s v="Refunded"/>
    <n v="207.71"/>
  </r>
  <r>
    <s v="RET-00067"/>
    <s v="OL-000477"/>
    <d v="2025-04-30T00:00:00"/>
    <x v="0"/>
    <s v="Refunded"/>
    <n v="894.34"/>
  </r>
  <r>
    <s v="RET-00068"/>
    <s v="OL-000493"/>
    <d v="2025-05-23T00:00:00"/>
    <x v="0"/>
    <s v="Refunded"/>
    <n v="150.63999999999999"/>
  </r>
  <r>
    <s v="RET-00069"/>
    <s v="OL-000498"/>
    <d v="2025-02-17T00:00:00"/>
    <x v="3"/>
    <s v="Pending"/>
    <n v="195.98"/>
  </r>
  <r>
    <s v="RET-00070"/>
    <s v="OL-000502"/>
    <d v="2025-04-22T00:00:00"/>
    <x v="3"/>
    <s v="Pending"/>
    <n v="814.64"/>
  </r>
  <r>
    <s v="RET-00071"/>
    <s v="OL-000508"/>
    <d v="2025-10-06T00:00:00"/>
    <x v="0"/>
    <s v="Pending"/>
    <n v="294.92"/>
  </r>
  <r>
    <s v="RET-00072"/>
    <s v="OL-000518"/>
    <d v="2025-08-30T00:00:00"/>
    <x v="4"/>
    <s v="Refunded"/>
    <n v="249.89"/>
  </r>
  <r>
    <s v="RET-00073"/>
    <s v="OL-000528"/>
    <d v="2025-03-13T01:00:00"/>
    <x v="2"/>
    <s v="Pending"/>
    <n v="443.52"/>
  </r>
  <r>
    <s v="RET-00074"/>
    <s v="OL-000530"/>
    <d v="2025-07-23T00:00:00"/>
    <x v="0"/>
    <s v="Pending"/>
    <n v="95.02"/>
  </r>
  <r>
    <s v="RET-00075"/>
    <s v="OL-000531"/>
    <d v="2026-01-12T00:00:00"/>
    <x v="3"/>
    <s v="Refunded"/>
    <n v="288"/>
  </r>
  <r>
    <s v="RET-00076"/>
    <s v="OL-000537"/>
    <d v="2025-06-27T00:00:00"/>
    <x v="1"/>
    <s v="Refunded"/>
    <n v="115.34"/>
  </r>
  <r>
    <s v="RET-00077"/>
    <s v="OL-000539"/>
    <d v="2025-09-25T00:00:00"/>
    <x v="0"/>
    <s v="Refunded"/>
    <n v="207.61"/>
  </r>
  <r>
    <s v="RET-00078"/>
    <s v="OL-000546"/>
    <d v="2025-04-11T00:00:00"/>
    <x v="3"/>
    <s v="Pending"/>
    <n v="236.51"/>
  </r>
  <r>
    <s v="RET-00079"/>
    <s v="OL-000547"/>
    <d v="2025-02-14T00:00:00"/>
    <x v="0"/>
    <s v="Refunded"/>
    <n v="336.72"/>
  </r>
  <r>
    <s v="RET-00080"/>
    <s v="OL-000549"/>
    <d v="2025-07-31T00:00:00"/>
    <x v="1"/>
    <s v="Refunded"/>
    <n v="565.84"/>
  </r>
  <r>
    <s v="RET-00081"/>
    <s v="OL-000550"/>
    <d v="2025-07-30T00:00:00"/>
    <x v="2"/>
    <s v="Pending"/>
    <n v="473.47"/>
  </r>
  <r>
    <s v="RET-00082"/>
    <s v="OL-000551"/>
    <d v="2025-07-17T00:00:00"/>
    <x v="2"/>
    <s v="Pending"/>
    <n v="223.48"/>
  </r>
  <r>
    <s v="RET-00083"/>
    <s v="OL-000552"/>
    <d v="2025-07-20T00:00:00"/>
    <x v="4"/>
    <s v="Pending"/>
    <n v="468.79"/>
  </r>
  <r>
    <s v="RET-00084"/>
    <s v="OL-000561"/>
    <d v="2025-07-07T00:00:00"/>
    <x v="2"/>
    <s v="Refunded"/>
    <n v="789.12"/>
  </r>
  <r>
    <s v="RET-00085"/>
    <s v="OL-000562"/>
    <d v="2025-07-16T00:00:00"/>
    <x v="0"/>
    <s v="Refunded"/>
    <n v="214.38"/>
  </r>
  <r>
    <s v="RET-00086"/>
    <s v="OL-000564"/>
    <d v="2025-01-27T00:00:00"/>
    <x v="1"/>
    <s v="Refunded"/>
    <n v="544"/>
  </r>
  <r>
    <s v="RET-00087"/>
    <s v="OL-000565"/>
    <d v="2025-01-31T00:00:00"/>
    <x v="1"/>
    <s v="Pending"/>
    <n v="376.99"/>
  </r>
  <r>
    <s v="RET-00088"/>
    <s v="OL-000566"/>
    <d v="2025-09-06T00:00:00"/>
    <x v="4"/>
    <s v="Pending"/>
    <n v="287.85000000000002"/>
  </r>
  <r>
    <s v="RET-00089"/>
    <s v="OL-000567"/>
    <d v="2025-08-26T00:00:00"/>
    <x v="3"/>
    <s v="Refunded"/>
    <n v="532.96"/>
  </r>
  <r>
    <s v="RET-00090"/>
    <s v="OL-000571"/>
    <d v="2025-06-25T00:00:00"/>
    <x v="0"/>
    <s v="Refunded"/>
    <n v="731.76"/>
  </r>
  <r>
    <s v="RET-00091"/>
    <s v="OL-000573"/>
    <d v="2025-04-20T00:00:00"/>
    <x v="0"/>
    <s v="Pending"/>
    <n v="568.64"/>
  </r>
  <r>
    <s v="RET-00092"/>
    <s v="OL-000589"/>
    <d v="2025-12-02T00:00:00"/>
    <x v="4"/>
    <s v="Refunded"/>
    <n v="223.58"/>
  </r>
  <r>
    <s v="RET-00093"/>
    <s v="OL-000595"/>
    <d v="2025-02-25T01:00:00"/>
    <x v="1"/>
    <s v="Pending"/>
    <n v="135.05000000000001"/>
  </r>
  <r>
    <s v="RET-00094"/>
    <s v="OL-000613"/>
    <d v="2025-07-26T00:00:00"/>
    <x v="1"/>
    <s v="Pending"/>
    <n v="94.84"/>
  </r>
  <r>
    <s v="RET-00095"/>
    <s v="OL-000617"/>
    <d v="2025-10-07T00:00:00"/>
    <x v="1"/>
    <s v="Refunded"/>
    <n v="399.72"/>
  </r>
  <r>
    <s v="RET-00096"/>
    <s v="OL-000619"/>
    <d v="2025-11-15T00:00:00"/>
    <x v="4"/>
    <s v="Pending"/>
    <n v="861.48"/>
  </r>
  <r>
    <s v="RET-00097"/>
    <s v="OL-000624"/>
    <d v="2025-11-29T00:00:00"/>
    <x v="2"/>
    <s v="Pending"/>
    <n v="749.66"/>
  </r>
  <r>
    <s v="RET-00098"/>
    <s v="OL-000633"/>
    <d v="2025-10-09T00:00:00"/>
    <x v="1"/>
    <s v="Refunded"/>
    <n v="483.34"/>
  </r>
  <r>
    <s v="RET-00099"/>
    <s v="OL-000650"/>
    <d v="2025-05-14T00:00:00"/>
    <x v="0"/>
    <s v="Refunded"/>
    <n v="186.92"/>
  </r>
  <r>
    <s v="RET-00100"/>
    <s v="OL-000653"/>
    <d v="2025-06-14T00:00:00"/>
    <x v="4"/>
    <s v="Refunded"/>
    <n v="608.1"/>
  </r>
  <r>
    <s v="RET-00101"/>
    <s v="OL-000661"/>
    <d v="2025-09-26T00:00:00"/>
    <x v="0"/>
    <s v="Refunded"/>
    <n v="412.04"/>
  </r>
  <r>
    <s v="RET-00102"/>
    <s v="OL-000666"/>
    <d v="2025-01-26T00:00:00"/>
    <x v="2"/>
    <s v="Refunded"/>
    <n v="224.68"/>
  </r>
  <r>
    <s v="RET-00103"/>
    <s v="OL-000667"/>
    <d v="2025-01-17T00:00:00"/>
    <x v="0"/>
    <s v="Refunded"/>
    <n v="48.44"/>
  </r>
  <r>
    <s v="RET-00104"/>
    <s v="OL-000669"/>
    <d v="2025-11-28T00:00:00"/>
    <x v="1"/>
    <s v="Refunded"/>
    <n v="900.48"/>
  </r>
  <r>
    <s v="RET-00105"/>
    <s v="OL-000673"/>
    <d v="2025-05-01T00:00:00"/>
    <x v="2"/>
    <s v="Refunded"/>
    <n v="105.58"/>
  </r>
  <r>
    <s v="RET-00106"/>
    <s v="OL-000674"/>
    <d v="2025-05-03T00:00:00"/>
    <x v="1"/>
    <s v="Refunded"/>
    <n v="34.04"/>
  </r>
  <r>
    <s v="RET-00107"/>
    <s v="OL-000676"/>
    <d v="2025-03-21T01:00:00"/>
    <x v="0"/>
    <s v="Refunded"/>
    <n v="47.52"/>
  </r>
  <r>
    <s v="RET-00108"/>
    <s v="OL-000678"/>
    <d v="2025-03-06T01:00:00"/>
    <x v="2"/>
    <s v="Refunded"/>
    <n v="127.31"/>
  </r>
  <r>
    <s v="RET-00109"/>
    <s v="OL-000681"/>
    <d v="2025-12-11T00:00:00"/>
    <x v="1"/>
    <s v="Pending"/>
    <n v="696.11"/>
  </r>
  <r>
    <s v="RET-00110"/>
    <s v="OL-000704"/>
    <d v="2025-12-06T00:00:00"/>
    <x v="1"/>
    <s v="Pending"/>
    <n v="1082.02"/>
  </r>
  <r>
    <s v="RET-00111"/>
    <s v="OL-000727"/>
    <d v="2025-10-18T00:00:00"/>
    <x v="2"/>
    <s v="Refunded"/>
    <n v="623.13"/>
  </r>
  <r>
    <s v="RET-00112"/>
    <s v="OL-000735"/>
    <d v="2025-06-04T00:00:00"/>
    <x v="4"/>
    <s v="Refunded"/>
    <n v="810.43"/>
  </r>
  <r>
    <s v="RET-00113"/>
    <s v="OL-000742"/>
    <d v="2025-11-24T00:00:00"/>
    <x v="1"/>
    <s v="Refunded"/>
    <n v="476.94"/>
  </r>
  <r>
    <s v="RET-00114"/>
    <s v="OL-000746"/>
    <d v="2025-06-11T00:00:00"/>
    <x v="1"/>
    <s v="Refunded"/>
    <n v="228.81"/>
  </r>
  <r>
    <s v="RET-00115"/>
    <s v="OL-000747"/>
    <d v="2025-07-11T00:00:00"/>
    <x v="2"/>
    <s v="Refunded"/>
    <n v="869.86"/>
  </r>
  <r>
    <s v="RET-00116"/>
    <s v="OL-000760"/>
    <d v="2025-12-23T00:00:00"/>
    <x v="4"/>
    <s v="Refunded"/>
    <n v="276.68"/>
  </r>
  <r>
    <s v="RET-00117"/>
    <s v="OL-000770"/>
    <d v="2025-10-24T00:00:00"/>
    <x v="0"/>
    <s v="Pending"/>
    <n v="373.84"/>
  </r>
  <r>
    <s v="RET-00118"/>
    <s v="OL-000771"/>
    <d v="2025-10-11T00:00:00"/>
    <x v="1"/>
    <s v="Pending"/>
    <n v="240.48"/>
  </r>
  <r>
    <s v="RET-00119"/>
    <s v="OL-000788"/>
    <d v="2025-06-03T00:00:00"/>
    <x v="4"/>
    <s v="Refunded"/>
    <n v="126.81"/>
  </r>
  <r>
    <s v="RET-00120"/>
    <s v="OL-000789"/>
    <d v="2025-04-15T00:00:00"/>
    <x v="0"/>
    <s v="Refunded"/>
    <n v="439.65"/>
  </r>
  <r>
    <s v="RET-00121"/>
    <s v="OL-000794"/>
    <d v="2025-05-30T00:00:00"/>
    <x v="0"/>
    <s v="Refunded"/>
    <n v="126.58"/>
  </r>
  <r>
    <s v="RET-00122"/>
    <s v="OL-000797"/>
    <d v="2025-01-15T00:00:00"/>
    <x v="2"/>
    <s v="Pending"/>
    <n v="25.01"/>
  </r>
  <r>
    <s v="RET-00123"/>
    <s v="OL-000802"/>
    <d v="2025-12-25T00:00:00"/>
    <x v="1"/>
    <s v="Refunded"/>
    <n v="288.99"/>
  </r>
  <r>
    <s v="RET-00124"/>
    <s v="OL-000806"/>
    <d v="2025-05-18T00:00:00"/>
    <x v="4"/>
    <s v="Refunded"/>
    <n v="110.88"/>
  </r>
  <r>
    <s v="RET-00125"/>
    <s v="OL-000812"/>
    <d v="2025-03-22T01:00:00"/>
    <x v="0"/>
    <s v="Refunded"/>
    <n v="270.5"/>
  </r>
  <r>
    <s v="RET-00126"/>
    <s v="OL-000816"/>
    <d v="2025-05-23T00:00:00"/>
    <x v="4"/>
    <s v="Refunded"/>
    <n v="853.98"/>
  </r>
  <r>
    <s v="RET-00127"/>
    <s v="OL-000830"/>
    <d v="2025-01-27T00:00:00"/>
    <x v="1"/>
    <s v="Refunded"/>
    <n v="560.82000000000005"/>
  </r>
  <r>
    <s v="RET-00128"/>
    <s v="OL-000834"/>
    <d v="2025-04-07T00:00:00"/>
    <x v="0"/>
    <s v="Pending"/>
    <n v="570.29999999999995"/>
  </r>
  <r>
    <s v="RET-00129"/>
    <s v="OL-000835"/>
    <d v="2025-04-15T00:00:00"/>
    <x v="0"/>
    <s v="Refunded"/>
    <n v="100.3"/>
  </r>
  <r>
    <s v="RET-00130"/>
    <s v="OL-000836"/>
    <d v="2025-04-13T00:00:00"/>
    <x v="1"/>
    <s v="Pending"/>
    <n v="42.72"/>
  </r>
  <r>
    <s v="RET-00131"/>
    <s v="OL-000839"/>
    <d v="2025-08-24T00:00:00"/>
    <x v="3"/>
    <s v="Refunded"/>
    <n v="821.67"/>
  </r>
  <r>
    <s v="RET-00132"/>
    <s v="OL-000859"/>
    <d v="2025-07-10T00:00:00"/>
    <x v="0"/>
    <s v="Pending"/>
    <n v="133.47999999999999"/>
  </r>
  <r>
    <s v="RET-00133"/>
    <s v="OL-000863"/>
    <d v="2025-10-21T00:00:00"/>
    <x v="0"/>
    <s v="Pending"/>
    <n v="156.16999999999999"/>
  </r>
  <r>
    <s v="RET-00134"/>
    <s v="OL-000869"/>
    <d v="2025-08-07T00:00:00"/>
    <x v="1"/>
    <s v="Refunded"/>
    <n v="685.41"/>
  </r>
  <r>
    <s v="RET-00135"/>
    <s v="OL-000877"/>
    <d v="2025-09-03T00:00:00"/>
    <x v="2"/>
    <s v="Refunded"/>
    <n v="373.84"/>
  </r>
  <r>
    <s v="RET-00136"/>
    <s v="OL-000883"/>
    <d v="2025-03-19T01:00:00"/>
    <x v="1"/>
    <s v="Refunded"/>
    <n v="309.8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9" cacheId="3" dataOnRows="1" dataPosition="0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 chartFormat="17">
  <location ref="G10:J15" firstHeaderRow="1" firstDataRow="2" firstDataCol="1"/>
  <pivotFields count="7">
    <pivotField dataField="1" showAll="0"/>
    <pivotField axis="axisRow" showAll="0">
      <items count="4">
        <item x="1"/>
        <item x="2"/>
        <item x="0"/>
        <item t="default"/>
      </items>
    </pivotField>
    <pivotField numFmtId="164" showAll="0"/>
    <pivotField numFmtId="3" showAll="0"/>
    <pivotField numFmtId="3" showAll="0"/>
    <pivotField axis="axisCol" showAll="0">
      <items count="3">
        <item x="1"/>
        <item x="0"/>
        <item t="default"/>
      </items>
    </pivotField>
    <pivotField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Nombre de Order_ID" fld="0" subtotal="count" baseField="0" baseItem="0"/>
  </dataFields>
  <chartFormats count="19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3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5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5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6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6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 croisé dynamique8" cacheId="5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 chartFormat="8">
  <location ref="G31:H37" firstHeaderRow="1" firstDataRow="1" firstDataCol="1"/>
  <pivotFields count="6">
    <pivotField dataField="1" showAll="0"/>
    <pivotField showAll="0"/>
    <pivotField numFmtId="164" showAll="0"/>
    <pivotField axis="axisRow" showAll="0">
      <items count="6">
        <item x="4"/>
        <item x="1"/>
        <item x="2"/>
        <item x="3"/>
        <item x="0"/>
        <item t="default"/>
      </items>
    </pivotField>
    <pivotField showAll="0"/>
    <pivotField numFmtId="165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Nombre de Return_ID" fld="0" subtotal="count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eau croisé dynamique7" cacheId="4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 chartFormat="4">
  <location ref="G24:J28" firstHeaderRow="1" firstDataRow="2" firstDataCol="1"/>
  <pivotFields count="34">
    <pivotField dataField="1"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165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numFmtId="167" showAll="0"/>
    <pivotField showAll="0"/>
    <pivotField numFmtId="167" showAll="0"/>
    <pivotField numFmtId="167" showAll="0"/>
    <pivotField numFmtId="167" showAll="0"/>
    <pivotField numFmtId="167" showAll="0"/>
    <pivotField numFmtId="167" showAll="0"/>
    <pivotField numFmtId="9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numFmtId="14" showAll="0"/>
  </pivotFields>
  <rowFields count="1">
    <field x="32"/>
  </rowFields>
  <rowItems count="3">
    <i>
      <x/>
    </i>
    <i>
      <x v="1"/>
    </i>
    <i t="grand">
      <x/>
    </i>
  </rowItems>
  <colFields count="1">
    <field x="28"/>
  </colFields>
  <colItems count="3">
    <i>
      <x/>
    </i>
    <i>
      <x v="1"/>
    </i>
    <i t="grand">
      <x/>
    </i>
  </colItems>
  <dataFields count="1">
    <dataField name="Nombre de Order_Line_ID" fld="0" subtotal="count" baseField="32" baseItem="0"/>
  </dataFields>
  <formats count="2">
    <format dxfId="5">
      <pivotArea collapsedLevelsAreSubtotals="1" fieldPosition="0">
        <references count="2">
          <reference field="28" count="1" selected="0">
            <x v="1"/>
          </reference>
          <reference field="32" count="1">
            <x v="0"/>
          </reference>
        </references>
      </pivotArea>
    </format>
    <format dxfId="4">
      <pivotArea field="32" grandCol="1" collapsedLevelsAreSubtotals="1" axis="axisRow" fieldPosition="0">
        <references count="1">
          <reference field="32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eau croisé dynamique6" cacheId="4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 chartFormat="15">
  <location ref="A27:D34" firstHeaderRow="1" firstDataRow="2" firstDataCol="1"/>
  <pivotFields count="34">
    <pivotField dataField="1" showAll="0">
      <items count="8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165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numFmtId="167" showAll="0"/>
    <pivotField axis="axisRow" showAll="0">
      <items count="6">
        <item x="1"/>
        <item x="3"/>
        <item x="0"/>
        <item x="4"/>
        <item x="2"/>
        <item t="default"/>
      </items>
    </pivotField>
    <pivotField numFmtId="167" showAll="0"/>
    <pivotField numFmtId="167" showAll="0"/>
    <pivotField numFmtId="167" showAll="0"/>
    <pivotField numFmtId="167" showAll="0"/>
    <pivotField numFmtId="167" showAll="0"/>
    <pivotField numFmtId="9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numFmtId="14" showAll="0"/>
  </pivotFields>
  <rowFields count="1">
    <field x="2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8"/>
  </colFields>
  <colItems count="3">
    <i>
      <x/>
    </i>
    <i>
      <x v="1"/>
    </i>
    <i t="grand">
      <x/>
    </i>
  </colItems>
  <dataFields count="1">
    <dataField name="Nombre de Order_Line_ID" fld="0" subtotal="count" baseField="0" baseItem="0"/>
  </dataFields>
  <chartFormats count="4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0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leau croisé dynamique1" cacheId="3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>
  <location ref="A3:B6" firstHeaderRow="1" firstDataRow="1" firstDataCol="1"/>
  <pivotFields count="7">
    <pivotField dataField="1" showAll="0"/>
    <pivotField showAll="0"/>
    <pivotField numFmtId="164" showAll="0"/>
    <pivotField numFmtId="3" showAll="0"/>
    <pivotField numFmtId="3" showAll="0"/>
    <pivotField axis="axisRow" showAll="0">
      <items count="3">
        <item x="1"/>
        <item x="0"/>
        <item t="default"/>
      </items>
    </pivotField>
    <pivotField showAll="0" defaultSubtota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Nombre de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leau croisé dynamique3" cacheId="3" dataOnRows="1" dataPosition="0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 chartFormat="8">
  <location ref="A10:E19" firstHeaderRow="1" firstDataRow="2" firstDataCol="1"/>
  <pivotFields count="7">
    <pivotField dataField="1" showAll="0"/>
    <pivotField axis="axisCol" showAll="0">
      <items count="4">
        <item x="1"/>
        <item x="2"/>
        <item x="0"/>
        <item t="default"/>
      </items>
    </pivotField>
    <pivotField numFmtId="164" showAll="0"/>
    <pivotField numFmtId="3" showAll="0"/>
    <pivotField numFmtId="3" showAll="0"/>
    <pivotField axis="axisRow" showAll="0">
      <items count="3">
        <item x="1"/>
        <item x="0"/>
        <item t="default"/>
      </items>
    </pivotField>
    <pivotField dataField="1" showAll="0" defaultSubtotal="0"/>
  </pivotFields>
  <rowFields count="2">
    <field x="-2"/>
    <field x="5"/>
  </rowFields>
  <rowItems count="8">
    <i>
      <x/>
    </i>
    <i r="1">
      <x/>
    </i>
    <i r="1">
      <x v="1"/>
    </i>
    <i i="1">
      <x v="1"/>
    </i>
    <i r="1" i="1">
      <x/>
    </i>
    <i r="1" i="1">
      <x v="1"/>
    </i>
    <i t="grand">
      <x/>
    </i>
    <i t="grand" i="1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2">
    <dataField name="Nombre de Order_ID" fld="0" subtotal="count" baseField="0" baseItem="0"/>
    <dataField name="Moyenne de On_Time_Flag" fld="6" subtotal="average" baseField="5" baseItem="0"/>
  </dataFields>
  <formats count="4">
    <format dxfId="9">
      <pivotArea field="1" grandRow="1" outline="0" collapsedLevelsAreSubtotals="1" axis="axisCol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format>
    <format dxfId="8">
      <pivotArea field="1" grandRow="1" outline="0" collapsedLevelsAreSubtotals="1" axis="axisCol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format>
    <format dxfId="7">
      <pivotArea field="1" grandRow="1" outline="0" collapsedLevelsAreSubtotals="1" axis="axisCol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format>
    <format dxfId="6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10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OrdersRawTable" displayName="OrdersRawTable" ref="A5:L896" totalsRowShown="0">
  <tableColumns count="12">
    <tableColumn id="1" name="Order_Line_ID"/>
    <tableColumn id="2" name="Order_ID"/>
    <tableColumn id="3" name="Order_Date"/>
    <tableColumn id="4" name="Customer_ID_Raw"/>
    <tableColumn id="5" name="Customer_Info"/>
    <tableColumn id="6" name="Product_ID"/>
    <tableColumn id="7" name="Quantity"/>
    <tableColumn id="8" name="Unit_Price"/>
    <tableColumn id="9" name="Discount_Pct"/>
    <tableColumn id="10" name="Sales_Channel_Raw"/>
    <tableColumn id="11" name="Payment_Method_Raw"/>
    <tableColumn id="12" name="Store_Raw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8" name="OrdersRawTable9" displayName="OrdersRawTable9" ref="A5:AH888" totalsRowShown="0">
  <autoFilter ref="A5:AH888"/>
  <tableColumns count="34">
    <tableColumn id="1" name="Order_Line_ID"/>
    <tableColumn id="2" name="Order_ID"/>
    <tableColumn id="3" name="Order_Date"/>
    <tableColumn id="4" name="Customer_ID_Raw"/>
    <tableColumn id="5" name="Customer_Info"/>
    <tableColumn id="17" name="Customer_Name" dataDxfId="31">
      <calculatedColumnFormula>TRIM(LEFT(OrdersRawTable9[[#This Row],[Customer_Info]],FIND(",",OrdersRawTable9[[#This Row],[Customer_Info]])-1))</calculatedColumnFormula>
    </tableColumn>
    <tableColumn id="18" name="City" dataDxfId="30">
      <calculatedColumnFormula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calculatedColumnFormula>
    </tableColumn>
    <tableColumn id="19" name="Customer_Segment" dataDxfId="29">
      <calculatedColumnFormula>TRIM(RIGHT(OrdersRawTable9[[#This Row],[Customer_Info]],LEN(OrdersRawTable9[[#This Row],[Customer_Info]])-FIND(",",OrdersRawTable9[[#This Row],[Customer_Info]],FIND(",",OrdersRawTable9[[#This Row],[Customer_Info]])+1)))</calculatedColumnFormula>
    </tableColumn>
    <tableColumn id="20" name="Comma count" dataDxfId="28">
      <calculatedColumnFormula>LEN(OrdersRawTable9[[#This Row],[Customer_Info]])-LEN(SUBSTITUTE(OrdersRawTable9[[#This Row],[Customer_Info]],",",""))</calculatedColumnFormula>
    </tableColumn>
    <tableColumn id="6" name="Product_ID"/>
    <tableColumn id="7" name="Quantity"/>
    <tableColumn id="8" name="Unit_Price"/>
    <tableColumn id="9" name="Discount_Pct"/>
    <tableColumn id="10" name="Sales_Channel_Raw"/>
    <tableColumn id="14" name="Sales_Channel_Clean" dataDxfId="27">
      <calculatedColumnFormula>IF(TRIM(OrdersRawTable9[[#This Row],[Sales_Channel_Raw]])="Market place","Marketplace",TRIM(OrdersRawTable9[[#This Row],[Sales_Channel_Raw]]))</calculatedColumnFormula>
    </tableColumn>
    <tableColumn id="11" name="Payment_Method_Raw"/>
    <tableColumn id="16" name="Payment_Method_Clean" dataDxfId="26">
      <calculatedColumnFormula>IF(TRIM(OrdersRawTable9[[#This Row],[Payment_Method_Raw]])="","Unknown",IF(TRIM(OrdersRawTable9[[#This Row],[Payment_Method_Raw]])="CC","Credit Card",TRIM(OrdersRawTable9[[#This Row],[Payment_Method_Raw]])))</calculatedColumnFormula>
    </tableColumn>
    <tableColumn id="12" name="Store_Raw"/>
    <tableColumn id="21" name="Region" dataDxfId="25">
      <calculatedColumnFormula>VLOOKUP(OrdersRawTable9[[#This Row],[Customer_ID_Raw]],CustomersTable11[],4,FALSE)</calculatedColumnFormula>
    </tableColumn>
    <tableColumn id="22" name="Customer_Segment2" dataDxfId="24">
      <calculatedColumnFormula>VLOOKUP(OrdersRawTable9[[#This Row],[Customer_ID_Raw]],CustomersTable11[],5,FALSE)</calculatedColumnFormula>
    </tableColumn>
    <tableColumn id="23" name="Unit_Cost" dataDxfId="23">
      <calculatedColumnFormula>VLOOKUP(OrdersRawTable9[[#This Row],[Product_ID]],ProductsTable10[],4,FALSE)</calculatedColumnFormula>
    </tableColumn>
    <tableColumn id="24" name="Category" dataDxfId="22">
      <calculatedColumnFormula>VLOOKUP(OrdersRawTable9[[#This Row],[Product_ID]],ProductsTable10[],3,FALSE)</calculatedColumnFormula>
    </tableColumn>
    <tableColumn id="25" name="Gross_Sales" dataDxfId="21">
      <calculatedColumnFormula>OrdersRawTable9[[#This Row],[Unit_Price]]*OrdersRawTable9[[#This Row],[Quantity]]</calculatedColumnFormula>
    </tableColumn>
    <tableColumn id="26" name="Discount_Amount" dataDxfId="20" dataCellStyle="Monétaire">
      <calculatedColumnFormula>OrdersRawTable9[[#This Row],[Gross_Sales]]*OrdersRawTable9[[#This Row],[Discount_Pct]]</calculatedColumnFormula>
    </tableColumn>
    <tableColumn id="27" name="Net_Sales" dataDxfId="19">
      <calculatedColumnFormula>OrdersRawTable9[[#This Row],[Gross_Sales]]-OrdersRawTable9[[#This Row],[Discount_Amount]]</calculatedColumnFormula>
    </tableColumn>
    <tableColumn id="28" name="Total_Cost" dataDxfId="18">
      <calculatedColumnFormula>OrdersRawTable9[[#This Row],[Unit_Cost]]*OrdersRawTable9[[#This Row],[Quantity]]</calculatedColumnFormula>
    </tableColumn>
    <tableColumn id="29" name="Profit" dataDxfId="17">
      <calculatedColumnFormula>OrdersRawTable9[[#This Row],[Net_Sales]]-OrdersRawTable9[[#This Row],[Total_Cost]]</calculatedColumnFormula>
    </tableColumn>
    <tableColumn id="30" name="Profit_margin" dataCellStyle="Pourcentage">
      <calculatedColumnFormula>IF(OrdersRawTable9[[#This Row],[Net_Sales]]=0,0,OrdersRawTable9[[#This Row],[Profit]]/OrdersRawTable9[[#This Row],[Net_Sales]])</calculatedColumnFormula>
    </tableColumn>
    <tableColumn id="13" name="Return_Status" dataDxfId="16">
      <calculatedColumnFormula>IF(COUNTIF(ReturnsRawTable[Order_Line_ID],OrdersRawTable9[[#This Row],[Order_Line_ID]])&gt;0,"Yes","No")</calculatedColumnFormula>
    </tableColumn>
    <tableColumn id="31" name="Return_Reason" dataDxfId="15">
      <calculatedColumnFormula>IFERROR(VLOOKUP(OrdersRawTable9[[#This Row],[Order_Line_ID]],ReturnsRawTable[[#All],[Order_Line_ID]:[Return_Reason_Raw]],3,FALSE),"")</calculatedColumnFormula>
    </tableColumn>
    <tableColumn id="32" name="Return_Date" dataDxfId="14">
      <calculatedColumnFormula>IFERROR(VLOOKUP(OrdersRawTable9[[#This Row],[Order_Line_ID]],ReturnsRawTable[[#All],[Order_Line_ID]:[Return_Date]],2,FALSE),"")</calculatedColumnFormula>
    </tableColumn>
    <tableColumn id="33" name="Refund_Status" dataDxfId="13">
      <calculatedColumnFormula>IFERROR(VLOOKUP(OrdersRawTable9[[#This Row],[Order_Line_ID]],ReturnsRawTable[[Order_Line_ID]:[Refund_Status]],4,FALSE),"")</calculatedColumnFormula>
    </tableColumn>
    <tableColumn id="34" name="Delivery_Status" dataDxfId="12">
      <calculatedColumnFormula>VLOOKUP(OrdersRawTable9[[#This Row],[Order_ID]],ShipmentsTable[],6,FALSE)</calculatedColumnFormula>
    </tableColumn>
    <tableColumn id="15" name="Delivery_Date" dataDxfId="11">
      <calculatedColumnFormula>VLOOKUP(OrdersRawTable9[[#This Row],[Order_ID]],ShipmentsTable[],3,FALSE)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ProductsTable" displayName="ProductsTable" ref="A5:F55" totalsRowShown="0">
  <tableColumns count="6">
    <tableColumn id="1" name="Product_ID"/>
    <tableColumn id="2" name="Product_Name"/>
    <tableColumn id="3" name="Category"/>
    <tableColumn id="4" name="Unit_Cost"/>
    <tableColumn id="5" name="List_Price"/>
    <tableColumn id="6" name="Product_Ti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9" name="ProductsTable10" displayName="ProductsTable10" ref="A5:F55" totalsRowShown="0">
  <autoFilter ref="A5:F55"/>
  <tableColumns count="6">
    <tableColumn id="1" name="Product_ID"/>
    <tableColumn id="2" name="Product_Name"/>
    <tableColumn id="3" name="Category"/>
    <tableColumn id="4" name="Unit_Cost"/>
    <tableColumn id="5" name="List_Price"/>
    <tableColumn id="6" name="Product_Tie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3" name="CustomersTable" displayName="CustomersTable" ref="A5:F185" totalsRowShown="0">
  <tableColumns count="6">
    <tableColumn id="1" name="Customer_ID"/>
    <tableColumn id="2" name="Customer_Name"/>
    <tableColumn id="3" name="Customer_City"/>
    <tableColumn id="4" name="Region"/>
    <tableColumn id="5" name="Customer_Segment"/>
    <tableColumn id="6" name="Marketing_Opt_I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10" name="CustomersTable11" displayName="CustomersTable11" ref="A5:F185" totalsRowShown="0">
  <autoFilter ref="A5:F185"/>
  <tableColumns count="6">
    <tableColumn id="1" name="Customer_ID"/>
    <tableColumn id="2" name="Customer_Name"/>
    <tableColumn id="3" name="Customer_City"/>
    <tableColumn id="4" name="Region"/>
    <tableColumn id="5" name="Customer_Segment"/>
    <tableColumn id="6" name="Marketing_Opt_I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4" name="ShipmentsTable" displayName="ShipmentsTable" ref="A5:G365" totalsRowShown="0">
  <tableColumns count="7">
    <tableColumn id="1" name="Order_ID"/>
    <tableColumn id="2" name="Carrier_Raw"/>
    <tableColumn id="3" name="Delivery_Date"/>
    <tableColumn id="4" name="Promised_Days"/>
    <tableColumn id="5" name="Delivery_Days"/>
    <tableColumn id="6" name="Delivery_Status"/>
    <tableColumn id="7" name="On_Time_Flag" dataDxfId="10">
      <calculatedColumnFormula>IF(ShipmentsTable[[#This Row],[Delivery_Status]]="On time",1,0)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5" name="ReturnsRawTable" displayName="ReturnsRawTable" ref="A5:F141" totalsRowShown="0">
  <autoFilter ref="A5:F141"/>
  <tableColumns count="6">
    <tableColumn id="1" name="Return_ID"/>
    <tableColumn id="2" name="Order_Line_ID"/>
    <tableColumn id="3" name="Return_Date"/>
    <tableColumn id="4" name="Return_Reason_Raw"/>
    <tableColumn id="5" name="Refund_Status"/>
    <tableColumn id="6" name="Refund_Amount_Raw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6" name="TargetsTable" displayName="TargetsTable" ref="A5:C17" totalsRowShown="0">
  <tableColumns count="3">
    <tableColumn id="1" name="Month_Start"/>
    <tableColumn id="2" name="Sales_Target"/>
    <tableColumn id="3" name="Profit_Targe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7" name="DictionaryTable" displayName="DictionaryTable" ref="A5:E13" totalsRowShown="0">
  <tableColumns count="5">
    <tableColumn id="1" name="Table"/>
    <tableColumn id="2" name="Field"/>
    <tableColumn id="3" name="Definition"/>
    <tableColumn id="4" name="Type"/>
    <tableColumn id="5" name="Key / Relationshi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365D"/>
  </sheetPr>
  <dimension ref="A1:A25"/>
  <sheetViews>
    <sheetView showGridLines="0" zoomScale="120" zoomScaleNormal="120" workbookViewId="0">
      <selection activeCell="A4" sqref="A4"/>
    </sheetView>
  </sheetViews>
  <sheetFormatPr baseColWidth="10" defaultColWidth="8.796875" defaultRowHeight="13.8"/>
  <cols>
    <col min="1" max="1" width="105" customWidth="1"/>
  </cols>
  <sheetData>
    <row r="1" spans="1:1" ht="19.2" customHeight="1">
      <c r="A1" s="1" t="s">
        <v>0</v>
      </c>
    </row>
    <row r="2" spans="1:1" ht="15" customHeight="1">
      <c r="A2" s="2"/>
    </row>
    <row r="3" spans="1:1" ht="15" customHeight="1">
      <c r="A3" s="3" t="s">
        <v>1</v>
      </c>
    </row>
    <row r="4" spans="1:1" ht="15" customHeight="1">
      <c r="A4" s="4" t="s">
        <v>2</v>
      </c>
    </row>
    <row r="5" spans="1:1" ht="15" customHeight="1">
      <c r="A5" s="4"/>
    </row>
    <row r="6" spans="1:1" ht="15" customHeight="1">
      <c r="A6" s="5" t="s">
        <v>3</v>
      </c>
    </row>
    <row r="7" spans="1:1" ht="15" customHeight="1">
      <c r="A7" s="4" t="s">
        <v>4</v>
      </c>
    </row>
    <row r="8" spans="1:1" ht="15" customHeight="1">
      <c r="A8" s="4" t="s">
        <v>5</v>
      </c>
    </row>
    <row r="9" spans="1:1" ht="15" customHeight="1">
      <c r="A9" s="4" t="s">
        <v>6</v>
      </c>
    </row>
    <row r="10" spans="1:1" ht="15" customHeight="1">
      <c r="A10" s="4" t="s">
        <v>7</v>
      </c>
    </row>
    <row r="11" spans="1:1" ht="15" customHeight="1">
      <c r="A11" s="4" t="s">
        <v>8</v>
      </c>
    </row>
    <row r="12" spans="1:1" ht="15" customHeight="1">
      <c r="A12" s="4"/>
    </row>
    <row r="13" spans="1:1" ht="15" customHeight="1">
      <c r="A13" s="5" t="s">
        <v>9</v>
      </c>
    </row>
    <row r="14" spans="1:1" ht="15" customHeight="1">
      <c r="A14" s="4" t="s">
        <v>10</v>
      </c>
    </row>
    <row r="15" spans="1:1" ht="15" customHeight="1">
      <c r="A15" s="4" t="s">
        <v>11</v>
      </c>
    </row>
    <row r="16" spans="1:1" ht="15" customHeight="1">
      <c r="A16" s="4" t="s">
        <v>12</v>
      </c>
    </row>
    <row r="17" spans="1:1" ht="15" customHeight="1">
      <c r="A17" s="4" t="s">
        <v>13</v>
      </c>
    </row>
    <row r="18" spans="1:1" ht="15" customHeight="1">
      <c r="A18" s="4" t="s">
        <v>14</v>
      </c>
    </row>
    <row r="19" spans="1:1" ht="15" customHeight="1">
      <c r="A19" s="4"/>
    </row>
    <row r="20" spans="1:1" ht="15" customHeight="1">
      <c r="A20" s="5" t="s">
        <v>15</v>
      </c>
    </row>
    <row r="21" spans="1:1" ht="15" customHeight="1">
      <c r="A21" s="4" t="s">
        <v>16</v>
      </c>
    </row>
    <row r="22" spans="1:1" ht="15" customHeight="1">
      <c r="A22" s="4" t="s">
        <v>17</v>
      </c>
    </row>
    <row r="23" spans="1:1" ht="15" customHeight="1">
      <c r="A23" s="4" t="s">
        <v>18</v>
      </c>
    </row>
    <row r="24" spans="1:1" ht="15" customHeight="1">
      <c r="A24" s="4" t="s">
        <v>19</v>
      </c>
    </row>
    <row r="25" spans="1:1" ht="15" customHeight="1">
      <c r="A25" s="4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F2F8"/>
  </sheetPr>
  <dimension ref="A1:E30"/>
  <sheetViews>
    <sheetView zoomScale="80" zoomScaleNormal="80" workbookViewId="0">
      <selection activeCell="D31" sqref="D31"/>
    </sheetView>
  </sheetViews>
  <sheetFormatPr baseColWidth="10" defaultRowHeight="13.8"/>
  <sheetData>
    <row r="1" spans="1:5">
      <c r="A1" s="37" t="s">
        <v>2079</v>
      </c>
      <c r="B1" s="37" t="s">
        <v>2080</v>
      </c>
      <c r="C1" s="37" t="s">
        <v>2081</v>
      </c>
      <c r="D1" s="37" t="s">
        <v>2082</v>
      </c>
      <c r="E1" s="37" t="s">
        <v>2083</v>
      </c>
    </row>
    <row r="2" spans="1:5" ht="55.2">
      <c r="A2" s="38" t="s">
        <v>2084</v>
      </c>
      <c r="B2" s="38" t="s">
        <v>2098</v>
      </c>
      <c r="C2" s="38" t="s">
        <v>2096</v>
      </c>
      <c r="D2" s="38">
        <v>891</v>
      </c>
      <c r="E2" s="38" t="s">
        <v>2097</v>
      </c>
    </row>
    <row r="3" spans="1:5" ht="69">
      <c r="A3" s="38" t="s">
        <v>2085</v>
      </c>
      <c r="B3" s="38" t="s">
        <v>2092</v>
      </c>
      <c r="C3" s="38" t="s">
        <v>2093</v>
      </c>
      <c r="D3" s="38" t="s">
        <v>2094</v>
      </c>
      <c r="E3" s="38" t="s">
        <v>2095</v>
      </c>
    </row>
    <row r="4" spans="1:5" ht="96.6">
      <c r="A4" s="38" t="s">
        <v>2086</v>
      </c>
      <c r="B4" s="38" t="s">
        <v>2099</v>
      </c>
      <c r="C4" s="38" t="s">
        <v>2100</v>
      </c>
      <c r="D4" s="38" t="s">
        <v>2101</v>
      </c>
      <c r="E4" s="38" t="s">
        <v>2102</v>
      </c>
    </row>
    <row r="5" spans="1:5" ht="69">
      <c r="A5" s="38" t="s">
        <v>2087</v>
      </c>
      <c r="B5" s="38" t="s">
        <v>2103</v>
      </c>
      <c r="C5" s="38" t="s">
        <v>2104</v>
      </c>
      <c r="D5" s="38" t="s">
        <v>2105</v>
      </c>
      <c r="E5" s="38" t="s">
        <v>2106</v>
      </c>
    </row>
    <row r="6" spans="1:5" ht="110.4">
      <c r="A6" s="39" t="s">
        <v>2088</v>
      </c>
      <c r="B6" s="38" t="s">
        <v>2107</v>
      </c>
      <c r="C6" s="38" t="s">
        <v>24</v>
      </c>
      <c r="D6" s="38" t="s">
        <v>2108</v>
      </c>
      <c r="E6" s="38" t="s">
        <v>2109</v>
      </c>
    </row>
    <row r="7" spans="1:5" ht="96.6">
      <c r="A7" s="38" t="s">
        <v>2089</v>
      </c>
      <c r="B7" s="38" t="s">
        <v>2110</v>
      </c>
      <c r="C7" s="38" t="s">
        <v>2111</v>
      </c>
      <c r="D7" s="38" t="s">
        <v>2112</v>
      </c>
      <c r="E7" s="38" t="s">
        <v>2113</v>
      </c>
    </row>
    <row r="8" spans="1:5" ht="82.8">
      <c r="A8" s="38" t="s">
        <v>2090</v>
      </c>
      <c r="B8" s="38" t="s">
        <v>2114</v>
      </c>
      <c r="C8" s="38" t="s">
        <v>2115</v>
      </c>
      <c r="D8" s="38" t="s">
        <v>2116</v>
      </c>
      <c r="E8" s="38" t="s">
        <v>2117</v>
      </c>
    </row>
    <row r="9" spans="1:5" ht="303.60000000000002">
      <c r="A9" s="38" t="s">
        <v>2091</v>
      </c>
      <c r="B9" s="38" t="s">
        <v>2118</v>
      </c>
      <c r="C9" s="38" t="s">
        <v>2119</v>
      </c>
      <c r="D9" s="38" t="s">
        <v>2122</v>
      </c>
      <c r="E9" s="38" t="s">
        <v>2123</v>
      </c>
    </row>
    <row r="10" spans="1:5" ht="69">
      <c r="A10" s="38" t="s">
        <v>2126</v>
      </c>
      <c r="B10" s="38" t="s">
        <v>2127</v>
      </c>
      <c r="C10" s="38" t="s">
        <v>2128</v>
      </c>
      <c r="D10" s="38" t="s">
        <v>2130</v>
      </c>
      <c r="E10" s="38" t="s">
        <v>2129</v>
      </c>
    </row>
    <row r="12" spans="1:5">
      <c r="A12" s="62" t="s">
        <v>2131</v>
      </c>
      <c r="B12" s="62"/>
      <c r="C12" s="62"/>
      <c r="D12" s="62"/>
      <c r="E12" s="62"/>
    </row>
    <row r="13" spans="1:5">
      <c r="A13" s="62"/>
      <c r="B13" s="62"/>
      <c r="C13" s="62"/>
      <c r="D13" s="62"/>
      <c r="E13" s="62"/>
    </row>
    <row r="14" spans="1:5">
      <c r="A14" s="37" t="s">
        <v>2079</v>
      </c>
      <c r="B14" s="37" t="s">
        <v>2081</v>
      </c>
      <c r="C14" s="41" t="s">
        <v>2135</v>
      </c>
      <c r="D14" s="41" t="s">
        <v>2136</v>
      </c>
    </row>
    <row r="15" spans="1:5" ht="41.4">
      <c r="A15" s="38" t="s">
        <v>2084</v>
      </c>
      <c r="B15" s="39" t="s">
        <v>28</v>
      </c>
      <c r="C15">
        <v>50</v>
      </c>
      <c r="D15" s="41" t="s">
        <v>2137</v>
      </c>
    </row>
    <row r="16" spans="1:5" ht="41.4">
      <c r="A16" s="38" t="s">
        <v>2132</v>
      </c>
      <c r="B16" s="39" t="s">
        <v>28</v>
      </c>
      <c r="C16">
        <v>0</v>
      </c>
      <c r="D16" s="41" t="s">
        <v>2138</v>
      </c>
    </row>
    <row r="17" spans="1:5" ht="60">
      <c r="A17" s="38" t="s">
        <v>2089</v>
      </c>
      <c r="B17" s="39" t="s">
        <v>2133</v>
      </c>
      <c r="C17">
        <v>0</v>
      </c>
      <c r="D17" s="41" t="s">
        <v>2139</v>
      </c>
    </row>
    <row r="18" spans="1:5" ht="69">
      <c r="A18" s="38" t="s">
        <v>2134</v>
      </c>
      <c r="B18" s="39" t="s">
        <v>1673</v>
      </c>
      <c r="C18">
        <v>0</v>
      </c>
      <c r="D18" s="41" t="s">
        <v>2140</v>
      </c>
    </row>
    <row r="20" spans="1:5">
      <c r="A20" s="62" t="s">
        <v>2150</v>
      </c>
      <c r="B20" s="62"/>
      <c r="C20" s="62"/>
      <c r="D20" s="62"/>
      <c r="E20" s="62"/>
    </row>
    <row r="21" spans="1:5">
      <c r="A21" s="62"/>
      <c r="B21" s="62"/>
      <c r="C21" s="62"/>
      <c r="D21" s="62"/>
      <c r="E21" s="62"/>
    </row>
    <row r="22" spans="1:5">
      <c r="A22" s="37" t="s">
        <v>2079</v>
      </c>
      <c r="B22" s="37" t="s">
        <v>2080</v>
      </c>
      <c r="C22" s="37" t="s">
        <v>2081</v>
      </c>
      <c r="D22" s="37" t="s">
        <v>2082</v>
      </c>
      <c r="E22" s="37" t="s">
        <v>2083</v>
      </c>
    </row>
    <row r="23" spans="1:5" ht="55.2">
      <c r="A23" s="38" t="s">
        <v>2141</v>
      </c>
      <c r="B23" s="38" t="s">
        <v>2142</v>
      </c>
      <c r="C23" s="39" t="s">
        <v>1736</v>
      </c>
      <c r="D23" s="38">
        <v>181</v>
      </c>
      <c r="E23" s="38" t="s">
        <v>2151</v>
      </c>
    </row>
    <row r="24" spans="1:5" ht="84">
      <c r="A24" s="38" t="s">
        <v>2132</v>
      </c>
      <c r="B24" s="38" t="s">
        <v>2143</v>
      </c>
      <c r="C24" s="39" t="s">
        <v>1736</v>
      </c>
      <c r="D24" s="38">
        <v>0</v>
      </c>
      <c r="E24" s="38" t="s">
        <v>2152</v>
      </c>
    </row>
    <row r="25" spans="1:5" ht="135">
      <c r="A25" s="38" t="s">
        <v>2089</v>
      </c>
      <c r="B25" s="38" t="s">
        <v>2144</v>
      </c>
      <c r="C25" s="39" t="s">
        <v>2145</v>
      </c>
      <c r="D25" s="38" t="s">
        <v>2146</v>
      </c>
      <c r="E25" s="38" t="s">
        <v>2153</v>
      </c>
    </row>
    <row r="26" spans="1:5" ht="303.60000000000002">
      <c r="A26" s="38" t="s">
        <v>2147</v>
      </c>
      <c r="B26" s="38" t="s">
        <v>2148</v>
      </c>
      <c r="C26" s="39" t="s">
        <v>2149</v>
      </c>
      <c r="D26" s="38" t="s">
        <v>2155</v>
      </c>
      <c r="E26" s="38" t="s">
        <v>2154</v>
      </c>
    </row>
    <row r="27" spans="1:5" ht="69">
      <c r="A27" s="38" t="s">
        <v>2157</v>
      </c>
      <c r="B27" s="38" t="s">
        <v>2158</v>
      </c>
      <c r="C27" s="46" t="s">
        <v>2161</v>
      </c>
      <c r="D27" s="38" t="s">
        <v>2159</v>
      </c>
      <c r="E27" s="38" t="s">
        <v>2160</v>
      </c>
    </row>
    <row r="28" spans="1:5" ht="45">
      <c r="A28" s="38" t="s">
        <v>2170</v>
      </c>
      <c r="B28" s="38" t="s">
        <v>2171</v>
      </c>
      <c r="C28" s="39" t="s">
        <v>2172</v>
      </c>
      <c r="D28" s="38" t="s">
        <v>2173</v>
      </c>
      <c r="E28" s="38" t="s">
        <v>2174</v>
      </c>
    </row>
    <row r="29" spans="1:5" ht="82.8">
      <c r="A29" s="38" t="s">
        <v>2178</v>
      </c>
      <c r="B29" s="38" t="s">
        <v>2179</v>
      </c>
      <c r="C29" s="39" t="s">
        <v>2172</v>
      </c>
      <c r="D29" s="38" t="s">
        <v>2180</v>
      </c>
      <c r="E29" s="38" t="s">
        <v>2181</v>
      </c>
    </row>
    <row r="30" spans="1:5" ht="151.80000000000001">
      <c r="A30" s="38" t="s">
        <v>2187</v>
      </c>
      <c r="B30" s="38" t="s">
        <v>2188</v>
      </c>
      <c r="C30" s="39" t="s">
        <v>2189</v>
      </c>
      <c r="D30" t="s">
        <v>2190</v>
      </c>
      <c r="E30" s="38" t="s">
        <v>2191</v>
      </c>
    </row>
  </sheetData>
  <mergeCells count="2">
    <mergeCell ref="A12:E13"/>
    <mergeCell ref="A20:E2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F2F8"/>
  </sheetPr>
  <dimension ref="A1:L896"/>
  <sheetViews>
    <sheetView showGridLines="0" workbookViewId="0">
      <pane ySplit="5" topLeftCell="A6" activePane="bottomLeft" state="frozen"/>
      <selection pane="bottomLeft" activeCell="A882" sqref="A882"/>
    </sheetView>
  </sheetViews>
  <sheetFormatPr baseColWidth="10" defaultColWidth="8.796875" defaultRowHeight="13.8"/>
  <cols>
    <col min="1" max="1" width="26" customWidth="1"/>
    <col min="2" max="2" width="9.09765625" customWidth="1"/>
    <col min="3" max="3" width="10.796875" customWidth="1"/>
    <col min="4" max="4" width="15.796875" customWidth="1"/>
    <col min="5" max="5" width="33" bestFit="1" customWidth="1"/>
    <col min="6" max="6" width="10.69921875" customWidth="1"/>
    <col min="7" max="7" width="8.796875" customWidth="1"/>
    <col min="8" max="8" width="10" customWidth="1"/>
    <col min="9" max="9" width="12.19921875" customWidth="1"/>
    <col min="10" max="10" width="17.09765625" customWidth="1"/>
    <col min="11" max="11" width="18.8984375" customWidth="1"/>
    <col min="12" max="12" width="12.8984375" customWidth="1"/>
  </cols>
  <sheetData>
    <row r="1" spans="1:12" ht="18" customHeight="1">
      <c r="A1" s="6" t="s">
        <v>21</v>
      </c>
    </row>
    <row r="2" spans="1:12" ht="15" customHeight="1">
      <c r="A2" s="7" t="s">
        <v>22</v>
      </c>
    </row>
    <row r="3" spans="1:12" ht="1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</row>
    <row r="5" spans="1:12" ht="15" customHeight="1">
      <c r="A5" s="9" t="s">
        <v>23</v>
      </c>
      <c r="B5" s="9" t="s">
        <v>24</v>
      </c>
      <c r="C5" s="9" t="s">
        <v>25</v>
      </c>
      <c r="D5" s="9" t="s">
        <v>26</v>
      </c>
      <c r="E5" s="9" t="s">
        <v>27</v>
      </c>
      <c r="F5" s="9" t="s">
        <v>28</v>
      </c>
      <c r="G5" s="9" t="s">
        <v>29</v>
      </c>
      <c r="H5" s="9" t="s">
        <v>30</v>
      </c>
      <c r="I5" s="9" t="s">
        <v>31</v>
      </c>
      <c r="J5" s="9" t="s">
        <v>32</v>
      </c>
      <c r="K5" s="9" t="s">
        <v>33</v>
      </c>
      <c r="L5" s="9" t="s">
        <v>34</v>
      </c>
    </row>
    <row r="6" spans="1:12" ht="15" customHeight="1">
      <c r="A6" s="11" t="s">
        <v>35</v>
      </c>
      <c r="B6" s="12" t="s">
        <v>36</v>
      </c>
      <c r="C6" s="19">
        <v>46012</v>
      </c>
      <c r="D6" s="12" t="s">
        <v>37</v>
      </c>
      <c r="E6" s="12" t="s">
        <v>38</v>
      </c>
      <c r="F6" s="12" t="s">
        <v>39</v>
      </c>
      <c r="G6" s="22">
        <v>1</v>
      </c>
      <c r="H6" s="25">
        <v>236.51</v>
      </c>
      <c r="I6" s="28">
        <v>0.15</v>
      </c>
      <c r="J6" s="12" t="s">
        <v>40</v>
      </c>
      <c r="K6" s="12" t="s">
        <v>41</v>
      </c>
      <c r="L6" s="13" t="s">
        <v>42</v>
      </c>
    </row>
    <row r="7" spans="1:12" ht="15" customHeight="1">
      <c r="A7" s="14" t="s">
        <v>43</v>
      </c>
      <c r="B7" s="10" t="s">
        <v>36</v>
      </c>
      <c r="C7" s="20">
        <v>46012</v>
      </c>
      <c r="D7" s="10" t="s">
        <v>37</v>
      </c>
      <c r="E7" s="10" t="s">
        <v>38</v>
      </c>
      <c r="F7" s="10" t="s">
        <v>44</v>
      </c>
      <c r="G7" s="23">
        <v>2</v>
      </c>
      <c r="H7" s="26">
        <v>238.47</v>
      </c>
      <c r="I7" s="29">
        <v>0.1</v>
      </c>
      <c r="J7" s="10" t="s">
        <v>45</v>
      </c>
      <c r="K7" s="10" t="s">
        <v>46</v>
      </c>
      <c r="L7" s="15" t="s">
        <v>47</v>
      </c>
    </row>
    <row r="8" spans="1:12" ht="15" customHeight="1">
      <c r="A8" s="14" t="s">
        <v>48</v>
      </c>
      <c r="B8" s="10" t="s">
        <v>36</v>
      </c>
      <c r="C8" s="20">
        <v>46012</v>
      </c>
      <c r="D8" s="10" t="s">
        <v>37</v>
      </c>
      <c r="E8" s="10" t="s">
        <v>38</v>
      </c>
      <c r="F8" s="10" t="s">
        <v>49</v>
      </c>
      <c r="G8" s="23">
        <v>3</v>
      </c>
      <c r="H8" s="26">
        <v>300.16000000000003</v>
      </c>
      <c r="I8" s="29">
        <v>0</v>
      </c>
      <c r="J8" s="10" t="s">
        <v>50</v>
      </c>
      <c r="K8" s="10" t="s">
        <v>51</v>
      </c>
      <c r="L8" s="15" t="s">
        <v>52</v>
      </c>
    </row>
    <row r="9" spans="1:12" ht="15" customHeight="1">
      <c r="A9" s="14" t="s">
        <v>53</v>
      </c>
      <c r="B9" s="10" t="s">
        <v>54</v>
      </c>
      <c r="C9" s="20">
        <v>45841</v>
      </c>
      <c r="D9" s="10" t="s">
        <v>55</v>
      </c>
      <c r="E9" s="10" t="s">
        <v>56</v>
      </c>
      <c r="F9" s="10" t="s">
        <v>57</v>
      </c>
      <c r="G9" s="23">
        <v>2</v>
      </c>
      <c r="H9" s="26">
        <v>208.81</v>
      </c>
      <c r="I9" s="29">
        <v>0.15</v>
      </c>
      <c r="J9" s="10" t="s">
        <v>50</v>
      </c>
      <c r="K9" s="10" t="s">
        <v>58</v>
      </c>
      <c r="L9" s="15" t="s">
        <v>42</v>
      </c>
    </row>
    <row r="10" spans="1:12" ht="15" customHeight="1">
      <c r="A10" s="14" t="s">
        <v>59</v>
      </c>
      <c r="B10" s="10" t="s">
        <v>60</v>
      </c>
      <c r="C10" s="20">
        <v>45697</v>
      </c>
      <c r="D10" s="10" t="s">
        <v>61</v>
      </c>
      <c r="E10" s="10" t="s">
        <v>62</v>
      </c>
      <c r="F10" s="10" t="s">
        <v>63</v>
      </c>
      <c r="G10" s="23">
        <v>1</v>
      </c>
      <c r="H10" s="26">
        <v>105.38</v>
      </c>
      <c r="I10" s="29">
        <v>0</v>
      </c>
      <c r="J10" s="10" t="s">
        <v>64</v>
      </c>
      <c r="K10" s="10" t="s">
        <v>46</v>
      </c>
      <c r="L10" s="15" t="s">
        <v>42</v>
      </c>
    </row>
    <row r="11" spans="1:12" ht="15" customHeight="1">
      <c r="A11" s="14" t="s">
        <v>65</v>
      </c>
      <c r="B11" s="10" t="s">
        <v>60</v>
      </c>
      <c r="C11" s="20">
        <v>45697</v>
      </c>
      <c r="D11" s="10" t="s">
        <v>61</v>
      </c>
      <c r="E11" s="10" t="s">
        <v>62</v>
      </c>
      <c r="F11" s="10" t="s">
        <v>39</v>
      </c>
      <c r="G11" s="23">
        <v>1</v>
      </c>
      <c r="H11" s="26">
        <v>236.51</v>
      </c>
      <c r="I11" s="29">
        <v>0.1</v>
      </c>
      <c r="J11" s="10" t="s">
        <v>66</v>
      </c>
      <c r="K11" s="10"/>
      <c r="L11" s="15" t="s">
        <v>67</v>
      </c>
    </row>
    <row r="12" spans="1:12" ht="15" customHeight="1">
      <c r="A12" s="14" t="s">
        <v>68</v>
      </c>
      <c r="B12" s="10" t="s">
        <v>60</v>
      </c>
      <c r="C12" s="20">
        <v>45697</v>
      </c>
      <c r="D12" s="10" t="s">
        <v>61</v>
      </c>
      <c r="E12" s="10" t="s">
        <v>62</v>
      </c>
      <c r="F12" s="10" t="s">
        <v>69</v>
      </c>
      <c r="G12" s="23">
        <v>1</v>
      </c>
      <c r="H12" s="26">
        <v>75.75</v>
      </c>
      <c r="I12" s="29">
        <v>0.05</v>
      </c>
      <c r="J12" s="10" t="s">
        <v>70</v>
      </c>
      <c r="K12" s="10"/>
      <c r="L12" s="15" t="s">
        <v>47</v>
      </c>
    </row>
    <row r="13" spans="1:12" ht="15" customHeight="1">
      <c r="A13" s="14" t="s">
        <v>71</v>
      </c>
      <c r="B13" s="10" t="s">
        <v>60</v>
      </c>
      <c r="C13" s="20">
        <v>45697</v>
      </c>
      <c r="D13" s="10" t="s">
        <v>61</v>
      </c>
      <c r="E13" s="10" t="s">
        <v>62</v>
      </c>
      <c r="F13" s="10" t="s">
        <v>72</v>
      </c>
      <c r="G13" s="23">
        <v>2</v>
      </c>
      <c r="H13" s="26">
        <v>210.2</v>
      </c>
      <c r="I13" s="29">
        <v>0.1</v>
      </c>
      <c r="J13" s="10" t="s">
        <v>64</v>
      </c>
      <c r="K13" s="10" t="s">
        <v>51</v>
      </c>
      <c r="L13" s="15" t="s">
        <v>52</v>
      </c>
    </row>
    <row r="14" spans="1:12" ht="15" customHeight="1">
      <c r="A14" s="14" t="s">
        <v>73</v>
      </c>
      <c r="B14" s="10" t="s">
        <v>74</v>
      </c>
      <c r="C14" s="20">
        <v>45787</v>
      </c>
      <c r="D14" s="10" t="s">
        <v>75</v>
      </c>
      <c r="E14" s="10" t="s">
        <v>76</v>
      </c>
      <c r="F14" s="10" t="s">
        <v>77</v>
      </c>
      <c r="G14" s="23">
        <v>2</v>
      </c>
      <c r="H14" s="26">
        <v>34.909999999999997</v>
      </c>
      <c r="I14" s="29">
        <v>0.15</v>
      </c>
      <c r="J14" s="10" t="s">
        <v>40</v>
      </c>
      <c r="K14" s="10" t="s">
        <v>46</v>
      </c>
      <c r="L14" s="15" t="s">
        <v>42</v>
      </c>
    </row>
    <row r="15" spans="1:12" ht="15" customHeight="1">
      <c r="A15" s="14" t="s">
        <v>78</v>
      </c>
      <c r="B15" s="10" t="s">
        <v>74</v>
      </c>
      <c r="C15" s="20">
        <v>45787</v>
      </c>
      <c r="D15" s="10" t="s">
        <v>79</v>
      </c>
      <c r="E15" s="10" t="s">
        <v>76</v>
      </c>
      <c r="F15" s="10" t="s">
        <v>80</v>
      </c>
      <c r="G15" s="23">
        <v>3</v>
      </c>
      <c r="H15" s="26">
        <v>142.16</v>
      </c>
      <c r="I15" s="29">
        <v>0.05</v>
      </c>
      <c r="J15" s="10" t="s">
        <v>50</v>
      </c>
      <c r="K15" s="10" t="s">
        <v>41</v>
      </c>
      <c r="L15" s="15" t="s">
        <v>42</v>
      </c>
    </row>
    <row r="16" spans="1:12" ht="15" customHeight="1">
      <c r="A16" s="14" t="s">
        <v>81</v>
      </c>
      <c r="B16" s="10" t="s">
        <v>74</v>
      </c>
      <c r="C16" s="20">
        <v>45787</v>
      </c>
      <c r="D16" s="10" t="s">
        <v>75</v>
      </c>
      <c r="E16" s="10" t="s">
        <v>76</v>
      </c>
      <c r="F16" s="10" t="s">
        <v>72</v>
      </c>
      <c r="G16" s="23">
        <v>4</v>
      </c>
      <c r="H16" s="26">
        <v>210.2</v>
      </c>
      <c r="I16" s="29">
        <v>0.05</v>
      </c>
      <c r="J16" s="10" t="s">
        <v>50</v>
      </c>
      <c r="K16" s="10" t="s">
        <v>41</v>
      </c>
      <c r="L16" s="15" t="s">
        <v>47</v>
      </c>
    </row>
    <row r="17" spans="1:12" ht="15" customHeight="1">
      <c r="A17" s="14" t="s">
        <v>82</v>
      </c>
      <c r="B17" s="10" t="s">
        <v>74</v>
      </c>
      <c r="C17" s="20">
        <v>45787</v>
      </c>
      <c r="D17" s="10" t="s">
        <v>79</v>
      </c>
      <c r="E17" s="10" t="s">
        <v>76</v>
      </c>
      <c r="F17" s="10" t="s">
        <v>83</v>
      </c>
      <c r="G17" s="23">
        <v>2</v>
      </c>
      <c r="H17" s="26">
        <v>115.28</v>
      </c>
      <c r="I17" s="29">
        <v>0.1</v>
      </c>
      <c r="J17" s="10" t="s">
        <v>40</v>
      </c>
      <c r="K17" s="10"/>
      <c r="L17" s="15" t="s">
        <v>42</v>
      </c>
    </row>
    <row r="18" spans="1:12" ht="15" customHeight="1">
      <c r="A18" s="14" t="s">
        <v>84</v>
      </c>
      <c r="B18" s="10" t="s">
        <v>85</v>
      </c>
      <c r="C18" s="20">
        <v>45659</v>
      </c>
      <c r="D18" s="10" t="s">
        <v>86</v>
      </c>
      <c r="E18" s="10" t="s">
        <v>87</v>
      </c>
      <c r="F18" s="10" t="s">
        <v>88</v>
      </c>
      <c r="G18" s="23">
        <v>2</v>
      </c>
      <c r="H18" s="26">
        <v>147.46</v>
      </c>
      <c r="I18" s="29">
        <v>0</v>
      </c>
      <c r="J18" s="10" t="s">
        <v>40</v>
      </c>
      <c r="K18" s="10" t="s">
        <v>41</v>
      </c>
      <c r="L18" s="15" t="s">
        <v>47</v>
      </c>
    </row>
    <row r="19" spans="1:12" ht="15" customHeight="1">
      <c r="A19" s="14" t="s">
        <v>89</v>
      </c>
      <c r="B19" s="10" t="s">
        <v>90</v>
      </c>
      <c r="C19" s="20">
        <v>45996</v>
      </c>
      <c r="D19" s="10" t="s">
        <v>91</v>
      </c>
      <c r="E19" s="10" t="s">
        <v>92</v>
      </c>
      <c r="F19" s="10" t="s">
        <v>93</v>
      </c>
      <c r="G19" s="23">
        <v>3</v>
      </c>
      <c r="H19" s="26">
        <v>208.89</v>
      </c>
      <c r="I19" s="29">
        <v>0.15</v>
      </c>
      <c r="J19" s="10" t="s">
        <v>45</v>
      </c>
      <c r="K19" s="10" t="s">
        <v>58</v>
      </c>
      <c r="L19" s="15" t="s">
        <v>42</v>
      </c>
    </row>
    <row r="20" spans="1:12" ht="15" customHeight="1">
      <c r="A20" s="14" t="s">
        <v>94</v>
      </c>
      <c r="B20" s="10" t="s">
        <v>95</v>
      </c>
      <c r="C20" s="20">
        <v>45764</v>
      </c>
      <c r="D20" s="10" t="s">
        <v>96</v>
      </c>
      <c r="E20" s="10" t="s">
        <v>97</v>
      </c>
      <c r="F20" s="10" t="s">
        <v>63</v>
      </c>
      <c r="G20" s="23">
        <v>3</v>
      </c>
      <c r="H20" s="26">
        <v>105.38</v>
      </c>
      <c r="I20" s="29">
        <v>0.05</v>
      </c>
      <c r="J20" s="10" t="s">
        <v>66</v>
      </c>
      <c r="K20" s="10" t="s">
        <v>98</v>
      </c>
      <c r="L20" s="15" t="s">
        <v>42</v>
      </c>
    </row>
    <row r="21" spans="1:12" ht="15" customHeight="1">
      <c r="A21" s="14" t="s">
        <v>99</v>
      </c>
      <c r="B21" s="10" t="s">
        <v>95</v>
      </c>
      <c r="C21" s="20">
        <v>45764</v>
      </c>
      <c r="D21" s="10" t="s">
        <v>96</v>
      </c>
      <c r="E21" s="10" t="s">
        <v>97</v>
      </c>
      <c r="F21" s="10" t="s">
        <v>100</v>
      </c>
      <c r="G21" s="23">
        <v>1</v>
      </c>
      <c r="H21" s="26">
        <v>42.72</v>
      </c>
      <c r="I21" s="29">
        <v>0</v>
      </c>
      <c r="J21" s="10" t="s">
        <v>66</v>
      </c>
      <c r="K21" s="10" t="s">
        <v>51</v>
      </c>
      <c r="L21" s="15" t="s">
        <v>101</v>
      </c>
    </row>
    <row r="22" spans="1:12" ht="15" customHeight="1">
      <c r="A22" s="14" t="s">
        <v>102</v>
      </c>
      <c r="B22" s="10" t="s">
        <v>103</v>
      </c>
      <c r="C22" s="20">
        <v>45673</v>
      </c>
      <c r="D22" s="10" t="s">
        <v>104</v>
      </c>
      <c r="E22" s="10" t="s">
        <v>105</v>
      </c>
      <c r="F22" s="10" t="s">
        <v>106</v>
      </c>
      <c r="G22" s="23">
        <v>3</v>
      </c>
      <c r="H22" s="26">
        <v>195.38</v>
      </c>
      <c r="I22" s="29">
        <v>0.15</v>
      </c>
      <c r="J22" s="10" t="s">
        <v>40</v>
      </c>
      <c r="K22" s="10" t="s">
        <v>41</v>
      </c>
      <c r="L22" s="15" t="s">
        <v>47</v>
      </c>
    </row>
    <row r="23" spans="1:12" ht="15" customHeight="1">
      <c r="A23" s="14" t="s">
        <v>107</v>
      </c>
      <c r="B23" s="10" t="s">
        <v>103</v>
      </c>
      <c r="C23" s="20">
        <v>45673</v>
      </c>
      <c r="D23" s="10" t="s">
        <v>104</v>
      </c>
      <c r="E23" s="10" t="s">
        <v>105</v>
      </c>
      <c r="F23" s="10" t="s">
        <v>108</v>
      </c>
      <c r="G23" s="23">
        <v>3</v>
      </c>
      <c r="H23" s="26">
        <v>33.369999999999997</v>
      </c>
      <c r="I23" s="29">
        <v>0.15</v>
      </c>
      <c r="J23" s="10" t="s">
        <v>40</v>
      </c>
      <c r="K23" s="10" t="s">
        <v>51</v>
      </c>
      <c r="L23" s="15" t="s">
        <v>52</v>
      </c>
    </row>
    <row r="24" spans="1:12" ht="15" customHeight="1">
      <c r="A24" s="14" t="s">
        <v>109</v>
      </c>
      <c r="B24" s="10" t="s">
        <v>103</v>
      </c>
      <c r="C24" s="20">
        <v>45673</v>
      </c>
      <c r="D24" s="10" t="s">
        <v>104</v>
      </c>
      <c r="E24" s="10" t="s">
        <v>105</v>
      </c>
      <c r="F24" s="10" t="s">
        <v>110</v>
      </c>
      <c r="G24" s="23">
        <v>3</v>
      </c>
      <c r="H24" s="26">
        <v>133.24</v>
      </c>
      <c r="I24" s="29">
        <v>0.15</v>
      </c>
      <c r="J24" s="10" t="s">
        <v>70</v>
      </c>
      <c r="K24" s="10" t="s">
        <v>46</v>
      </c>
      <c r="L24" s="15" t="s">
        <v>101</v>
      </c>
    </row>
    <row r="25" spans="1:12" ht="15" customHeight="1">
      <c r="A25" s="14" t="s">
        <v>111</v>
      </c>
      <c r="B25" s="10" t="s">
        <v>103</v>
      </c>
      <c r="C25" s="20">
        <v>45673</v>
      </c>
      <c r="D25" s="10" t="s">
        <v>104</v>
      </c>
      <c r="E25" s="10" t="s">
        <v>105</v>
      </c>
      <c r="F25" s="10" t="s">
        <v>112</v>
      </c>
      <c r="G25" s="23">
        <v>3</v>
      </c>
      <c r="H25" s="26">
        <v>88.61</v>
      </c>
      <c r="I25" s="29">
        <v>0.05</v>
      </c>
      <c r="J25" s="10" t="s">
        <v>40</v>
      </c>
      <c r="K25" s="10" t="s">
        <v>51</v>
      </c>
      <c r="L25" s="15" t="s">
        <v>101</v>
      </c>
    </row>
    <row r="26" spans="1:12" ht="15" customHeight="1">
      <c r="A26" s="14" t="s">
        <v>113</v>
      </c>
      <c r="B26" s="10" t="s">
        <v>114</v>
      </c>
      <c r="C26" s="20">
        <v>45681</v>
      </c>
      <c r="D26" s="10" t="s">
        <v>115</v>
      </c>
      <c r="E26" s="10" t="s">
        <v>116</v>
      </c>
      <c r="F26" s="10" t="s">
        <v>117</v>
      </c>
      <c r="G26" s="23">
        <v>4</v>
      </c>
      <c r="H26" s="26">
        <v>251.17</v>
      </c>
      <c r="I26" s="29">
        <v>0.05</v>
      </c>
      <c r="J26" s="10" t="s">
        <v>66</v>
      </c>
      <c r="K26" s="10" t="s">
        <v>58</v>
      </c>
      <c r="L26" s="15" t="s">
        <v>42</v>
      </c>
    </row>
    <row r="27" spans="1:12" ht="15" customHeight="1">
      <c r="A27" s="14" t="s">
        <v>118</v>
      </c>
      <c r="B27" s="10" t="s">
        <v>114</v>
      </c>
      <c r="C27" s="20">
        <v>45681</v>
      </c>
      <c r="D27" s="10" t="s">
        <v>115</v>
      </c>
      <c r="E27" s="10" t="s">
        <v>116</v>
      </c>
      <c r="F27" s="10" t="s">
        <v>119</v>
      </c>
      <c r="G27" s="23">
        <v>4</v>
      </c>
      <c r="H27" s="26">
        <v>103.3</v>
      </c>
      <c r="I27" s="29">
        <v>0.1</v>
      </c>
      <c r="J27" s="10" t="s">
        <v>45</v>
      </c>
      <c r="K27" s="10"/>
      <c r="L27" s="15" t="s">
        <v>47</v>
      </c>
    </row>
    <row r="28" spans="1:12" ht="15" customHeight="1">
      <c r="A28" s="14" t="s">
        <v>120</v>
      </c>
      <c r="B28" s="10" t="s">
        <v>114</v>
      </c>
      <c r="C28" s="20">
        <v>45681</v>
      </c>
      <c r="D28" s="10" t="s">
        <v>115</v>
      </c>
      <c r="E28" s="10" t="s">
        <v>116</v>
      </c>
      <c r="F28" s="10" t="s">
        <v>121</v>
      </c>
      <c r="G28" s="23">
        <v>2</v>
      </c>
      <c r="H28" s="26">
        <v>287.16000000000003</v>
      </c>
      <c r="I28" s="29">
        <v>0</v>
      </c>
      <c r="J28" s="10" t="s">
        <v>70</v>
      </c>
      <c r="K28" s="10"/>
      <c r="L28" s="15" t="s">
        <v>42</v>
      </c>
    </row>
    <row r="29" spans="1:12" ht="15" customHeight="1">
      <c r="A29" s="14" t="s">
        <v>122</v>
      </c>
      <c r="B29" s="10" t="s">
        <v>114</v>
      </c>
      <c r="C29" s="20">
        <v>45681</v>
      </c>
      <c r="D29" s="10" t="s">
        <v>115</v>
      </c>
      <c r="E29" s="10" t="s">
        <v>116</v>
      </c>
      <c r="F29" s="10" t="s">
        <v>57</v>
      </c>
      <c r="G29" s="23">
        <v>2</v>
      </c>
      <c r="H29" s="26">
        <v>208.81</v>
      </c>
      <c r="I29" s="29">
        <v>0</v>
      </c>
      <c r="J29" s="10" t="s">
        <v>45</v>
      </c>
      <c r="K29" s="10" t="s">
        <v>41</v>
      </c>
      <c r="L29" s="15" t="s">
        <v>47</v>
      </c>
    </row>
    <row r="30" spans="1:12" ht="15" customHeight="1">
      <c r="A30" s="14" t="s">
        <v>123</v>
      </c>
      <c r="B30" s="10" t="s">
        <v>124</v>
      </c>
      <c r="C30" s="20">
        <v>45801</v>
      </c>
      <c r="D30" s="10" t="s">
        <v>125</v>
      </c>
      <c r="E30" s="10" t="s">
        <v>126</v>
      </c>
      <c r="F30" s="10" t="s">
        <v>77</v>
      </c>
      <c r="G30" s="23">
        <v>3</v>
      </c>
      <c r="H30" s="26">
        <v>34.909999999999997</v>
      </c>
      <c r="I30" s="29">
        <v>0.1</v>
      </c>
      <c r="J30" s="10" t="s">
        <v>45</v>
      </c>
      <c r="K30" s="10" t="s">
        <v>41</v>
      </c>
      <c r="L30" s="15" t="s">
        <v>42</v>
      </c>
    </row>
    <row r="31" spans="1:12" ht="15" customHeight="1">
      <c r="A31" s="14" t="s">
        <v>127</v>
      </c>
      <c r="B31" s="10" t="s">
        <v>124</v>
      </c>
      <c r="C31" s="20">
        <v>45801</v>
      </c>
      <c r="D31" s="10" t="s">
        <v>125</v>
      </c>
      <c r="E31" s="10" t="s">
        <v>126</v>
      </c>
      <c r="F31" s="10" t="s">
        <v>128</v>
      </c>
      <c r="G31" s="23">
        <v>3</v>
      </c>
      <c r="H31" s="26">
        <v>25.15</v>
      </c>
      <c r="I31" s="29">
        <v>0</v>
      </c>
      <c r="J31" s="10" t="s">
        <v>45</v>
      </c>
      <c r="K31" s="10" t="s">
        <v>46</v>
      </c>
      <c r="L31" s="15" t="s">
        <v>67</v>
      </c>
    </row>
    <row r="32" spans="1:12" ht="15" customHeight="1">
      <c r="A32" s="14" t="s">
        <v>129</v>
      </c>
      <c r="B32" s="10" t="s">
        <v>124</v>
      </c>
      <c r="C32" s="20">
        <v>45801</v>
      </c>
      <c r="D32" s="10" t="s">
        <v>125</v>
      </c>
      <c r="E32" s="10" t="s">
        <v>126</v>
      </c>
      <c r="F32" s="10" t="s">
        <v>130</v>
      </c>
      <c r="G32" s="23">
        <v>4</v>
      </c>
      <c r="H32" s="26">
        <v>265.73</v>
      </c>
      <c r="I32" s="29">
        <v>0</v>
      </c>
      <c r="J32" s="10" t="s">
        <v>66</v>
      </c>
      <c r="K32" s="10" t="s">
        <v>51</v>
      </c>
      <c r="L32" s="15" t="s">
        <v>101</v>
      </c>
    </row>
    <row r="33" spans="1:12" ht="15" customHeight="1">
      <c r="A33" s="14" t="s">
        <v>131</v>
      </c>
      <c r="B33" s="10" t="s">
        <v>124</v>
      </c>
      <c r="C33" s="20">
        <v>45801</v>
      </c>
      <c r="D33" s="10" t="s">
        <v>125</v>
      </c>
      <c r="E33" s="10" t="s">
        <v>126</v>
      </c>
      <c r="F33" s="10" t="s">
        <v>93</v>
      </c>
      <c r="G33" s="23">
        <v>2</v>
      </c>
      <c r="H33" s="26">
        <v>208.89</v>
      </c>
      <c r="I33" s="29">
        <v>0</v>
      </c>
      <c r="J33" s="10" t="s">
        <v>70</v>
      </c>
      <c r="K33" s="10"/>
      <c r="L33" s="15" t="s">
        <v>47</v>
      </c>
    </row>
    <row r="34" spans="1:12" ht="15" customHeight="1">
      <c r="A34" s="14" t="s">
        <v>132</v>
      </c>
      <c r="B34" s="10" t="s">
        <v>133</v>
      </c>
      <c r="C34" s="20">
        <v>45974</v>
      </c>
      <c r="D34" s="10" t="s">
        <v>134</v>
      </c>
      <c r="E34" s="10" t="s">
        <v>135</v>
      </c>
      <c r="F34" s="10" t="s">
        <v>136</v>
      </c>
      <c r="G34" s="23">
        <v>1</v>
      </c>
      <c r="H34" s="26">
        <v>141.46</v>
      </c>
      <c r="I34" s="29">
        <v>0</v>
      </c>
      <c r="J34" s="10" t="s">
        <v>64</v>
      </c>
      <c r="K34" s="10" t="s">
        <v>58</v>
      </c>
      <c r="L34" s="15" t="s">
        <v>67</v>
      </c>
    </row>
    <row r="35" spans="1:12" ht="15" customHeight="1">
      <c r="A35" s="14" t="s">
        <v>137</v>
      </c>
      <c r="B35" s="10" t="s">
        <v>138</v>
      </c>
      <c r="C35" s="20">
        <v>45717.041666666664</v>
      </c>
      <c r="D35" s="10" t="s">
        <v>139</v>
      </c>
      <c r="E35" s="10" t="s">
        <v>140</v>
      </c>
      <c r="F35" s="10" t="s">
        <v>88</v>
      </c>
      <c r="G35" s="23">
        <v>2</v>
      </c>
      <c r="H35" s="26">
        <v>147.46</v>
      </c>
      <c r="I35" s="29">
        <v>0</v>
      </c>
      <c r="J35" s="10" t="s">
        <v>64</v>
      </c>
      <c r="K35" s="10" t="s">
        <v>58</v>
      </c>
      <c r="L35" s="15" t="s">
        <v>101</v>
      </c>
    </row>
    <row r="36" spans="1:12" ht="15" customHeight="1">
      <c r="A36" s="14" t="s">
        <v>141</v>
      </c>
      <c r="B36" s="10" t="s">
        <v>138</v>
      </c>
      <c r="C36" s="20">
        <v>45717.041666666664</v>
      </c>
      <c r="D36" s="10" t="s">
        <v>139</v>
      </c>
      <c r="E36" s="10" t="s">
        <v>140</v>
      </c>
      <c r="F36" s="10" t="s">
        <v>128</v>
      </c>
      <c r="G36" s="23">
        <v>1</v>
      </c>
      <c r="H36" s="26">
        <v>25.15</v>
      </c>
      <c r="I36" s="29">
        <v>0.05</v>
      </c>
      <c r="J36" s="10" t="s">
        <v>64</v>
      </c>
      <c r="K36" s="10"/>
      <c r="L36" s="15" t="s">
        <v>42</v>
      </c>
    </row>
    <row r="37" spans="1:12" ht="15" customHeight="1">
      <c r="A37" s="14" t="s">
        <v>142</v>
      </c>
      <c r="B37" s="10" t="s">
        <v>143</v>
      </c>
      <c r="C37" s="20">
        <v>46010</v>
      </c>
      <c r="D37" s="10" t="s">
        <v>144</v>
      </c>
      <c r="E37" s="10" t="s">
        <v>116</v>
      </c>
      <c r="F37" s="10" t="s">
        <v>44</v>
      </c>
      <c r="G37" s="23">
        <v>1</v>
      </c>
      <c r="H37" s="26">
        <v>238.47</v>
      </c>
      <c r="I37" s="29">
        <v>0.05</v>
      </c>
      <c r="J37" s="10" t="s">
        <v>66</v>
      </c>
      <c r="K37" s="10" t="s">
        <v>41</v>
      </c>
      <c r="L37" s="15" t="s">
        <v>67</v>
      </c>
    </row>
    <row r="38" spans="1:12" ht="15" customHeight="1">
      <c r="A38" s="14" t="s">
        <v>145</v>
      </c>
      <c r="B38" s="10" t="s">
        <v>146</v>
      </c>
      <c r="C38" s="20">
        <v>45834</v>
      </c>
      <c r="D38" s="10" t="s">
        <v>75</v>
      </c>
      <c r="E38" s="10" t="s">
        <v>76</v>
      </c>
      <c r="F38" s="10" t="s">
        <v>147</v>
      </c>
      <c r="G38" s="23">
        <v>2</v>
      </c>
      <c r="H38" s="26">
        <v>102.78</v>
      </c>
      <c r="I38" s="29">
        <v>0.05</v>
      </c>
      <c r="J38" s="10" t="s">
        <v>45</v>
      </c>
      <c r="K38" s="10" t="s">
        <v>41</v>
      </c>
      <c r="L38" s="15" t="s">
        <v>67</v>
      </c>
    </row>
    <row r="39" spans="1:12" ht="15" customHeight="1">
      <c r="A39" s="14" t="s">
        <v>148</v>
      </c>
      <c r="B39" s="10" t="s">
        <v>146</v>
      </c>
      <c r="C39" s="20">
        <v>45834</v>
      </c>
      <c r="D39" s="10" t="s">
        <v>75</v>
      </c>
      <c r="E39" s="10" t="s">
        <v>76</v>
      </c>
      <c r="F39" s="10" t="s">
        <v>57</v>
      </c>
      <c r="G39" s="23">
        <v>2</v>
      </c>
      <c r="H39" s="26">
        <v>208.81</v>
      </c>
      <c r="I39" s="29">
        <v>0.05</v>
      </c>
      <c r="J39" s="10" t="s">
        <v>70</v>
      </c>
      <c r="K39" s="10" t="s">
        <v>41</v>
      </c>
      <c r="L39" s="15" t="s">
        <v>47</v>
      </c>
    </row>
    <row r="40" spans="1:12" ht="15" customHeight="1">
      <c r="A40" s="14" t="s">
        <v>149</v>
      </c>
      <c r="B40" s="10" t="s">
        <v>146</v>
      </c>
      <c r="C40" s="20">
        <v>45834</v>
      </c>
      <c r="D40" s="10" t="s">
        <v>75</v>
      </c>
      <c r="E40" s="10" t="s">
        <v>76</v>
      </c>
      <c r="F40" s="10" t="s">
        <v>150</v>
      </c>
      <c r="G40" s="23">
        <v>4</v>
      </c>
      <c r="H40" s="26">
        <v>263.04000000000002</v>
      </c>
      <c r="I40" s="29">
        <v>0.15</v>
      </c>
      <c r="J40" s="10" t="s">
        <v>40</v>
      </c>
      <c r="K40" s="10" t="s">
        <v>98</v>
      </c>
      <c r="L40" s="15" t="s">
        <v>42</v>
      </c>
    </row>
    <row r="41" spans="1:12" ht="15" customHeight="1">
      <c r="A41" s="14" t="s">
        <v>151</v>
      </c>
      <c r="B41" s="10" t="s">
        <v>146</v>
      </c>
      <c r="C41" s="20">
        <v>45834</v>
      </c>
      <c r="D41" s="10" t="s">
        <v>75</v>
      </c>
      <c r="E41" s="10" t="s">
        <v>76</v>
      </c>
      <c r="F41" s="10" t="s">
        <v>152</v>
      </c>
      <c r="G41" s="23">
        <v>1</v>
      </c>
      <c r="H41" s="26">
        <v>234.37</v>
      </c>
      <c r="I41" s="29">
        <v>0</v>
      </c>
      <c r="J41" s="10" t="s">
        <v>64</v>
      </c>
      <c r="K41" s="10" t="s">
        <v>58</v>
      </c>
      <c r="L41" s="15" t="s">
        <v>52</v>
      </c>
    </row>
    <row r="42" spans="1:12" ht="15" customHeight="1">
      <c r="A42" s="14" t="s">
        <v>153</v>
      </c>
      <c r="B42" s="10" t="s">
        <v>154</v>
      </c>
      <c r="C42" s="20">
        <v>45901</v>
      </c>
      <c r="D42" s="10" t="s">
        <v>155</v>
      </c>
      <c r="E42" s="10" t="s">
        <v>156</v>
      </c>
      <c r="F42" s="10" t="s">
        <v>130</v>
      </c>
      <c r="G42" s="23">
        <v>4</v>
      </c>
      <c r="H42" s="26">
        <v>265.73</v>
      </c>
      <c r="I42" s="29">
        <v>0.15</v>
      </c>
      <c r="J42" s="10" t="s">
        <v>70</v>
      </c>
      <c r="K42" s="10" t="s">
        <v>46</v>
      </c>
      <c r="L42" s="15" t="s">
        <v>101</v>
      </c>
    </row>
    <row r="43" spans="1:12" ht="15" customHeight="1">
      <c r="A43" s="14" t="s">
        <v>157</v>
      </c>
      <c r="B43" s="10" t="s">
        <v>158</v>
      </c>
      <c r="C43" s="20">
        <v>45886</v>
      </c>
      <c r="D43" s="10" t="s">
        <v>159</v>
      </c>
      <c r="E43" s="10" t="s">
        <v>160</v>
      </c>
      <c r="F43" s="10" t="s">
        <v>44</v>
      </c>
      <c r="G43" s="23">
        <v>3</v>
      </c>
      <c r="H43" s="26">
        <v>238.47</v>
      </c>
      <c r="I43" s="29">
        <v>0.15</v>
      </c>
      <c r="J43" s="10" t="s">
        <v>66</v>
      </c>
      <c r="K43" s="10"/>
      <c r="L43" s="15" t="s">
        <v>42</v>
      </c>
    </row>
    <row r="44" spans="1:12" ht="15" customHeight="1">
      <c r="A44" s="14" t="s">
        <v>161</v>
      </c>
      <c r="B44" s="10" t="s">
        <v>162</v>
      </c>
      <c r="C44" s="20">
        <v>45987</v>
      </c>
      <c r="D44" s="10" t="s">
        <v>163</v>
      </c>
      <c r="E44" s="10" t="s">
        <v>164</v>
      </c>
      <c r="F44" s="10" t="s">
        <v>72</v>
      </c>
      <c r="G44" s="23">
        <v>4</v>
      </c>
      <c r="H44" s="26">
        <v>210.2</v>
      </c>
      <c r="I44" s="29">
        <v>0</v>
      </c>
      <c r="J44" s="10" t="s">
        <v>66</v>
      </c>
      <c r="K44" s="10" t="s">
        <v>58</v>
      </c>
      <c r="L44" s="15" t="s">
        <v>47</v>
      </c>
    </row>
    <row r="45" spans="1:12" ht="15" customHeight="1">
      <c r="A45" s="14" t="s">
        <v>165</v>
      </c>
      <c r="B45" s="10" t="s">
        <v>162</v>
      </c>
      <c r="C45" s="20">
        <v>45987</v>
      </c>
      <c r="D45" s="10" t="s">
        <v>163</v>
      </c>
      <c r="E45" s="10" t="s">
        <v>164</v>
      </c>
      <c r="F45" s="10" t="s">
        <v>69</v>
      </c>
      <c r="G45" s="23">
        <v>4</v>
      </c>
      <c r="H45" s="26">
        <v>75.75</v>
      </c>
      <c r="I45" s="29">
        <v>0.05</v>
      </c>
      <c r="J45" s="10" t="s">
        <v>40</v>
      </c>
      <c r="K45" s="10" t="s">
        <v>41</v>
      </c>
      <c r="L45" s="15" t="s">
        <v>42</v>
      </c>
    </row>
    <row r="46" spans="1:12" ht="15" customHeight="1">
      <c r="A46" s="14" t="s">
        <v>166</v>
      </c>
      <c r="B46" s="10" t="s">
        <v>167</v>
      </c>
      <c r="C46" s="20">
        <v>45962</v>
      </c>
      <c r="D46" s="10" t="s">
        <v>168</v>
      </c>
      <c r="E46" s="10" t="s">
        <v>169</v>
      </c>
      <c r="F46" s="10" t="s">
        <v>110</v>
      </c>
      <c r="G46" s="23">
        <v>1</v>
      </c>
      <c r="H46" s="26">
        <v>133.24</v>
      </c>
      <c r="I46" s="29">
        <v>0.15</v>
      </c>
      <c r="J46" s="10" t="s">
        <v>70</v>
      </c>
      <c r="K46" s="10"/>
      <c r="L46" s="15" t="s">
        <v>47</v>
      </c>
    </row>
    <row r="47" spans="1:12" ht="15" customHeight="1">
      <c r="A47" s="14" t="s">
        <v>170</v>
      </c>
      <c r="B47" s="10" t="s">
        <v>167</v>
      </c>
      <c r="C47" s="20">
        <v>45962</v>
      </c>
      <c r="D47" s="10" t="s">
        <v>168</v>
      </c>
      <c r="E47" s="10" t="s">
        <v>169</v>
      </c>
      <c r="F47" s="10" t="s">
        <v>171</v>
      </c>
      <c r="G47" s="23">
        <v>4</v>
      </c>
      <c r="H47" s="26">
        <v>228.81</v>
      </c>
      <c r="I47" s="29">
        <v>0.15</v>
      </c>
      <c r="J47" s="10" t="s">
        <v>45</v>
      </c>
      <c r="K47" s="10" t="s">
        <v>41</v>
      </c>
      <c r="L47" s="15" t="s">
        <v>52</v>
      </c>
    </row>
    <row r="48" spans="1:12" ht="15" customHeight="1">
      <c r="A48" s="14" t="s">
        <v>172</v>
      </c>
      <c r="B48" s="10" t="s">
        <v>167</v>
      </c>
      <c r="C48" s="20">
        <v>45962</v>
      </c>
      <c r="D48" s="10" t="s">
        <v>168</v>
      </c>
      <c r="E48" s="10" t="s">
        <v>169</v>
      </c>
      <c r="F48" s="10" t="s">
        <v>44</v>
      </c>
      <c r="G48" s="23">
        <v>2</v>
      </c>
      <c r="H48" s="26">
        <v>238.47</v>
      </c>
      <c r="I48" s="29">
        <v>0.05</v>
      </c>
      <c r="J48" s="10" t="s">
        <v>45</v>
      </c>
      <c r="K48" s="10" t="s">
        <v>46</v>
      </c>
      <c r="L48" s="15" t="s">
        <v>52</v>
      </c>
    </row>
    <row r="49" spans="1:12" ht="15" customHeight="1">
      <c r="A49" s="14" t="s">
        <v>173</v>
      </c>
      <c r="B49" s="10" t="s">
        <v>167</v>
      </c>
      <c r="C49" s="20">
        <v>45962</v>
      </c>
      <c r="D49" s="10" t="s">
        <v>168</v>
      </c>
      <c r="E49" s="10" t="s">
        <v>169</v>
      </c>
      <c r="F49" s="10" t="s">
        <v>128</v>
      </c>
      <c r="G49" s="23">
        <v>4</v>
      </c>
      <c r="H49" s="26">
        <v>25.15</v>
      </c>
      <c r="I49" s="29">
        <v>0.1</v>
      </c>
      <c r="J49" s="10" t="s">
        <v>70</v>
      </c>
      <c r="K49" s="10" t="s">
        <v>41</v>
      </c>
      <c r="L49" s="15" t="s">
        <v>42</v>
      </c>
    </row>
    <row r="50" spans="1:12" ht="15" customHeight="1">
      <c r="A50" s="14" t="s">
        <v>174</v>
      </c>
      <c r="B50" s="10" t="s">
        <v>175</v>
      </c>
      <c r="C50" s="20">
        <v>45715.041666666664</v>
      </c>
      <c r="D50" s="10" t="s">
        <v>176</v>
      </c>
      <c r="E50" s="10" t="s">
        <v>177</v>
      </c>
      <c r="F50" s="10" t="s">
        <v>178</v>
      </c>
      <c r="G50" s="23">
        <v>4</v>
      </c>
      <c r="H50" s="26">
        <v>61.81</v>
      </c>
      <c r="I50" s="29">
        <v>0.1</v>
      </c>
      <c r="J50" s="10" t="s">
        <v>66</v>
      </c>
      <c r="K50" s="10" t="s">
        <v>58</v>
      </c>
      <c r="L50" s="15" t="s">
        <v>101</v>
      </c>
    </row>
    <row r="51" spans="1:12" ht="15" customHeight="1">
      <c r="A51" s="14" t="s">
        <v>179</v>
      </c>
      <c r="B51" s="10" t="s">
        <v>175</v>
      </c>
      <c r="C51" s="20">
        <v>45715.041666666664</v>
      </c>
      <c r="D51" s="10" t="s">
        <v>176</v>
      </c>
      <c r="E51" s="10" t="s">
        <v>177</v>
      </c>
      <c r="F51" s="10" t="s">
        <v>180</v>
      </c>
      <c r="G51" s="23">
        <v>1</v>
      </c>
      <c r="H51" s="26">
        <v>91.75</v>
      </c>
      <c r="I51" s="29">
        <v>0</v>
      </c>
      <c r="J51" s="10" t="s">
        <v>66</v>
      </c>
      <c r="K51" s="10" t="s">
        <v>41</v>
      </c>
      <c r="L51" s="15" t="s">
        <v>47</v>
      </c>
    </row>
    <row r="52" spans="1:12" ht="15" customHeight="1">
      <c r="A52" s="14" t="s">
        <v>181</v>
      </c>
      <c r="B52" s="10" t="s">
        <v>182</v>
      </c>
      <c r="C52" s="20">
        <v>45998</v>
      </c>
      <c r="D52" s="10" t="s">
        <v>183</v>
      </c>
      <c r="E52" s="10" t="s">
        <v>184</v>
      </c>
      <c r="F52" s="10" t="s">
        <v>178</v>
      </c>
      <c r="G52" s="23">
        <v>1</v>
      </c>
      <c r="H52" s="26">
        <v>61.81</v>
      </c>
      <c r="I52" s="29">
        <v>0</v>
      </c>
      <c r="J52" s="10" t="s">
        <v>40</v>
      </c>
      <c r="K52" s="10" t="s">
        <v>98</v>
      </c>
      <c r="L52" s="15" t="s">
        <v>47</v>
      </c>
    </row>
    <row r="53" spans="1:12" ht="15" customHeight="1">
      <c r="A53" s="14" t="s">
        <v>185</v>
      </c>
      <c r="B53" s="10" t="s">
        <v>186</v>
      </c>
      <c r="C53" s="20">
        <v>45960</v>
      </c>
      <c r="D53" s="10" t="s">
        <v>187</v>
      </c>
      <c r="E53" s="10" t="s">
        <v>188</v>
      </c>
      <c r="F53" s="10" t="s">
        <v>128</v>
      </c>
      <c r="G53" s="23">
        <v>2</v>
      </c>
      <c r="H53" s="26">
        <v>25.15</v>
      </c>
      <c r="I53" s="29">
        <v>0.1</v>
      </c>
      <c r="J53" s="10" t="s">
        <v>70</v>
      </c>
      <c r="K53" s="10" t="s">
        <v>41</v>
      </c>
      <c r="L53" s="15" t="s">
        <v>52</v>
      </c>
    </row>
    <row r="54" spans="1:12" ht="15" customHeight="1">
      <c r="A54" s="14" t="s">
        <v>189</v>
      </c>
      <c r="B54" s="10" t="s">
        <v>186</v>
      </c>
      <c r="C54" s="20">
        <v>45960</v>
      </c>
      <c r="D54" s="10" t="s">
        <v>187</v>
      </c>
      <c r="E54" s="10" t="s">
        <v>188</v>
      </c>
      <c r="F54" s="10" t="s">
        <v>150</v>
      </c>
      <c r="G54" s="23">
        <v>3</v>
      </c>
      <c r="H54" s="26">
        <v>263.04000000000002</v>
      </c>
      <c r="I54" s="29">
        <v>0.1</v>
      </c>
      <c r="J54" s="10" t="s">
        <v>50</v>
      </c>
      <c r="K54" s="10" t="s">
        <v>51</v>
      </c>
      <c r="L54" s="15" t="s">
        <v>101</v>
      </c>
    </row>
    <row r="55" spans="1:12" ht="15" customHeight="1">
      <c r="A55" s="14" t="s">
        <v>190</v>
      </c>
      <c r="B55" s="10" t="s">
        <v>186</v>
      </c>
      <c r="C55" s="20">
        <v>45960</v>
      </c>
      <c r="D55" s="10" t="s">
        <v>187</v>
      </c>
      <c r="E55" s="10" t="s">
        <v>188</v>
      </c>
      <c r="F55" s="10" t="s">
        <v>57</v>
      </c>
      <c r="G55" s="23">
        <v>3</v>
      </c>
      <c r="H55" s="26">
        <v>208.81</v>
      </c>
      <c r="I55" s="29">
        <v>0.15</v>
      </c>
      <c r="J55" s="10" t="s">
        <v>70</v>
      </c>
      <c r="K55" s="10" t="s">
        <v>41</v>
      </c>
      <c r="L55" s="15" t="s">
        <v>101</v>
      </c>
    </row>
    <row r="56" spans="1:12" ht="15" customHeight="1">
      <c r="A56" s="14" t="s">
        <v>191</v>
      </c>
      <c r="B56" s="10" t="s">
        <v>192</v>
      </c>
      <c r="C56" s="20">
        <v>45851</v>
      </c>
      <c r="D56" s="10" t="s">
        <v>193</v>
      </c>
      <c r="E56" s="10" t="s">
        <v>194</v>
      </c>
      <c r="F56" s="10" t="s">
        <v>171</v>
      </c>
      <c r="G56" s="23">
        <v>3</v>
      </c>
      <c r="H56" s="26">
        <v>228.81</v>
      </c>
      <c r="I56" s="29">
        <v>0.1</v>
      </c>
      <c r="J56" s="10" t="s">
        <v>50</v>
      </c>
      <c r="K56" s="10"/>
      <c r="L56" s="15" t="s">
        <v>67</v>
      </c>
    </row>
    <row r="57" spans="1:12" ht="15" customHeight="1">
      <c r="A57" s="14" t="s">
        <v>195</v>
      </c>
      <c r="B57" s="10" t="s">
        <v>192</v>
      </c>
      <c r="C57" s="20">
        <v>45851</v>
      </c>
      <c r="D57" s="10" t="s">
        <v>193</v>
      </c>
      <c r="E57" s="10" t="s">
        <v>194</v>
      </c>
      <c r="F57" s="10" t="s">
        <v>196</v>
      </c>
      <c r="G57" s="23">
        <v>2</v>
      </c>
      <c r="H57" s="26">
        <v>183.73</v>
      </c>
      <c r="I57" s="29">
        <v>0</v>
      </c>
      <c r="J57" s="10" t="s">
        <v>45</v>
      </c>
      <c r="K57" s="10"/>
      <c r="L57" s="15" t="s">
        <v>47</v>
      </c>
    </row>
    <row r="58" spans="1:12" ht="15" customHeight="1">
      <c r="A58" s="14" t="s">
        <v>197</v>
      </c>
      <c r="B58" s="10" t="s">
        <v>198</v>
      </c>
      <c r="C58" s="20">
        <v>46004</v>
      </c>
      <c r="D58" s="10" t="s">
        <v>199</v>
      </c>
      <c r="E58" s="10" t="s">
        <v>200</v>
      </c>
      <c r="F58" s="10" t="s">
        <v>201</v>
      </c>
      <c r="G58" s="23">
        <v>1</v>
      </c>
      <c r="H58" s="26">
        <v>154.47</v>
      </c>
      <c r="I58" s="29">
        <v>0.05</v>
      </c>
      <c r="J58" s="10" t="s">
        <v>40</v>
      </c>
      <c r="K58" s="10" t="s">
        <v>58</v>
      </c>
      <c r="L58" s="15" t="s">
        <v>67</v>
      </c>
    </row>
    <row r="59" spans="1:12" ht="15" customHeight="1">
      <c r="A59" s="14" t="s">
        <v>202</v>
      </c>
      <c r="B59" s="10" t="s">
        <v>198</v>
      </c>
      <c r="C59" s="20">
        <v>46004</v>
      </c>
      <c r="D59" s="10" t="s">
        <v>199</v>
      </c>
      <c r="E59" s="10" t="s">
        <v>200</v>
      </c>
      <c r="F59" s="10" t="s">
        <v>63</v>
      </c>
      <c r="G59" s="23">
        <v>4</v>
      </c>
      <c r="H59" s="26">
        <v>105.38</v>
      </c>
      <c r="I59" s="29">
        <v>0.05</v>
      </c>
      <c r="J59" s="10" t="s">
        <v>66</v>
      </c>
      <c r="K59" s="10"/>
      <c r="L59" s="15" t="s">
        <v>67</v>
      </c>
    </row>
    <row r="60" spans="1:12" ht="15" customHeight="1">
      <c r="A60" s="14" t="s">
        <v>203</v>
      </c>
      <c r="B60" s="10" t="s">
        <v>198</v>
      </c>
      <c r="C60" s="20">
        <v>46004</v>
      </c>
      <c r="D60" s="10" t="s">
        <v>199</v>
      </c>
      <c r="E60" s="10" t="s">
        <v>200</v>
      </c>
      <c r="F60" s="10" t="s">
        <v>204</v>
      </c>
      <c r="G60" s="23">
        <v>4</v>
      </c>
      <c r="H60" s="26">
        <v>244.25</v>
      </c>
      <c r="I60" s="29">
        <v>0.1</v>
      </c>
      <c r="J60" s="10" t="s">
        <v>50</v>
      </c>
      <c r="K60" s="10" t="s">
        <v>41</v>
      </c>
      <c r="L60" s="15" t="s">
        <v>42</v>
      </c>
    </row>
    <row r="61" spans="1:12" ht="15" customHeight="1">
      <c r="A61" s="14" t="s">
        <v>205</v>
      </c>
      <c r="B61" s="10" t="s">
        <v>206</v>
      </c>
      <c r="C61" s="20">
        <v>45903</v>
      </c>
      <c r="D61" s="10" t="s">
        <v>207</v>
      </c>
      <c r="E61" s="10" t="s">
        <v>208</v>
      </c>
      <c r="F61" s="10" t="s">
        <v>130</v>
      </c>
      <c r="G61" s="23">
        <v>2</v>
      </c>
      <c r="H61" s="26">
        <v>265.73</v>
      </c>
      <c r="I61" s="29">
        <v>0.1</v>
      </c>
      <c r="J61" s="10" t="s">
        <v>40</v>
      </c>
      <c r="K61" s="10" t="s">
        <v>51</v>
      </c>
      <c r="L61" s="15" t="s">
        <v>42</v>
      </c>
    </row>
    <row r="62" spans="1:12" ht="15" customHeight="1">
      <c r="A62" s="14" t="s">
        <v>209</v>
      </c>
      <c r="B62" s="10" t="s">
        <v>206</v>
      </c>
      <c r="C62" s="20">
        <v>45903</v>
      </c>
      <c r="D62" s="10" t="s">
        <v>207</v>
      </c>
      <c r="E62" s="10" t="s">
        <v>208</v>
      </c>
      <c r="F62" s="10" t="s">
        <v>108</v>
      </c>
      <c r="G62" s="23">
        <v>4</v>
      </c>
      <c r="H62" s="26">
        <v>33.369999999999997</v>
      </c>
      <c r="I62" s="29">
        <v>0.05</v>
      </c>
      <c r="J62" s="10" t="s">
        <v>70</v>
      </c>
      <c r="K62" s="10"/>
      <c r="L62" s="15" t="s">
        <v>67</v>
      </c>
    </row>
    <row r="63" spans="1:12" ht="15" customHeight="1">
      <c r="A63" s="14" t="s">
        <v>210</v>
      </c>
      <c r="B63" s="10" t="s">
        <v>206</v>
      </c>
      <c r="C63" s="20">
        <v>45903</v>
      </c>
      <c r="D63" s="10" t="s">
        <v>211</v>
      </c>
      <c r="E63" s="10" t="s">
        <v>208</v>
      </c>
      <c r="F63" s="10" t="s">
        <v>108</v>
      </c>
      <c r="G63" s="23">
        <v>1</v>
      </c>
      <c r="H63" s="26">
        <v>33.369999999999997</v>
      </c>
      <c r="I63" s="29">
        <v>0</v>
      </c>
      <c r="J63" s="10" t="s">
        <v>66</v>
      </c>
      <c r="K63" s="10" t="s">
        <v>46</v>
      </c>
      <c r="L63" s="15" t="s">
        <v>47</v>
      </c>
    </row>
    <row r="64" spans="1:12" ht="15" customHeight="1">
      <c r="A64" s="14" t="s">
        <v>212</v>
      </c>
      <c r="B64" s="10" t="s">
        <v>213</v>
      </c>
      <c r="C64" s="20">
        <v>45766</v>
      </c>
      <c r="D64" s="10" t="s">
        <v>159</v>
      </c>
      <c r="E64" s="10" t="s">
        <v>160</v>
      </c>
      <c r="F64" s="10" t="s">
        <v>214</v>
      </c>
      <c r="G64" s="23">
        <v>3</v>
      </c>
      <c r="H64" s="26">
        <v>186.92</v>
      </c>
      <c r="I64" s="29">
        <v>0.1</v>
      </c>
      <c r="J64" s="10" t="s">
        <v>50</v>
      </c>
      <c r="K64" s="10" t="s">
        <v>58</v>
      </c>
      <c r="L64" s="15" t="s">
        <v>67</v>
      </c>
    </row>
    <row r="65" spans="1:12" ht="15" customHeight="1">
      <c r="A65" s="14" t="s">
        <v>215</v>
      </c>
      <c r="B65" s="10" t="s">
        <v>213</v>
      </c>
      <c r="C65" s="20">
        <v>45766</v>
      </c>
      <c r="D65" s="10" t="s">
        <v>159</v>
      </c>
      <c r="E65" s="10" t="s">
        <v>160</v>
      </c>
      <c r="F65" s="10" t="s">
        <v>83</v>
      </c>
      <c r="G65" s="23">
        <v>1</v>
      </c>
      <c r="H65" s="26">
        <v>115.28</v>
      </c>
      <c r="I65" s="29">
        <v>0</v>
      </c>
      <c r="J65" s="10" t="s">
        <v>64</v>
      </c>
      <c r="K65" s="10" t="s">
        <v>41</v>
      </c>
      <c r="L65" s="15" t="s">
        <v>52</v>
      </c>
    </row>
    <row r="66" spans="1:12" ht="15" customHeight="1">
      <c r="A66" s="14" t="s">
        <v>216</v>
      </c>
      <c r="B66" s="10" t="s">
        <v>217</v>
      </c>
      <c r="C66" s="20">
        <v>45857</v>
      </c>
      <c r="D66" s="10" t="s">
        <v>218</v>
      </c>
      <c r="E66" s="10" t="s">
        <v>219</v>
      </c>
      <c r="F66" s="10" t="s">
        <v>220</v>
      </c>
      <c r="G66" s="23">
        <v>4</v>
      </c>
      <c r="H66" s="26">
        <v>25.01</v>
      </c>
      <c r="I66" s="29">
        <v>0</v>
      </c>
      <c r="J66" s="10" t="s">
        <v>45</v>
      </c>
      <c r="K66" s="10" t="s">
        <v>41</v>
      </c>
      <c r="L66" s="15" t="s">
        <v>47</v>
      </c>
    </row>
    <row r="67" spans="1:12" ht="15" customHeight="1">
      <c r="A67" s="14" t="s">
        <v>221</v>
      </c>
      <c r="B67" s="10" t="s">
        <v>217</v>
      </c>
      <c r="C67" s="20">
        <v>45857</v>
      </c>
      <c r="D67" s="10" t="s">
        <v>218</v>
      </c>
      <c r="E67" s="10" t="s">
        <v>219</v>
      </c>
      <c r="F67" s="10" t="s">
        <v>171</v>
      </c>
      <c r="G67" s="23">
        <v>2</v>
      </c>
      <c r="H67" s="26">
        <v>228.81</v>
      </c>
      <c r="I67" s="29">
        <v>0.05</v>
      </c>
      <c r="J67" s="10" t="s">
        <v>40</v>
      </c>
      <c r="K67" s="10" t="s">
        <v>98</v>
      </c>
      <c r="L67" s="15" t="s">
        <v>47</v>
      </c>
    </row>
    <row r="68" spans="1:12" ht="15" customHeight="1">
      <c r="A68" s="14" t="s">
        <v>222</v>
      </c>
      <c r="B68" s="10" t="s">
        <v>223</v>
      </c>
      <c r="C68" s="20">
        <v>45942</v>
      </c>
      <c r="D68" s="10" t="s">
        <v>224</v>
      </c>
      <c r="E68" s="10" t="s">
        <v>225</v>
      </c>
      <c r="F68" s="10" t="s">
        <v>128</v>
      </c>
      <c r="G68" s="23">
        <v>4</v>
      </c>
      <c r="H68" s="26">
        <v>25.15</v>
      </c>
      <c r="I68" s="29">
        <v>0</v>
      </c>
      <c r="J68" s="10" t="s">
        <v>66</v>
      </c>
      <c r="K68" s="10"/>
      <c r="L68" s="15" t="s">
        <v>42</v>
      </c>
    </row>
    <row r="69" spans="1:12" ht="15" customHeight="1">
      <c r="A69" s="14" t="s">
        <v>226</v>
      </c>
      <c r="B69" s="10" t="s">
        <v>223</v>
      </c>
      <c r="C69" s="20">
        <v>45942</v>
      </c>
      <c r="D69" s="10" t="s">
        <v>224</v>
      </c>
      <c r="E69" s="10" t="s">
        <v>225</v>
      </c>
      <c r="F69" s="10" t="s">
        <v>220</v>
      </c>
      <c r="G69" s="23">
        <v>2</v>
      </c>
      <c r="H69" s="26">
        <v>25.01</v>
      </c>
      <c r="I69" s="29">
        <v>0</v>
      </c>
      <c r="J69" s="10" t="s">
        <v>64</v>
      </c>
      <c r="K69" s="10" t="s">
        <v>46</v>
      </c>
      <c r="L69" s="15" t="s">
        <v>101</v>
      </c>
    </row>
    <row r="70" spans="1:12" ht="15" customHeight="1">
      <c r="A70" s="14" t="s">
        <v>227</v>
      </c>
      <c r="B70" s="10" t="s">
        <v>228</v>
      </c>
      <c r="C70" s="20">
        <v>45945</v>
      </c>
      <c r="D70" s="10" t="s">
        <v>229</v>
      </c>
      <c r="E70" s="10" t="s">
        <v>230</v>
      </c>
      <c r="F70" s="10" t="s">
        <v>72</v>
      </c>
      <c r="G70" s="23">
        <v>1</v>
      </c>
      <c r="H70" s="26">
        <v>210.2</v>
      </c>
      <c r="I70" s="29">
        <v>0.1</v>
      </c>
      <c r="J70" s="10" t="s">
        <v>40</v>
      </c>
      <c r="K70" s="10"/>
      <c r="L70" s="15" t="s">
        <v>67</v>
      </c>
    </row>
    <row r="71" spans="1:12" ht="15" customHeight="1">
      <c r="A71" s="14" t="s">
        <v>231</v>
      </c>
      <c r="B71" s="10" t="s">
        <v>232</v>
      </c>
      <c r="C71" s="20">
        <v>45988</v>
      </c>
      <c r="D71" s="10" t="s">
        <v>233</v>
      </c>
      <c r="E71" s="10" t="s">
        <v>234</v>
      </c>
      <c r="F71" s="10" t="s">
        <v>108</v>
      </c>
      <c r="G71" s="23">
        <v>2</v>
      </c>
      <c r="H71" s="26">
        <v>33.369999999999997</v>
      </c>
      <c r="I71" s="29">
        <v>0</v>
      </c>
      <c r="J71" s="10" t="s">
        <v>64</v>
      </c>
      <c r="K71" s="10" t="s">
        <v>98</v>
      </c>
      <c r="L71" s="15" t="s">
        <v>42</v>
      </c>
    </row>
    <row r="72" spans="1:12" ht="15" customHeight="1">
      <c r="A72" s="14" t="s">
        <v>235</v>
      </c>
      <c r="B72" s="10" t="s">
        <v>232</v>
      </c>
      <c r="C72" s="20">
        <v>45988</v>
      </c>
      <c r="D72" s="10" t="s">
        <v>233</v>
      </c>
      <c r="E72" s="10" t="s">
        <v>234</v>
      </c>
      <c r="F72" s="10" t="s">
        <v>196</v>
      </c>
      <c r="G72" s="23">
        <v>2</v>
      </c>
      <c r="H72" s="26">
        <v>183.73</v>
      </c>
      <c r="I72" s="29">
        <v>0.1</v>
      </c>
      <c r="J72" s="10" t="s">
        <v>50</v>
      </c>
      <c r="K72" s="10" t="s">
        <v>41</v>
      </c>
      <c r="L72" s="15" t="s">
        <v>47</v>
      </c>
    </row>
    <row r="73" spans="1:12" ht="15" customHeight="1">
      <c r="A73" s="14" t="s">
        <v>236</v>
      </c>
      <c r="B73" s="10" t="s">
        <v>237</v>
      </c>
      <c r="C73" s="20">
        <v>45763</v>
      </c>
      <c r="D73" s="10" t="s">
        <v>96</v>
      </c>
      <c r="E73" s="10" t="s">
        <v>97</v>
      </c>
      <c r="F73" s="10" t="s">
        <v>238</v>
      </c>
      <c r="G73" s="23">
        <v>3</v>
      </c>
      <c r="H73" s="26">
        <v>82.77</v>
      </c>
      <c r="I73" s="29">
        <v>0</v>
      </c>
      <c r="J73" s="10" t="s">
        <v>40</v>
      </c>
      <c r="K73" s="10"/>
      <c r="L73" s="15" t="s">
        <v>42</v>
      </c>
    </row>
    <row r="74" spans="1:12" ht="15" customHeight="1">
      <c r="A74" s="14" t="s">
        <v>239</v>
      </c>
      <c r="B74" s="10" t="s">
        <v>237</v>
      </c>
      <c r="C74" s="20">
        <v>45763</v>
      </c>
      <c r="D74" s="10" t="s">
        <v>96</v>
      </c>
      <c r="E74" s="10" t="s">
        <v>97</v>
      </c>
      <c r="F74" s="10" t="s">
        <v>214</v>
      </c>
      <c r="G74" s="23">
        <v>1</v>
      </c>
      <c r="H74" s="26">
        <v>186.92</v>
      </c>
      <c r="I74" s="29">
        <v>0.05</v>
      </c>
      <c r="J74" s="10" t="s">
        <v>40</v>
      </c>
      <c r="K74" s="10" t="s">
        <v>41</v>
      </c>
      <c r="L74" s="15" t="s">
        <v>67</v>
      </c>
    </row>
    <row r="75" spans="1:12" ht="15" customHeight="1">
      <c r="A75" s="14" t="s">
        <v>240</v>
      </c>
      <c r="B75" s="10" t="s">
        <v>237</v>
      </c>
      <c r="C75" s="20">
        <v>45763</v>
      </c>
      <c r="D75" s="10" t="s">
        <v>96</v>
      </c>
      <c r="E75" s="10" t="s">
        <v>97</v>
      </c>
      <c r="F75" s="10" t="s">
        <v>241</v>
      </c>
      <c r="G75" s="23">
        <v>4</v>
      </c>
      <c r="H75" s="26">
        <v>300.56</v>
      </c>
      <c r="I75" s="29">
        <v>0.1</v>
      </c>
      <c r="J75" s="10" t="s">
        <v>45</v>
      </c>
      <c r="K75" s="10" t="s">
        <v>46</v>
      </c>
      <c r="L75" s="15" t="s">
        <v>67</v>
      </c>
    </row>
    <row r="76" spans="1:12" ht="15" customHeight="1">
      <c r="A76" s="14" t="s">
        <v>242</v>
      </c>
      <c r="B76" s="10" t="s">
        <v>243</v>
      </c>
      <c r="C76" s="20">
        <v>45953</v>
      </c>
      <c r="D76" s="10" t="s">
        <v>244</v>
      </c>
      <c r="E76" s="10" t="s">
        <v>245</v>
      </c>
      <c r="F76" s="10" t="s">
        <v>220</v>
      </c>
      <c r="G76" s="23">
        <v>4</v>
      </c>
      <c r="H76" s="26">
        <v>25.01</v>
      </c>
      <c r="I76" s="29">
        <v>0.1</v>
      </c>
      <c r="J76" s="10" t="s">
        <v>45</v>
      </c>
      <c r="K76" s="10" t="s">
        <v>98</v>
      </c>
      <c r="L76" s="15" t="s">
        <v>52</v>
      </c>
    </row>
    <row r="77" spans="1:12" ht="15" customHeight="1">
      <c r="A77" s="14" t="s">
        <v>246</v>
      </c>
      <c r="B77" s="10" t="s">
        <v>243</v>
      </c>
      <c r="C77" s="20">
        <v>45953</v>
      </c>
      <c r="D77" s="10" t="s">
        <v>244</v>
      </c>
      <c r="E77" s="10" t="s">
        <v>245</v>
      </c>
      <c r="F77" s="10" t="s">
        <v>136</v>
      </c>
      <c r="G77" s="23">
        <v>4</v>
      </c>
      <c r="H77" s="26">
        <v>141.46</v>
      </c>
      <c r="I77" s="29">
        <v>0</v>
      </c>
      <c r="J77" s="10" t="s">
        <v>64</v>
      </c>
      <c r="K77" s="10" t="s">
        <v>58</v>
      </c>
      <c r="L77" s="15" t="s">
        <v>47</v>
      </c>
    </row>
    <row r="78" spans="1:12" ht="15" customHeight="1">
      <c r="A78" s="14" t="s">
        <v>247</v>
      </c>
      <c r="B78" s="10" t="s">
        <v>248</v>
      </c>
      <c r="C78" s="20">
        <v>45778</v>
      </c>
      <c r="D78" s="10" t="s">
        <v>249</v>
      </c>
      <c r="E78" s="10" t="s">
        <v>250</v>
      </c>
      <c r="F78" s="10" t="s">
        <v>251</v>
      </c>
      <c r="G78" s="23">
        <v>3</v>
      </c>
      <c r="H78" s="26">
        <v>228.91</v>
      </c>
      <c r="I78" s="29">
        <v>0.15</v>
      </c>
      <c r="J78" s="10" t="s">
        <v>50</v>
      </c>
      <c r="K78" s="10" t="s">
        <v>46</v>
      </c>
      <c r="L78" s="15" t="s">
        <v>52</v>
      </c>
    </row>
    <row r="79" spans="1:12" ht="15" customHeight="1">
      <c r="A79" s="14" t="s">
        <v>252</v>
      </c>
      <c r="B79" s="10" t="s">
        <v>248</v>
      </c>
      <c r="C79" s="20">
        <v>45778</v>
      </c>
      <c r="D79" s="10" t="s">
        <v>249</v>
      </c>
      <c r="E79" s="10" t="s">
        <v>250</v>
      </c>
      <c r="F79" s="10" t="s">
        <v>77</v>
      </c>
      <c r="G79" s="23">
        <v>3</v>
      </c>
      <c r="H79" s="26">
        <v>34.909999999999997</v>
      </c>
      <c r="I79" s="29">
        <v>0</v>
      </c>
      <c r="J79" s="10" t="s">
        <v>66</v>
      </c>
      <c r="K79" s="10" t="s">
        <v>46</v>
      </c>
      <c r="L79" s="15" t="s">
        <v>101</v>
      </c>
    </row>
    <row r="80" spans="1:12" ht="15" customHeight="1">
      <c r="A80" s="14" t="s">
        <v>253</v>
      </c>
      <c r="B80" s="10" t="s">
        <v>248</v>
      </c>
      <c r="C80" s="20">
        <v>45778</v>
      </c>
      <c r="D80" s="10" t="s">
        <v>249</v>
      </c>
      <c r="E80" s="10" t="s">
        <v>250</v>
      </c>
      <c r="F80" s="10" t="s">
        <v>171</v>
      </c>
      <c r="G80" s="23">
        <v>4</v>
      </c>
      <c r="H80" s="26">
        <v>228.81</v>
      </c>
      <c r="I80" s="29">
        <v>0.15</v>
      </c>
      <c r="J80" s="10" t="s">
        <v>50</v>
      </c>
      <c r="K80" s="10" t="s">
        <v>46</v>
      </c>
      <c r="L80" s="15" t="s">
        <v>47</v>
      </c>
    </row>
    <row r="81" spans="1:12" ht="15" customHeight="1">
      <c r="A81" s="14" t="s">
        <v>254</v>
      </c>
      <c r="B81" s="10" t="s">
        <v>255</v>
      </c>
      <c r="C81" s="20">
        <v>45824</v>
      </c>
      <c r="D81" s="10" t="s">
        <v>256</v>
      </c>
      <c r="E81" s="10" t="s">
        <v>257</v>
      </c>
      <c r="F81" s="10" t="s">
        <v>180</v>
      </c>
      <c r="G81" s="23">
        <v>1</v>
      </c>
      <c r="H81" s="26">
        <v>91.75</v>
      </c>
      <c r="I81" s="29">
        <v>0</v>
      </c>
      <c r="J81" s="10" t="s">
        <v>66</v>
      </c>
      <c r="K81" s="10" t="s">
        <v>58</v>
      </c>
      <c r="L81" s="15" t="s">
        <v>47</v>
      </c>
    </row>
    <row r="82" spans="1:12" ht="15" customHeight="1">
      <c r="A82" s="14" t="s">
        <v>258</v>
      </c>
      <c r="B82" s="10" t="s">
        <v>259</v>
      </c>
      <c r="C82" s="20">
        <v>45896</v>
      </c>
      <c r="D82" s="10" t="s">
        <v>260</v>
      </c>
      <c r="E82" s="10" t="s">
        <v>261</v>
      </c>
      <c r="F82" s="10" t="s">
        <v>130</v>
      </c>
      <c r="G82" s="23">
        <v>3</v>
      </c>
      <c r="H82" s="26">
        <v>265.73</v>
      </c>
      <c r="I82" s="29">
        <v>0</v>
      </c>
      <c r="J82" s="10" t="s">
        <v>64</v>
      </c>
      <c r="K82" s="10" t="s">
        <v>98</v>
      </c>
      <c r="L82" s="15" t="s">
        <v>101</v>
      </c>
    </row>
    <row r="83" spans="1:12" ht="15" customHeight="1">
      <c r="A83" s="14" t="s">
        <v>262</v>
      </c>
      <c r="B83" s="10" t="s">
        <v>259</v>
      </c>
      <c r="C83" s="20">
        <v>45896</v>
      </c>
      <c r="D83" s="10" t="s">
        <v>260</v>
      </c>
      <c r="E83" s="10" t="s">
        <v>261</v>
      </c>
      <c r="F83" s="10" t="s">
        <v>196</v>
      </c>
      <c r="G83" s="23">
        <v>1</v>
      </c>
      <c r="H83" s="26">
        <v>183.73</v>
      </c>
      <c r="I83" s="29">
        <v>0.1</v>
      </c>
      <c r="J83" s="10" t="s">
        <v>66</v>
      </c>
      <c r="K83" s="10" t="s">
        <v>51</v>
      </c>
      <c r="L83" s="15" t="s">
        <v>67</v>
      </c>
    </row>
    <row r="84" spans="1:12" ht="15" customHeight="1">
      <c r="A84" s="14" t="s">
        <v>263</v>
      </c>
      <c r="B84" s="10" t="s">
        <v>264</v>
      </c>
      <c r="C84" s="20">
        <v>45839</v>
      </c>
      <c r="D84" s="10" t="s">
        <v>260</v>
      </c>
      <c r="E84" s="10" t="s">
        <v>261</v>
      </c>
      <c r="F84" s="10" t="s">
        <v>110</v>
      </c>
      <c r="G84" s="23">
        <v>1</v>
      </c>
      <c r="H84" s="26">
        <v>133.24</v>
      </c>
      <c r="I84" s="29">
        <v>0.05</v>
      </c>
      <c r="J84" s="10" t="s">
        <v>45</v>
      </c>
      <c r="K84" s="10" t="s">
        <v>41</v>
      </c>
      <c r="L84" s="15" t="s">
        <v>52</v>
      </c>
    </row>
    <row r="85" spans="1:12" ht="15" customHeight="1">
      <c r="A85" s="14" t="s">
        <v>265</v>
      </c>
      <c r="B85" s="10" t="s">
        <v>264</v>
      </c>
      <c r="C85" s="20">
        <v>45839</v>
      </c>
      <c r="D85" s="10" t="s">
        <v>260</v>
      </c>
      <c r="E85" s="10" t="s">
        <v>261</v>
      </c>
      <c r="F85" s="10" t="s">
        <v>69</v>
      </c>
      <c r="G85" s="23">
        <v>3</v>
      </c>
      <c r="H85" s="26">
        <v>75.75</v>
      </c>
      <c r="I85" s="29">
        <v>0</v>
      </c>
      <c r="J85" s="10" t="s">
        <v>45</v>
      </c>
      <c r="K85" s="10" t="s">
        <v>58</v>
      </c>
      <c r="L85" s="15" t="s">
        <v>42</v>
      </c>
    </row>
    <row r="86" spans="1:12" ht="15" customHeight="1">
      <c r="A86" s="14" t="s">
        <v>266</v>
      </c>
      <c r="B86" s="10" t="s">
        <v>267</v>
      </c>
      <c r="C86" s="20">
        <v>45903</v>
      </c>
      <c r="D86" s="10" t="s">
        <v>268</v>
      </c>
      <c r="E86" s="10" t="s">
        <v>269</v>
      </c>
      <c r="F86" s="10" t="s">
        <v>270</v>
      </c>
      <c r="G86" s="23">
        <v>4</v>
      </c>
      <c r="H86" s="26">
        <v>214.38</v>
      </c>
      <c r="I86" s="29">
        <v>0</v>
      </c>
      <c r="J86" s="10" t="s">
        <v>50</v>
      </c>
      <c r="K86" s="10" t="s">
        <v>46</v>
      </c>
      <c r="L86" s="15" t="s">
        <v>67</v>
      </c>
    </row>
    <row r="87" spans="1:12" ht="15" customHeight="1">
      <c r="A87" s="14" t="s">
        <v>271</v>
      </c>
      <c r="B87" s="10" t="s">
        <v>267</v>
      </c>
      <c r="C87" s="20">
        <v>45903</v>
      </c>
      <c r="D87" s="10" t="s">
        <v>268</v>
      </c>
      <c r="E87" s="10" t="s">
        <v>269</v>
      </c>
      <c r="F87" s="10" t="s">
        <v>171</v>
      </c>
      <c r="G87" s="23">
        <v>1</v>
      </c>
      <c r="H87" s="26">
        <v>228.81</v>
      </c>
      <c r="I87" s="29">
        <v>0</v>
      </c>
      <c r="J87" s="10" t="s">
        <v>50</v>
      </c>
      <c r="K87" s="10" t="s">
        <v>98</v>
      </c>
      <c r="L87" s="15" t="s">
        <v>67</v>
      </c>
    </row>
    <row r="88" spans="1:12" ht="15" customHeight="1">
      <c r="A88" s="14" t="s">
        <v>272</v>
      </c>
      <c r="B88" s="10" t="s">
        <v>273</v>
      </c>
      <c r="C88" s="20">
        <v>45769</v>
      </c>
      <c r="D88" s="10" t="s">
        <v>274</v>
      </c>
      <c r="E88" s="10" t="s">
        <v>275</v>
      </c>
      <c r="F88" s="10" t="s">
        <v>276</v>
      </c>
      <c r="G88" s="23">
        <v>2</v>
      </c>
      <c r="H88" s="26">
        <v>182.94</v>
      </c>
      <c r="I88" s="29">
        <v>0</v>
      </c>
      <c r="J88" s="10" t="s">
        <v>70</v>
      </c>
      <c r="K88" s="10" t="s">
        <v>98</v>
      </c>
      <c r="L88" s="15" t="s">
        <v>101</v>
      </c>
    </row>
    <row r="89" spans="1:12" ht="15" customHeight="1">
      <c r="A89" s="14" t="s">
        <v>277</v>
      </c>
      <c r="B89" s="10" t="s">
        <v>273</v>
      </c>
      <c r="C89" s="20">
        <v>45769</v>
      </c>
      <c r="D89" s="10" t="s">
        <v>274</v>
      </c>
      <c r="E89" s="10" t="s">
        <v>275</v>
      </c>
      <c r="F89" s="10" t="s">
        <v>251</v>
      </c>
      <c r="G89" s="23">
        <v>3</v>
      </c>
      <c r="H89" s="26">
        <v>228.91</v>
      </c>
      <c r="I89" s="29">
        <v>0</v>
      </c>
      <c r="J89" s="10" t="s">
        <v>66</v>
      </c>
      <c r="K89" s="10" t="s">
        <v>98</v>
      </c>
      <c r="L89" s="15" t="s">
        <v>67</v>
      </c>
    </row>
    <row r="90" spans="1:12" ht="15" customHeight="1">
      <c r="A90" s="14" t="s">
        <v>278</v>
      </c>
      <c r="B90" s="10" t="s">
        <v>273</v>
      </c>
      <c r="C90" s="20">
        <v>45769</v>
      </c>
      <c r="D90" s="10" t="s">
        <v>274</v>
      </c>
      <c r="E90" s="10" t="s">
        <v>275</v>
      </c>
      <c r="F90" s="10" t="s">
        <v>279</v>
      </c>
      <c r="G90" s="23">
        <v>2</v>
      </c>
      <c r="H90" s="26">
        <v>52.79</v>
      </c>
      <c r="I90" s="29">
        <v>0.05</v>
      </c>
      <c r="J90" s="10" t="s">
        <v>40</v>
      </c>
      <c r="K90" s="10" t="s">
        <v>41</v>
      </c>
      <c r="L90" s="15" t="s">
        <v>47</v>
      </c>
    </row>
    <row r="91" spans="1:12" ht="15" customHeight="1">
      <c r="A91" s="14" t="s">
        <v>280</v>
      </c>
      <c r="B91" s="10" t="s">
        <v>273</v>
      </c>
      <c r="C91" s="20">
        <v>45769</v>
      </c>
      <c r="D91" s="10" t="s">
        <v>274</v>
      </c>
      <c r="E91" s="10" t="s">
        <v>275</v>
      </c>
      <c r="F91" s="10" t="s">
        <v>270</v>
      </c>
      <c r="G91" s="23">
        <v>2</v>
      </c>
      <c r="H91" s="26">
        <v>214.38</v>
      </c>
      <c r="I91" s="29">
        <v>0.15</v>
      </c>
      <c r="J91" s="10" t="s">
        <v>45</v>
      </c>
      <c r="K91" s="10" t="s">
        <v>41</v>
      </c>
      <c r="L91" s="15" t="s">
        <v>101</v>
      </c>
    </row>
    <row r="92" spans="1:12" ht="15" customHeight="1">
      <c r="A92" s="14" t="s">
        <v>281</v>
      </c>
      <c r="B92" s="10" t="s">
        <v>282</v>
      </c>
      <c r="C92" s="20">
        <v>45819</v>
      </c>
      <c r="D92" s="10" t="s">
        <v>283</v>
      </c>
      <c r="E92" s="10" t="s">
        <v>284</v>
      </c>
      <c r="F92" s="10" t="s">
        <v>130</v>
      </c>
      <c r="G92" s="23">
        <v>1</v>
      </c>
      <c r="H92" s="26">
        <v>265.73</v>
      </c>
      <c r="I92" s="29">
        <v>0.05</v>
      </c>
      <c r="J92" s="10" t="s">
        <v>66</v>
      </c>
      <c r="K92" s="10" t="s">
        <v>51</v>
      </c>
      <c r="L92" s="15" t="s">
        <v>52</v>
      </c>
    </row>
    <row r="93" spans="1:12" ht="15" customHeight="1">
      <c r="A93" s="14" t="s">
        <v>285</v>
      </c>
      <c r="B93" s="10" t="s">
        <v>282</v>
      </c>
      <c r="C93" s="20">
        <v>45819</v>
      </c>
      <c r="D93" s="10" t="s">
        <v>283</v>
      </c>
      <c r="E93" s="10" t="s">
        <v>284</v>
      </c>
      <c r="F93" s="10" t="s">
        <v>112</v>
      </c>
      <c r="G93" s="23">
        <v>1</v>
      </c>
      <c r="H93" s="26">
        <v>88.61</v>
      </c>
      <c r="I93" s="29">
        <v>0</v>
      </c>
      <c r="J93" s="10" t="s">
        <v>40</v>
      </c>
      <c r="K93" s="10" t="s">
        <v>41</v>
      </c>
      <c r="L93" s="15" t="s">
        <v>47</v>
      </c>
    </row>
    <row r="94" spans="1:12" ht="15" customHeight="1">
      <c r="A94" s="14" t="s">
        <v>286</v>
      </c>
      <c r="B94" s="10" t="s">
        <v>287</v>
      </c>
      <c r="C94" s="20">
        <v>45708</v>
      </c>
      <c r="D94" s="10" t="s">
        <v>199</v>
      </c>
      <c r="E94" s="10" t="s">
        <v>200</v>
      </c>
      <c r="F94" s="10" t="s">
        <v>128</v>
      </c>
      <c r="G94" s="23">
        <v>4</v>
      </c>
      <c r="H94" s="26">
        <v>25.15</v>
      </c>
      <c r="I94" s="29">
        <v>0.15</v>
      </c>
      <c r="J94" s="10" t="s">
        <v>70</v>
      </c>
      <c r="K94" s="10" t="s">
        <v>41</v>
      </c>
      <c r="L94" s="15" t="s">
        <v>67</v>
      </c>
    </row>
    <row r="95" spans="1:12" ht="15" customHeight="1">
      <c r="A95" s="14" t="s">
        <v>288</v>
      </c>
      <c r="B95" s="10" t="s">
        <v>289</v>
      </c>
      <c r="C95" s="20">
        <v>45850</v>
      </c>
      <c r="D95" s="10" t="s">
        <v>290</v>
      </c>
      <c r="E95" s="10" t="s">
        <v>291</v>
      </c>
      <c r="F95" s="10" t="s">
        <v>119</v>
      </c>
      <c r="G95" s="23">
        <v>4</v>
      </c>
      <c r="H95" s="26">
        <v>103.3</v>
      </c>
      <c r="I95" s="29">
        <v>0.05</v>
      </c>
      <c r="J95" s="10" t="s">
        <v>70</v>
      </c>
      <c r="K95" s="10" t="s">
        <v>46</v>
      </c>
      <c r="L95" s="15" t="s">
        <v>42</v>
      </c>
    </row>
    <row r="96" spans="1:12" ht="15" customHeight="1">
      <c r="A96" s="14" t="s">
        <v>292</v>
      </c>
      <c r="B96" s="10" t="s">
        <v>293</v>
      </c>
      <c r="C96" s="20">
        <v>45690</v>
      </c>
      <c r="D96" s="10" t="s">
        <v>294</v>
      </c>
      <c r="E96" s="10" t="s">
        <v>295</v>
      </c>
      <c r="F96" s="10" t="s">
        <v>80</v>
      </c>
      <c r="G96" s="23">
        <v>1</v>
      </c>
      <c r="H96" s="26">
        <v>142.16</v>
      </c>
      <c r="I96" s="29">
        <v>0</v>
      </c>
      <c r="J96" s="10" t="s">
        <v>40</v>
      </c>
      <c r="K96" s="10" t="s">
        <v>98</v>
      </c>
      <c r="L96" s="15" t="s">
        <v>67</v>
      </c>
    </row>
    <row r="97" spans="1:12" ht="15" customHeight="1">
      <c r="A97" s="14" t="s">
        <v>296</v>
      </c>
      <c r="B97" s="10" t="s">
        <v>293</v>
      </c>
      <c r="C97" s="20">
        <v>45690</v>
      </c>
      <c r="D97" s="10" t="s">
        <v>294</v>
      </c>
      <c r="E97" s="10" t="s">
        <v>295</v>
      </c>
      <c r="F97" s="10" t="s">
        <v>69</v>
      </c>
      <c r="G97" s="23">
        <v>3</v>
      </c>
      <c r="H97" s="26">
        <v>75.75</v>
      </c>
      <c r="I97" s="29">
        <v>0</v>
      </c>
      <c r="J97" s="10" t="s">
        <v>66</v>
      </c>
      <c r="K97" s="10" t="s">
        <v>41</v>
      </c>
      <c r="L97" s="15" t="s">
        <v>67</v>
      </c>
    </row>
    <row r="98" spans="1:12" ht="15" customHeight="1">
      <c r="A98" s="14" t="s">
        <v>297</v>
      </c>
      <c r="B98" s="10" t="s">
        <v>293</v>
      </c>
      <c r="C98" s="20">
        <v>45690</v>
      </c>
      <c r="D98" s="10" t="s">
        <v>294</v>
      </c>
      <c r="E98" s="10" t="s">
        <v>295</v>
      </c>
      <c r="F98" s="10" t="s">
        <v>214</v>
      </c>
      <c r="G98" s="23">
        <v>3</v>
      </c>
      <c r="H98" s="26">
        <v>186.92</v>
      </c>
      <c r="I98" s="29">
        <v>0</v>
      </c>
      <c r="J98" s="10" t="s">
        <v>45</v>
      </c>
      <c r="K98" s="10" t="s">
        <v>58</v>
      </c>
      <c r="L98" s="15" t="s">
        <v>52</v>
      </c>
    </row>
    <row r="99" spans="1:12" ht="15" customHeight="1">
      <c r="A99" s="14" t="s">
        <v>298</v>
      </c>
      <c r="B99" s="10" t="s">
        <v>299</v>
      </c>
      <c r="C99" s="20">
        <v>45777</v>
      </c>
      <c r="D99" s="10" t="s">
        <v>300</v>
      </c>
      <c r="E99" s="10" t="s">
        <v>301</v>
      </c>
      <c r="F99" s="10" t="s">
        <v>178</v>
      </c>
      <c r="G99" s="23">
        <v>3</v>
      </c>
      <c r="H99" s="26">
        <v>61.81</v>
      </c>
      <c r="I99" s="29">
        <v>0</v>
      </c>
      <c r="J99" s="10" t="s">
        <v>50</v>
      </c>
      <c r="K99" s="10" t="s">
        <v>46</v>
      </c>
      <c r="L99" s="15" t="s">
        <v>101</v>
      </c>
    </row>
    <row r="100" spans="1:12" ht="15" customHeight="1">
      <c r="A100" s="14" t="s">
        <v>302</v>
      </c>
      <c r="B100" s="10" t="s">
        <v>299</v>
      </c>
      <c r="C100" s="20">
        <v>45777</v>
      </c>
      <c r="D100" s="10" t="s">
        <v>300</v>
      </c>
      <c r="E100" s="10" t="s">
        <v>301</v>
      </c>
      <c r="F100" s="10" t="s">
        <v>303</v>
      </c>
      <c r="G100" s="23">
        <v>1</v>
      </c>
      <c r="H100" s="26">
        <v>72.81</v>
      </c>
      <c r="I100" s="29">
        <v>0.15</v>
      </c>
      <c r="J100" s="10" t="s">
        <v>50</v>
      </c>
      <c r="K100" s="10"/>
      <c r="L100" s="15" t="s">
        <v>52</v>
      </c>
    </row>
    <row r="101" spans="1:12" ht="15" customHeight="1">
      <c r="A101" s="14" t="s">
        <v>304</v>
      </c>
      <c r="B101" s="10" t="s">
        <v>299</v>
      </c>
      <c r="C101" s="20">
        <v>45777</v>
      </c>
      <c r="D101" s="10" t="s">
        <v>300</v>
      </c>
      <c r="E101" s="10" t="s">
        <v>301</v>
      </c>
      <c r="F101" s="10" t="s">
        <v>121</v>
      </c>
      <c r="G101" s="23">
        <v>1</v>
      </c>
      <c r="H101" s="26">
        <v>287.16000000000003</v>
      </c>
      <c r="I101" s="29">
        <v>0</v>
      </c>
      <c r="J101" s="10" t="s">
        <v>64</v>
      </c>
      <c r="K101" s="10" t="s">
        <v>98</v>
      </c>
      <c r="L101" s="15" t="s">
        <v>52</v>
      </c>
    </row>
    <row r="102" spans="1:12" ht="15" customHeight="1">
      <c r="A102" s="14" t="s">
        <v>305</v>
      </c>
      <c r="B102" s="10" t="s">
        <v>306</v>
      </c>
      <c r="C102" s="20">
        <v>45952</v>
      </c>
      <c r="D102" s="10" t="s">
        <v>307</v>
      </c>
      <c r="E102" s="10" t="s">
        <v>308</v>
      </c>
      <c r="F102" s="10" t="s">
        <v>309</v>
      </c>
      <c r="G102" s="23">
        <v>3</v>
      </c>
      <c r="H102" s="26">
        <v>56.99</v>
      </c>
      <c r="I102" s="29">
        <v>0.15</v>
      </c>
      <c r="J102" s="10" t="s">
        <v>66</v>
      </c>
      <c r="K102" s="10" t="s">
        <v>41</v>
      </c>
      <c r="L102" s="15" t="s">
        <v>52</v>
      </c>
    </row>
    <row r="103" spans="1:12" ht="15" customHeight="1">
      <c r="A103" s="14" t="s">
        <v>310</v>
      </c>
      <c r="B103" s="10" t="s">
        <v>311</v>
      </c>
      <c r="C103" s="20">
        <v>45877</v>
      </c>
      <c r="D103" s="10" t="s">
        <v>183</v>
      </c>
      <c r="E103" s="10" t="s">
        <v>184</v>
      </c>
      <c r="F103" s="10" t="s">
        <v>110</v>
      </c>
      <c r="G103" s="23">
        <v>2</v>
      </c>
      <c r="H103" s="26">
        <v>133.24</v>
      </c>
      <c r="I103" s="29">
        <v>0</v>
      </c>
      <c r="J103" s="10" t="s">
        <v>70</v>
      </c>
      <c r="K103" s="10"/>
      <c r="L103" s="15" t="s">
        <v>52</v>
      </c>
    </row>
    <row r="104" spans="1:12" ht="15" customHeight="1">
      <c r="A104" s="14" t="s">
        <v>312</v>
      </c>
      <c r="B104" s="10" t="s">
        <v>313</v>
      </c>
      <c r="C104" s="20">
        <v>45673</v>
      </c>
      <c r="D104" s="10" t="s">
        <v>314</v>
      </c>
      <c r="E104" s="10" t="s">
        <v>250</v>
      </c>
      <c r="F104" s="10" t="s">
        <v>119</v>
      </c>
      <c r="G104" s="23">
        <v>4</v>
      </c>
      <c r="H104" s="26">
        <v>103.3</v>
      </c>
      <c r="I104" s="29">
        <v>0.05</v>
      </c>
      <c r="J104" s="10" t="s">
        <v>66</v>
      </c>
      <c r="K104" s="10" t="s">
        <v>46</v>
      </c>
      <c r="L104" s="15" t="s">
        <v>47</v>
      </c>
    </row>
    <row r="105" spans="1:12" ht="15" customHeight="1">
      <c r="A105" s="14" t="s">
        <v>315</v>
      </c>
      <c r="B105" s="10" t="s">
        <v>313</v>
      </c>
      <c r="C105" s="20">
        <v>45673</v>
      </c>
      <c r="D105" s="10" t="s">
        <v>314</v>
      </c>
      <c r="E105" s="10" t="s">
        <v>250</v>
      </c>
      <c r="F105" s="10" t="s">
        <v>316</v>
      </c>
      <c r="G105" s="23">
        <v>4</v>
      </c>
      <c r="H105" s="26">
        <v>180.37</v>
      </c>
      <c r="I105" s="29">
        <v>0.05</v>
      </c>
      <c r="J105" s="10" t="s">
        <v>50</v>
      </c>
      <c r="K105" s="10" t="s">
        <v>51</v>
      </c>
      <c r="L105" s="15" t="s">
        <v>42</v>
      </c>
    </row>
    <row r="106" spans="1:12" ht="15" customHeight="1">
      <c r="A106" s="14" t="s">
        <v>317</v>
      </c>
      <c r="B106" s="10" t="s">
        <v>313</v>
      </c>
      <c r="C106" s="20">
        <v>45673</v>
      </c>
      <c r="D106" s="10" t="s">
        <v>314</v>
      </c>
      <c r="E106" s="10" t="s">
        <v>250</v>
      </c>
      <c r="F106" s="10" t="s">
        <v>69</v>
      </c>
      <c r="G106" s="23">
        <v>2</v>
      </c>
      <c r="H106" s="26">
        <v>75.75</v>
      </c>
      <c r="I106" s="29">
        <v>0.05</v>
      </c>
      <c r="J106" s="10" t="s">
        <v>66</v>
      </c>
      <c r="K106" s="10"/>
      <c r="L106" s="15" t="s">
        <v>67</v>
      </c>
    </row>
    <row r="107" spans="1:12" ht="15" customHeight="1">
      <c r="A107" s="14" t="s">
        <v>318</v>
      </c>
      <c r="B107" s="10" t="s">
        <v>313</v>
      </c>
      <c r="C107" s="20">
        <v>45673</v>
      </c>
      <c r="D107" s="10" t="s">
        <v>314</v>
      </c>
      <c r="E107" s="10" t="s">
        <v>250</v>
      </c>
      <c r="F107" s="10" t="s">
        <v>93</v>
      </c>
      <c r="G107" s="23">
        <v>4</v>
      </c>
      <c r="H107" s="26">
        <v>208.89</v>
      </c>
      <c r="I107" s="29">
        <v>0.15</v>
      </c>
      <c r="J107" s="10" t="s">
        <v>70</v>
      </c>
      <c r="K107" s="10"/>
      <c r="L107" s="15" t="s">
        <v>42</v>
      </c>
    </row>
    <row r="108" spans="1:12" ht="15" customHeight="1">
      <c r="A108" s="14" t="s">
        <v>319</v>
      </c>
      <c r="B108" s="10" t="s">
        <v>320</v>
      </c>
      <c r="C108" s="20">
        <v>45870</v>
      </c>
      <c r="D108" s="10" t="s">
        <v>321</v>
      </c>
      <c r="E108" s="10" t="s">
        <v>322</v>
      </c>
      <c r="F108" s="10" t="s">
        <v>119</v>
      </c>
      <c r="G108" s="23">
        <v>3</v>
      </c>
      <c r="H108" s="26">
        <v>103.3</v>
      </c>
      <c r="I108" s="29">
        <v>0.05</v>
      </c>
      <c r="J108" s="10" t="s">
        <v>70</v>
      </c>
      <c r="K108" s="10" t="s">
        <v>58</v>
      </c>
      <c r="L108" s="15" t="s">
        <v>42</v>
      </c>
    </row>
    <row r="109" spans="1:12" ht="15" customHeight="1">
      <c r="A109" s="14" t="s">
        <v>323</v>
      </c>
      <c r="B109" s="10" t="s">
        <v>320</v>
      </c>
      <c r="C109" s="20">
        <v>45870</v>
      </c>
      <c r="D109" s="10" t="s">
        <v>321</v>
      </c>
      <c r="E109" s="10" t="s">
        <v>322</v>
      </c>
      <c r="F109" s="10" t="s">
        <v>110</v>
      </c>
      <c r="G109" s="23">
        <v>1</v>
      </c>
      <c r="H109" s="26">
        <v>133.24</v>
      </c>
      <c r="I109" s="29">
        <v>0</v>
      </c>
      <c r="J109" s="10" t="s">
        <v>70</v>
      </c>
      <c r="K109" s="10" t="s">
        <v>58</v>
      </c>
      <c r="L109" s="15" t="s">
        <v>67</v>
      </c>
    </row>
    <row r="110" spans="1:12" ht="15" customHeight="1">
      <c r="A110" s="14" t="s">
        <v>324</v>
      </c>
      <c r="B110" s="10" t="s">
        <v>325</v>
      </c>
      <c r="C110" s="20">
        <v>45957</v>
      </c>
      <c r="D110" s="10" t="s">
        <v>211</v>
      </c>
      <c r="E110" s="10" t="s">
        <v>208</v>
      </c>
      <c r="F110" s="10" t="s">
        <v>57</v>
      </c>
      <c r="G110" s="23">
        <v>2</v>
      </c>
      <c r="H110" s="26">
        <v>208.81</v>
      </c>
      <c r="I110" s="29">
        <v>0</v>
      </c>
      <c r="J110" s="10" t="s">
        <v>40</v>
      </c>
      <c r="K110" s="10" t="s">
        <v>51</v>
      </c>
      <c r="L110" s="15" t="s">
        <v>101</v>
      </c>
    </row>
    <row r="111" spans="1:12" ht="15" customHeight="1">
      <c r="A111" s="14" t="s">
        <v>326</v>
      </c>
      <c r="B111" s="10" t="s">
        <v>327</v>
      </c>
      <c r="C111" s="20">
        <v>45712.041666666664</v>
      </c>
      <c r="D111" s="10" t="s">
        <v>328</v>
      </c>
      <c r="E111" s="10" t="s">
        <v>329</v>
      </c>
      <c r="F111" s="10" t="s">
        <v>150</v>
      </c>
      <c r="G111" s="23">
        <v>1</v>
      </c>
      <c r="H111" s="26">
        <v>263.04000000000002</v>
      </c>
      <c r="I111" s="29">
        <v>0.05</v>
      </c>
      <c r="J111" s="10" t="s">
        <v>64</v>
      </c>
      <c r="K111" s="10"/>
      <c r="L111" s="15" t="s">
        <v>101</v>
      </c>
    </row>
    <row r="112" spans="1:12" ht="15" customHeight="1">
      <c r="A112" s="14" t="s">
        <v>330</v>
      </c>
      <c r="B112" s="10" t="s">
        <v>327</v>
      </c>
      <c r="C112" s="20">
        <v>45712.041666666664</v>
      </c>
      <c r="D112" s="10" t="s">
        <v>328</v>
      </c>
      <c r="E112" s="10" t="s">
        <v>329</v>
      </c>
      <c r="F112" s="10" t="s">
        <v>119</v>
      </c>
      <c r="G112" s="23">
        <v>2</v>
      </c>
      <c r="H112" s="26">
        <v>103.3</v>
      </c>
      <c r="I112" s="29">
        <v>0.1</v>
      </c>
      <c r="J112" s="10" t="s">
        <v>70</v>
      </c>
      <c r="K112" s="10" t="s">
        <v>41</v>
      </c>
      <c r="L112" s="15" t="s">
        <v>42</v>
      </c>
    </row>
    <row r="113" spans="1:12" ht="15" customHeight="1">
      <c r="A113" s="14" t="s">
        <v>331</v>
      </c>
      <c r="B113" s="10" t="s">
        <v>327</v>
      </c>
      <c r="C113" s="20">
        <v>45712.041666666664</v>
      </c>
      <c r="D113" s="10" t="s">
        <v>328</v>
      </c>
      <c r="E113" s="10" t="s">
        <v>329</v>
      </c>
      <c r="F113" s="10" t="s">
        <v>332</v>
      </c>
      <c r="G113" s="23">
        <v>1</v>
      </c>
      <c r="H113" s="26">
        <v>273.89</v>
      </c>
      <c r="I113" s="29">
        <v>0</v>
      </c>
      <c r="J113" s="10" t="s">
        <v>50</v>
      </c>
      <c r="K113" s="10"/>
      <c r="L113" s="15" t="s">
        <v>101</v>
      </c>
    </row>
    <row r="114" spans="1:12" ht="15" customHeight="1">
      <c r="A114" s="14" t="s">
        <v>333</v>
      </c>
      <c r="B114" s="10" t="s">
        <v>334</v>
      </c>
      <c r="C114" s="20">
        <v>45806</v>
      </c>
      <c r="D114" s="10" t="s">
        <v>335</v>
      </c>
      <c r="E114" s="10" t="s">
        <v>336</v>
      </c>
      <c r="F114" s="10" t="s">
        <v>332</v>
      </c>
      <c r="G114" s="23">
        <v>3</v>
      </c>
      <c r="H114" s="26">
        <v>273.89</v>
      </c>
      <c r="I114" s="29">
        <v>0.05</v>
      </c>
      <c r="J114" s="10" t="s">
        <v>40</v>
      </c>
      <c r="K114" s="10" t="s">
        <v>46</v>
      </c>
      <c r="L114" s="15" t="s">
        <v>101</v>
      </c>
    </row>
    <row r="115" spans="1:12" ht="15" customHeight="1">
      <c r="A115" s="14" t="s">
        <v>337</v>
      </c>
      <c r="B115" s="10" t="s">
        <v>334</v>
      </c>
      <c r="C115" s="20">
        <v>45806</v>
      </c>
      <c r="D115" s="10" t="s">
        <v>335</v>
      </c>
      <c r="E115" s="10" t="s">
        <v>336</v>
      </c>
      <c r="F115" s="10" t="s">
        <v>80</v>
      </c>
      <c r="G115" s="23">
        <v>1</v>
      </c>
      <c r="H115" s="26">
        <v>142.16</v>
      </c>
      <c r="I115" s="29">
        <v>0.1</v>
      </c>
      <c r="J115" s="10" t="s">
        <v>45</v>
      </c>
      <c r="K115" s="10" t="s">
        <v>98</v>
      </c>
      <c r="L115" s="15" t="s">
        <v>47</v>
      </c>
    </row>
    <row r="116" spans="1:12" ht="15" customHeight="1">
      <c r="A116" s="14" t="s">
        <v>338</v>
      </c>
      <c r="B116" s="10" t="s">
        <v>339</v>
      </c>
      <c r="C116" s="20">
        <v>45715.041666666664</v>
      </c>
      <c r="D116" s="10" t="s">
        <v>340</v>
      </c>
      <c r="E116" s="10" t="s">
        <v>341</v>
      </c>
      <c r="F116" s="10" t="s">
        <v>147</v>
      </c>
      <c r="G116" s="23">
        <v>2</v>
      </c>
      <c r="H116" s="26">
        <v>102.78</v>
      </c>
      <c r="I116" s="29">
        <v>0.1</v>
      </c>
      <c r="J116" s="10" t="s">
        <v>45</v>
      </c>
      <c r="K116" s="10" t="s">
        <v>98</v>
      </c>
      <c r="L116" s="15" t="s">
        <v>101</v>
      </c>
    </row>
    <row r="117" spans="1:12" ht="15" customHeight="1">
      <c r="A117" s="14" t="s">
        <v>342</v>
      </c>
      <c r="B117" s="10" t="s">
        <v>339</v>
      </c>
      <c r="C117" s="20">
        <v>45715.041666666664</v>
      </c>
      <c r="D117" s="10" t="s">
        <v>340</v>
      </c>
      <c r="E117" s="10" t="s">
        <v>341</v>
      </c>
      <c r="F117" s="10" t="s">
        <v>57</v>
      </c>
      <c r="G117" s="23">
        <v>3</v>
      </c>
      <c r="H117" s="26">
        <v>208.81</v>
      </c>
      <c r="I117" s="29">
        <v>0</v>
      </c>
      <c r="J117" s="10" t="s">
        <v>45</v>
      </c>
      <c r="K117" s="10" t="s">
        <v>58</v>
      </c>
      <c r="L117" s="15" t="s">
        <v>47</v>
      </c>
    </row>
    <row r="118" spans="1:12" ht="15" customHeight="1">
      <c r="A118" s="14" t="s">
        <v>343</v>
      </c>
      <c r="B118" s="10" t="s">
        <v>339</v>
      </c>
      <c r="C118" s="20">
        <v>45715.041666666664</v>
      </c>
      <c r="D118" s="10" t="s">
        <v>340</v>
      </c>
      <c r="E118" s="10" t="s">
        <v>341</v>
      </c>
      <c r="F118" s="10" t="s">
        <v>39</v>
      </c>
      <c r="G118" s="23">
        <v>3</v>
      </c>
      <c r="H118" s="26">
        <v>236.51</v>
      </c>
      <c r="I118" s="29">
        <v>0.15</v>
      </c>
      <c r="J118" s="10" t="s">
        <v>40</v>
      </c>
      <c r="K118" s="10" t="s">
        <v>51</v>
      </c>
      <c r="L118" s="15" t="s">
        <v>42</v>
      </c>
    </row>
    <row r="119" spans="1:12" ht="15" customHeight="1">
      <c r="A119" s="14" t="s">
        <v>344</v>
      </c>
      <c r="B119" s="10" t="s">
        <v>339</v>
      </c>
      <c r="C119" s="20">
        <v>45715.041666666664</v>
      </c>
      <c r="D119" s="10" t="s">
        <v>340</v>
      </c>
      <c r="E119" s="10" t="s">
        <v>341</v>
      </c>
      <c r="F119" s="10" t="s">
        <v>150</v>
      </c>
      <c r="G119" s="23">
        <v>3</v>
      </c>
      <c r="H119" s="26">
        <v>263.04000000000002</v>
      </c>
      <c r="I119" s="29">
        <v>0.05</v>
      </c>
      <c r="J119" s="10" t="s">
        <v>64</v>
      </c>
      <c r="K119" s="10" t="s">
        <v>98</v>
      </c>
      <c r="L119" s="15" t="s">
        <v>42</v>
      </c>
    </row>
    <row r="120" spans="1:12" ht="15" customHeight="1">
      <c r="A120" s="14" t="s">
        <v>345</v>
      </c>
      <c r="B120" s="10" t="s">
        <v>346</v>
      </c>
      <c r="C120" s="20">
        <v>45961</v>
      </c>
      <c r="D120" s="10" t="s">
        <v>347</v>
      </c>
      <c r="E120" s="10" t="s">
        <v>348</v>
      </c>
      <c r="F120" s="10" t="s">
        <v>178</v>
      </c>
      <c r="G120" s="23">
        <v>1</v>
      </c>
      <c r="H120" s="26">
        <v>61.81</v>
      </c>
      <c r="I120" s="29">
        <v>0.05</v>
      </c>
      <c r="J120" s="10" t="s">
        <v>40</v>
      </c>
      <c r="K120" s="10"/>
      <c r="L120" s="15" t="s">
        <v>67</v>
      </c>
    </row>
    <row r="121" spans="1:12" ht="15" customHeight="1">
      <c r="A121" s="14" t="s">
        <v>349</v>
      </c>
      <c r="B121" s="10" t="s">
        <v>350</v>
      </c>
      <c r="C121" s="20">
        <v>46000</v>
      </c>
      <c r="D121" s="10" t="s">
        <v>351</v>
      </c>
      <c r="E121" s="10" t="s">
        <v>352</v>
      </c>
      <c r="F121" s="10" t="s">
        <v>49</v>
      </c>
      <c r="G121" s="23">
        <v>2</v>
      </c>
      <c r="H121" s="26">
        <v>300.16000000000003</v>
      </c>
      <c r="I121" s="29">
        <v>0.1</v>
      </c>
      <c r="J121" s="10" t="s">
        <v>40</v>
      </c>
      <c r="K121" s="10"/>
      <c r="L121" s="15" t="s">
        <v>47</v>
      </c>
    </row>
    <row r="122" spans="1:12" ht="15" customHeight="1">
      <c r="A122" s="14" t="s">
        <v>353</v>
      </c>
      <c r="B122" s="10" t="s">
        <v>354</v>
      </c>
      <c r="C122" s="20">
        <v>45720.041666666664</v>
      </c>
      <c r="D122" s="10" t="s">
        <v>193</v>
      </c>
      <c r="E122" s="10" t="s">
        <v>194</v>
      </c>
      <c r="F122" s="10" t="s">
        <v>178</v>
      </c>
      <c r="G122" s="23">
        <v>2</v>
      </c>
      <c r="H122" s="26">
        <v>61.81</v>
      </c>
      <c r="I122" s="29">
        <v>0</v>
      </c>
      <c r="J122" s="10" t="s">
        <v>70</v>
      </c>
      <c r="K122" s="10" t="s">
        <v>98</v>
      </c>
      <c r="L122" s="15" t="s">
        <v>52</v>
      </c>
    </row>
    <row r="123" spans="1:12" ht="15" customHeight="1">
      <c r="A123" s="14" t="s">
        <v>355</v>
      </c>
      <c r="B123" s="10" t="s">
        <v>354</v>
      </c>
      <c r="C123" s="20">
        <v>45720.041666666664</v>
      </c>
      <c r="D123" s="10" t="s">
        <v>193</v>
      </c>
      <c r="E123" s="10" t="s">
        <v>194</v>
      </c>
      <c r="F123" s="10" t="s">
        <v>72</v>
      </c>
      <c r="G123" s="23">
        <v>4</v>
      </c>
      <c r="H123" s="26">
        <v>210.2</v>
      </c>
      <c r="I123" s="29">
        <v>0</v>
      </c>
      <c r="J123" s="10" t="s">
        <v>45</v>
      </c>
      <c r="K123" s="10"/>
      <c r="L123" s="15" t="s">
        <v>52</v>
      </c>
    </row>
    <row r="124" spans="1:12" ht="15" customHeight="1">
      <c r="A124" s="14" t="s">
        <v>356</v>
      </c>
      <c r="B124" s="10" t="s">
        <v>357</v>
      </c>
      <c r="C124" s="20">
        <v>45756</v>
      </c>
      <c r="D124" s="10" t="s">
        <v>358</v>
      </c>
      <c r="E124" s="10" t="s">
        <v>359</v>
      </c>
      <c r="F124" s="10" t="s">
        <v>119</v>
      </c>
      <c r="G124" s="23">
        <v>2</v>
      </c>
      <c r="H124" s="26">
        <v>103.3</v>
      </c>
      <c r="I124" s="29">
        <v>0</v>
      </c>
      <c r="J124" s="10" t="s">
        <v>50</v>
      </c>
      <c r="K124" s="10" t="s">
        <v>41</v>
      </c>
      <c r="L124" s="15" t="s">
        <v>101</v>
      </c>
    </row>
    <row r="125" spans="1:12" ht="15" customHeight="1">
      <c r="A125" s="14" t="s">
        <v>360</v>
      </c>
      <c r="B125" s="10" t="s">
        <v>357</v>
      </c>
      <c r="C125" s="20">
        <v>45756</v>
      </c>
      <c r="D125" s="10" t="s">
        <v>361</v>
      </c>
      <c r="E125" s="10" t="s">
        <v>359</v>
      </c>
      <c r="F125" s="10" t="s">
        <v>241</v>
      </c>
      <c r="G125" s="23">
        <v>3</v>
      </c>
      <c r="H125" s="26">
        <v>300.56</v>
      </c>
      <c r="I125" s="29">
        <v>0</v>
      </c>
      <c r="J125" s="10" t="s">
        <v>64</v>
      </c>
      <c r="K125" s="10" t="s">
        <v>51</v>
      </c>
      <c r="L125" s="15" t="s">
        <v>42</v>
      </c>
    </row>
    <row r="126" spans="1:12" ht="15" customHeight="1">
      <c r="A126" s="14" t="s">
        <v>362</v>
      </c>
      <c r="B126" s="10" t="s">
        <v>357</v>
      </c>
      <c r="C126" s="20">
        <v>45756</v>
      </c>
      <c r="D126" s="10" t="s">
        <v>358</v>
      </c>
      <c r="E126" s="10" t="s">
        <v>359</v>
      </c>
      <c r="F126" s="10" t="s">
        <v>57</v>
      </c>
      <c r="G126" s="23">
        <v>4</v>
      </c>
      <c r="H126" s="26">
        <v>208.81</v>
      </c>
      <c r="I126" s="29">
        <v>0</v>
      </c>
      <c r="J126" s="10" t="s">
        <v>64</v>
      </c>
      <c r="K126" s="10" t="s">
        <v>41</v>
      </c>
      <c r="L126" s="15" t="s">
        <v>101</v>
      </c>
    </row>
    <row r="127" spans="1:12" ht="15" customHeight="1">
      <c r="A127" s="14" t="s">
        <v>363</v>
      </c>
      <c r="B127" s="10" t="s">
        <v>364</v>
      </c>
      <c r="C127" s="20">
        <v>45755</v>
      </c>
      <c r="D127" s="10" t="s">
        <v>365</v>
      </c>
      <c r="E127" s="10" t="s">
        <v>366</v>
      </c>
      <c r="F127" s="10" t="s">
        <v>57</v>
      </c>
      <c r="G127" s="23">
        <v>1</v>
      </c>
      <c r="H127" s="26">
        <v>208.81</v>
      </c>
      <c r="I127" s="29">
        <v>0</v>
      </c>
      <c r="J127" s="10" t="s">
        <v>66</v>
      </c>
      <c r="K127" s="10" t="s">
        <v>51</v>
      </c>
      <c r="L127" s="15" t="s">
        <v>42</v>
      </c>
    </row>
    <row r="128" spans="1:12" ht="15" customHeight="1">
      <c r="A128" s="14" t="s">
        <v>367</v>
      </c>
      <c r="B128" s="10" t="s">
        <v>364</v>
      </c>
      <c r="C128" s="20">
        <v>45755</v>
      </c>
      <c r="D128" s="10" t="s">
        <v>365</v>
      </c>
      <c r="E128" s="10" t="s">
        <v>366</v>
      </c>
      <c r="F128" s="10" t="s">
        <v>270</v>
      </c>
      <c r="G128" s="23">
        <v>2</v>
      </c>
      <c r="H128" s="26">
        <v>214.38</v>
      </c>
      <c r="I128" s="29">
        <v>0.1</v>
      </c>
      <c r="J128" s="10" t="s">
        <v>66</v>
      </c>
      <c r="K128" s="10" t="s">
        <v>98</v>
      </c>
      <c r="L128" s="15" t="s">
        <v>67</v>
      </c>
    </row>
    <row r="129" spans="1:12" ht="15" customHeight="1">
      <c r="A129" s="14" t="s">
        <v>368</v>
      </c>
      <c r="B129" s="10" t="s">
        <v>364</v>
      </c>
      <c r="C129" s="20">
        <v>45755</v>
      </c>
      <c r="D129" s="10" t="s">
        <v>365</v>
      </c>
      <c r="E129" s="10" t="s">
        <v>366</v>
      </c>
      <c r="F129" s="10" t="s">
        <v>270</v>
      </c>
      <c r="G129" s="23">
        <v>2</v>
      </c>
      <c r="H129" s="26">
        <v>214.38</v>
      </c>
      <c r="I129" s="29">
        <v>0.15</v>
      </c>
      <c r="J129" s="10" t="s">
        <v>70</v>
      </c>
      <c r="K129" s="10" t="s">
        <v>41</v>
      </c>
      <c r="L129" s="15" t="s">
        <v>47</v>
      </c>
    </row>
    <row r="130" spans="1:12" ht="15" customHeight="1">
      <c r="A130" s="14" t="s">
        <v>369</v>
      </c>
      <c r="B130" s="10" t="s">
        <v>370</v>
      </c>
      <c r="C130" s="20">
        <v>45944</v>
      </c>
      <c r="D130" s="10" t="s">
        <v>371</v>
      </c>
      <c r="E130" s="10" t="s">
        <v>372</v>
      </c>
      <c r="F130" s="10" t="s">
        <v>180</v>
      </c>
      <c r="G130" s="23">
        <v>4</v>
      </c>
      <c r="H130" s="26">
        <v>91.75</v>
      </c>
      <c r="I130" s="29">
        <v>0</v>
      </c>
      <c r="J130" s="10" t="s">
        <v>70</v>
      </c>
      <c r="K130" s="10" t="s">
        <v>46</v>
      </c>
      <c r="L130" s="15" t="s">
        <v>47</v>
      </c>
    </row>
    <row r="131" spans="1:12" ht="15" customHeight="1">
      <c r="A131" s="14" t="s">
        <v>373</v>
      </c>
      <c r="B131" s="10" t="s">
        <v>370</v>
      </c>
      <c r="C131" s="20">
        <v>45944</v>
      </c>
      <c r="D131" s="10" t="s">
        <v>371</v>
      </c>
      <c r="E131" s="10" t="s">
        <v>372</v>
      </c>
      <c r="F131" s="10" t="s">
        <v>303</v>
      </c>
      <c r="G131" s="23">
        <v>3</v>
      </c>
      <c r="H131" s="26">
        <v>72.81</v>
      </c>
      <c r="I131" s="29">
        <v>0.15</v>
      </c>
      <c r="J131" s="10" t="s">
        <v>64</v>
      </c>
      <c r="K131" s="10" t="s">
        <v>98</v>
      </c>
      <c r="L131" s="15" t="s">
        <v>101</v>
      </c>
    </row>
    <row r="132" spans="1:12" ht="15" customHeight="1">
      <c r="A132" s="14" t="s">
        <v>374</v>
      </c>
      <c r="B132" s="10" t="s">
        <v>370</v>
      </c>
      <c r="C132" s="20">
        <v>45944</v>
      </c>
      <c r="D132" s="10" t="s">
        <v>371</v>
      </c>
      <c r="E132" s="10" t="s">
        <v>372</v>
      </c>
      <c r="F132" s="10" t="s">
        <v>49</v>
      </c>
      <c r="G132" s="23">
        <v>2</v>
      </c>
      <c r="H132" s="26">
        <v>300.16000000000003</v>
      </c>
      <c r="I132" s="29">
        <v>0</v>
      </c>
      <c r="J132" s="10" t="s">
        <v>50</v>
      </c>
      <c r="K132" s="10" t="s">
        <v>41</v>
      </c>
      <c r="L132" s="15" t="s">
        <v>42</v>
      </c>
    </row>
    <row r="133" spans="1:12" ht="15" customHeight="1">
      <c r="A133" s="14" t="s">
        <v>375</v>
      </c>
      <c r="B133" s="10" t="s">
        <v>370</v>
      </c>
      <c r="C133" s="20">
        <v>45944</v>
      </c>
      <c r="D133" s="10" t="s">
        <v>371</v>
      </c>
      <c r="E133" s="10" t="s">
        <v>372</v>
      </c>
      <c r="F133" s="10" t="s">
        <v>44</v>
      </c>
      <c r="G133" s="23">
        <v>4</v>
      </c>
      <c r="H133" s="26">
        <v>238.47</v>
      </c>
      <c r="I133" s="29">
        <v>0</v>
      </c>
      <c r="J133" s="10" t="s">
        <v>45</v>
      </c>
      <c r="K133" s="10" t="s">
        <v>41</v>
      </c>
      <c r="L133" s="15" t="s">
        <v>42</v>
      </c>
    </row>
    <row r="134" spans="1:12" ht="15" customHeight="1">
      <c r="A134" s="14" t="s">
        <v>376</v>
      </c>
      <c r="B134" s="10" t="s">
        <v>377</v>
      </c>
      <c r="C134" s="20">
        <v>45722.041666666664</v>
      </c>
      <c r="D134" s="10" t="s">
        <v>378</v>
      </c>
      <c r="E134" s="10" t="s">
        <v>135</v>
      </c>
      <c r="F134" s="10" t="s">
        <v>276</v>
      </c>
      <c r="G134" s="23">
        <v>4</v>
      </c>
      <c r="H134" s="26">
        <v>182.94</v>
      </c>
      <c r="I134" s="29">
        <v>0.15</v>
      </c>
      <c r="J134" s="10" t="s">
        <v>66</v>
      </c>
      <c r="K134" s="10" t="s">
        <v>51</v>
      </c>
      <c r="L134" s="15" t="s">
        <v>47</v>
      </c>
    </row>
    <row r="135" spans="1:12" ht="15" customHeight="1">
      <c r="A135" s="14" t="s">
        <v>379</v>
      </c>
      <c r="B135" s="10" t="s">
        <v>377</v>
      </c>
      <c r="C135" s="20">
        <v>45722.041666666664</v>
      </c>
      <c r="D135" s="10" t="s">
        <v>378</v>
      </c>
      <c r="E135" s="10" t="s">
        <v>135</v>
      </c>
      <c r="F135" s="10" t="s">
        <v>171</v>
      </c>
      <c r="G135" s="23">
        <v>2</v>
      </c>
      <c r="H135" s="26">
        <v>228.81</v>
      </c>
      <c r="I135" s="29">
        <v>0</v>
      </c>
      <c r="J135" s="10" t="s">
        <v>64</v>
      </c>
      <c r="K135" s="10" t="s">
        <v>46</v>
      </c>
      <c r="L135" s="15" t="s">
        <v>101</v>
      </c>
    </row>
    <row r="136" spans="1:12" ht="15" customHeight="1">
      <c r="A136" s="14" t="s">
        <v>380</v>
      </c>
      <c r="B136" s="10" t="s">
        <v>381</v>
      </c>
      <c r="C136" s="20">
        <v>45996</v>
      </c>
      <c r="D136" s="10" t="s">
        <v>382</v>
      </c>
      <c r="E136" s="10" t="s">
        <v>383</v>
      </c>
      <c r="F136" s="10" t="s">
        <v>88</v>
      </c>
      <c r="G136" s="23">
        <v>3</v>
      </c>
      <c r="H136" s="26">
        <v>147.46</v>
      </c>
      <c r="I136" s="29">
        <v>0</v>
      </c>
      <c r="J136" s="10" t="s">
        <v>40</v>
      </c>
      <c r="K136" s="10" t="s">
        <v>98</v>
      </c>
      <c r="L136" s="15" t="s">
        <v>42</v>
      </c>
    </row>
    <row r="137" spans="1:12" ht="15" customHeight="1">
      <c r="A137" s="14" t="s">
        <v>384</v>
      </c>
      <c r="B137" s="10" t="s">
        <v>381</v>
      </c>
      <c r="C137" s="20">
        <v>45996</v>
      </c>
      <c r="D137" s="10" t="s">
        <v>382</v>
      </c>
      <c r="E137" s="10" t="s">
        <v>383</v>
      </c>
      <c r="F137" s="10" t="s">
        <v>77</v>
      </c>
      <c r="G137" s="23">
        <v>2</v>
      </c>
      <c r="H137" s="26">
        <v>34.909999999999997</v>
      </c>
      <c r="I137" s="29">
        <v>0.15</v>
      </c>
      <c r="J137" s="10" t="s">
        <v>50</v>
      </c>
      <c r="K137" s="10" t="s">
        <v>41</v>
      </c>
      <c r="L137" s="15" t="s">
        <v>47</v>
      </c>
    </row>
    <row r="138" spans="1:12" ht="15" customHeight="1">
      <c r="A138" s="14" t="s">
        <v>385</v>
      </c>
      <c r="B138" s="10" t="s">
        <v>386</v>
      </c>
      <c r="C138" s="20">
        <v>46021</v>
      </c>
      <c r="D138" s="10" t="s">
        <v>294</v>
      </c>
      <c r="E138" s="10" t="s">
        <v>295</v>
      </c>
      <c r="F138" s="10" t="s">
        <v>136</v>
      </c>
      <c r="G138" s="23">
        <v>4</v>
      </c>
      <c r="H138" s="26">
        <v>141.46</v>
      </c>
      <c r="I138" s="29">
        <v>0.15</v>
      </c>
      <c r="J138" s="10" t="s">
        <v>66</v>
      </c>
      <c r="K138" s="10" t="s">
        <v>98</v>
      </c>
      <c r="L138" s="15" t="s">
        <v>47</v>
      </c>
    </row>
    <row r="139" spans="1:12" ht="15" customHeight="1">
      <c r="A139" s="14" t="s">
        <v>387</v>
      </c>
      <c r="B139" s="10" t="s">
        <v>388</v>
      </c>
      <c r="C139" s="20">
        <v>45882</v>
      </c>
      <c r="D139" s="10" t="s">
        <v>389</v>
      </c>
      <c r="E139" s="10" t="s">
        <v>390</v>
      </c>
      <c r="F139" s="10" t="s">
        <v>196</v>
      </c>
      <c r="G139" s="23">
        <v>1</v>
      </c>
      <c r="H139" s="26">
        <v>183.73</v>
      </c>
      <c r="I139" s="29">
        <v>0</v>
      </c>
      <c r="J139" s="10" t="s">
        <v>40</v>
      </c>
      <c r="K139" s="10"/>
      <c r="L139" s="15" t="s">
        <v>47</v>
      </c>
    </row>
    <row r="140" spans="1:12" ht="15" customHeight="1">
      <c r="A140" s="14" t="s">
        <v>391</v>
      </c>
      <c r="B140" s="10" t="s">
        <v>388</v>
      </c>
      <c r="C140" s="20">
        <v>45882</v>
      </c>
      <c r="D140" s="10" t="s">
        <v>389</v>
      </c>
      <c r="E140" s="10" t="s">
        <v>390</v>
      </c>
      <c r="F140" s="10" t="s">
        <v>214</v>
      </c>
      <c r="G140" s="23">
        <v>2</v>
      </c>
      <c r="H140" s="26">
        <v>186.92</v>
      </c>
      <c r="I140" s="29">
        <v>0</v>
      </c>
      <c r="J140" s="10" t="s">
        <v>70</v>
      </c>
      <c r="K140" s="10" t="s">
        <v>51</v>
      </c>
      <c r="L140" s="15" t="s">
        <v>52</v>
      </c>
    </row>
    <row r="141" spans="1:12" ht="15" customHeight="1">
      <c r="A141" s="14" t="s">
        <v>392</v>
      </c>
      <c r="B141" s="10" t="s">
        <v>393</v>
      </c>
      <c r="C141" s="20">
        <v>45698</v>
      </c>
      <c r="D141" s="10" t="s">
        <v>394</v>
      </c>
      <c r="E141" s="10" t="s">
        <v>395</v>
      </c>
      <c r="F141" s="10" t="s">
        <v>93</v>
      </c>
      <c r="G141" s="23">
        <v>3</v>
      </c>
      <c r="H141" s="26">
        <v>208.89</v>
      </c>
      <c r="I141" s="29">
        <v>0</v>
      </c>
      <c r="J141" s="10" t="s">
        <v>70</v>
      </c>
      <c r="K141" s="10" t="s">
        <v>41</v>
      </c>
      <c r="L141" s="15" t="s">
        <v>52</v>
      </c>
    </row>
    <row r="142" spans="1:12" ht="15" customHeight="1">
      <c r="A142" s="14" t="s">
        <v>396</v>
      </c>
      <c r="B142" s="10" t="s">
        <v>397</v>
      </c>
      <c r="C142" s="20">
        <v>45874</v>
      </c>
      <c r="D142" s="10" t="s">
        <v>398</v>
      </c>
      <c r="E142" s="10" t="s">
        <v>399</v>
      </c>
      <c r="F142" s="10" t="s">
        <v>303</v>
      </c>
      <c r="G142" s="23">
        <v>4</v>
      </c>
      <c r="H142" s="26">
        <v>72.81</v>
      </c>
      <c r="I142" s="29">
        <v>0.1</v>
      </c>
      <c r="J142" s="10" t="s">
        <v>64</v>
      </c>
      <c r="K142" s="10" t="s">
        <v>51</v>
      </c>
      <c r="L142" s="15" t="s">
        <v>67</v>
      </c>
    </row>
    <row r="143" spans="1:12" ht="15" customHeight="1">
      <c r="A143" s="14" t="s">
        <v>400</v>
      </c>
      <c r="B143" s="10" t="s">
        <v>397</v>
      </c>
      <c r="C143" s="20">
        <v>45874</v>
      </c>
      <c r="D143" s="10" t="s">
        <v>398</v>
      </c>
      <c r="E143" s="10" t="s">
        <v>399</v>
      </c>
      <c r="F143" s="10" t="s">
        <v>279</v>
      </c>
      <c r="G143" s="23">
        <v>1</v>
      </c>
      <c r="H143" s="26">
        <v>52.79</v>
      </c>
      <c r="I143" s="29">
        <v>0.1</v>
      </c>
      <c r="J143" s="10" t="s">
        <v>64</v>
      </c>
      <c r="K143" s="10" t="s">
        <v>46</v>
      </c>
      <c r="L143" s="15" t="s">
        <v>42</v>
      </c>
    </row>
    <row r="144" spans="1:12" ht="15" customHeight="1">
      <c r="A144" s="14" t="s">
        <v>401</v>
      </c>
      <c r="B144" s="10" t="s">
        <v>397</v>
      </c>
      <c r="C144" s="20">
        <v>45874</v>
      </c>
      <c r="D144" s="10" t="s">
        <v>398</v>
      </c>
      <c r="E144" s="10" t="s">
        <v>399</v>
      </c>
      <c r="F144" s="10" t="s">
        <v>220</v>
      </c>
      <c r="G144" s="23">
        <v>4</v>
      </c>
      <c r="H144" s="26">
        <v>25.01</v>
      </c>
      <c r="I144" s="29">
        <v>0.15</v>
      </c>
      <c r="J144" s="10" t="s">
        <v>64</v>
      </c>
      <c r="K144" s="10" t="s">
        <v>51</v>
      </c>
      <c r="L144" s="15" t="s">
        <v>67</v>
      </c>
    </row>
    <row r="145" spans="1:12" ht="15" customHeight="1">
      <c r="A145" s="14" t="s">
        <v>402</v>
      </c>
      <c r="B145" s="10" t="s">
        <v>397</v>
      </c>
      <c r="C145" s="20">
        <v>45874</v>
      </c>
      <c r="D145" s="10" t="s">
        <v>398</v>
      </c>
      <c r="E145" s="10" t="s">
        <v>399</v>
      </c>
      <c r="F145" s="10" t="s">
        <v>44</v>
      </c>
      <c r="G145" s="23">
        <v>4</v>
      </c>
      <c r="H145" s="26">
        <v>238.47</v>
      </c>
      <c r="I145" s="29">
        <v>0.05</v>
      </c>
      <c r="J145" s="10" t="s">
        <v>66</v>
      </c>
      <c r="K145" s="10" t="s">
        <v>58</v>
      </c>
      <c r="L145" s="15" t="s">
        <v>52</v>
      </c>
    </row>
    <row r="146" spans="1:12" ht="15" customHeight="1">
      <c r="A146" s="14" t="s">
        <v>403</v>
      </c>
      <c r="B146" s="10" t="s">
        <v>404</v>
      </c>
      <c r="C146" s="20">
        <v>45984</v>
      </c>
      <c r="D146" s="10" t="s">
        <v>405</v>
      </c>
      <c r="E146" s="10" t="s">
        <v>359</v>
      </c>
      <c r="F146" s="10" t="s">
        <v>106</v>
      </c>
      <c r="G146" s="23">
        <v>4</v>
      </c>
      <c r="H146" s="26">
        <v>195.38</v>
      </c>
      <c r="I146" s="29">
        <v>0.1</v>
      </c>
      <c r="J146" s="10" t="s">
        <v>45</v>
      </c>
      <c r="K146" s="10" t="s">
        <v>46</v>
      </c>
      <c r="L146" s="15" t="s">
        <v>67</v>
      </c>
    </row>
    <row r="147" spans="1:12" ht="15" customHeight="1">
      <c r="A147" s="14" t="s">
        <v>406</v>
      </c>
      <c r="B147" s="10" t="s">
        <v>404</v>
      </c>
      <c r="C147" s="20">
        <v>45984</v>
      </c>
      <c r="D147" s="10" t="s">
        <v>405</v>
      </c>
      <c r="E147" s="10" t="s">
        <v>359</v>
      </c>
      <c r="F147" s="10" t="s">
        <v>57</v>
      </c>
      <c r="G147" s="23">
        <v>1</v>
      </c>
      <c r="H147" s="26">
        <v>208.81</v>
      </c>
      <c r="I147" s="29">
        <v>0.15</v>
      </c>
      <c r="J147" s="10" t="s">
        <v>70</v>
      </c>
      <c r="K147" s="10" t="s">
        <v>41</v>
      </c>
      <c r="L147" s="15" t="s">
        <v>42</v>
      </c>
    </row>
    <row r="148" spans="1:12" ht="15" customHeight="1">
      <c r="A148" s="14" t="s">
        <v>407</v>
      </c>
      <c r="B148" s="10" t="s">
        <v>404</v>
      </c>
      <c r="C148" s="20">
        <v>45984</v>
      </c>
      <c r="D148" s="10" t="s">
        <v>405</v>
      </c>
      <c r="E148" s="10" t="s">
        <v>359</v>
      </c>
      <c r="F148" s="10" t="s">
        <v>196</v>
      </c>
      <c r="G148" s="23">
        <v>4</v>
      </c>
      <c r="H148" s="26">
        <v>183.73</v>
      </c>
      <c r="I148" s="29">
        <v>0</v>
      </c>
      <c r="J148" s="10" t="s">
        <v>50</v>
      </c>
      <c r="K148" s="10"/>
      <c r="L148" s="15" t="s">
        <v>47</v>
      </c>
    </row>
    <row r="149" spans="1:12" ht="15" customHeight="1">
      <c r="A149" s="14" t="s">
        <v>408</v>
      </c>
      <c r="B149" s="10" t="s">
        <v>409</v>
      </c>
      <c r="C149" s="20">
        <v>45900</v>
      </c>
      <c r="D149" s="10" t="s">
        <v>410</v>
      </c>
      <c r="E149" s="10" t="s">
        <v>411</v>
      </c>
      <c r="F149" s="10" t="s">
        <v>80</v>
      </c>
      <c r="G149" s="23">
        <v>2</v>
      </c>
      <c r="H149" s="26">
        <v>142.16</v>
      </c>
      <c r="I149" s="29">
        <v>0.1</v>
      </c>
      <c r="J149" s="10" t="s">
        <v>50</v>
      </c>
      <c r="K149" s="10" t="s">
        <v>98</v>
      </c>
      <c r="L149" s="15" t="s">
        <v>52</v>
      </c>
    </row>
    <row r="150" spans="1:12" ht="15" customHeight="1">
      <c r="A150" s="14" t="s">
        <v>412</v>
      </c>
      <c r="B150" s="10" t="s">
        <v>413</v>
      </c>
      <c r="C150" s="20">
        <v>45792</v>
      </c>
      <c r="D150" s="10" t="s">
        <v>414</v>
      </c>
      <c r="E150" s="10" t="s">
        <v>415</v>
      </c>
      <c r="F150" s="10" t="s">
        <v>80</v>
      </c>
      <c r="G150" s="23">
        <v>3</v>
      </c>
      <c r="H150" s="26">
        <v>142.16</v>
      </c>
      <c r="I150" s="29">
        <v>0</v>
      </c>
      <c r="J150" s="10" t="s">
        <v>50</v>
      </c>
      <c r="K150" s="10" t="s">
        <v>46</v>
      </c>
      <c r="L150" s="15" t="s">
        <v>52</v>
      </c>
    </row>
    <row r="151" spans="1:12" ht="15" customHeight="1">
      <c r="A151" s="14" t="s">
        <v>416</v>
      </c>
      <c r="B151" s="10" t="s">
        <v>413</v>
      </c>
      <c r="C151" s="20">
        <v>45792</v>
      </c>
      <c r="D151" s="10" t="s">
        <v>414</v>
      </c>
      <c r="E151" s="10" t="s">
        <v>415</v>
      </c>
      <c r="F151" s="10" t="s">
        <v>44</v>
      </c>
      <c r="G151" s="23">
        <v>3</v>
      </c>
      <c r="H151" s="26">
        <v>238.47</v>
      </c>
      <c r="I151" s="29">
        <v>0.05</v>
      </c>
      <c r="J151" s="10" t="s">
        <v>70</v>
      </c>
      <c r="K151" s="10" t="s">
        <v>41</v>
      </c>
      <c r="L151" s="15" t="s">
        <v>47</v>
      </c>
    </row>
    <row r="152" spans="1:12" ht="15" customHeight="1">
      <c r="A152" s="14" t="s">
        <v>417</v>
      </c>
      <c r="B152" s="10" t="s">
        <v>413</v>
      </c>
      <c r="C152" s="20">
        <v>45792</v>
      </c>
      <c r="D152" s="10" t="s">
        <v>414</v>
      </c>
      <c r="E152" s="10" t="s">
        <v>415</v>
      </c>
      <c r="F152" s="10" t="s">
        <v>279</v>
      </c>
      <c r="G152" s="23">
        <v>1</v>
      </c>
      <c r="H152" s="26">
        <v>52.79</v>
      </c>
      <c r="I152" s="29">
        <v>0</v>
      </c>
      <c r="J152" s="10" t="s">
        <v>45</v>
      </c>
      <c r="K152" s="10"/>
      <c r="L152" s="15" t="s">
        <v>47</v>
      </c>
    </row>
    <row r="153" spans="1:12" ht="15" customHeight="1">
      <c r="A153" s="14" t="s">
        <v>418</v>
      </c>
      <c r="B153" s="10" t="s">
        <v>413</v>
      </c>
      <c r="C153" s="20">
        <v>45792</v>
      </c>
      <c r="D153" s="10" t="s">
        <v>414</v>
      </c>
      <c r="E153" s="10" t="s">
        <v>415</v>
      </c>
      <c r="F153" s="10" t="s">
        <v>57</v>
      </c>
      <c r="G153" s="23">
        <v>2</v>
      </c>
      <c r="H153" s="26">
        <v>208.81</v>
      </c>
      <c r="I153" s="29">
        <v>0.15</v>
      </c>
      <c r="J153" s="10" t="s">
        <v>70</v>
      </c>
      <c r="K153" s="10" t="s">
        <v>46</v>
      </c>
      <c r="L153" s="15" t="s">
        <v>42</v>
      </c>
    </row>
    <row r="154" spans="1:12" ht="15" customHeight="1">
      <c r="A154" s="14" t="s">
        <v>419</v>
      </c>
      <c r="B154" s="10" t="s">
        <v>420</v>
      </c>
      <c r="C154" s="20">
        <v>45667</v>
      </c>
      <c r="D154" s="10" t="s">
        <v>421</v>
      </c>
      <c r="E154" s="10" t="s">
        <v>422</v>
      </c>
      <c r="F154" s="10" t="s">
        <v>171</v>
      </c>
      <c r="G154" s="23">
        <v>3</v>
      </c>
      <c r="H154" s="26">
        <v>228.81</v>
      </c>
      <c r="I154" s="29">
        <v>0.05</v>
      </c>
      <c r="J154" s="10" t="s">
        <v>66</v>
      </c>
      <c r="K154" s="10" t="s">
        <v>51</v>
      </c>
      <c r="L154" s="15" t="s">
        <v>101</v>
      </c>
    </row>
    <row r="155" spans="1:12" ht="15" customHeight="1">
      <c r="A155" s="14" t="s">
        <v>423</v>
      </c>
      <c r="B155" s="10" t="s">
        <v>424</v>
      </c>
      <c r="C155" s="20">
        <v>45906</v>
      </c>
      <c r="D155" s="10" t="s">
        <v>425</v>
      </c>
      <c r="E155" s="10" t="s">
        <v>426</v>
      </c>
      <c r="F155" s="10" t="s">
        <v>121</v>
      </c>
      <c r="G155" s="23">
        <v>4</v>
      </c>
      <c r="H155" s="26">
        <v>287.16000000000003</v>
      </c>
      <c r="I155" s="29">
        <v>0</v>
      </c>
      <c r="J155" s="10" t="s">
        <v>50</v>
      </c>
      <c r="K155" s="10" t="s">
        <v>98</v>
      </c>
      <c r="L155" s="15" t="s">
        <v>42</v>
      </c>
    </row>
    <row r="156" spans="1:12" ht="15" customHeight="1">
      <c r="A156" s="14" t="s">
        <v>427</v>
      </c>
      <c r="B156" s="10" t="s">
        <v>424</v>
      </c>
      <c r="C156" s="20">
        <v>45906</v>
      </c>
      <c r="D156" s="10" t="s">
        <v>425</v>
      </c>
      <c r="E156" s="10" t="s">
        <v>426</v>
      </c>
      <c r="F156" s="10" t="s">
        <v>428</v>
      </c>
      <c r="G156" s="23">
        <v>4</v>
      </c>
      <c r="H156" s="26">
        <v>110.88</v>
      </c>
      <c r="I156" s="29">
        <v>0.15</v>
      </c>
      <c r="J156" s="10" t="s">
        <v>50</v>
      </c>
      <c r="K156" s="10" t="s">
        <v>41</v>
      </c>
      <c r="L156" s="15" t="s">
        <v>42</v>
      </c>
    </row>
    <row r="157" spans="1:12" ht="15" customHeight="1">
      <c r="A157" s="14" t="s">
        <v>429</v>
      </c>
      <c r="B157" s="10" t="s">
        <v>424</v>
      </c>
      <c r="C157" s="20">
        <v>45906</v>
      </c>
      <c r="D157" s="10" t="s">
        <v>425</v>
      </c>
      <c r="E157" s="10" t="s">
        <v>426</v>
      </c>
      <c r="F157" s="10" t="s">
        <v>110</v>
      </c>
      <c r="G157" s="23">
        <v>1</v>
      </c>
      <c r="H157" s="26">
        <v>133.24</v>
      </c>
      <c r="I157" s="29">
        <v>0</v>
      </c>
      <c r="J157" s="10" t="s">
        <v>45</v>
      </c>
      <c r="K157" s="10" t="s">
        <v>98</v>
      </c>
      <c r="L157" s="15" t="s">
        <v>67</v>
      </c>
    </row>
    <row r="158" spans="1:12" ht="15" customHeight="1">
      <c r="A158" s="14" t="s">
        <v>430</v>
      </c>
      <c r="B158" s="10" t="s">
        <v>431</v>
      </c>
      <c r="C158" s="20">
        <v>45904</v>
      </c>
      <c r="D158" s="10" t="s">
        <v>432</v>
      </c>
      <c r="E158" s="10" t="s">
        <v>433</v>
      </c>
      <c r="F158" s="10" t="s">
        <v>110</v>
      </c>
      <c r="G158" s="23">
        <v>2</v>
      </c>
      <c r="H158" s="26">
        <v>133.24</v>
      </c>
      <c r="I158" s="29">
        <v>0.05</v>
      </c>
      <c r="J158" s="10" t="s">
        <v>40</v>
      </c>
      <c r="K158" s="10" t="s">
        <v>51</v>
      </c>
      <c r="L158" s="15" t="s">
        <v>47</v>
      </c>
    </row>
    <row r="159" spans="1:12" ht="15" customHeight="1">
      <c r="A159" s="14" t="s">
        <v>434</v>
      </c>
      <c r="B159" s="10" t="s">
        <v>431</v>
      </c>
      <c r="C159" s="20">
        <v>45904</v>
      </c>
      <c r="D159" s="10" t="s">
        <v>432</v>
      </c>
      <c r="E159" s="10" t="s">
        <v>433</v>
      </c>
      <c r="F159" s="10" t="s">
        <v>332</v>
      </c>
      <c r="G159" s="23">
        <v>1</v>
      </c>
      <c r="H159" s="26">
        <v>273.89</v>
      </c>
      <c r="I159" s="29">
        <v>0.1</v>
      </c>
      <c r="J159" s="10" t="s">
        <v>70</v>
      </c>
      <c r="K159" s="10"/>
      <c r="L159" s="15" t="s">
        <v>52</v>
      </c>
    </row>
    <row r="160" spans="1:12" ht="15" customHeight="1">
      <c r="A160" s="14" t="s">
        <v>435</v>
      </c>
      <c r="B160" s="10" t="s">
        <v>436</v>
      </c>
      <c r="C160" s="20">
        <v>45961</v>
      </c>
      <c r="D160" s="10" t="s">
        <v>437</v>
      </c>
      <c r="E160" s="10" t="s">
        <v>438</v>
      </c>
      <c r="F160" s="10" t="s">
        <v>428</v>
      </c>
      <c r="G160" s="23">
        <v>3</v>
      </c>
      <c r="H160" s="26">
        <v>110.88</v>
      </c>
      <c r="I160" s="29">
        <v>0.05</v>
      </c>
      <c r="J160" s="10" t="s">
        <v>40</v>
      </c>
      <c r="K160" s="10" t="s">
        <v>41</v>
      </c>
      <c r="L160" s="15" t="s">
        <v>101</v>
      </c>
    </row>
    <row r="161" spans="1:12" ht="15" customHeight="1">
      <c r="A161" s="14" t="s">
        <v>439</v>
      </c>
      <c r="B161" s="10" t="s">
        <v>436</v>
      </c>
      <c r="C161" s="20">
        <v>45961</v>
      </c>
      <c r="D161" s="10" t="s">
        <v>437</v>
      </c>
      <c r="E161" s="10" t="s">
        <v>438</v>
      </c>
      <c r="F161" s="10" t="s">
        <v>251</v>
      </c>
      <c r="G161" s="23">
        <v>4</v>
      </c>
      <c r="H161" s="26">
        <v>228.91</v>
      </c>
      <c r="I161" s="29">
        <v>0.1</v>
      </c>
      <c r="J161" s="10" t="s">
        <v>50</v>
      </c>
      <c r="K161" s="10"/>
      <c r="L161" s="15" t="s">
        <v>67</v>
      </c>
    </row>
    <row r="162" spans="1:12" ht="15" customHeight="1">
      <c r="A162" s="14" t="s">
        <v>440</v>
      </c>
      <c r="B162" s="10" t="s">
        <v>436</v>
      </c>
      <c r="C162" s="20">
        <v>45961</v>
      </c>
      <c r="D162" s="10" t="s">
        <v>437</v>
      </c>
      <c r="E162" s="10" t="s">
        <v>438</v>
      </c>
      <c r="F162" s="10" t="s">
        <v>251</v>
      </c>
      <c r="G162" s="23">
        <v>2</v>
      </c>
      <c r="H162" s="26">
        <v>228.91</v>
      </c>
      <c r="I162" s="29">
        <v>0.05</v>
      </c>
      <c r="J162" s="10" t="s">
        <v>70</v>
      </c>
      <c r="K162" s="10"/>
      <c r="L162" s="15" t="s">
        <v>42</v>
      </c>
    </row>
    <row r="163" spans="1:12" ht="15" customHeight="1">
      <c r="A163" s="14" t="s">
        <v>441</v>
      </c>
      <c r="B163" s="10" t="s">
        <v>442</v>
      </c>
      <c r="C163" s="20">
        <v>45971</v>
      </c>
      <c r="D163" s="10" t="s">
        <v>443</v>
      </c>
      <c r="E163" s="10" t="s">
        <v>444</v>
      </c>
      <c r="F163" s="10" t="s">
        <v>80</v>
      </c>
      <c r="G163" s="23">
        <v>4</v>
      </c>
      <c r="H163" s="26">
        <v>142.16</v>
      </c>
      <c r="I163" s="29">
        <v>0.1</v>
      </c>
      <c r="J163" s="10" t="s">
        <v>66</v>
      </c>
      <c r="K163" s="10" t="s">
        <v>41</v>
      </c>
      <c r="L163" s="15" t="s">
        <v>47</v>
      </c>
    </row>
    <row r="164" spans="1:12" ht="15" customHeight="1">
      <c r="A164" s="14" t="s">
        <v>445</v>
      </c>
      <c r="B164" s="10" t="s">
        <v>442</v>
      </c>
      <c r="C164" s="20">
        <v>45971</v>
      </c>
      <c r="D164" s="10" t="s">
        <v>443</v>
      </c>
      <c r="E164" s="10" t="s">
        <v>444</v>
      </c>
      <c r="F164" s="10" t="s">
        <v>279</v>
      </c>
      <c r="G164" s="23">
        <v>4</v>
      </c>
      <c r="H164" s="26">
        <v>52.79</v>
      </c>
      <c r="I164" s="29">
        <v>0.05</v>
      </c>
      <c r="J164" s="10" t="s">
        <v>45</v>
      </c>
      <c r="K164" s="10" t="s">
        <v>58</v>
      </c>
      <c r="L164" s="15" t="s">
        <v>67</v>
      </c>
    </row>
    <row r="165" spans="1:12" ht="15" customHeight="1">
      <c r="A165" s="14" t="s">
        <v>446</v>
      </c>
      <c r="B165" s="10" t="s">
        <v>442</v>
      </c>
      <c r="C165" s="20">
        <v>45971</v>
      </c>
      <c r="D165" s="10" t="s">
        <v>443</v>
      </c>
      <c r="E165" s="10" t="s">
        <v>444</v>
      </c>
      <c r="F165" s="10" t="s">
        <v>276</v>
      </c>
      <c r="G165" s="23">
        <v>3</v>
      </c>
      <c r="H165" s="26">
        <v>182.94</v>
      </c>
      <c r="I165" s="29">
        <v>0.1</v>
      </c>
      <c r="J165" s="10" t="s">
        <v>66</v>
      </c>
      <c r="K165" s="10" t="s">
        <v>41</v>
      </c>
      <c r="L165" s="15" t="s">
        <v>101</v>
      </c>
    </row>
    <row r="166" spans="1:12" ht="15" customHeight="1">
      <c r="A166" s="14" t="s">
        <v>447</v>
      </c>
      <c r="B166" s="10" t="s">
        <v>442</v>
      </c>
      <c r="C166" s="20">
        <v>45971</v>
      </c>
      <c r="D166" s="10" t="s">
        <v>443</v>
      </c>
      <c r="E166" s="10" t="s">
        <v>444</v>
      </c>
      <c r="F166" s="10" t="s">
        <v>108</v>
      </c>
      <c r="G166" s="23">
        <v>4</v>
      </c>
      <c r="H166" s="26">
        <v>33.369999999999997</v>
      </c>
      <c r="I166" s="29">
        <v>0.15</v>
      </c>
      <c r="J166" s="10" t="s">
        <v>66</v>
      </c>
      <c r="K166" s="10" t="s">
        <v>46</v>
      </c>
      <c r="L166" s="15" t="s">
        <v>52</v>
      </c>
    </row>
    <row r="167" spans="1:12" ht="15" customHeight="1">
      <c r="A167" s="14" t="s">
        <v>448</v>
      </c>
      <c r="B167" s="10" t="s">
        <v>449</v>
      </c>
      <c r="C167" s="20">
        <v>45674</v>
      </c>
      <c r="D167" s="10" t="s">
        <v>450</v>
      </c>
      <c r="E167" s="10" t="s">
        <v>451</v>
      </c>
      <c r="F167" s="10" t="s">
        <v>80</v>
      </c>
      <c r="G167" s="23">
        <v>4</v>
      </c>
      <c r="H167" s="26">
        <v>142.16</v>
      </c>
      <c r="I167" s="29">
        <v>0</v>
      </c>
      <c r="J167" s="10" t="s">
        <v>70</v>
      </c>
      <c r="K167" s="10"/>
      <c r="L167" s="15" t="s">
        <v>67</v>
      </c>
    </row>
    <row r="168" spans="1:12" ht="15" customHeight="1">
      <c r="A168" s="14" t="s">
        <v>452</v>
      </c>
      <c r="B168" s="10" t="s">
        <v>449</v>
      </c>
      <c r="C168" s="20">
        <v>45674</v>
      </c>
      <c r="D168" s="10" t="s">
        <v>450</v>
      </c>
      <c r="E168" s="10" t="s">
        <v>451</v>
      </c>
      <c r="F168" s="10" t="s">
        <v>117</v>
      </c>
      <c r="G168" s="23">
        <v>4</v>
      </c>
      <c r="H168" s="26">
        <v>251.17</v>
      </c>
      <c r="I168" s="29">
        <v>0</v>
      </c>
      <c r="J168" s="10" t="s">
        <v>45</v>
      </c>
      <c r="K168" s="10" t="s">
        <v>41</v>
      </c>
      <c r="L168" s="15" t="s">
        <v>52</v>
      </c>
    </row>
    <row r="169" spans="1:12" ht="15" customHeight="1">
      <c r="A169" s="14" t="s">
        <v>453</v>
      </c>
      <c r="B169" s="10" t="s">
        <v>454</v>
      </c>
      <c r="C169" s="20">
        <v>45996</v>
      </c>
      <c r="D169" s="10" t="s">
        <v>321</v>
      </c>
      <c r="E169" s="10" t="s">
        <v>322</v>
      </c>
      <c r="F169" s="10" t="s">
        <v>63</v>
      </c>
      <c r="G169" s="23">
        <v>4</v>
      </c>
      <c r="H169" s="26">
        <v>105.38</v>
      </c>
      <c r="I169" s="29">
        <v>0</v>
      </c>
      <c r="J169" s="10" t="s">
        <v>70</v>
      </c>
      <c r="K169" s="10"/>
      <c r="L169" s="15" t="s">
        <v>101</v>
      </c>
    </row>
    <row r="170" spans="1:12" ht="15" customHeight="1">
      <c r="A170" s="14" t="s">
        <v>455</v>
      </c>
      <c r="B170" s="10" t="s">
        <v>454</v>
      </c>
      <c r="C170" s="20">
        <v>45996</v>
      </c>
      <c r="D170" s="10" t="s">
        <v>321</v>
      </c>
      <c r="E170" s="10" t="s">
        <v>322</v>
      </c>
      <c r="F170" s="10" t="s">
        <v>456</v>
      </c>
      <c r="G170" s="23">
        <v>1</v>
      </c>
      <c r="H170" s="26">
        <v>275.76</v>
      </c>
      <c r="I170" s="29">
        <v>0.15</v>
      </c>
      <c r="J170" s="10" t="s">
        <v>64</v>
      </c>
      <c r="K170" s="10" t="s">
        <v>58</v>
      </c>
      <c r="L170" s="15" t="s">
        <v>67</v>
      </c>
    </row>
    <row r="171" spans="1:12" ht="15" customHeight="1">
      <c r="A171" s="14" t="s">
        <v>457</v>
      </c>
      <c r="B171" s="10" t="s">
        <v>454</v>
      </c>
      <c r="C171" s="20">
        <v>45996</v>
      </c>
      <c r="D171" s="10" t="s">
        <v>321</v>
      </c>
      <c r="E171" s="10" t="s">
        <v>322</v>
      </c>
      <c r="F171" s="10" t="s">
        <v>100</v>
      </c>
      <c r="G171" s="23">
        <v>3</v>
      </c>
      <c r="H171" s="26">
        <v>42.72</v>
      </c>
      <c r="I171" s="29">
        <v>0.05</v>
      </c>
      <c r="J171" s="10" t="s">
        <v>64</v>
      </c>
      <c r="K171" s="10" t="s">
        <v>98</v>
      </c>
      <c r="L171" s="15" t="s">
        <v>101</v>
      </c>
    </row>
    <row r="172" spans="1:12" ht="15" customHeight="1">
      <c r="A172" s="14" t="s">
        <v>458</v>
      </c>
      <c r="B172" s="10" t="s">
        <v>454</v>
      </c>
      <c r="C172" s="20">
        <v>45996</v>
      </c>
      <c r="D172" s="10" t="s">
        <v>321</v>
      </c>
      <c r="E172" s="10" t="s">
        <v>322</v>
      </c>
      <c r="F172" s="10" t="s">
        <v>63</v>
      </c>
      <c r="G172" s="23">
        <v>1</v>
      </c>
      <c r="H172" s="26">
        <v>105.38</v>
      </c>
      <c r="I172" s="29">
        <v>0</v>
      </c>
      <c r="J172" s="10" t="s">
        <v>50</v>
      </c>
      <c r="K172" s="10" t="s">
        <v>58</v>
      </c>
      <c r="L172" s="15" t="s">
        <v>101</v>
      </c>
    </row>
    <row r="173" spans="1:12" ht="15" customHeight="1">
      <c r="A173" s="14" t="s">
        <v>459</v>
      </c>
      <c r="B173" s="10" t="s">
        <v>460</v>
      </c>
      <c r="C173" s="20">
        <v>45720.041666666664</v>
      </c>
      <c r="D173" s="10" t="s">
        <v>461</v>
      </c>
      <c r="E173" s="10" t="s">
        <v>462</v>
      </c>
      <c r="F173" s="10" t="s">
        <v>119</v>
      </c>
      <c r="G173" s="23">
        <v>3</v>
      </c>
      <c r="H173" s="26">
        <v>103.3</v>
      </c>
      <c r="I173" s="29">
        <v>0</v>
      </c>
      <c r="J173" s="10" t="s">
        <v>70</v>
      </c>
      <c r="K173" s="10" t="s">
        <v>98</v>
      </c>
      <c r="L173" s="15" t="s">
        <v>47</v>
      </c>
    </row>
    <row r="174" spans="1:12" ht="15" customHeight="1">
      <c r="A174" s="14" t="s">
        <v>463</v>
      </c>
      <c r="B174" s="10" t="s">
        <v>460</v>
      </c>
      <c r="C174" s="20">
        <v>45720.041666666664</v>
      </c>
      <c r="D174" s="10" t="s">
        <v>461</v>
      </c>
      <c r="E174" s="10" t="s">
        <v>462</v>
      </c>
      <c r="F174" s="10" t="s">
        <v>178</v>
      </c>
      <c r="G174" s="23">
        <v>1</v>
      </c>
      <c r="H174" s="26">
        <v>61.81</v>
      </c>
      <c r="I174" s="29">
        <v>0</v>
      </c>
      <c r="J174" s="10" t="s">
        <v>40</v>
      </c>
      <c r="K174" s="10" t="s">
        <v>98</v>
      </c>
      <c r="L174" s="15" t="s">
        <v>67</v>
      </c>
    </row>
    <row r="175" spans="1:12" ht="15" customHeight="1">
      <c r="A175" s="14" t="s">
        <v>464</v>
      </c>
      <c r="B175" s="10" t="s">
        <v>465</v>
      </c>
      <c r="C175" s="20">
        <v>45889</v>
      </c>
      <c r="D175" s="10" t="s">
        <v>290</v>
      </c>
      <c r="E175" s="10" t="s">
        <v>291</v>
      </c>
      <c r="F175" s="10" t="s">
        <v>121</v>
      </c>
      <c r="G175" s="23">
        <v>2</v>
      </c>
      <c r="H175" s="26">
        <v>287.16000000000003</v>
      </c>
      <c r="I175" s="29">
        <v>0.15</v>
      </c>
      <c r="J175" s="10" t="s">
        <v>50</v>
      </c>
      <c r="K175" s="10" t="s">
        <v>58</v>
      </c>
      <c r="L175" s="15" t="s">
        <v>52</v>
      </c>
    </row>
    <row r="176" spans="1:12" ht="15" customHeight="1">
      <c r="A176" s="14" t="s">
        <v>466</v>
      </c>
      <c r="B176" s="10" t="s">
        <v>465</v>
      </c>
      <c r="C176" s="20">
        <v>45889</v>
      </c>
      <c r="D176" s="10" t="s">
        <v>290</v>
      </c>
      <c r="E176" s="10" t="s">
        <v>291</v>
      </c>
      <c r="F176" s="10" t="s">
        <v>309</v>
      </c>
      <c r="G176" s="23">
        <v>4</v>
      </c>
      <c r="H176" s="26">
        <v>56.99</v>
      </c>
      <c r="I176" s="29">
        <v>0.15</v>
      </c>
      <c r="J176" s="10" t="s">
        <v>70</v>
      </c>
      <c r="K176" s="10" t="s">
        <v>58</v>
      </c>
      <c r="L176" s="15" t="s">
        <v>47</v>
      </c>
    </row>
    <row r="177" spans="1:12" ht="15" customHeight="1">
      <c r="A177" s="14" t="s">
        <v>467</v>
      </c>
      <c r="B177" s="10" t="s">
        <v>465</v>
      </c>
      <c r="C177" s="20">
        <v>45889</v>
      </c>
      <c r="D177" s="10" t="s">
        <v>290</v>
      </c>
      <c r="E177" s="10" t="s">
        <v>291</v>
      </c>
      <c r="F177" s="10" t="s">
        <v>468</v>
      </c>
      <c r="G177" s="23">
        <v>2</v>
      </c>
      <c r="H177" s="26">
        <v>160</v>
      </c>
      <c r="I177" s="29">
        <v>0</v>
      </c>
      <c r="J177" s="10" t="s">
        <v>50</v>
      </c>
      <c r="K177" s="10"/>
      <c r="L177" s="15" t="s">
        <v>101</v>
      </c>
    </row>
    <row r="178" spans="1:12" ht="15" customHeight="1">
      <c r="A178" s="14" t="s">
        <v>469</v>
      </c>
      <c r="B178" s="10" t="s">
        <v>465</v>
      </c>
      <c r="C178" s="20">
        <v>45889</v>
      </c>
      <c r="D178" s="10" t="s">
        <v>290</v>
      </c>
      <c r="E178" s="10" t="s">
        <v>291</v>
      </c>
      <c r="F178" s="10" t="s">
        <v>39</v>
      </c>
      <c r="G178" s="23">
        <v>3</v>
      </c>
      <c r="H178" s="26">
        <v>236.51</v>
      </c>
      <c r="I178" s="29">
        <v>0.05</v>
      </c>
      <c r="J178" s="10" t="s">
        <v>66</v>
      </c>
      <c r="K178" s="10" t="s">
        <v>41</v>
      </c>
      <c r="L178" s="15" t="s">
        <v>67</v>
      </c>
    </row>
    <row r="179" spans="1:12" ht="15" customHeight="1">
      <c r="A179" s="14" t="s">
        <v>470</v>
      </c>
      <c r="B179" s="10" t="s">
        <v>471</v>
      </c>
      <c r="C179" s="20">
        <v>45749.041666666664</v>
      </c>
      <c r="D179" s="10" t="s">
        <v>125</v>
      </c>
      <c r="E179" s="10" t="s">
        <v>126</v>
      </c>
      <c r="F179" s="10" t="s">
        <v>57</v>
      </c>
      <c r="G179" s="23">
        <v>2</v>
      </c>
      <c r="H179" s="26">
        <v>208.81</v>
      </c>
      <c r="I179" s="29">
        <v>0.05</v>
      </c>
      <c r="J179" s="10" t="s">
        <v>64</v>
      </c>
      <c r="K179" s="10" t="s">
        <v>58</v>
      </c>
      <c r="L179" s="15" t="s">
        <v>101</v>
      </c>
    </row>
    <row r="180" spans="1:12" ht="15" customHeight="1">
      <c r="A180" s="14" t="s">
        <v>472</v>
      </c>
      <c r="B180" s="10" t="s">
        <v>471</v>
      </c>
      <c r="C180" s="20">
        <v>45749.041666666664</v>
      </c>
      <c r="D180" s="10" t="s">
        <v>125</v>
      </c>
      <c r="E180" s="10" t="s">
        <v>126</v>
      </c>
      <c r="F180" s="10" t="s">
        <v>49</v>
      </c>
      <c r="G180" s="23">
        <v>1</v>
      </c>
      <c r="H180" s="26">
        <v>300.16000000000003</v>
      </c>
      <c r="I180" s="29">
        <v>0.05</v>
      </c>
      <c r="J180" s="10" t="s">
        <v>64</v>
      </c>
      <c r="K180" s="10" t="s">
        <v>51</v>
      </c>
      <c r="L180" s="15" t="s">
        <v>101</v>
      </c>
    </row>
    <row r="181" spans="1:12" ht="15" customHeight="1">
      <c r="A181" s="14" t="s">
        <v>473</v>
      </c>
      <c r="B181" s="10" t="s">
        <v>474</v>
      </c>
      <c r="C181" s="20">
        <v>45953</v>
      </c>
      <c r="D181" s="10" t="s">
        <v>475</v>
      </c>
      <c r="E181" s="10" t="s">
        <v>476</v>
      </c>
      <c r="F181" s="10" t="s">
        <v>238</v>
      </c>
      <c r="G181" s="23">
        <v>1</v>
      </c>
      <c r="H181" s="26">
        <v>82.77</v>
      </c>
      <c r="I181" s="29">
        <v>0.05</v>
      </c>
      <c r="J181" s="10" t="s">
        <v>50</v>
      </c>
      <c r="K181" s="10" t="s">
        <v>51</v>
      </c>
      <c r="L181" s="15" t="s">
        <v>47</v>
      </c>
    </row>
    <row r="182" spans="1:12" ht="15" customHeight="1">
      <c r="A182" s="14" t="s">
        <v>477</v>
      </c>
      <c r="B182" s="10" t="s">
        <v>474</v>
      </c>
      <c r="C182" s="20">
        <v>45953</v>
      </c>
      <c r="D182" s="10" t="s">
        <v>475</v>
      </c>
      <c r="E182" s="10" t="s">
        <v>476</v>
      </c>
      <c r="F182" s="10" t="s">
        <v>276</v>
      </c>
      <c r="G182" s="23">
        <v>1</v>
      </c>
      <c r="H182" s="26">
        <v>182.94</v>
      </c>
      <c r="I182" s="29">
        <v>0</v>
      </c>
      <c r="J182" s="10" t="s">
        <v>45</v>
      </c>
      <c r="K182" s="10"/>
      <c r="L182" s="15" t="s">
        <v>42</v>
      </c>
    </row>
    <row r="183" spans="1:12" ht="15" customHeight="1">
      <c r="A183" s="14" t="s">
        <v>478</v>
      </c>
      <c r="B183" s="10" t="s">
        <v>474</v>
      </c>
      <c r="C183" s="20">
        <v>45953</v>
      </c>
      <c r="D183" s="10" t="s">
        <v>475</v>
      </c>
      <c r="E183" s="10" t="s">
        <v>476</v>
      </c>
      <c r="F183" s="10" t="s">
        <v>456</v>
      </c>
      <c r="G183" s="23">
        <v>1</v>
      </c>
      <c r="H183" s="26">
        <v>275.76</v>
      </c>
      <c r="I183" s="29">
        <v>0.05</v>
      </c>
      <c r="J183" s="10" t="s">
        <v>64</v>
      </c>
      <c r="K183" s="10" t="s">
        <v>51</v>
      </c>
      <c r="L183" s="15" t="s">
        <v>42</v>
      </c>
    </row>
    <row r="184" spans="1:12" ht="15" customHeight="1">
      <c r="A184" s="14" t="s">
        <v>479</v>
      </c>
      <c r="B184" s="10" t="s">
        <v>480</v>
      </c>
      <c r="C184" s="20">
        <v>45742.041666666664</v>
      </c>
      <c r="D184" s="10" t="s">
        <v>335</v>
      </c>
      <c r="E184" s="10" t="s">
        <v>336</v>
      </c>
      <c r="F184" s="10" t="s">
        <v>39</v>
      </c>
      <c r="G184" s="23">
        <v>3</v>
      </c>
      <c r="H184" s="26">
        <v>236.51</v>
      </c>
      <c r="I184" s="29">
        <v>0.1</v>
      </c>
      <c r="J184" s="10" t="s">
        <v>40</v>
      </c>
      <c r="K184" s="10" t="s">
        <v>58</v>
      </c>
      <c r="L184" s="15" t="s">
        <v>67</v>
      </c>
    </row>
    <row r="185" spans="1:12" ht="15" customHeight="1">
      <c r="A185" s="14" t="s">
        <v>481</v>
      </c>
      <c r="B185" s="10" t="s">
        <v>480</v>
      </c>
      <c r="C185" s="20">
        <v>45742.041666666664</v>
      </c>
      <c r="D185" s="10" t="s">
        <v>335</v>
      </c>
      <c r="E185" s="10" t="s">
        <v>336</v>
      </c>
      <c r="F185" s="10" t="s">
        <v>303</v>
      </c>
      <c r="G185" s="23">
        <v>4</v>
      </c>
      <c r="H185" s="26">
        <v>72.81</v>
      </c>
      <c r="I185" s="29">
        <v>0.1</v>
      </c>
      <c r="J185" s="10" t="s">
        <v>50</v>
      </c>
      <c r="K185" s="10" t="s">
        <v>51</v>
      </c>
      <c r="L185" s="15" t="s">
        <v>47</v>
      </c>
    </row>
    <row r="186" spans="1:12" ht="15" customHeight="1">
      <c r="A186" s="14" t="s">
        <v>482</v>
      </c>
      <c r="B186" s="10" t="s">
        <v>480</v>
      </c>
      <c r="C186" s="20">
        <v>45742.041666666664</v>
      </c>
      <c r="D186" s="10" t="s">
        <v>335</v>
      </c>
      <c r="E186" s="10" t="s">
        <v>336</v>
      </c>
      <c r="F186" s="10" t="s">
        <v>178</v>
      </c>
      <c r="G186" s="23">
        <v>2</v>
      </c>
      <c r="H186" s="26">
        <v>61.81</v>
      </c>
      <c r="I186" s="29">
        <v>0.1</v>
      </c>
      <c r="J186" s="10" t="s">
        <v>50</v>
      </c>
      <c r="K186" s="10"/>
      <c r="L186" s="15" t="s">
        <v>42</v>
      </c>
    </row>
    <row r="187" spans="1:12" ht="15" customHeight="1">
      <c r="A187" s="14" t="s">
        <v>483</v>
      </c>
      <c r="B187" s="10" t="s">
        <v>484</v>
      </c>
      <c r="C187" s="20">
        <v>45711</v>
      </c>
      <c r="D187" s="10" t="s">
        <v>485</v>
      </c>
      <c r="E187" s="10" t="s">
        <v>234</v>
      </c>
      <c r="F187" s="10" t="s">
        <v>241</v>
      </c>
      <c r="G187" s="23">
        <v>1</v>
      </c>
      <c r="H187" s="26">
        <v>300.56</v>
      </c>
      <c r="I187" s="29">
        <v>0</v>
      </c>
      <c r="J187" s="10" t="s">
        <v>70</v>
      </c>
      <c r="K187" s="10" t="s">
        <v>51</v>
      </c>
      <c r="L187" s="15" t="s">
        <v>67</v>
      </c>
    </row>
    <row r="188" spans="1:12" ht="15" customHeight="1">
      <c r="A188" s="14" t="s">
        <v>486</v>
      </c>
      <c r="B188" s="10" t="s">
        <v>484</v>
      </c>
      <c r="C188" s="20">
        <v>45711</v>
      </c>
      <c r="D188" s="10" t="s">
        <v>485</v>
      </c>
      <c r="E188" s="10" t="s">
        <v>234</v>
      </c>
      <c r="F188" s="10" t="s">
        <v>63</v>
      </c>
      <c r="G188" s="23">
        <v>4</v>
      </c>
      <c r="H188" s="26">
        <v>105.38</v>
      </c>
      <c r="I188" s="29">
        <v>0.15</v>
      </c>
      <c r="J188" s="10" t="s">
        <v>66</v>
      </c>
      <c r="K188" s="10" t="s">
        <v>41</v>
      </c>
      <c r="L188" s="15" t="s">
        <v>47</v>
      </c>
    </row>
    <row r="189" spans="1:12" ht="15" customHeight="1">
      <c r="A189" s="14" t="s">
        <v>487</v>
      </c>
      <c r="B189" s="10" t="s">
        <v>484</v>
      </c>
      <c r="C189" s="20">
        <v>45711</v>
      </c>
      <c r="D189" s="10" t="s">
        <v>485</v>
      </c>
      <c r="E189" s="10" t="s">
        <v>234</v>
      </c>
      <c r="F189" s="10" t="s">
        <v>196</v>
      </c>
      <c r="G189" s="23">
        <v>4</v>
      </c>
      <c r="H189" s="26">
        <v>183.73</v>
      </c>
      <c r="I189" s="29">
        <v>0</v>
      </c>
      <c r="J189" s="10" t="s">
        <v>40</v>
      </c>
      <c r="K189" s="10" t="s">
        <v>98</v>
      </c>
      <c r="L189" s="15" t="s">
        <v>47</v>
      </c>
    </row>
    <row r="190" spans="1:12" ht="15" customHeight="1">
      <c r="A190" s="14" t="s">
        <v>488</v>
      </c>
      <c r="B190" s="10" t="s">
        <v>489</v>
      </c>
      <c r="C190" s="20">
        <v>45851</v>
      </c>
      <c r="D190" s="10" t="s">
        <v>490</v>
      </c>
      <c r="E190" s="10" t="s">
        <v>491</v>
      </c>
      <c r="F190" s="10" t="s">
        <v>57</v>
      </c>
      <c r="G190" s="23">
        <v>4</v>
      </c>
      <c r="H190" s="26">
        <v>208.81</v>
      </c>
      <c r="I190" s="29">
        <v>0.15</v>
      </c>
      <c r="J190" s="10" t="s">
        <v>45</v>
      </c>
      <c r="K190" s="10" t="s">
        <v>58</v>
      </c>
      <c r="L190" s="15" t="s">
        <v>42</v>
      </c>
    </row>
    <row r="191" spans="1:12" ht="15" customHeight="1">
      <c r="A191" s="14" t="s">
        <v>492</v>
      </c>
      <c r="B191" s="10" t="s">
        <v>493</v>
      </c>
      <c r="C191" s="20">
        <v>45703</v>
      </c>
      <c r="D191" s="10" t="s">
        <v>268</v>
      </c>
      <c r="E191" s="10" t="s">
        <v>269</v>
      </c>
      <c r="F191" s="10" t="s">
        <v>204</v>
      </c>
      <c r="G191" s="23">
        <v>2</v>
      </c>
      <c r="H191" s="26">
        <v>244.25</v>
      </c>
      <c r="I191" s="29">
        <v>0</v>
      </c>
      <c r="J191" s="10" t="s">
        <v>50</v>
      </c>
      <c r="K191" s="10" t="s">
        <v>41</v>
      </c>
      <c r="L191" s="15" t="s">
        <v>42</v>
      </c>
    </row>
    <row r="192" spans="1:12" ht="15" customHeight="1">
      <c r="A192" s="14" t="s">
        <v>494</v>
      </c>
      <c r="B192" s="10" t="s">
        <v>493</v>
      </c>
      <c r="C192" s="20">
        <v>45703</v>
      </c>
      <c r="D192" s="10" t="s">
        <v>268</v>
      </c>
      <c r="E192" s="10" t="s">
        <v>269</v>
      </c>
      <c r="F192" s="10" t="s">
        <v>495</v>
      </c>
      <c r="G192" s="23">
        <v>3</v>
      </c>
      <c r="H192" s="26">
        <v>207.71</v>
      </c>
      <c r="I192" s="29">
        <v>0.15</v>
      </c>
      <c r="J192" s="10" t="s">
        <v>40</v>
      </c>
      <c r="K192" s="10" t="s">
        <v>58</v>
      </c>
      <c r="L192" s="15" t="s">
        <v>42</v>
      </c>
    </row>
    <row r="193" spans="1:12" ht="15" customHeight="1">
      <c r="A193" s="14" t="s">
        <v>496</v>
      </c>
      <c r="B193" s="10" t="s">
        <v>493</v>
      </c>
      <c r="C193" s="20">
        <v>45703</v>
      </c>
      <c r="D193" s="10" t="s">
        <v>268</v>
      </c>
      <c r="E193" s="10" t="s">
        <v>269</v>
      </c>
      <c r="F193" s="10" t="s">
        <v>468</v>
      </c>
      <c r="G193" s="23">
        <v>1</v>
      </c>
      <c r="H193" s="26">
        <v>160</v>
      </c>
      <c r="I193" s="29">
        <v>0</v>
      </c>
      <c r="J193" s="10" t="s">
        <v>70</v>
      </c>
      <c r="K193" s="10" t="s">
        <v>51</v>
      </c>
      <c r="L193" s="15" t="s">
        <v>67</v>
      </c>
    </row>
    <row r="194" spans="1:12" ht="15" customHeight="1">
      <c r="A194" s="14" t="s">
        <v>497</v>
      </c>
      <c r="B194" s="10" t="s">
        <v>498</v>
      </c>
      <c r="C194" s="20">
        <v>45823</v>
      </c>
      <c r="D194" s="10" t="s">
        <v>499</v>
      </c>
      <c r="E194" s="10" t="s">
        <v>500</v>
      </c>
      <c r="F194" s="10" t="s">
        <v>57</v>
      </c>
      <c r="G194" s="23">
        <v>4</v>
      </c>
      <c r="H194" s="26">
        <v>208.81</v>
      </c>
      <c r="I194" s="29">
        <v>0.05</v>
      </c>
      <c r="J194" s="10" t="s">
        <v>66</v>
      </c>
      <c r="K194" s="10" t="s">
        <v>51</v>
      </c>
      <c r="L194" s="15" t="s">
        <v>101</v>
      </c>
    </row>
    <row r="195" spans="1:12" ht="15" customHeight="1">
      <c r="A195" s="14" t="s">
        <v>501</v>
      </c>
      <c r="B195" s="10" t="s">
        <v>502</v>
      </c>
      <c r="C195" s="20">
        <v>45864</v>
      </c>
      <c r="D195" s="10" t="s">
        <v>503</v>
      </c>
      <c r="E195" s="10" t="s">
        <v>504</v>
      </c>
      <c r="F195" s="10" t="s">
        <v>196</v>
      </c>
      <c r="G195" s="23">
        <v>2</v>
      </c>
      <c r="H195" s="26">
        <v>183.73</v>
      </c>
      <c r="I195" s="29">
        <v>0.15</v>
      </c>
      <c r="J195" s="10" t="s">
        <v>45</v>
      </c>
      <c r="K195" s="10" t="s">
        <v>58</v>
      </c>
      <c r="L195" s="15" t="s">
        <v>42</v>
      </c>
    </row>
    <row r="196" spans="1:12" ht="15" customHeight="1">
      <c r="A196" s="14" t="s">
        <v>505</v>
      </c>
      <c r="B196" s="10" t="s">
        <v>506</v>
      </c>
      <c r="C196" s="20">
        <v>45708</v>
      </c>
      <c r="D196" s="10" t="s">
        <v>507</v>
      </c>
      <c r="E196" s="10" t="s">
        <v>508</v>
      </c>
      <c r="F196" s="10" t="s">
        <v>180</v>
      </c>
      <c r="G196" s="23">
        <v>2</v>
      </c>
      <c r="H196" s="26">
        <v>91.75</v>
      </c>
      <c r="I196" s="29">
        <v>0</v>
      </c>
      <c r="J196" s="10" t="s">
        <v>50</v>
      </c>
      <c r="K196" s="10" t="s">
        <v>51</v>
      </c>
      <c r="L196" s="15" t="s">
        <v>42</v>
      </c>
    </row>
    <row r="197" spans="1:12" ht="15" customHeight="1">
      <c r="A197" s="14" t="s">
        <v>509</v>
      </c>
      <c r="B197" s="10" t="s">
        <v>506</v>
      </c>
      <c r="C197" s="20">
        <v>45708</v>
      </c>
      <c r="D197" s="10" t="s">
        <v>507</v>
      </c>
      <c r="E197" s="10" t="s">
        <v>508</v>
      </c>
      <c r="F197" s="10" t="s">
        <v>117</v>
      </c>
      <c r="G197" s="23">
        <v>4</v>
      </c>
      <c r="H197" s="26">
        <v>251.17</v>
      </c>
      <c r="I197" s="29">
        <v>0</v>
      </c>
      <c r="J197" s="10" t="s">
        <v>50</v>
      </c>
      <c r="K197" s="10" t="s">
        <v>58</v>
      </c>
      <c r="L197" s="15" t="s">
        <v>52</v>
      </c>
    </row>
    <row r="198" spans="1:12" ht="15" customHeight="1">
      <c r="A198" s="14" t="s">
        <v>510</v>
      </c>
      <c r="B198" s="10" t="s">
        <v>511</v>
      </c>
      <c r="C198" s="20">
        <v>45823</v>
      </c>
      <c r="D198" s="10" t="s">
        <v>512</v>
      </c>
      <c r="E198" s="10" t="s">
        <v>513</v>
      </c>
      <c r="F198" s="10" t="s">
        <v>49</v>
      </c>
      <c r="G198" s="23">
        <v>1</v>
      </c>
      <c r="H198" s="26">
        <v>300.16000000000003</v>
      </c>
      <c r="I198" s="29">
        <v>0</v>
      </c>
      <c r="J198" s="10" t="s">
        <v>70</v>
      </c>
      <c r="K198" s="10" t="s">
        <v>58</v>
      </c>
      <c r="L198" s="15" t="s">
        <v>52</v>
      </c>
    </row>
    <row r="199" spans="1:12" ht="15" customHeight="1">
      <c r="A199" s="14" t="s">
        <v>514</v>
      </c>
      <c r="B199" s="10" t="s">
        <v>511</v>
      </c>
      <c r="C199" s="20">
        <v>45823</v>
      </c>
      <c r="D199" s="10" t="s">
        <v>512</v>
      </c>
      <c r="E199" s="10" t="s">
        <v>513</v>
      </c>
      <c r="F199" s="10" t="s">
        <v>128</v>
      </c>
      <c r="G199" s="23">
        <v>4</v>
      </c>
      <c r="H199" s="26">
        <v>25.15</v>
      </c>
      <c r="I199" s="29">
        <v>0.15</v>
      </c>
      <c r="J199" s="10" t="s">
        <v>50</v>
      </c>
      <c r="K199" s="10" t="s">
        <v>58</v>
      </c>
      <c r="L199" s="15" t="s">
        <v>42</v>
      </c>
    </row>
    <row r="200" spans="1:12" ht="15" customHeight="1">
      <c r="A200" s="14" t="s">
        <v>515</v>
      </c>
      <c r="B200" s="10" t="s">
        <v>516</v>
      </c>
      <c r="C200" s="20">
        <v>45664</v>
      </c>
      <c r="D200" s="10" t="s">
        <v>517</v>
      </c>
      <c r="E200" s="10" t="s">
        <v>518</v>
      </c>
      <c r="F200" s="10" t="s">
        <v>93</v>
      </c>
      <c r="G200" s="23">
        <v>3</v>
      </c>
      <c r="H200" s="26">
        <v>208.89</v>
      </c>
      <c r="I200" s="29">
        <v>0</v>
      </c>
      <c r="J200" s="10" t="s">
        <v>66</v>
      </c>
      <c r="K200" s="10" t="s">
        <v>51</v>
      </c>
      <c r="L200" s="15" t="s">
        <v>67</v>
      </c>
    </row>
    <row r="201" spans="1:12" ht="15" customHeight="1">
      <c r="A201" s="14" t="s">
        <v>519</v>
      </c>
      <c r="B201" s="10" t="s">
        <v>520</v>
      </c>
      <c r="C201" s="20">
        <v>45783</v>
      </c>
      <c r="D201" s="10" t="s">
        <v>475</v>
      </c>
      <c r="E201" s="10" t="s">
        <v>476</v>
      </c>
      <c r="F201" s="10" t="s">
        <v>521</v>
      </c>
      <c r="G201" s="23">
        <v>1</v>
      </c>
      <c r="H201" s="26">
        <v>37.82</v>
      </c>
      <c r="I201" s="29">
        <v>0</v>
      </c>
      <c r="J201" s="10" t="s">
        <v>70</v>
      </c>
      <c r="K201" s="10" t="s">
        <v>46</v>
      </c>
      <c r="L201" s="15" t="s">
        <v>52</v>
      </c>
    </row>
    <row r="202" spans="1:12" ht="15" customHeight="1">
      <c r="A202" s="14" t="s">
        <v>522</v>
      </c>
      <c r="B202" s="10" t="s">
        <v>520</v>
      </c>
      <c r="C202" s="20">
        <v>45783</v>
      </c>
      <c r="D202" s="10" t="s">
        <v>475</v>
      </c>
      <c r="E202" s="10" t="s">
        <v>476</v>
      </c>
      <c r="F202" s="10" t="s">
        <v>171</v>
      </c>
      <c r="G202" s="23">
        <v>2</v>
      </c>
      <c r="H202" s="26">
        <v>228.81</v>
      </c>
      <c r="I202" s="29">
        <v>0</v>
      </c>
      <c r="J202" s="10" t="s">
        <v>50</v>
      </c>
      <c r="K202" s="10"/>
      <c r="L202" s="15" t="s">
        <v>67</v>
      </c>
    </row>
    <row r="203" spans="1:12" ht="15" customHeight="1">
      <c r="A203" s="14" t="s">
        <v>523</v>
      </c>
      <c r="B203" s="10" t="s">
        <v>524</v>
      </c>
      <c r="C203" s="20">
        <v>45912</v>
      </c>
      <c r="D203" s="10" t="s">
        <v>525</v>
      </c>
      <c r="E203" s="10" t="s">
        <v>526</v>
      </c>
      <c r="F203" s="10" t="s">
        <v>69</v>
      </c>
      <c r="G203" s="23">
        <v>2</v>
      </c>
      <c r="H203" s="26">
        <v>75.75</v>
      </c>
      <c r="I203" s="29">
        <v>0.15</v>
      </c>
      <c r="J203" s="10" t="s">
        <v>70</v>
      </c>
      <c r="K203" s="10" t="s">
        <v>58</v>
      </c>
      <c r="L203" s="15" t="s">
        <v>67</v>
      </c>
    </row>
    <row r="204" spans="1:12" ht="15" customHeight="1">
      <c r="A204" s="14" t="s">
        <v>527</v>
      </c>
      <c r="B204" s="10" t="s">
        <v>524</v>
      </c>
      <c r="C204" s="20">
        <v>45912</v>
      </c>
      <c r="D204" s="10" t="s">
        <v>525</v>
      </c>
      <c r="E204" s="10" t="s">
        <v>526</v>
      </c>
      <c r="F204" s="10" t="s">
        <v>238</v>
      </c>
      <c r="G204" s="23">
        <v>2</v>
      </c>
      <c r="H204" s="26">
        <v>82.77</v>
      </c>
      <c r="I204" s="29">
        <v>0</v>
      </c>
      <c r="J204" s="10" t="s">
        <v>45</v>
      </c>
      <c r="K204" s="10" t="s">
        <v>58</v>
      </c>
      <c r="L204" s="15" t="s">
        <v>42</v>
      </c>
    </row>
    <row r="205" spans="1:12" ht="15" customHeight="1">
      <c r="A205" s="14" t="s">
        <v>528</v>
      </c>
      <c r="B205" s="10" t="s">
        <v>529</v>
      </c>
      <c r="C205" s="20">
        <v>45752.041666666664</v>
      </c>
      <c r="D205" s="10" t="s">
        <v>530</v>
      </c>
      <c r="E205" s="10" t="s">
        <v>531</v>
      </c>
      <c r="F205" s="10" t="s">
        <v>39</v>
      </c>
      <c r="G205" s="23">
        <v>1</v>
      </c>
      <c r="H205" s="26">
        <v>236.51</v>
      </c>
      <c r="I205" s="29">
        <v>0</v>
      </c>
      <c r="J205" s="10" t="s">
        <v>45</v>
      </c>
      <c r="K205" s="10" t="s">
        <v>46</v>
      </c>
      <c r="L205" s="15" t="s">
        <v>47</v>
      </c>
    </row>
    <row r="206" spans="1:12" ht="15" customHeight="1">
      <c r="A206" s="14" t="s">
        <v>532</v>
      </c>
      <c r="B206" s="10" t="s">
        <v>529</v>
      </c>
      <c r="C206" s="20">
        <v>45752.041666666664</v>
      </c>
      <c r="D206" s="10" t="s">
        <v>530</v>
      </c>
      <c r="E206" s="10" t="s">
        <v>531</v>
      </c>
      <c r="F206" s="10" t="s">
        <v>57</v>
      </c>
      <c r="G206" s="23">
        <v>1</v>
      </c>
      <c r="H206" s="26">
        <v>208.81</v>
      </c>
      <c r="I206" s="29">
        <v>0.1</v>
      </c>
      <c r="J206" s="10" t="s">
        <v>64</v>
      </c>
      <c r="K206" s="10" t="s">
        <v>58</v>
      </c>
      <c r="L206" s="15" t="s">
        <v>47</v>
      </c>
    </row>
    <row r="207" spans="1:12" ht="15" customHeight="1">
      <c r="A207" s="14" t="s">
        <v>533</v>
      </c>
      <c r="B207" s="10" t="s">
        <v>529</v>
      </c>
      <c r="C207" s="20">
        <v>45752.041666666664</v>
      </c>
      <c r="D207" s="10" t="s">
        <v>530</v>
      </c>
      <c r="E207" s="10" t="s">
        <v>531</v>
      </c>
      <c r="F207" s="10" t="s">
        <v>108</v>
      </c>
      <c r="G207" s="23">
        <v>1</v>
      </c>
      <c r="H207" s="26">
        <v>33.369999999999997</v>
      </c>
      <c r="I207" s="29">
        <v>0.15</v>
      </c>
      <c r="J207" s="10" t="s">
        <v>64</v>
      </c>
      <c r="K207" s="10" t="s">
        <v>46</v>
      </c>
      <c r="L207" s="15" t="s">
        <v>67</v>
      </c>
    </row>
    <row r="208" spans="1:12" ht="15" customHeight="1">
      <c r="A208" s="14" t="s">
        <v>534</v>
      </c>
      <c r="B208" s="10" t="s">
        <v>535</v>
      </c>
      <c r="C208" s="20">
        <v>45803</v>
      </c>
      <c r="D208" s="10" t="s">
        <v>536</v>
      </c>
      <c r="E208" s="10" t="s">
        <v>537</v>
      </c>
      <c r="F208" s="10" t="s">
        <v>251</v>
      </c>
      <c r="G208" s="23">
        <v>1</v>
      </c>
      <c r="H208" s="26">
        <v>228.91</v>
      </c>
      <c r="I208" s="29">
        <v>0.15</v>
      </c>
      <c r="J208" s="10" t="s">
        <v>70</v>
      </c>
      <c r="K208" s="10" t="s">
        <v>51</v>
      </c>
      <c r="L208" s="15" t="s">
        <v>42</v>
      </c>
    </row>
    <row r="209" spans="1:12" ht="15" customHeight="1">
      <c r="A209" s="14" t="s">
        <v>538</v>
      </c>
      <c r="B209" s="10" t="s">
        <v>539</v>
      </c>
      <c r="C209" s="20">
        <v>45967</v>
      </c>
      <c r="D209" s="10" t="s">
        <v>540</v>
      </c>
      <c r="E209" s="10" t="s">
        <v>541</v>
      </c>
      <c r="F209" s="10" t="s">
        <v>241</v>
      </c>
      <c r="G209" s="23">
        <v>3</v>
      </c>
      <c r="H209" s="26">
        <v>300.56</v>
      </c>
      <c r="I209" s="29">
        <v>0.15</v>
      </c>
      <c r="J209" s="10" t="s">
        <v>45</v>
      </c>
      <c r="K209" s="10" t="s">
        <v>41</v>
      </c>
      <c r="L209" s="15" t="s">
        <v>67</v>
      </c>
    </row>
    <row r="210" spans="1:12" ht="15" customHeight="1">
      <c r="A210" s="14" t="s">
        <v>542</v>
      </c>
      <c r="B210" s="10" t="s">
        <v>539</v>
      </c>
      <c r="C210" s="20">
        <v>45967</v>
      </c>
      <c r="D210" s="10" t="s">
        <v>540</v>
      </c>
      <c r="E210" s="10" t="s">
        <v>541</v>
      </c>
      <c r="F210" s="10" t="s">
        <v>57</v>
      </c>
      <c r="G210" s="23">
        <v>2</v>
      </c>
      <c r="H210" s="26">
        <v>208.81</v>
      </c>
      <c r="I210" s="29">
        <v>0</v>
      </c>
      <c r="J210" s="10" t="s">
        <v>64</v>
      </c>
      <c r="K210" s="10"/>
      <c r="L210" s="15" t="s">
        <v>47</v>
      </c>
    </row>
    <row r="211" spans="1:12" ht="15" customHeight="1">
      <c r="A211" s="14" t="s">
        <v>543</v>
      </c>
      <c r="B211" s="10" t="s">
        <v>539</v>
      </c>
      <c r="C211" s="20">
        <v>45967</v>
      </c>
      <c r="D211" s="10" t="s">
        <v>540</v>
      </c>
      <c r="E211" s="10" t="s">
        <v>541</v>
      </c>
      <c r="F211" s="10" t="s">
        <v>495</v>
      </c>
      <c r="G211" s="23">
        <v>3</v>
      </c>
      <c r="H211" s="26">
        <v>207.71</v>
      </c>
      <c r="I211" s="29">
        <v>0.05</v>
      </c>
      <c r="J211" s="10" t="s">
        <v>45</v>
      </c>
      <c r="K211" s="10" t="s">
        <v>46</v>
      </c>
      <c r="L211" s="15" t="s">
        <v>47</v>
      </c>
    </row>
    <row r="212" spans="1:12" ht="15" customHeight="1">
      <c r="A212" s="14" t="s">
        <v>544</v>
      </c>
      <c r="B212" s="10" t="s">
        <v>539</v>
      </c>
      <c r="C212" s="20">
        <v>45967</v>
      </c>
      <c r="D212" s="10" t="s">
        <v>545</v>
      </c>
      <c r="E212" s="10" t="s">
        <v>541</v>
      </c>
      <c r="F212" s="10" t="s">
        <v>112</v>
      </c>
      <c r="G212" s="23">
        <v>3</v>
      </c>
      <c r="H212" s="26">
        <v>88.61</v>
      </c>
      <c r="I212" s="29">
        <v>0</v>
      </c>
      <c r="J212" s="10" t="s">
        <v>45</v>
      </c>
      <c r="K212" s="10" t="s">
        <v>41</v>
      </c>
      <c r="L212" s="15" t="s">
        <v>52</v>
      </c>
    </row>
    <row r="213" spans="1:12" ht="15" customHeight="1">
      <c r="A213" s="14" t="s">
        <v>546</v>
      </c>
      <c r="B213" s="10" t="s">
        <v>547</v>
      </c>
      <c r="C213" s="20">
        <v>45753.041666666664</v>
      </c>
      <c r="D213" s="10" t="s">
        <v>548</v>
      </c>
      <c r="E213" s="10" t="s">
        <v>549</v>
      </c>
      <c r="F213" s="10" t="s">
        <v>100</v>
      </c>
      <c r="G213" s="23">
        <v>3</v>
      </c>
      <c r="H213" s="26">
        <v>42.72</v>
      </c>
      <c r="I213" s="29">
        <v>0.1</v>
      </c>
      <c r="J213" s="10" t="s">
        <v>40</v>
      </c>
      <c r="K213" s="10" t="s">
        <v>46</v>
      </c>
      <c r="L213" s="15" t="s">
        <v>67</v>
      </c>
    </row>
    <row r="214" spans="1:12" ht="15" customHeight="1">
      <c r="A214" s="14" t="s">
        <v>550</v>
      </c>
      <c r="B214" s="10" t="s">
        <v>547</v>
      </c>
      <c r="C214" s="20">
        <v>45753.041666666664</v>
      </c>
      <c r="D214" s="10" t="s">
        <v>548</v>
      </c>
      <c r="E214" s="10" t="s">
        <v>549</v>
      </c>
      <c r="F214" s="10" t="s">
        <v>128</v>
      </c>
      <c r="G214" s="23">
        <v>1</v>
      </c>
      <c r="H214" s="26">
        <v>25.15</v>
      </c>
      <c r="I214" s="29">
        <v>0</v>
      </c>
      <c r="J214" s="10" t="s">
        <v>66</v>
      </c>
      <c r="K214" s="10" t="s">
        <v>51</v>
      </c>
      <c r="L214" s="15" t="s">
        <v>67</v>
      </c>
    </row>
    <row r="215" spans="1:12" ht="15" customHeight="1">
      <c r="A215" s="14" t="s">
        <v>551</v>
      </c>
      <c r="B215" s="10" t="s">
        <v>552</v>
      </c>
      <c r="C215" s="20">
        <v>45672</v>
      </c>
      <c r="D215" s="10" t="s">
        <v>168</v>
      </c>
      <c r="E215" s="10" t="s">
        <v>169</v>
      </c>
      <c r="F215" s="10" t="s">
        <v>110</v>
      </c>
      <c r="G215" s="23">
        <v>2</v>
      </c>
      <c r="H215" s="26">
        <v>133.24</v>
      </c>
      <c r="I215" s="29">
        <v>0.1</v>
      </c>
      <c r="J215" s="10" t="s">
        <v>70</v>
      </c>
      <c r="K215" s="10" t="s">
        <v>51</v>
      </c>
      <c r="L215" s="15" t="s">
        <v>52</v>
      </c>
    </row>
    <row r="216" spans="1:12" ht="15" customHeight="1">
      <c r="A216" s="14" t="s">
        <v>553</v>
      </c>
      <c r="B216" s="10" t="s">
        <v>552</v>
      </c>
      <c r="C216" s="20">
        <v>45672</v>
      </c>
      <c r="D216" s="10" t="s">
        <v>168</v>
      </c>
      <c r="E216" s="10" t="s">
        <v>169</v>
      </c>
      <c r="F216" s="10" t="s">
        <v>117</v>
      </c>
      <c r="G216" s="23">
        <v>3</v>
      </c>
      <c r="H216" s="26">
        <v>251.17</v>
      </c>
      <c r="I216" s="29">
        <v>0.15</v>
      </c>
      <c r="J216" s="10" t="s">
        <v>70</v>
      </c>
      <c r="K216" s="10" t="s">
        <v>41</v>
      </c>
      <c r="L216" s="15" t="s">
        <v>67</v>
      </c>
    </row>
    <row r="217" spans="1:12" ht="15" customHeight="1">
      <c r="A217" s="14" t="s">
        <v>554</v>
      </c>
      <c r="B217" s="10" t="s">
        <v>552</v>
      </c>
      <c r="C217" s="20">
        <v>45672</v>
      </c>
      <c r="D217" s="10" t="s">
        <v>168</v>
      </c>
      <c r="E217" s="10" t="s">
        <v>169</v>
      </c>
      <c r="F217" s="10" t="s">
        <v>112</v>
      </c>
      <c r="G217" s="23">
        <v>3</v>
      </c>
      <c r="H217" s="26">
        <v>88.61</v>
      </c>
      <c r="I217" s="29">
        <v>0</v>
      </c>
      <c r="J217" s="10" t="s">
        <v>64</v>
      </c>
      <c r="K217" s="10" t="s">
        <v>41</v>
      </c>
      <c r="L217" s="15" t="s">
        <v>42</v>
      </c>
    </row>
    <row r="218" spans="1:12" ht="15" customHeight="1">
      <c r="A218" s="14" t="s">
        <v>555</v>
      </c>
      <c r="B218" s="10" t="s">
        <v>556</v>
      </c>
      <c r="C218" s="20">
        <v>45764</v>
      </c>
      <c r="D218" s="10" t="s">
        <v>557</v>
      </c>
      <c r="E218" s="10" t="s">
        <v>558</v>
      </c>
      <c r="F218" s="10" t="s">
        <v>83</v>
      </c>
      <c r="G218" s="23">
        <v>4</v>
      </c>
      <c r="H218" s="26">
        <v>115.28</v>
      </c>
      <c r="I218" s="29">
        <v>0.15</v>
      </c>
      <c r="J218" s="10" t="s">
        <v>40</v>
      </c>
      <c r="K218" s="10" t="s">
        <v>51</v>
      </c>
      <c r="L218" s="15" t="s">
        <v>42</v>
      </c>
    </row>
    <row r="219" spans="1:12" ht="15" customHeight="1">
      <c r="A219" s="14" t="s">
        <v>559</v>
      </c>
      <c r="B219" s="10" t="s">
        <v>560</v>
      </c>
      <c r="C219" s="20">
        <v>45700</v>
      </c>
      <c r="D219" s="10" t="s">
        <v>229</v>
      </c>
      <c r="E219" s="10" t="s">
        <v>230</v>
      </c>
      <c r="F219" s="10" t="s">
        <v>83</v>
      </c>
      <c r="G219" s="23">
        <v>4</v>
      </c>
      <c r="H219" s="26">
        <v>115.28</v>
      </c>
      <c r="I219" s="29">
        <v>0.15</v>
      </c>
      <c r="J219" s="10" t="s">
        <v>40</v>
      </c>
      <c r="K219" s="10"/>
      <c r="L219" s="15" t="s">
        <v>67</v>
      </c>
    </row>
    <row r="220" spans="1:12" ht="15" customHeight="1">
      <c r="A220" s="14" t="s">
        <v>561</v>
      </c>
      <c r="B220" s="10" t="s">
        <v>560</v>
      </c>
      <c r="C220" s="20">
        <v>45700</v>
      </c>
      <c r="D220" s="10" t="s">
        <v>229</v>
      </c>
      <c r="E220" s="10" t="s">
        <v>230</v>
      </c>
      <c r="F220" s="10" t="s">
        <v>468</v>
      </c>
      <c r="G220" s="23">
        <v>1</v>
      </c>
      <c r="H220" s="26">
        <v>160</v>
      </c>
      <c r="I220" s="29">
        <v>0</v>
      </c>
      <c r="J220" s="10" t="s">
        <v>66</v>
      </c>
      <c r="K220" s="10" t="s">
        <v>98</v>
      </c>
      <c r="L220" s="15" t="s">
        <v>47</v>
      </c>
    </row>
    <row r="221" spans="1:12" ht="15" customHeight="1">
      <c r="A221" s="14" t="s">
        <v>562</v>
      </c>
      <c r="B221" s="10" t="s">
        <v>563</v>
      </c>
      <c r="C221" s="20">
        <v>45758</v>
      </c>
      <c r="D221" s="10" t="s">
        <v>115</v>
      </c>
      <c r="E221" s="10" t="s">
        <v>116</v>
      </c>
      <c r="F221" s="10" t="s">
        <v>100</v>
      </c>
      <c r="G221" s="23">
        <v>2</v>
      </c>
      <c r="H221" s="26">
        <v>42.72</v>
      </c>
      <c r="I221" s="29">
        <v>0</v>
      </c>
      <c r="J221" s="10" t="s">
        <v>66</v>
      </c>
      <c r="K221" s="10" t="s">
        <v>58</v>
      </c>
      <c r="L221" s="15" t="s">
        <v>52</v>
      </c>
    </row>
    <row r="222" spans="1:12" ht="15" customHeight="1">
      <c r="A222" s="14" t="s">
        <v>564</v>
      </c>
      <c r="B222" s="10" t="s">
        <v>563</v>
      </c>
      <c r="C222" s="20">
        <v>45758</v>
      </c>
      <c r="D222" s="10" t="s">
        <v>115</v>
      </c>
      <c r="E222" s="10" t="s">
        <v>116</v>
      </c>
      <c r="F222" s="10" t="s">
        <v>130</v>
      </c>
      <c r="G222" s="23">
        <v>4</v>
      </c>
      <c r="H222" s="26">
        <v>265.73</v>
      </c>
      <c r="I222" s="29">
        <v>0</v>
      </c>
      <c r="J222" s="10" t="s">
        <v>40</v>
      </c>
      <c r="K222" s="10" t="s">
        <v>41</v>
      </c>
      <c r="L222" s="15" t="s">
        <v>67</v>
      </c>
    </row>
    <row r="223" spans="1:12" ht="15" customHeight="1">
      <c r="A223" s="14" t="s">
        <v>565</v>
      </c>
      <c r="B223" s="10" t="s">
        <v>563</v>
      </c>
      <c r="C223" s="20">
        <v>45758</v>
      </c>
      <c r="D223" s="10" t="s">
        <v>115</v>
      </c>
      <c r="E223" s="10" t="s">
        <v>116</v>
      </c>
      <c r="F223" s="10" t="s">
        <v>316</v>
      </c>
      <c r="G223" s="23">
        <v>2</v>
      </c>
      <c r="H223" s="26">
        <v>180.37</v>
      </c>
      <c r="I223" s="29">
        <v>0</v>
      </c>
      <c r="J223" s="10" t="s">
        <v>64</v>
      </c>
      <c r="K223" s="10" t="s">
        <v>98</v>
      </c>
      <c r="L223" s="15" t="s">
        <v>67</v>
      </c>
    </row>
    <row r="224" spans="1:12" ht="15" customHeight="1">
      <c r="A224" s="14" t="s">
        <v>566</v>
      </c>
      <c r="B224" s="10" t="s">
        <v>567</v>
      </c>
      <c r="C224" s="20">
        <v>46008</v>
      </c>
      <c r="D224" s="10" t="s">
        <v>568</v>
      </c>
      <c r="E224" s="10" t="s">
        <v>569</v>
      </c>
      <c r="F224" s="10" t="s">
        <v>147</v>
      </c>
      <c r="G224" s="23">
        <v>4</v>
      </c>
      <c r="H224" s="26">
        <v>102.78</v>
      </c>
      <c r="I224" s="29">
        <v>0.1</v>
      </c>
      <c r="J224" s="10" t="s">
        <v>40</v>
      </c>
      <c r="K224" s="10" t="s">
        <v>98</v>
      </c>
      <c r="L224" s="15" t="s">
        <v>42</v>
      </c>
    </row>
    <row r="225" spans="1:12" ht="15" customHeight="1">
      <c r="A225" s="14" t="s">
        <v>570</v>
      </c>
      <c r="B225" s="10" t="s">
        <v>571</v>
      </c>
      <c r="C225" s="20">
        <v>45916</v>
      </c>
      <c r="D225" s="10" t="s">
        <v>572</v>
      </c>
      <c r="E225" s="10" t="s">
        <v>569</v>
      </c>
      <c r="F225" s="10" t="s">
        <v>171</v>
      </c>
      <c r="G225" s="23">
        <v>2</v>
      </c>
      <c r="H225" s="26">
        <v>228.81</v>
      </c>
      <c r="I225" s="29">
        <v>0.1</v>
      </c>
      <c r="J225" s="10" t="s">
        <v>66</v>
      </c>
      <c r="K225" s="10" t="s">
        <v>51</v>
      </c>
      <c r="L225" s="15" t="s">
        <v>52</v>
      </c>
    </row>
    <row r="226" spans="1:12" ht="15" customHeight="1">
      <c r="A226" s="14" t="s">
        <v>573</v>
      </c>
      <c r="B226" s="10" t="s">
        <v>574</v>
      </c>
      <c r="C226" s="20">
        <v>45658</v>
      </c>
      <c r="D226" s="10" t="s">
        <v>575</v>
      </c>
      <c r="E226" s="10" t="s">
        <v>576</v>
      </c>
      <c r="F226" s="10" t="s">
        <v>468</v>
      </c>
      <c r="G226" s="23">
        <v>1</v>
      </c>
      <c r="H226" s="26">
        <v>160</v>
      </c>
      <c r="I226" s="29">
        <v>0</v>
      </c>
      <c r="J226" s="10" t="s">
        <v>40</v>
      </c>
      <c r="K226" s="10" t="s">
        <v>51</v>
      </c>
      <c r="L226" s="15" t="s">
        <v>52</v>
      </c>
    </row>
    <row r="227" spans="1:12" ht="15" customHeight="1">
      <c r="A227" s="14" t="s">
        <v>577</v>
      </c>
      <c r="B227" s="10" t="s">
        <v>574</v>
      </c>
      <c r="C227" s="20">
        <v>45658</v>
      </c>
      <c r="D227" s="10" t="s">
        <v>575</v>
      </c>
      <c r="E227" s="10" t="s">
        <v>576</v>
      </c>
      <c r="F227" s="10" t="s">
        <v>88</v>
      </c>
      <c r="G227" s="23">
        <v>1</v>
      </c>
      <c r="H227" s="26">
        <v>147.46</v>
      </c>
      <c r="I227" s="29">
        <v>0</v>
      </c>
      <c r="J227" s="10" t="s">
        <v>64</v>
      </c>
      <c r="K227" s="10"/>
      <c r="L227" s="15" t="s">
        <v>47</v>
      </c>
    </row>
    <row r="228" spans="1:12" ht="15" customHeight="1">
      <c r="A228" s="14" t="s">
        <v>578</v>
      </c>
      <c r="B228" s="10" t="s">
        <v>574</v>
      </c>
      <c r="C228" s="20">
        <v>45658</v>
      </c>
      <c r="D228" s="10" t="s">
        <v>575</v>
      </c>
      <c r="E228" s="10" t="s">
        <v>576</v>
      </c>
      <c r="F228" s="10" t="s">
        <v>77</v>
      </c>
      <c r="G228" s="23">
        <v>4</v>
      </c>
      <c r="H228" s="26">
        <v>34.909999999999997</v>
      </c>
      <c r="I228" s="29">
        <v>0.05</v>
      </c>
      <c r="J228" s="10" t="s">
        <v>64</v>
      </c>
      <c r="K228" s="10" t="s">
        <v>98</v>
      </c>
      <c r="L228" s="15" t="s">
        <v>47</v>
      </c>
    </row>
    <row r="229" spans="1:12" ht="15" customHeight="1">
      <c r="A229" s="14" t="s">
        <v>579</v>
      </c>
      <c r="B229" s="10" t="s">
        <v>574</v>
      </c>
      <c r="C229" s="20">
        <v>45658</v>
      </c>
      <c r="D229" s="10" t="s">
        <v>575</v>
      </c>
      <c r="E229" s="10" t="s">
        <v>576</v>
      </c>
      <c r="F229" s="10" t="s">
        <v>214</v>
      </c>
      <c r="G229" s="23">
        <v>1</v>
      </c>
      <c r="H229" s="26">
        <v>186.92</v>
      </c>
      <c r="I229" s="29">
        <v>0.1</v>
      </c>
      <c r="J229" s="10" t="s">
        <v>45</v>
      </c>
      <c r="K229" s="10" t="s">
        <v>98</v>
      </c>
      <c r="L229" s="15" t="s">
        <v>67</v>
      </c>
    </row>
    <row r="230" spans="1:12" ht="15" customHeight="1">
      <c r="A230" s="14" t="s">
        <v>580</v>
      </c>
      <c r="B230" s="10" t="s">
        <v>581</v>
      </c>
      <c r="C230" s="20">
        <v>45853</v>
      </c>
      <c r="D230" s="10" t="s">
        <v>582</v>
      </c>
      <c r="E230" s="10" t="s">
        <v>583</v>
      </c>
      <c r="F230" s="10" t="s">
        <v>309</v>
      </c>
      <c r="G230" s="23">
        <v>3</v>
      </c>
      <c r="H230" s="26">
        <v>56.99</v>
      </c>
      <c r="I230" s="29">
        <v>0.15</v>
      </c>
      <c r="J230" s="10" t="s">
        <v>64</v>
      </c>
      <c r="K230" s="10" t="s">
        <v>46</v>
      </c>
      <c r="L230" s="15" t="s">
        <v>67</v>
      </c>
    </row>
    <row r="231" spans="1:12" ht="15" customHeight="1">
      <c r="A231" s="14" t="s">
        <v>584</v>
      </c>
      <c r="B231" s="10" t="s">
        <v>581</v>
      </c>
      <c r="C231" s="20">
        <v>45853</v>
      </c>
      <c r="D231" s="10" t="s">
        <v>582</v>
      </c>
      <c r="E231" s="10" t="s">
        <v>583</v>
      </c>
      <c r="F231" s="10" t="s">
        <v>251</v>
      </c>
      <c r="G231" s="23">
        <v>4</v>
      </c>
      <c r="H231" s="26">
        <v>228.91</v>
      </c>
      <c r="I231" s="29">
        <v>0.05</v>
      </c>
      <c r="J231" s="10" t="s">
        <v>64</v>
      </c>
      <c r="K231" s="10" t="s">
        <v>51</v>
      </c>
      <c r="L231" s="15" t="s">
        <v>42</v>
      </c>
    </row>
    <row r="232" spans="1:12" ht="15" customHeight="1">
      <c r="A232" s="14" t="s">
        <v>585</v>
      </c>
      <c r="B232" s="10" t="s">
        <v>581</v>
      </c>
      <c r="C232" s="20">
        <v>45853</v>
      </c>
      <c r="D232" s="10" t="s">
        <v>582</v>
      </c>
      <c r="E232" s="10" t="s">
        <v>583</v>
      </c>
      <c r="F232" s="10" t="s">
        <v>316</v>
      </c>
      <c r="G232" s="23">
        <v>1</v>
      </c>
      <c r="H232" s="26">
        <v>180.37</v>
      </c>
      <c r="I232" s="29">
        <v>0.1</v>
      </c>
      <c r="J232" s="10" t="s">
        <v>50</v>
      </c>
      <c r="K232" s="10" t="s">
        <v>51</v>
      </c>
      <c r="L232" s="15" t="s">
        <v>42</v>
      </c>
    </row>
    <row r="233" spans="1:12" ht="15" customHeight="1">
      <c r="A233" s="14" t="s">
        <v>586</v>
      </c>
      <c r="B233" s="10" t="s">
        <v>587</v>
      </c>
      <c r="C233" s="20">
        <v>45974</v>
      </c>
      <c r="D233" s="10" t="s">
        <v>249</v>
      </c>
      <c r="E233" s="10" t="s">
        <v>250</v>
      </c>
      <c r="F233" s="10" t="s">
        <v>63</v>
      </c>
      <c r="G233" s="23">
        <v>2</v>
      </c>
      <c r="H233" s="26">
        <v>105.38</v>
      </c>
      <c r="I233" s="29">
        <v>0.15</v>
      </c>
      <c r="J233" s="10" t="s">
        <v>45</v>
      </c>
      <c r="K233" s="10" t="s">
        <v>51</v>
      </c>
      <c r="L233" s="15" t="s">
        <v>47</v>
      </c>
    </row>
    <row r="234" spans="1:12" ht="15" customHeight="1">
      <c r="A234" s="14" t="s">
        <v>588</v>
      </c>
      <c r="B234" s="10" t="s">
        <v>587</v>
      </c>
      <c r="C234" s="20">
        <v>45974</v>
      </c>
      <c r="D234" s="10" t="s">
        <v>249</v>
      </c>
      <c r="E234" s="10" t="s">
        <v>250</v>
      </c>
      <c r="F234" s="10" t="s">
        <v>63</v>
      </c>
      <c r="G234" s="23">
        <v>2</v>
      </c>
      <c r="H234" s="26">
        <v>105.38</v>
      </c>
      <c r="I234" s="29">
        <v>0.1</v>
      </c>
      <c r="J234" s="10" t="s">
        <v>50</v>
      </c>
      <c r="K234" s="10" t="s">
        <v>98</v>
      </c>
      <c r="L234" s="15" t="s">
        <v>101</v>
      </c>
    </row>
    <row r="235" spans="1:12" ht="15" customHeight="1">
      <c r="A235" s="14" t="s">
        <v>589</v>
      </c>
      <c r="B235" s="10" t="s">
        <v>587</v>
      </c>
      <c r="C235" s="20">
        <v>45974</v>
      </c>
      <c r="D235" s="10" t="s">
        <v>249</v>
      </c>
      <c r="E235" s="10" t="s">
        <v>250</v>
      </c>
      <c r="F235" s="10" t="s">
        <v>238</v>
      </c>
      <c r="G235" s="23">
        <v>4</v>
      </c>
      <c r="H235" s="26">
        <v>82.77</v>
      </c>
      <c r="I235" s="29">
        <v>0.05</v>
      </c>
      <c r="J235" s="10" t="s">
        <v>50</v>
      </c>
      <c r="K235" s="10" t="s">
        <v>51</v>
      </c>
      <c r="L235" s="15" t="s">
        <v>101</v>
      </c>
    </row>
    <row r="236" spans="1:12" ht="15" customHeight="1">
      <c r="A236" s="14" t="s">
        <v>590</v>
      </c>
      <c r="B236" s="10" t="s">
        <v>587</v>
      </c>
      <c r="C236" s="20">
        <v>45974</v>
      </c>
      <c r="D236" s="10" t="s">
        <v>249</v>
      </c>
      <c r="E236" s="10" t="s">
        <v>250</v>
      </c>
      <c r="F236" s="10" t="s">
        <v>108</v>
      </c>
      <c r="G236" s="23">
        <v>2</v>
      </c>
      <c r="H236" s="26">
        <v>33.369999999999997</v>
      </c>
      <c r="I236" s="29">
        <v>0</v>
      </c>
      <c r="J236" s="10" t="s">
        <v>50</v>
      </c>
      <c r="K236" s="10" t="s">
        <v>46</v>
      </c>
      <c r="L236" s="15" t="s">
        <v>47</v>
      </c>
    </row>
    <row r="237" spans="1:12" ht="15" customHeight="1">
      <c r="A237" s="14" t="s">
        <v>591</v>
      </c>
      <c r="B237" s="10" t="s">
        <v>592</v>
      </c>
      <c r="C237" s="20">
        <v>45795</v>
      </c>
      <c r="D237" s="10" t="s">
        <v>593</v>
      </c>
      <c r="E237" s="10" t="s">
        <v>594</v>
      </c>
      <c r="F237" s="10" t="s">
        <v>39</v>
      </c>
      <c r="G237" s="23">
        <v>2</v>
      </c>
      <c r="H237" s="26">
        <v>236.51</v>
      </c>
      <c r="I237" s="29">
        <v>0</v>
      </c>
      <c r="J237" s="10" t="s">
        <v>40</v>
      </c>
      <c r="K237" s="10" t="s">
        <v>58</v>
      </c>
      <c r="L237" s="15" t="s">
        <v>101</v>
      </c>
    </row>
    <row r="238" spans="1:12" ht="15" customHeight="1">
      <c r="A238" s="14" t="s">
        <v>595</v>
      </c>
      <c r="B238" s="10" t="s">
        <v>592</v>
      </c>
      <c r="C238" s="20">
        <v>45795</v>
      </c>
      <c r="D238" s="10" t="s">
        <v>593</v>
      </c>
      <c r="E238" s="10" t="s">
        <v>594</v>
      </c>
      <c r="F238" s="10" t="s">
        <v>279</v>
      </c>
      <c r="G238" s="23">
        <v>1</v>
      </c>
      <c r="H238" s="26">
        <v>52.79</v>
      </c>
      <c r="I238" s="29">
        <v>0</v>
      </c>
      <c r="J238" s="10" t="s">
        <v>66</v>
      </c>
      <c r="K238" s="10" t="s">
        <v>98</v>
      </c>
      <c r="L238" s="15" t="s">
        <v>101</v>
      </c>
    </row>
    <row r="239" spans="1:12" ht="15" customHeight="1">
      <c r="A239" s="14" t="s">
        <v>596</v>
      </c>
      <c r="B239" s="10" t="s">
        <v>597</v>
      </c>
      <c r="C239" s="20">
        <v>45934</v>
      </c>
      <c r="D239" s="10" t="s">
        <v>598</v>
      </c>
      <c r="E239" s="10" t="s">
        <v>599</v>
      </c>
      <c r="F239" s="10" t="s">
        <v>270</v>
      </c>
      <c r="G239" s="23">
        <v>2</v>
      </c>
      <c r="H239" s="26">
        <v>214.38</v>
      </c>
      <c r="I239" s="29">
        <v>0.15</v>
      </c>
      <c r="J239" s="10" t="s">
        <v>50</v>
      </c>
      <c r="K239" s="10" t="s">
        <v>58</v>
      </c>
      <c r="L239" s="15" t="s">
        <v>67</v>
      </c>
    </row>
    <row r="240" spans="1:12" ht="15" customHeight="1">
      <c r="A240" s="14" t="s">
        <v>600</v>
      </c>
      <c r="B240" s="10" t="s">
        <v>597</v>
      </c>
      <c r="C240" s="20">
        <v>45934</v>
      </c>
      <c r="D240" s="10" t="s">
        <v>598</v>
      </c>
      <c r="E240" s="10" t="s">
        <v>599</v>
      </c>
      <c r="F240" s="10" t="s">
        <v>204</v>
      </c>
      <c r="G240" s="23">
        <v>2</v>
      </c>
      <c r="H240" s="26">
        <v>244.25</v>
      </c>
      <c r="I240" s="29">
        <v>0.15</v>
      </c>
      <c r="J240" s="10" t="s">
        <v>70</v>
      </c>
      <c r="K240" s="10" t="s">
        <v>58</v>
      </c>
      <c r="L240" s="15" t="s">
        <v>52</v>
      </c>
    </row>
    <row r="241" spans="1:12" ht="15" customHeight="1">
      <c r="A241" s="14" t="s">
        <v>601</v>
      </c>
      <c r="B241" s="10" t="s">
        <v>597</v>
      </c>
      <c r="C241" s="20">
        <v>45934</v>
      </c>
      <c r="D241" s="10" t="s">
        <v>598</v>
      </c>
      <c r="E241" s="10" t="s">
        <v>599</v>
      </c>
      <c r="F241" s="10" t="s">
        <v>121</v>
      </c>
      <c r="G241" s="23">
        <v>1</v>
      </c>
      <c r="H241" s="26">
        <v>287.16000000000003</v>
      </c>
      <c r="I241" s="29">
        <v>0</v>
      </c>
      <c r="J241" s="10" t="s">
        <v>66</v>
      </c>
      <c r="K241" s="10" t="s">
        <v>46</v>
      </c>
      <c r="L241" s="15" t="s">
        <v>67</v>
      </c>
    </row>
    <row r="242" spans="1:12" ht="15" customHeight="1">
      <c r="A242" s="14" t="s">
        <v>602</v>
      </c>
      <c r="B242" s="10" t="s">
        <v>603</v>
      </c>
      <c r="C242" s="20">
        <v>45977</v>
      </c>
      <c r="D242" s="10" t="s">
        <v>104</v>
      </c>
      <c r="E242" s="10" t="s">
        <v>105</v>
      </c>
      <c r="F242" s="10" t="s">
        <v>117</v>
      </c>
      <c r="G242" s="23">
        <v>1</v>
      </c>
      <c r="H242" s="26">
        <v>251.17</v>
      </c>
      <c r="I242" s="29">
        <v>0</v>
      </c>
      <c r="J242" s="10" t="s">
        <v>64</v>
      </c>
      <c r="K242" s="10" t="s">
        <v>51</v>
      </c>
      <c r="L242" s="15" t="s">
        <v>67</v>
      </c>
    </row>
    <row r="243" spans="1:12" ht="15" customHeight="1">
      <c r="A243" s="14" t="s">
        <v>604</v>
      </c>
      <c r="B243" s="10" t="s">
        <v>603</v>
      </c>
      <c r="C243" s="20">
        <v>45977</v>
      </c>
      <c r="D243" s="10" t="s">
        <v>104</v>
      </c>
      <c r="E243" s="10" t="s">
        <v>105</v>
      </c>
      <c r="F243" s="10" t="s">
        <v>201</v>
      </c>
      <c r="G243" s="23">
        <v>4</v>
      </c>
      <c r="H243" s="26">
        <v>154.47</v>
      </c>
      <c r="I243" s="29">
        <v>0.05</v>
      </c>
      <c r="J243" s="10" t="s">
        <v>45</v>
      </c>
      <c r="K243" s="10" t="s">
        <v>46</v>
      </c>
      <c r="L243" s="15" t="s">
        <v>101</v>
      </c>
    </row>
    <row r="244" spans="1:12" ht="15" customHeight="1">
      <c r="A244" s="14" t="s">
        <v>605</v>
      </c>
      <c r="B244" s="10" t="s">
        <v>603</v>
      </c>
      <c r="C244" s="20">
        <v>45977</v>
      </c>
      <c r="D244" s="10" t="s">
        <v>104</v>
      </c>
      <c r="E244" s="10" t="s">
        <v>105</v>
      </c>
      <c r="F244" s="10" t="s">
        <v>69</v>
      </c>
      <c r="G244" s="23">
        <v>1</v>
      </c>
      <c r="H244" s="26">
        <v>75.75</v>
      </c>
      <c r="I244" s="29">
        <v>0</v>
      </c>
      <c r="J244" s="10" t="s">
        <v>45</v>
      </c>
      <c r="K244" s="10" t="s">
        <v>58</v>
      </c>
      <c r="L244" s="15" t="s">
        <v>42</v>
      </c>
    </row>
    <row r="245" spans="1:12" ht="15" customHeight="1">
      <c r="A245" s="14" t="s">
        <v>606</v>
      </c>
      <c r="B245" s="10" t="s">
        <v>603</v>
      </c>
      <c r="C245" s="20">
        <v>45977</v>
      </c>
      <c r="D245" s="10" t="s">
        <v>104</v>
      </c>
      <c r="E245" s="10" t="s">
        <v>105</v>
      </c>
      <c r="F245" s="10" t="s">
        <v>316</v>
      </c>
      <c r="G245" s="23">
        <v>4</v>
      </c>
      <c r="H245" s="26">
        <v>180.37</v>
      </c>
      <c r="I245" s="29">
        <v>0</v>
      </c>
      <c r="J245" s="10" t="s">
        <v>45</v>
      </c>
      <c r="K245" s="10" t="s">
        <v>58</v>
      </c>
      <c r="L245" s="15" t="s">
        <v>52</v>
      </c>
    </row>
    <row r="246" spans="1:12" ht="15" customHeight="1">
      <c r="A246" s="14" t="s">
        <v>607</v>
      </c>
      <c r="B246" s="10" t="s">
        <v>608</v>
      </c>
      <c r="C246" s="20">
        <v>45744.041666666664</v>
      </c>
      <c r="D246" s="10" t="s">
        <v>609</v>
      </c>
      <c r="E246" s="10" t="s">
        <v>610</v>
      </c>
      <c r="F246" s="10" t="s">
        <v>69</v>
      </c>
      <c r="G246" s="23">
        <v>2</v>
      </c>
      <c r="H246" s="26">
        <v>75.75</v>
      </c>
      <c r="I246" s="29">
        <v>0</v>
      </c>
      <c r="J246" s="10" t="s">
        <v>70</v>
      </c>
      <c r="K246" s="10" t="s">
        <v>98</v>
      </c>
      <c r="L246" s="15" t="s">
        <v>101</v>
      </c>
    </row>
    <row r="247" spans="1:12" ht="15" customHeight="1">
      <c r="A247" s="14" t="s">
        <v>611</v>
      </c>
      <c r="B247" s="10" t="s">
        <v>608</v>
      </c>
      <c r="C247" s="20">
        <v>45744.041666666664</v>
      </c>
      <c r="D247" s="10" t="s">
        <v>609</v>
      </c>
      <c r="E247" s="10" t="s">
        <v>610</v>
      </c>
      <c r="F247" s="10" t="s">
        <v>238</v>
      </c>
      <c r="G247" s="23">
        <v>4</v>
      </c>
      <c r="H247" s="26">
        <v>82.77</v>
      </c>
      <c r="I247" s="29">
        <v>0.05</v>
      </c>
      <c r="J247" s="10" t="s">
        <v>66</v>
      </c>
      <c r="K247" s="10" t="s">
        <v>58</v>
      </c>
      <c r="L247" s="15" t="s">
        <v>101</v>
      </c>
    </row>
    <row r="248" spans="1:12" ht="15" customHeight="1">
      <c r="A248" s="14" t="s">
        <v>612</v>
      </c>
      <c r="B248" s="10" t="s">
        <v>608</v>
      </c>
      <c r="C248" s="20">
        <v>45744.041666666664</v>
      </c>
      <c r="D248" s="10" t="s">
        <v>609</v>
      </c>
      <c r="E248" s="10" t="s">
        <v>610</v>
      </c>
      <c r="F248" s="10" t="s">
        <v>309</v>
      </c>
      <c r="G248" s="23">
        <v>2</v>
      </c>
      <c r="H248" s="26">
        <v>56.99</v>
      </c>
      <c r="I248" s="29">
        <v>0.15</v>
      </c>
      <c r="J248" s="10" t="s">
        <v>40</v>
      </c>
      <c r="K248" s="10"/>
      <c r="L248" s="15" t="s">
        <v>101</v>
      </c>
    </row>
    <row r="249" spans="1:12" ht="15" customHeight="1">
      <c r="A249" s="14" t="s">
        <v>613</v>
      </c>
      <c r="B249" s="10" t="s">
        <v>608</v>
      </c>
      <c r="C249" s="20">
        <v>45744.041666666664</v>
      </c>
      <c r="D249" s="10" t="s">
        <v>609</v>
      </c>
      <c r="E249" s="10" t="s">
        <v>610</v>
      </c>
      <c r="F249" s="10" t="s">
        <v>93</v>
      </c>
      <c r="G249" s="23">
        <v>2</v>
      </c>
      <c r="H249" s="26">
        <v>208.89</v>
      </c>
      <c r="I249" s="29">
        <v>0.05</v>
      </c>
      <c r="J249" s="10" t="s">
        <v>50</v>
      </c>
      <c r="K249" s="10"/>
      <c r="L249" s="15" t="s">
        <v>101</v>
      </c>
    </row>
    <row r="250" spans="1:12" ht="15" customHeight="1">
      <c r="A250" s="14" t="s">
        <v>614</v>
      </c>
      <c r="B250" s="10" t="s">
        <v>615</v>
      </c>
      <c r="C250" s="20">
        <v>45900</v>
      </c>
      <c r="D250" s="10" t="s">
        <v>616</v>
      </c>
      <c r="E250" s="10" t="s">
        <v>617</v>
      </c>
      <c r="F250" s="10" t="s">
        <v>130</v>
      </c>
      <c r="G250" s="23">
        <v>4</v>
      </c>
      <c r="H250" s="26">
        <v>265.73</v>
      </c>
      <c r="I250" s="29">
        <v>0.15</v>
      </c>
      <c r="J250" s="10" t="s">
        <v>45</v>
      </c>
      <c r="K250" s="10" t="s">
        <v>46</v>
      </c>
      <c r="L250" s="15" t="s">
        <v>67</v>
      </c>
    </row>
    <row r="251" spans="1:12" ht="15" customHeight="1">
      <c r="A251" s="14" t="s">
        <v>618</v>
      </c>
      <c r="B251" s="10" t="s">
        <v>615</v>
      </c>
      <c r="C251" s="20">
        <v>45900</v>
      </c>
      <c r="D251" s="10" t="s">
        <v>616</v>
      </c>
      <c r="E251" s="10" t="s">
        <v>617</v>
      </c>
      <c r="F251" s="10" t="s">
        <v>303</v>
      </c>
      <c r="G251" s="23">
        <v>3</v>
      </c>
      <c r="H251" s="26">
        <v>72.81</v>
      </c>
      <c r="I251" s="29">
        <v>0</v>
      </c>
      <c r="J251" s="10" t="s">
        <v>66</v>
      </c>
      <c r="K251" s="10" t="s">
        <v>98</v>
      </c>
      <c r="L251" s="15" t="s">
        <v>67</v>
      </c>
    </row>
    <row r="252" spans="1:12" ht="15" customHeight="1">
      <c r="A252" s="14" t="s">
        <v>619</v>
      </c>
      <c r="B252" s="10" t="s">
        <v>620</v>
      </c>
      <c r="C252" s="20">
        <v>45986</v>
      </c>
      <c r="D252" s="10" t="s">
        <v>621</v>
      </c>
      <c r="E252" s="10" t="s">
        <v>622</v>
      </c>
      <c r="F252" s="10" t="s">
        <v>83</v>
      </c>
      <c r="G252" s="23">
        <v>2</v>
      </c>
      <c r="H252" s="26">
        <v>115.28</v>
      </c>
      <c r="I252" s="29">
        <v>0.15</v>
      </c>
      <c r="J252" s="10" t="s">
        <v>70</v>
      </c>
      <c r="K252" s="10" t="s">
        <v>46</v>
      </c>
      <c r="L252" s="15" t="s">
        <v>101</v>
      </c>
    </row>
    <row r="253" spans="1:12" ht="15" customHeight="1">
      <c r="A253" s="14" t="s">
        <v>623</v>
      </c>
      <c r="B253" s="10" t="s">
        <v>624</v>
      </c>
      <c r="C253" s="20">
        <v>45671</v>
      </c>
      <c r="D253" s="10" t="s">
        <v>625</v>
      </c>
      <c r="E253" s="10" t="s">
        <v>164</v>
      </c>
      <c r="F253" s="10" t="s">
        <v>303</v>
      </c>
      <c r="G253" s="23">
        <v>1</v>
      </c>
      <c r="H253" s="26">
        <v>72.81</v>
      </c>
      <c r="I253" s="29">
        <v>0.15</v>
      </c>
      <c r="J253" s="10" t="s">
        <v>45</v>
      </c>
      <c r="K253" s="10" t="s">
        <v>58</v>
      </c>
      <c r="L253" s="15" t="s">
        <v>42</v>
      </c>
    </row>
    <row r="254" spans="1:12" ht="15" customHeight="1">
      <c r="A254" s="14" t="s">
        <v>626</v>
      </c>
      <c r="B254" s="10" t="s">
        <v>624</v>
      </c>
      <c r="C254" s="20">
        <v>45671</v>
      </c>
      <c r="D254" s="10" t="s">
        <v>163</v>
      </c>
      <c r="E254" s="10" t="s">
        <v>164</v>
      </c>
      <c r="F254" s="10" t="s">
        <v>214</v>
      </c>
      <c r="G254" s="23">
        <v>1</v>
      </c>
      <c r="H254" s="26">
        <v>186.92</v>
      </c>
      <c r="I254" s="29">
        <v>0</v>
      </c>
      <c r="J254" s="10" t="s">
        <v>45</v>
      </c>
      <c r="K254" s="10" t="s">
        <v>58</v>
      </c>
      <c r="L254" s="15" t="s">
        <v>47</v>
      </c>
    </row>
    <row r="255" spans="1:12" ht="15" customHeight="1">
      <c r="A255" s="14" t="s">
        <v>627</v>
      </c>
      <c r="B255" s="10" t="s">
        <v>624</v>
      </c>
      <c r="C255" s="20">
        <v>45671</v>
      </c>
      <c r="D255" s="10" t="s">
        <v>163</v>
      </c>
      <c r="E255" s="10" t="s">
        <v>164</v>
      </c>
      <c r="F255" s="10" t="s">
        <v>428</v>
      </c>
      <c r="G255" s="23">
        <v>1</v>
      </c>
      <c r="H255" s="26">
        <v>110.88</v>
      </c>
      <c r="I255" s="29">
        <v>0.05</v>
      </c>
      <c r="J255" s="10" t="s">
        <v>66</v>
      </c>
      <c r="K255" s="10" t="s">
        <v>41</v>
      </c>
      <c r="L255" s="15" t="s">
        <v>101</v>
      </c>
    </row>
    <row r="256" spans="1:12" ht="15" customHeight="1">
      <c r="A256" s="14" t="s">
        <v>628</v>
      </c>
      <c r="B256" s="10" t="s">
        <v>629</v>
      </c>
      <c r="C256" s="20">
        <v>45699</v>
      </c>
      <c r="D256" s="10" t="s">
        <v>616</v>
      </c>
      <c r="E256" s="10" t="s">
        <v>617</v>
      </c>
      <c r="F256" s="10" t="s">
        <v>80</v>
      </c>
      <c r="G256" s="23">
        <v>1</v>
      </c>
      <c r="H256" s="26">
        <v>142.16</v>
      </c>
      <c r="I256" s="29">
        <v>0</v>
      </c>
      <c r="J256" s="10" t="s">
        <v>40</v>
      </c>
      <c r="K256" s="10" t="s">
        <v>46</v>
      </c>
      <c r="L256" s="15" t="s">
        <v>67</v>
      </c>
    </row>
    <row r="257" spans="1:12" ht="15" customHeight="1">
      <c r="A257" s="14" t="s">
        <v>630</v>
      </c>
      <c r="B257" s="10" t="s">
        <v>629</v>
      </c>
      <c r="C257" s="20">
        <v>45699</v>
      </c>
      <c r="D257" s="10" t="s">
        <v>616</v>
      </c>
      <c r="E257" s="10" t="s">
        <v>617</v>
      </c>
      <c r="F257" s="10" t="s">
        <v>49</v>
      </c>
      <c r="G257" s="23">
        <v>3</v>
      </c>
      <c r="H257" s="26">
        <v>300.16000000000003</v>
      </c>
      <c r="I257" s="29">
        <v>0.1</v>
      </c>
      <c r="J257" s="10" t="s">
        <v>45</v>
      </c>
      <c r="K257" s="10" t="s">
        <v>41</v>
      </c>
      <c r="L257" s="15" t="s">
        <v>52</v>
      </c>
    </row>
    <row r="258" spans="1:12" ht="15" customHeight="1">
      <c r="A258" s="14" t="s">
        <v>631</v>
      </c>
      <c r="B258" s="10" t="s">
        <v>629</v>
      </c>
      <c r="C258" s="20">
        <v>45699</v>
      </c>
      <c r="D258" s="10" t="s">
        <v>616</v>
      </c>
      <c r="E258" s="10" t="s">
        <v>617</v>
      </c>
      <c r="F258" s="10" t="s">
        <v>83</v>
      </c>
      <c r="G258" s="23">
        <v>3</v>
      </c>
      <c r="H258" s="26">
        <v>115.28</v>
      </c>
      <c r="I258" s="29">
        <v>0.15</v>
      </c>
      <c r="J258" s="10" t="s">
        <v>64</v>
      </c>
      <c r="K258" s="10" t="s">
        <v>58</v>
      </c>
      <c r="L258" s="15" t="s">
        <v>67</v>
      </c>
    </row>
    <row r="259" spans="1:12" ht="15" customHeight="1">
      <c r="A259" s="14" t="s">
        <v>632</v>
      </c>
      <c r="B259" s="10" t="s">
        <v>633</v>
      </c>
      <c r="C259" s="20">
        <v>45876</v>
      </c>
      <c r="D259" s="10" t="s">
        <v>525</v>
      </c>
      <c r="E259" s="10" t="s">
        <v>526</v>
      </c>
      <c r="F259" s="10" t="s">
        <v>201</v>
      </c>
      <c r="G259" s="23">
        <v>2</v>
      </c>
      <c r="H259" s="26">
        <v>154.47</v>
      </c>
      <c r="I259" s="29">
        <v>0</v>
      </c>
      <c r="J259" s="10" t="s">
        <v>64</v>
      </c>
      <c r="K259" s="10" t="s">
        <v>46</v>
      </c>
      <c r="L259" s="15" t="s">
        <v>101</v>
      </c>
    </row>
    <row r="260" spans="1:12" ht="15" customHeight="1">
      <c r="A260" s="14" t="s">
        <v>634</v>
      </c>
      <c r="B260" s="10" t="s">
        <v>633</v>
      </c>
      <c r="C260" s="20">
        <v>45876</v>
      </c>
      <c r="D260" s="10" t="s">
        <v>525</v>
      </c>
      <c r="E260" s="10" t="s">
        <v>526</v>
      </c>
      <c r="F260" s="10" t="s">
        <v>270</v>
      </c>
      <c r="G260" s="23">
        <v>4</v>
      </c>
      <c r="H260" s="26">
        <v>214.38</v>
      </c>
      <c r="I260" s="29">
        <v>0</v>
      </c>
      <c r="J260" s="10" t="s">
        <v>66</v>
      </c>
      <c r="K260" s="10" t="s">
        <v>51</v>
      </c>
      <c r="L260" s="15" t="s">
        <v>52</v>
      </c>
    </row>
    <row r="261" spans="1:12" ht="15" customHeight="1">
      <c r="A261" s="14" t="s">
        <v>635</v>
      </c>
      <c r="B261" s="10" t="s">
        <v>633</v>
      </c>
      <c r="C261" s="20">
        <v>45876</v>
      </c>
      <c r="D261" s="10" t="s">
        <v>525</v>
      </c>
      <c r="E261" s="10" t="s">
        <v>526</v>
      </c>
      <c r="F261" s="10" t="s">
        <v>130</v>
      </c>
      <c r="G261" s="23">
        <v>1</v>
      </c>
      <c r="H261" s="26">
        <v>265.73</v>
      </c>
      <c r="I261" s="29">
        <v>0.1</v>
      </c>
      <c r="J261" s="10" t="s">
        <v>66</v>
      </c>
      <c r="K261" s="10" t="s">
        <v>98</v>
      </c>
      <c r="L261" s="15" t="s">
        <v>42</v>
      </c>
    </row>
    <row r="262" spans="1:12" ht="15" customHeight="1">
      <c r="A262" s="14" t="s">
        <v>636</v>
      </c>
      <c r="B262" s="10" t="s">
        <v>637</v>
      </c>
      <c r="C262" s="20">
        <v>45727.041666666664</v>
      </c>
      <c r="D262" s="10" t="s">
        <v>638</v>
      </c>
      <c r="E262" s="10" t="s">
        <v>639</v>
      </c>
      <c r="F262" s="10" t="s">
        <v>180</v>
      </c>
      <c r="G262" s="23">
        <v>4</v>
      </c>
      <c r="H262" s="26">
        <v>91.75</v>
      </c>
      <c r="I262" s="29">
        <v>0</v>
      </c>
      <c r="J262" s="10" t="s">
        <v>70</v>
      </c>
      <c r="K262" s="10"/>
      <c r="L262" s="15" t="s">
        <v>52</v>
      </c>
    </row>
    <row r="263" spans="1:12" ht="15" customHeight="1">
      <c r="A263" s="14" t="s">
        <v>640</v>
      </c>
      <c r="B263" s="10" t="s">
        <v>637</v>
      </c>
      <c r="C263" s="20">
        <v>45727.041666666664</v>
      </c>
      <c r="D263" s="10" t="s">
        <v>638</v>
      </c>
      <c r="E263" s="10" t="s">
        <v>639</v>
      </c>
      <c r="F263" s="10" t="s">
        <v>428</v>
      </c>
      <c r="G263" s="23">
        <v>1</v>
      </c>
      <c r="H263" s="26">
        <v>110.88</v>
      </c>
      <c r="I263" s="29">
        <v>0.05</v>
      </c>
      <c r="J263" s="10" t="s">
        <v>66</v>
      </c>
      <c r="K263" s="10" t="s">
        <v>41</v>
      </c>
      <c r="L263" s="15" t="s">
        <v>52</v>
      </c>
    </row>
    <row r="264" spans="1:12" ht="15" customHeight="1">
      <c r="A264" s="14" t="s">
        <v>641</v>
      </c>
      <c r="B264" s="10" t="s">
        <v>637</v>
      </c>
      <c r="C264" s="20">
        <v>45727.041666666664</v>
      </c>
      <c r="D264" s="10" t="s">
        <v>638</v>
      </c>
      <c r="E264" s="10" t="s">
        <v>639</v>
      </c>
      <c r="F264" s="10" t="s">
        <v>270</v>
      </c>
      <c r="G264" s="23">
        <v>4</v>
      </c>
      <c r="H264" s="26">
        <v>214.38</v>
      </c>
      <c r="I264" s="29">
        <v>0</v>
      </c>
      <c r="J264" s="10" t="s">
        <v>50</v>
      </c>
      <c r="K264" s="10" t="s">
        <v>41</v>
      </c>
      <c r="L264" s="15" t="s">
        <v>42</v>
      </c>
    </row>
    <row r="265" spans="1:12" ht="15" customHeight="1">
      <c r="A265" s="14" t="s">
        <v>642</v>
      </c>
      <c r="B265" s="10" t="s">
        <v>637</v>
      </c>
      <c r="C265" s="20">
        <v>45727.041666666664</v>
      </c>
      <c r="D265" s="10" t="s">
        <v>638</v>
      </c>
      <c r="E265" s="10" t="s">
        <v>639</v>
      </c>
      <c r="F265" s="10" t="s">
        <v>93</v>
      </c>
      <c r="G265" s="23">
        <v>1</v>
      </c>
      <c r="H265" s="26">
        <v>208.89</v>
      </c>
      <c r="I265" s="29">
        <v>0.15</v>
      </c>
      <c r="J265" s="10" t="s">
        <v>45</v>
      </c>
      <c r="K265" s="10" t="s">
        <v>46</v>
      </c>
      <c r="L265" s="15" t="s">
        <v>101</v>
      </c>
    </row>
    <row r="266" spans="1:12" ht="15" customHeight="1">
      <c r="A266" s="14" t="s">
        <v>643</v>
      </c>
      <c r="B266" s="10" t="s">
        <v>644</v>
      </c>
      <c r="C266" s="20">
        <v>45682</v>
      </c>
      <c r="D266" s="10" t="s">
        <v>645</v>
      </c>
      <c r="E266" s="10" t="s">
        <v>646</v>
      </c>
      <c r="F266" s="10" t="s">
        <v>316</v>
      </c>
      <c r="G266" s="23">
        <v>4</v>
      </c>
      <c r="H266" s="26">
        <v>180.37</v>
      </c>
      <c r="I266" s="29">
        <v>0</v>
      </c>
      <c r="J266" s="10" t="s">
        <v>40</v>
      </c>
      <c r="K266" s="10" t="s">
        <v>98</v>
      </c>
      <c r="L266" s="15" t="s">
        <v>47</v>
      </c>
    </row>
    <row r="267" spans="1:12" ht="15" customHeight="1">
      <c r="A267" s="14" t="s">
        <v>647</v>
      </c>
      <c r="B267" s="10" t="s">
        <v>644</v>
      </c>
      <c r="C267" s="20">
        <v>45682</v>
      </c>
      <c r="D267" s="10" t="s">
        <v>645</v>
      </c>
      <c r="E267" s="10" t="s">
        <v>646</v>
      </c>
      <c r="F267" s="10" t="s">
        <v>495</v>
      </c>
      <c r="G267" s="23">
        <v>4</v>
      </c>
      <c r="H267" s="26">
        <v>207.71</v>
      </c>
      <c r="I267" s="29">
        <v>0</v>
      </c>
      <c r="J267" s="10" t="s">
        <v>45</v>
      </c>
      <c r="K267" s="10" t="s">
        <v>51</v>
      </c>
      <c r="L267" s="15" t="s">
        <v>47</v>
      </c>
    </row>
    <row r="268" spans="1:12" ht="15" customHeight="1">
      <c r="A268" s="14" t="s">
        <v>648</v>
      </c>
      <c r="B268" s="10" t="s">
        <v>644</v>
      </c>
      <c r="C268" s="20">
        <v>45682</v>
      </c>
      <c r="D268" s="10" t="s">
        <v>645</v>
      </c>
      <c r="E268" s="10" t="s">
        <v>646</v>
      </c>
      <c r="F268" s="10" t="s">
        <v>100</v>
      </c>
      <c r="G268" s="23">
        <v>4</v>
      </c>
      <c r="H268" s="26">
        <v>42.72</v>
      </c>
      <c r="I268" s="29">
        <v>0.05</v>
      </c>
      <c r="J268" s="10" t="s">
        <v>66</v>
      </c>
      <c r="K268" s="10" t="s">
        <v>98</v>
      </c>
      <c r="L268" s="15" t="s">
        <v>67</v>
      </c>
    </row>
    <row r="269" spans="1:12" ht="15" customHeight="1">
      <c r="A269" s="14" t="s">
        <v>649</v>
      </c>
      <c r="B269" s="10" t="s">
        <v>644</v>
      </c>
      <c r="C269" s="20">
        <v>45682</v>
      </c>
      <c r="D269" s="10" t="s">
        <v>645</v>
      </c>
      <c r="E269" s="10" t="s">
        <v>646</v>
      </c>
      <c r="F269" s="10" t="s">
        <v>468</v>
      </c>
      <c r="G269" s="23">
        <v>2</v>
      </c>
      <c r="H269" s="26">
        <v>160</v>
      </c>
      <c r="I269" s="29">
        <v>0</v>
      </c>
      <c r="J269" s="10" t="s">
        <v>45</v>
      </c>
      <c r="K269" s="10" t="s">
        <v>58</v>
      </c>
      <c r="L269" s="15" t="s">
        <v>101</v>
      </c>
    </row>
    <row r="270" spans="1:12" ht="15" customHeight="1">
      <c r="A270" s="14" t="s">
        <v>650</v>
      </c>
      <c r="B270" s="10" t="s">
        <v>651</v>
      </c>
      <c r="C270" s="20">
        <v>45838</v>
      </c>
      <c r="D270" s="10" t="s">
        <v>652</v>
      </c>
      <c r="E270" s="10" t="s">
        <v>653</v>
      </c>
      <c r="F270" s="10" t="s">
        <v>303</v>
      </c>
      <c r="G270" s="23">
        <v>1</v>
      </c>
      <c r="H270" s="26">
        <v>72.81</v>
      </c>
      <c r="I270" s="29">
        <v>0.1</v>
      </c>
      <c r="J270" s="10" t="s">
        <v>40</v>
      </c>
      <c r="K270" s="10" t="s">
        <v>98</v>
      </c>
      <c r="L270" s="15" t="s">
        <v>101</v>
      </c>
    </row>
    <row r="271" spans="1:12" ht="15" customHeight="1">
      <c r="A271" s="14" t="s">
        <v>654</v>
      </c>
      <c r="B271" s="10" t="s">
        <v>651</v>
      </c>
      <c r="C271" s="20">
        <v>45838</v>
      </c>
      <c r="D271" s="10" t="s">
        <v>652</v>
      </c>
      <c r="E271" s="10" t="s">
        <v>653</v>
      </c>
      <c r="F271" s="10" t="s">
        <v>121</v>
      </c>
      <c r="G271" s="23">
        <v>4</v>
      </c>
      <c r="H271" s="26">
        <v>287.16000000000003</v>
      </c>
      <c r="I271" s="29">
        <v>0.1</v>
      </c>
      <c r="J271" s="10" t="s">
        <v>64</v>
      </c>
      <c r="K271" s="10" t="s">
        <v>41</v>
      </c>
      <c r="L271" s="15" t="s">
        <v>42</v>
      </c>
    </row>
    <row r="272" spans="1:12" ht="15" customHeight="1">
      <c r="A272" s="14" t="s">
        <v>655</v>
      </c>
      <c r="B272" s="10" t="s">
        <v>651</v>
      </c>
      <c r="C272" s="20">
        <v>45838</v>
      </c>
      <c r="D272" s="10" t="s">
        <v>652</v>
      </c>
      <c r="E272" s="10" t="s">
        <v>653</v>
      </c>
      <c r="F272" s="10" t="s">
        <v>456</v>
      </c>
      <c r="G272" s="23">
        <v>1</v>
      </c>
      <c r="H272" s="26">
        <v>275.76</v>
      </c>
      <c r="I272" s="29">
        <v>0</v>
      </c>
      <c r="J272" s="10" t="s">
        <v>50</v>
      </c>
      <c r="K272" s="10" t="s">
        <v>46</v>
      </c>
      <c r="L272" s="15" t="s">
        <v>47</v>
      </c>
    </row>
    <row r="273" spans="1:12" ht="15" customHeight="1">
      <c r="A273" s="14" t="s">
        <v>656</v>
      </c>
      <c r="B273" s="10" t="s">
        <v>651</v>
      </c>
      <c r="C273" s="20">
        <v>45838</v>
      </c>
      <c r="D273" s="10" t="s">
        <v>657</v>
      </c>
      <c r="E273" s="10" t="s">
        <v>653</v>
      </c>
      <c r="F273" s="10" t="s">
        <v>180</v>
      </c>
      <c r="G273" s="23">
        <v>1</v>
      </c>
      <c r="H273" s="26">
        <v>91.75</v>
      </c>
      <c r="I273" s="29">
        <v>0</v>
      </c>
      <c r="J273" s="10" t="s">
        <v>70</v>
      </c>
      <c r="K273" s="10" t="s">
        <v>46</v>
      </c>
      <c r="L273" s="15" t="s">
        <v>67</v>
      </c>
    </row>
    <row r="274" spans="1:12" ht="15" customHeight="1">
      <c r="A274" s="14" t="s">
        <v>658</v>
      </c>
      <c r="B274" s="10" t="s">
        <v>659</v>
      </c>
      <c r="C274" s="20">
        <v>45950</v>
      </c>
      <c r="D274" s="10" t="s">
        <v>660</v>
      </c>
      <c r="E274" s="10" t="s">
        <v>661</v>
      </c>
      <c r="F274" s="10" t="s">
        <v>63</v>
      </c>
      <c r="G274" s="23">
        <v>2</v>
      </c>
      <c r="H274" s="26">
        <v>105.38</v>
      </c>
      <c r="I274" s="29">
        <v>0.15</v>
      </c>
      <c r="J274" s="10" t="s">
        <v>64</v>
      </c>
      <c r="K274" s="10" t="s">
        <v>46</v>
      </c>
      <c r="L274" s="15" t="s">
        <v>52</v>
      </c>
    </row>
    <row r="275" spans="1:12" ht="15" customHeight="1">
      <c r="A275" s="14" t="s">
        <v>662</v>
      </c>
      <c r="B275" s="10" t="s">
        <v>659</v>
      </c>
      <c r="C275" s="20">
        <v>45950</v>
      </c>
      <c r="D275" s="10" t="s">
        <v>660</v>
      </c>
      <c r="E275" s="10" t="s">
        <v>661</v>
      </c>
      <c r="F275" s="10" t="s">
        <v>136</v>
      </c>
      <c r="G275" s="23">
        <v>3</v>
      </c>
      <c r="H275" s="26">
        <v>141.46</v>
      </c>
      <c r="I275" s="29">
        <v>0.15</v>
      </c>
      <c r="J275" s="10" t="s">
        <v>45</v>
      </c>
      <c r="K275" s="10" t="s">
        <v>51</v>
      </c>
      <c r="L275" s="15" t="s">
        <v>42</v>
      </c>
    </row>
    <row r="276" spans="1:12" ht="15" customHeight="1">
      <c r="A276" s="14" t="s">
        <v>663</v>
      </c>
      <c r="B276" s="10" t="s">
        <v>659</v>
      </c>
      <c r="C276" s="20">
        <v>45950</v>
      </c>
      <c r="D276" s="10" t="s">
        <v>660</v>
      </c>
      <c r="E276" s="10" t="s">
        <v>661</v>
      </c>
      <c r="F276" s="10" t="s">
        <v>72</v>
      </c>
      <c r="G276" s="23">
        <v>3</v>
      </c>
      <c r="H276" s="26">
        <v>210.2</v>
      </c>
      <c r="I276" s="29">
        <v>0</v>
      </c>
      <c r="J276" s="10" t="s">
        <v>70</v>
      </c>
      <c r="K276" s="10" t="s">
        <v>51</v>
      </c>
      <c r="L276" s="15" t="s">
        <v>47</v>
      </c>
    </row>
    <row r="277" spans="1:12" ht="15" customHeight="1">
      <c r="A277" s="14" t="s">
        <v>664</v>
      </c>
      <c r="B277" s="10" t="s">
        <v>659</v>
      </c>
      <c r="C277" s="20">
        <v>45950</v>
      </c>
      <c r="D277" s="10" t="s">
        <v>660</v>
      </c>
      <c r="E277" s="10" t="s">
        <v>661</v>
      </c>
      <c r="F277" s="10" t="s">
        <v>150</v>
      </c>
      <c r="G277" s="23">
        <v>4</v>
      </c>
      <c r="H277" s="26">
        <v>263.04000000000002</v>
      </c>
      <c r="I277" s="29">
        <v>0.05</v>
      </c>
      <c r="J277" s="10" t="s">
        <v>40</v>
      </c>
      <c r="K277" s="10" t="s">
        <v>98</v>
      </c>
      <c r="L277" s="15" t="s">
        <v>101</v>
      </c>
    </row>
    <row r="278" spans="1:12" ht="15" customHeight="1">
      <c r="A278" s="14" t="s">
        <v>665</v>
      </c>
      <c r="B278" s="10" t="s">
        <v>666</v>
      </c>
      <c r="C278" s="20">
        <v>45781</v>
      </c>
      <c r="D278" s="10" t="s">
        <v>667</v>
      </c>
      <c r="E278" s="10" t="s">
        <v>668</v>
      </c>
      <c r="F278" s="10" t="s">
        <v>309</v>
      </c>
      <c r="G278" s="23">
        <v>4</v>
      </c>
      <c r="H278" s="26">
        <v>56.99</v>
      </c>
      <c r="I278" s="29">
        <v>0.15</v>
      </c>
      <c r="J278" s="10" t="s">
        <v>70</v>
      </c>
      <c r="K278" s="10"/>
      <c r="L278" s="15" t="s">
        <v>52</v>
      </c>
    </row>
    <row r="279" spans="1:12" ht="15" customHeight="1">
      <c r="A279" s="14" t="s">
        <v>669</v>
      </c>
      <c r="B279" s="10" t="s">
        <v>666</v>
      </c>
      <c r="C279" s="20">
        <v>45781</v>
      </c>
      <c r="D279" s="10" t="s">
        <v>667</v>
      </c>
      <c r="E279" s="10" t="s">
        <v>668</v>
      </c>
      <c r="F279" s="10" t="s">
        <v>332</v>
      </c>
      <c r="G279" s="23">
        <v>3</v>
      </c>
      <c r="H279" s="26">
        <v>273.89</v>
      </c>
      <c r="I279" s="29">
        <v>0</v>
      </c>
      <c r="J279" s="10" t="s">
        <v>70</v>
      </c>
      <c r="K279" s="10" t="s">
        <v>41</v>
      </c>
      <c r="L279" s="15" t="s">
        <v>101</v>
      </c>
    </row>
    <row r="280" spans="1:12" ht="15" customHeight="1">
      <c r="A280" s="14" t="s">
        <v>670</v>
      </c>
      <c r="B280" s="10" t="s">
        <v>671</v>
      </c>
      <c r="C280" s="20">
        <v>45689</v>
      </c>
      <c r="D280" s="10" t="s">
        <v>672</v>
      </c>
      <c r="E280" s="10" t="s">
        <v>673</v>
      </c>
      <c r="F280" s="10" t="s">
        <v>521</v>
      </c>
      <c r="G280" s="23">
        <v>4</v>
      </c>
      <c r="H280" s="26">
        <v>37.82</v>
      </c>
      <c r="I280" s="29">
        <v>0</v>
      </c>
      <c r="J280" s="10" t="s">
        <v>40</v>
      </c>
      <c r="K280" s="10"/>
      <c r="L280" s="15" t="s">
        <v>67</v>
      </c>
    </row>
    <row r="281" spans="1:12" ht="15" customHeight="1">
      <c r="A281" s="14" t="s">
        <v>674</v>
      </c>
      <c r="B281" s="10" t="s">
        <v>675</v>
      </c>
      <c r="C281" s="20">
        <v>45781</v>
      </c>
      <c r="D281" s="10" t="s">
        <v>676</v>
      </c>
      <c r="E281" s="10" t="s">
        <v>677</v>
      </c>
      <c r="F281" s="10" t="s">
        <v>270</v>
      </c>
      <c r="G281" s="23">
        <v>3</v>
      </c>
      <c r="H281" s="26">
        <v>214.38</v>
      </c>
      <c r="I281" s="29">
        <v>0</v>
      </c>
      <c r="J281" s="10" t="s">
        <v>64</v>
      </c>
      <c r="K281" s="10" t="s">
        <v>51</v>
      </c>
      <c r="L281" s="15" t="s">
        <v>52</v>
      </c>
    </row>
    <row r="282" spans="1:12" ht="15" customHeight="1">
      <c r="A282" s="14" t="s">
        <v>678</v>
      </c>
      <c r="B282" s="10" t="s">
        <v>679</v>
      </c>
      <c r="C282" s="20">
        <v>45888</v>
      </c>
      <c r="D282" s="10" t="s">
        <v>680</v>
      </c>
      <c r="E282" s="10" t="s">
        <v>681</v>
      </c>
      <c r="F282" s="10" t="s">
        <v>119</v>
      </c>
      <c r="G282" s="23">
        <v>2</v>
      </c>
      <c r="H282" s="26">
        <v>103.3</v>
      </c>
      <c r="I282" s="29">
        <v>0.05</v>
      </c>
      <c r="J282" s="10" t="s">
        <v>40</v>
      </c>
      <c r="K282" s="10" t="s">
        <v>46</v>
      </c>
      <c r="L282" s="15" t="s">
        <v>47</v>
      </c>
    </row>
    <row r="283" spans="1:12" ht="15" customHeight="1">
      <c r="A283" s="14" t="s">
        <v>682</v>
      </c>
      <c r="B283" s="10" t="s">
        <v>683</v>
      </c>
      <c r="C283" s="20">
        <v>45917</v>
      </c>
      <c r="D283" s="10" t="s">
        <v>684</v>
      </c>
      <c r="E283" s="10" t="s">
        <v>685</v>
      </c>
      <c r="F283" s="10" t="s">
        <v>150</v>
      </c>
      <c r="G283" s="23">
        <v>4</v>
      </c>
      <c r="H283" s="26">
        <v>263.04000000000002</v>
      </c>
      <c r="I283" s="29">
        <v>0</v>
      </c>
      <c r="J283" s="10" t="s">
        <v>66</v>
      </c>
      <c r="K283" s="10"/>
      <c r="L283" s="15" t="s">
        <v>42</v>
      </c>
    </row>
    <row r="284" spans="1:12" ht="15" customHeight="1">
      <c r="A284" s="14" t="s">
        <v>686</v>
      </c>
      <c r="B284" s="10" t="s">
        <v>683</v>
      </c>
      <c r="C284" s="20">
        <v>45917</v>
      </c>
      <c r="D284" s="10" t="s">
        <v>684</v>
      </c>
      <c r="E284" s="10" t="s">
        <v>685</v>
      </c>
      <c r="F284" s="10" t="s">
        <v>270</v>
      </c>
      <c r="G284" s="23">
        <v>4</v>
      </c>
      <c r="H284" s="26">
        <v>214.38</v>
      </c>
      <c r="I284" s="29">
        <v>0.15</v>
      </c>
      <c r="J284" s="10" t="s">
        <v>50</v>
      </c>
      <c r="K284" s="10" t="s">
        <v>51</v>
      </c>
      <c r="L284" s="15" t="s">
        <v>101</v>
      </c>
    </row>
    <row r="285" spans="1:12" ht="15" customHeight="1">
      <c r="A285" s="14" t="s">
        <v>687</v>
      </c>
      <c r="B285" s="10" t="s">
        <v>683</v>
      </c>
      <c r="C285" s="20">
        <v>45917</v>
      </c>
      <c r="D285" s="10" t="s">
        <v>684</v>
      </c>
      <c r="E285" s="10" t="s">
        <v>685</v>
      </c>
      <c r="F285" s="10" t="s">
        <v>241</v>
      </c>
      <c r="G285" s="23">
        <v>4</v>
      </c>
      <c r="H285" s="26">
        <v>300.56</v>
      </c>
      <c r="I285" s="29">
        <v>0.05</v>
      </c>
      <c r="J285" s="10" t="s">
        <v>45</v>
      </c>
      <c r="K285" s="10" t="s">
        <v>41</v>
      </c>
      <c r="L285" s="15" t="s">
        <v>42</v>
      </c>
    </row>
    <row r="286" spans="1:12" ht="15" customHeight="1">
      <c r="A286" s="14" t="s">
        <v>688</v>
      </c>
      <c r="B286" s="10" t="s">
        <v>683</v>
      </c>
      <c r="C286" s="20">
        <v>45917</v>
      </c>
      <c r="D286" s="10" t="s">
        <v>684</v>
      </c>
      <c r="E286" s="10" t="s">
        <v>685</v>
      </c>
      <c r="F286" s="10" t="s">
        <v>303</v>
      </c>
      <c r="G286" s="23">
        <v>2</v>
      </c>
      <c r="H286" s="26">
        <v>72.81</v>
      </c>
      <c r="I286" s="29">
        <v>0.15</v>
      </c>
      <c r="J286" s="10" t="s">
        <v>66</v>
      </c>
      <c r="K286" s="10" t="s">
        <v>58</v>
      </c>
      <c r="L286" s="15" t="s">
        <v>52</v>
      </c>
    </row>
    <row r="287" spans="1:12" ht="15" customHeight="1">
      <c r="A287" s="14" t="s">
        <v>689</v>
      </c>
      <c r="B287" s="10" t="s">
        <v>690</v>
      </c>
      <c r="C287" s="20">
        <v>45827</v>
      </c>
      <c r="D287" s="10" t="s">
        <v>437</v>
      </c>
      <c r="E287" s="10" t="s">
        <v>438</v>
      </c>
      <c r="F287" s="10" t="s">
        <v>150</v>
      </c>
      <c r="G287" s="23">
        <v>3</v>
      </c>
      <c r="H287" s="26">
        <v>263.04000000000002</v>
      </c>
      <c r="I287" s="29">
        <v>0.1</v>
      </c>
      <c r="J287" s="10" t="s">
        <v>66</v>
      </c>
      <c r="K287" s="10" t="s">
        <v>98</v>
      </c>
      <c r="L287" s="15" t="s">
        <v>42</v>
      </c>
    </row>
    <row r="288" spans="1:12" ht="15" customHeight="1">
      <c r="A288" s="14" t="s">
        <v>691</v>
      </c>
      <c r="B288" s="10" t="s">
        <v>690</v>
      </c>
      <c r="C288" s="20">
        <v>45827</v>
      </c>
      <c r="D288" s="10" t="s">
        <v>437</v>
      </c>
      <c r="E288" s="10" t="s">
        <v>438</v>
      </c>
      <c r="F288" s="10" t="s">
        <v>77</v>
      </c>
      <c r="G288" s="23">
        <v>2</v>
      </c>
      <c r="H288" s="26">
        <v>34.909999999999997</v>
      </c>
      <c r="I288" s="29">
        <v>0.1</v>
      </c>
      <c r="J288" s="10" t="s">
        <v>45</v>
      </c>
      <c r="K288" s="10" t="s">
        <v>98</v>
      </c>
      <c r="L288" s="15" t="s">
        <v>52</v>
      </c>
    </row>
    <row r="289" spans="1:12" ht="15" customHeight="1">
      <c r="A289" s="14" t="s">
        <v>692</v>
      </c>
      <c r="B289" s="10" t="s">
        <v>693</v>
      </c>
      <c r="C289" s="20">
        <v>45704</v>
      </c>
      <c r="D289" s="10" t="s">
        <v>694</v>
      </c>
      <c r="E289" s="10" t="s">
        <v>695</v>
      </c>
      <c r="F289" s="10" t="s">
        <v>130</v>
      </c>
      <c r="G289" s="23">
        <v>1</v>
      </c>
      <c r="H289" s="26">
        <v>265.73</v>
      </c>
      <c r="I289" s="29">
        <v>0</v>
      </c>
      <c r="J289" s="10" t="s">
        <v>66</v>
      </c>
      <c r="K289" s="10" t="s">
        <v>58</v>
      </c>
      <c r="L289" s="15" t="s">
        <v>42</v>
      </c>
    </row>
    <row r="290" spans="1:12" ht="15" customHeight="1">
      <c r="A290" s="14" t="s">
        <v>696</v>
      </c>
      <c r="B290" s="10" t="s">
        <v>693</v>
      </c>
      <c r="C290" s="20">
        <v>45704</v>
      </c>
      <c r="D290" s="10" t="s">
        <v>697</v>
      </c>
      <c r="E290" s="10" t="s">
        <v>695</v>
      </c>
      <c r="F290" s="10" t="s">
        <v>72</v>
      </c>
      <c r="G290" s="23">
        <v>1</v>
      </c>
      <c r="H290" s="26">
        <v>210.2</v>
      </c>
      <c r="I290" s="29">
        <v>0</v>
      </c>
      <c r="J290" s="10" t="s">
        <v>50</v>
      </c>
      <c r="K290" s="10" t="s">
        <v>41</v>
      </c>
      <c r="L290" s="15" t="s">
        <v>101</v>
      </c>
    </row>
    <row r="291" spans="1:12" ht="15" customHeight="1">
      <c r="A291" s="14" t="s">
        <v>698</v>
      </c>
      <c r="B291" s="10" t="s">
        <v>693</v>
      </c>
      <c r="C291" s="20">
        <v>45704</v>
      </c>
      <c r="D291" s="10" t="s">
        <v>697</v>
      </c>
      <c r="E291" s="10" t="s">
        <v>695</v>
      </c>
      <c r="F291" s="10" t="s">
        <v>251</v>
      </c>
      <c r="G291" s="23">
        <v>2</v>
      </c>
      <c r="H291" s="26">
        <v>228.91</v>
      </c>
      <c r="I291" s="29">
        <v>0</v>
      </c>
      <c r="J291" s="10" t="s">
        <v>40</v>
      </c>
      <c r="K291" s="10" t="s">
        <v>58</v>
      </c>
      <c r="L291" s="15" t="s">
        <v>67</v>
      </c>
    </row>
    <row r="292" spans="1:12" ht="15" customHeight="1">
      <c r="A292" s="14" t="s">
        <v>699</v>
      </c>
      <c r="B292" s="10" t="s">
        <v>693</v>
      </c>
      <c r="C292" s="20">
        <v>45704</v>
      </c>
      <c r="D292" s="10" t="s">
        <v>697</v>
      </c>
      <c r="E292" s="10" t="s">
        <v>695</v>
      </c>
      <c r="F292" s="10" t="s">
        <v>150</v>
      </c>
      <c r="G292" s="23">
        <v>4</v>
      </c>
      <c r="H292" s="26">
        <v>263.04000000000002</v>
      </c>
      <c r="I292" s="29">
        <v>0.15</v>
      </c>
      <c r="J292" s="10" t="s">
        <v>64</v>
      </c>
      <c r="K292" s="10" t="s">
        <v>46</v>
      </c>
      <c r="L292" s="15" t="s">
        <v>67</v>
      </c>
    </row>
    <row r="293" spans="1:12" ht="15" customHeight="1">
      <c r="A293" s="14" t="s">
        <v>700</v>
      </c>
      <c r="B293" s="10" t="s">
        <v>701</v>
      </c>
      <c r="C293" s="20">
        <v>45767</v>
      </c>
      <c r="D293" s="10" t="s">
        <v>256</v>
      </c>
      <c r="E293" s="10" t="s">
        <v>257</v>
      </c>
      <c r="F293" s="10" t="s">
        <v>117</v>
      </c>
      <c r="G293" s="23">
        <v>2</v>
      </c>
      <c r="H293" s="26">
        <v>251.17</v>
      </c>
      <c r="I293" s="29">
        <v>0</v>
      </c>
      <c r="J293" s="10" t="s">
        <v>50</v>
      </c>
      <c r="K293" s="10" t="s">
        <v>51</v>
      </c>
      <c r="L293" s="15" t="s">
        <v>52</v>
      </c>
    </row>
    <row r="294" spans="1:12" ht="15" customHeight="1">
      <c r="A294" s="14" t="s">
        <v>702</v>
      </c>
      <c r="B294" s="10" t="s">
        <v>701</v>
      </c>
      <c r="C294" s="20">
        <v>45767</v>
      </c>
      <c r="D294" s="10" t="s">
        <v>256</v>
      </c>
      <c r="E294" s="10" t="s">
        <v>257</v>
      </c>
      <c r="F294" s="10" t="s">
        <v>495</v>
      </c>
      <c r="G294" s="23">
        <v>2</v>
      </c>
      <c r="H294" s="26">
        <v>207.71</v>
      </c>
      <c r="I294" s="29">
        <v>0.05</v>
      </c>
      <c r="J294" s="10" t="s">
        <v>64</v>
      </c>
      <c r="K294" s="10" t="s">
        <v>98</v>
      </c>
      <c r="L294" s="15" t="s">
        <v>52</v>
      </c>
    </row>
    <row r="295" spans="1:12" ht="15" customHeight="1">
      <c r="A295" s="14" t="s">
        <v>703</v>
      </c>
      <c r="B295" s="10" t="s">
        <v>701</v>
      </c>
      <c r="C295" s="20">
        <v>45767</v>
      </c>
      <c r="D295" s="10" t="s">
        <v>256</v>
      </c>
      <c r="E295" s="10" t="s">
        <v>257</v>
      </c>
      <c r="F295" s="10" t="s">
        <v>100</v>
      </c>
      <c r="G295" s="23">
        <v>2</v>
      </c>
      <c r="H295" s="26">
        <v>42.72</v>
      </c>
      <c r="I295" s="29">
        <v>0</v>
      </c>
      <c r="J295" s="10" t="s">
        <v>70</v>
      </c>
      <c r="K295" s="10" t="s">
        <v>58</v>
      </c>
      <c r="L295" s="15" t="s">
        <v>101</v>
      </c>
    </row>
    <row r="296" spans="1:12" ht="15" customHeight="1">
      <c r="A296" s="14" t="s">
        <v>704</v>
      </c>
      <c r="B296" s="10" t="s">
        <v>701</v>
      </c>
      <c r="C296" s="20">
        <v>45767</v>
      </c>
      <c r="D296" s="10" t="s">
        <v>256</v>
      </c>
      <c r="E296" s="10" t="s">
        <v>257</v>
      </c>
      <c r="F296" s="10" t="s">
        <v>201</v>
      </c>
      <c r="G296" s="23">
        <v>2</v>
      </c>
      <c r="H296" s="26">
        <v>154.47</v>
      </c>
      <c r="I296" s="29">
        <v>0.1</v>
      </c>
      <c r="J296" s="10" t="s">
        <v>70</v>
      </c>
      <c r="K296" s="10" t="s">
        <v>58</v>
      </c>
      <c r="L296" s="15" t="s">
        <v>47</v>
      </c>
    </row>
    <row r="297" spans="1:12" ht="15" customHeight="1">
      <c r="A297" s="14" t="s">
        <v>705</v>
      </c>
      <c r="B297" s="10" t="s">
        <v>706</v>
      </c>
      <c r="C297" s="20">
        <v>45929</v>
      </c>
      <c r="D297" s="10" t="s">
        <v>307</v>
      </c>
      <c r="E297" s="10" t="s">
        <v>308</v>
      </c>
      <c r="F297" s="10" t="s">
        <v>276</v>
      </c>
      <c r="G297" s="23">
        <v>1</v>
      </c>
      <c r="H297" s="26">
        <v>182.94</v>
      </c>
      <c r="I297" s="29">
        <v>0</v>
      </c>
      <c r="J297" s="10" t="s">
        <v>50</v>
      </c>
      <c r="K297" s="10" t="s">
        <v>46</v>
      </c>
      <c r="L297" s="15" t="s">
        <v>67</v>
      </c>
    </row>
    <row r="298" spans="1:12" ht="15" customHeight="1">
      <c r="A298" s="14" t="s">
        <v>707</v>
      </c>
      <c r="B298" s="10" t="s">
        <v>706</v>
      </c>
      <c r="C298" s="20">
        <v>45929</v>
      </c>
      <c r="D298" s="10" t="s">
        <v>307</v>
      </c>
      <c r="E298" s="10" t="s">
        <v>308</v>
      </c>
      <c r="F298" s="10" t="s">
        <v>171</v>
      </c>
      <c r="G298" s="23">
        <v>1</v>
      </c>
      <c r="H298" s="26">
        <v>228.81</v>
      </c>
      <c r="I298" s="29">
        <v>0.15</v>
      </c>
      <c r="J298" s="10" t="s">
        <v>70</v>
      </c>
      <c r="K298" s="10" t="s">
        <v>46</v>
      </c>
      <c r="L298" s="15" t="s">
        <v>47</v>
      </c>
    </row>
    <row r="299" spans="1:12" ht="15" customHeight="1">
      <c r="A299" s="14" t="s">
        <v>708</v>
      </c>
      <c r="B299" s="10" t="s">
        <v>706</v>
      </c>
      <c r="C299" s="20">
        <v>45929</v>
      </c>
      <c r="D299" s="10" t="s">
        <v>307</v>
      </c>
      <c r="E299" s="10" t="s">
        <v>308</v>
      </c>
      <c r="F299" s="10" t="s">
        <v>214</v>
      </c>
      <c r="G299" s="23">
        <v>3</v>
      </c>
      <c r="H299" s="26">
        <v>186.92</v>
      </c>
      <c r="I299" s="29">
        <v>0.05</v>
      </c>
      <c r="J299" s="10" t="s">
        <v>40</v>
      </c>
      <c r="K299" s="10" t="s">
        <v>41</v>
      </c>
      <c r="L299" s="15" t="s">
        <v>52</v>
      </c>
    </row>
    <row r="300" spans="1:12" ht="15" customHeight="1">
      <c r="A300" s="14" t="s">
        <v>709</v>
      </c>
      <c r="B300" s="10" t="s">
        <v>710</v>
      </c>
      <c r="C300" s="20">
        <v>45965</v>
      </c>
      <c r="D300" s="10" t="s">
        <v>382</v>
      </c>
      <c r="E300" s="10" t="s">
        <v>383</v>
      </c>
      <c r="F300" s="10" t="s">
        <v>220</v>
      </c>
      <c r="G300" s="23">
        <v>1</v>
      </c>
      <c r="H300" s="26">
        <v>25.01</v>
      </c>
      <c r="I300" s="29">
        <v>0.05</v>
      </c>
      <c r="J300" s="10" t="s">
        <v>70</v>
      </c>
      <c r="K300" s="10" t="s">
        <v>98</v>
      </c>
      <c r="L300" s="15" t="s">
        <v>52</v>
      </c>
    </row>
    <row r="301" spans="1:12" ht="15" customHeight="1">
      <c r="A301" s="14" t="s">
        <v>711</v>
      </c>
      <c r="B301" s="10" t="s">
        <v>710</v>
      </c>
      <c r="C301" s="20">
        <v>45965</v>
      </c>
      <c r="D301" s="10" t="s">
        <v>382</v>
      </c>
      <c r="E301" s="10" t="s">
        <v>383</v>
      </c>
      <c r="F301" s="10" t="s">
        <v>309</v>
      </c>
      <c r="G301" s="23">
        <v>1</v>
      </c>
      <c r="H301" s="26">
        <v>56.99</v>
      </c>
      <c r="I301" s="29">
        <v>0.05</v>
      </c>
      <c r="J301" s="10" t="s">
        <v>50</v>
      </c>
      <c r="K301" s="10"/>
      <c r="L301" s="15" t="s">
        <v>52</v>
      </c>
    </row>
    <row r="302" spans="1:12" ht="15" customHeight="1">
      <c r="A302" s="14" t="s">
        <v>712</v>
      </c>
      <c r="B302" s="10" t="s">
        <v>713</v>
      </c>
      <c r="C302" s="20">
        <v>45735.041666666664</v>
      </c>
      <c r="D302" s="10" t="s">
        <v>680</v>
      </c>
      <c r="E302" s="10" t="s">
        <v>681</v>
      </c>
      <c r="F302" s="10" t="s">
        <v>178</v>
      </c>
      <c r="G302" s="23">
        <v>4</v>
      </c>
      <c r="H302" s="26">
        <v>61.81</v>
      </c>
      <c r="I302" s="29">
        <v>0.15</v>
      </c>
      <c r="J302" s="10" t="s">
        <v>64</v>
      </c>
      <c r="K302" s="10" t="s">
        <v>51</v>
      </c>
      <c r="L302" s="15" t="s">
        <v>101</v>
      </c>
    </row>
    <row r="303" spans="1:12" ht="15" customHeight="1">
      <c r="A303" s="14" t="s">
        <v>714</v>
      </c>
      <c r="B303" s="10" t="s">
        <v>713</v>
      </c>
      <c r="C303" s="20">
        <v>45735.041666666664</v>
      </c>
      <c r="D303" s="10" t="s">
        <v>680</v>
      </c>
      <c r="E303" s="10" t="s">
        <v>681</v>
      </c>
      <c r="F303" s="10" t="s">
        <v>80</v>
      </c>
      <c r="G303" s="23">
        <v>4</v>
      </c>
      <c r="H303" s="26">
        <v>142.16</v>
      </c>
      <c r="I303" s="29">
        <v>0.15</v>
      </c>
      <c r="J303" s="10" t="s">
        <v>70</v>
      </c>
      <c r="K303" s="10" t="s">
        <v>51</v>
      </c>
      <c r="L303" s="15" t="s">
        <v>47</v>
      </c>
    </row>
    <row r="304" spans="1:12" ht="15" customHeight="1">
      <c r="A304" s="14" t="s">
        <v>715</v>
      </c>
      <c r="B304" s="10" t="s">
        <v>716</v>
      </c>
      <c r="C304" s="20">
        <v>45697</v>
      </c>
      <c r="D304" s="10" t="s">
        <v>104</v>
      </c>
      <c r="E304" s="10" t="s">
        <v>105</v>
      </c>
      <c r="F304" s="10" t="s">
        <v>214</v>
      </c>
      <c r="G304" s="23">
        <v>2</v>
      </c>
      <c r="H304" s="26">
        <v>186.92</v>
      </c>
      <c r="I304" s="29">
        <v>0</v>
      </c>
      <c r="J304" s="10" t="s">
        <v>45</v>
      </c>
      <c r="K304" s="10"/>
      <c r="L304" s="15" t="s">
        <v>101</v>
      </c>
    </row>
    <row r="305" spans="1:12" ht="15" customHeight="1">
      <c r="A305" s="14" t="s">
        <v>717</v>
      </c>
      <c r="B305" s="10" t="s">
        <v>716</v>
      </c>
      <c r="C305" s="20">
        <v>45697</v>
      </c>
      <c r="D305" s="10" t="s">
        <v>104</v>
      </c>
      <c r="E305" s="10" t="s">
        <v>105</v>
      </c>
      <c r="F305" s="10" t="s">
        <v>251</v>
      </c>
      <c r="G305" s="23">
        <v>3</v>
      </c>
      <c r="H305" s="26">
        <v>228.91</v>
      </c>
      <c r="I305" s="29">
        <v>0</v>
      </c>
      <c r="J305" s="10" t="s">
        <v>40</v>
      </c>
      <c r="K305" s="10" t="s">
        <v>58</v>
      </c>
      <c r="L305" s="15" t="s">
        <v>101</v>
      </c>
    </row>
    <row r="306" spans="1:12" ht="15" customHeight="1">
      <c r="A306" s="14" t="s">
        <v>718</v>
      </c>
      <c r="B306" s="10" t="s">
        <v>719</v>
      </c>
      <c r="C306" s="20">
        <v>45906</v>
      </c>
      <c r="D306" s="10" t="s">
        <v>499</v>
      </c>
      <c r="E306" s="10" t="s">
        <v>500</v>
      </c>
      <c r="F306" s="10" t="s">
        <v>196</v>
      </c>
      <c r="G306" s="23">
        <v>3</v>
      </c>
      <c r="H306" s="26">
        <v>183.73</v>
      </c>
      <c r="I306" s="29">
        <v>0</v>
      </c>
      <c r="J306" s="10" t="s">
        <v>64</v>
      </c>
      <c r="K306" s="10" t="s">
        <v>98</v>
      </c>
      <c r="L306" s="15" t="s">
        <v>52</v>
      </c>
    </row>
    <row r="307" spans="1:12" ht="15" customHeight="1">
      <c r="A307" s="14" t="s">
        <v>720</v>
      </c>
      <c r="B307" s="10" t="s">
        <v>719</v>
      </c>
      <c r="C307" s="20">
        <v>45906</v>
      </c>
      <c r="D307" s="10" t="s">
        <v>499</v>
      </c>
      <c r="E307" s="10" t="s">
        <v>500</v>
      </c>
      <c r="F307" s="10" t="s">
        <v>150</v>
      </c>
      <c r="G307" s="23">
        <v>2</v>
      </c>
      <c r="H307" s="26">
        <v>263.04000000000002</v>
      </c>
      <c r="I307" s="29">
        <v>0.05</v>
      </c>
      <c r="J307" s="10" t="s">
        <v>64</v>
      </c>
      <c r="K307" s="10" t="s">
        <v>41</v>
      </c>
      <c r="L307" s="15" t="s">
        <v>42</v>
      </c>
    </row>
    <row r="308" spans="1:12" ht="15" customHeight="1">
      <c r="A308" s="14" t="s">
        <v>721</v>
      </c>
      <c r="B308" s="10" t="s">
        <v>719</v>
      </c>
      <c r="C308" s="20">
        <v>45906</v>
      </c>
      <c r="D308" s="10" t="s">
        <v>499</v>
      </c>
      <c r="E308" s="10" t="s">
        <v>500</v>
      </c>
      <c r="F308" s="10" t="s">
        <v>196</v>
      </c>
      <c r="G308" s="23">
        <v>4</v>
      </c>
      <c r="H308" s="26">
        <v>183.73</v>
      </c>
      <c r="I308" s="29">
        <v>0</v>
      </c>
      <c r="J308" s="10" t="s">
        <v>70</v>
      </c>
      <c r="K308" s="10" t="s">
        <v>51</v>
      </c>
      <c r="L308" s="15" t="s">
        <v>47</v>
      </c>
    </row>
    <row r="309" spans="1:12" ht="15" customHeight="1">
      <c r="A309" s="14" t="s">
        <v>722</v>
      </c>
      <c r="B309" s="10" t="s">
        <v>723</v>
      </c>
      <c r="C309" s="20">
        <v>45895</v>
      </c>
      <c r="D309" s="10" t="s">
        <v>724</v>
      </c>
      <c r="E309" s="10" t="s">
        <v>725</v>
      </c>
      <c r="F309" s="10" t="s">
        <v>238</v>
      </c>
      <c r="G309" s="23">
        <v>2</v>
      </c>
      <c r="H309" s="26">
        <v>82.77</v>
      </c>
      <c r="I309" s="29">
        <v>0.05</v>
      </c>
      <c r="J309" s="10" t="s">
        <v>40</v>
      </c>
      <c r="K309" s="10" t="s">
        <v>58</v>
      </c>
      <c r="L309" s="15" t="s">
        <v>47</v>
      </c>
    </row>
    <row r="310" spans="1:12" ht="15" customHeight="1">
      <c r="A310" s="14" t="s">
        <v>726</v>
      </c>
      <c r="B310" s="10" t="s">
        <v>723</v>
      </c>
      <c r="C310" s="20">
        <v>45895</v>
      </c>
      <c r="D310" s="10" t="s">
        <v>727</v>
      </c>
      <c r="E310" s="10" t="s">
        <v>725</v>
      </c>
      <c r="F310" s="10" t="s">
        <v>150</v>
      </c>
      <c r="G310" s="23">
        <v>2</v>
      </c>
      <c r="H310" s="26">
        <v>263.04000000000002</v>
      </c>
      <c r="I310" s="29">
        <v>0.15</v>
      </c>
      <c r="J310" s="10" t="s">
        <v>50</v>
      </c>
      <c r="K310" s="10" t="s">
        <v>41</v>
      </c>
      <c r="L310" s="15" t="s">
        <v>52</v>
      </c>
    </row>
    <row r="311" spans="1:12" ht="15" customHeight="1">
      <c r="A311" s="14" t="s">
        <v>728</v>
      </c>
      <c r="B311" s="10" t="s">
        <v>729</v>
      </c>
      <c r="C311" s="20">
        <v>45783</v>
      </c>
      <c r="D311" s="10" t="s">
        <v>193</v>
      </c>
      <c r="E311" s="10" t="s">
        <v>194</v>
      </c>
      <c r="F311" s="10" t="s">
        <v>251</v>
      </c>
      <c r="G311" s="23">
        <v>1</v>
      </c>
      <c r="H311" s="26">
        <v>228.91</v>
      </c>
      <c r="I311" s="29">
        <v>0.15</v>
      </c>
      <c r="J311" s="10" t="s">
        <v>45</v>
      </c>
      <c r="K311" s="10"/>
      <c r="L311" s="15" t="s">
        <v>101</v>
      </c>
    </row>
    <row r="312" spans="1:12" ht="15" customHeight="1">
      <c r="A312" s="14" t="s">
        <v>730</v>
      </c>
      <c r="B312" s="10" t="s">
        <v>729</v>
      </c>
      <c r="C312" s="20">
        <v>45783</v>
      </c>
      <c r="D312" s="10" t="s">
        <v>193</v>
      </c>
      <c r="E312" s="10" t="s">
        <v>194</v>
      </c>
      <c r="F312" s="10" t="s">
        <v>495</v>
      </c>
      <c r="G312" s="23">
        <v>4</v>
      </c>
      <c r="H312" s="26">
        <v>207.71</v>
      </c>
      <c r="I312" s="29">
        <v>0</v>
      </c>
      <c r="J312" s="10" t="s">
        <v>66</v>
      </c>
      <c r="K312" s="10" t="s">
        <v>98</v>
      </c>
      <c r="L312" s="15" t="s">
        <v>42</v>
      </c>
    </row>
    <row r="313" spans="1:12" ht="15" customHeight="1">
      <c r="A313" s="14" t="s">
        <v>731</v>
      </c>
      <c r="B313" s="10" t="s">
        <v>732</v>
      </c>
      <c r="C313" s="20">
        <v>45682</v>
      </c>
      <c r="D313" s="10" t="s">
        <v>733</v>
      </c>
      <c r="E313" s="10" t="s">
        <v>734</v>
      </c>
      <c r="F313" s="10" t="s">
        <v>128</v>
      </c>
      <c r="G313" s="23">
        <v>3</v>
      </c>
      <c r="H313" s="26">
        <v>25.15</v>
      </c>
      <c r="I313" s="29">
        <v>0.1</v>
      </c>
      <c r="J313" s="10" t="s">
        <v>45</v>
      </c>
      <c r="K313" s="10" t="s">
        <v>46</v>
      </c>
      <c r="L313" s="15" t="s">
        <v>67</v>
      </c>
    </row>
    <row r="314" spans="1:12" ht="15" customHeight="1">
      <c r="A314" s="14" t="s">
        <v>735</v>
      </c>
      <c r="B314" s="10" t="s">
        <v>732</v>
      </c>
      <c r="C314" s="20">
        <v>45682</v>
      </c>
      <c r="D314" s="10" t="s">
        <v>733</v>
      </c>
      <c r="E314" s="10" t="s">
        <v>734</v>
      </c>
      <c r="F314" s="10" t="s">
        <v>332</v>
      </c>
      <c r="G314" s="23">
        <v>1</v>
      </c>
      <c r="H314" s="26">
        <v>273.89</v>
      </c>
      <c r="I314" s="29">
        <v>0.05</v>
      </c>
      <c r="J314" s="10" t="s">
        <v>64</v>
      </c>
      <c r="K314" s="10"/>
      <c r="L314" s="15" t="s">
        <v>42</v>
      </c>
    </row>
    <row r="315" spans="1:12" ht="15" customHeight="1">
      <c r="A315" s="14" t="s">
        <v>736</v>
      </c>
      <c r="B315" s="10" t="s">
        <v>737</v>
      </c>
      <c r="C315" s="20">
        <v>45999</v>
      </c>
      <c r="D315" s="10" t="s">
        <v>738</v>
      </c>
      <c r="E315" s="10" t="s">
        <v>739</v>
      </c>
      <c r="F315" s="10" t="s">
        <v>220</v>
      </c>
      <c r="G315" s="23">
        <v>1</v>
      </c>
      <c r="H315" s="26">
        <v>25.01</v>
      </c>
      <c r="I315" s="29">
        <v>0</v>
      </c>
      <c r="J315" s="10" t="s">
        <v>66</v>
      </c>
      <c r="K315" s="10"/>
      <c r="L315" s="15" t="s">
        <v>47</v>
      </c>
    </row>
    <row r="316" spans="1:12" ht="15" customHeight="1">
      <c r="A316" s="14" t="s">
        <v>740</v>
      </c>
      <c r="B316" s="10" t="s">
        <v>737</v>
      </c>
      <c r="C316" s="20">
        <v>45999</v>
      </c>
      <c r="D316" s="10" t="s">
        <v>738</v>
      </c>
      <c r="E316" s="10" t="s">
        <v>739</v>
      </c>
      <c r="F316" s="10" t="s">
        <v>119</v>
      </c>
      <c r="G316" s="23">
        <v>1</v>
      </c>
      <c r="H316" s="26">
        <v>103.3</v>
      </c>
      <c r="I316" s="29">
        <v>0</v>
      </c>
      <c r="J316" s="10" t="s">
        <v>70</v>
      </c>
      <c r="K316" s="10" t="s">
        <v>98</v>
      </c>
      <c r="L316" s="15" t="s">
        <v>101</v>
      </c>
    </row>
    <row r="317" spans="1:12" ht="15" customHeight="1">
      <c r="A317" s="14" t="s">
        <v>741</v>
      </c>
      <c r="B317" s="10" t="s">
        <v>742</v>
      </c>
      <c r="C317" s="20">
        <v>45702</v>
      </c>
      <c r="D317" s="10" t="s">
        <v>91</v>
      </c>
      <c r="E317" s="10" t="s">
        <v>92</v>
      </c>
      <c r="F317" s="10" t="s">
        <v>88</v>
      </c>
      <c r="G317" s="23">
        <v>1</v>
      </c>
      <c r="H317" s="26">
        <v>147.46</v>
      </c>
      <c r="I317" s="29">
        <v>0</v>
      </c>
      <c r="J317" s="10" t="s">
        <v>40</v>
      </c>
      <c r="K317" s="10" t="s">
        <v>41</v>
      </c>
      <c r="L317" s="15" t="s">
        <v>52</v>
      </c>
    </row>
    <row r="318" spans="1:12" ht="15" customHeight="1">
      <c r="A318" s="14" t="s">
        <v>743</v>
      </c>
      <c r="B318" s="10" t="s">
        <v>742</v>
      </c>
      <c r="C318" s="20">
        <v>45702</v>
      </c>
      <c r="D318" s="10" t="s">
        <v>91</v>
      </c>
      <c r="E318" s="10" t="s">
        <v>92</v>
      </c>
      <c r="F318" s="10" t="s">
        <v>196</v>
      </c>
      <c r="G318" s="23">
        <v>4</v>
      </c>
      <c r="H318" s="26">
        <v>183.73</v>
      </c>
      <c r="I318" s="29">
        <v>0</v>
      </c>
      <c r="J318" s="10" t="s">
        <v>45</v>
      </c>
      <c r="K318" s="10" t="s">
        <v>51</v>
      </c>
      <c r="L318" s="15" t="s">
        <v>47</v>
      </c>
    </row>
    <row r="319" spans="1:12" ht="15" customHeight="1">
      <c r="A319" s="14" t="s">
        <v>744</v>
      </c>
      <c r="B319" s="10" t="s">
        <v>742</v>
      </c>
      <c r="C319" s="20">
        <v>45702</v>
      </c>
      <c r="D319" s="10" t="s">
        <v>91</v>
      </c>
      <c r="E319" s="10" t="s">
        <v>92</v>
      </c>
      <c r="F319" s="10" t="s">
        <v>112</v>
      </c>
      <c r="G319" s="23">
        <v>1</v>
      </c>
      <c r="H319" s="26">
        <v>88.61</v>
      </c>
      <c r="I319" s="29">
        <v>0.1</v>
      </c>
      <c r="J319" s="10" t="s">
        <v>64</v>
      </c>
      <c r="K319" s="10"/>
      <c r="L319" s="15" t="s">
        <v>42</v>
      </c>
    </row>
    <row r="320" spans="1:12" ht="15" customHeight="1">
      <c r="A320" s="14" t="s">
        <v>745</v>
      </c>
      <c r="B320" s="10" t="s">
        <v>742</v>
      </c>
      <c r="C320" s="20">
        <v>45702</v>
      </c>
      <c r="D320" s="10" t="s">
        <v>91</v>
      </c>
      <c r="E320" s="10" t="s">
        <v>92</v>
      </c>
      <c r="F320" s="10" t="s">
        <v>72</v>
      </c>
      <c r="G320" s="23">
        <v>1</v>
      </c>
      <c r="H320" s="26">
        <v>210.2</v>
      </c>
      <c r="I320" s="29">
        <v>0.05</v>
      </c>
      <c r="J320" s="10" t="s">
        <v>40</v>
      </c>
      <c r="K320" s="10"/>
      <c r="L320" s="15" t="s">
        <v>52</v>
      </c>
    </row>
    <row r="321" spans="1:12" ht="15" customHeight="1">
      <c r="A321" s="14" t="s">
        <v>746</v>
      </c>
      <c r="B321" s="10" t="s">
        <v>747</v>
      </c>
      <c r="C321" s="20">
        <v>45948</v>
      </c>
      <c r="D321" s="10" t="s">
        <v>748</v>
      </c>
      <c r="E321" s="10" t="s">
        <v>749</v>
      </c>
      <c r="F321" s="10" t="s">
        <v>108</v>
      </c>
      <c r="G321" s="23">
        <v>2</v>
      </c>
      <c r="H321" s="26">
        <v>33.369999999999997</v>
      </c>
      <c r="I321" s="29">
        <v>0.05</v>
      </c>
      <c r="J321" s="10" t="s">
        <v>40</v>
      </c>
      <c r="K321" s="10"/>
      <c r="L321" s="15" t="s">
        <v>47</v>
      </c>
    </row>
    <row r="322" spans="1:12" ht="15" customHeight="1">
      <c r="A322" s="14" t="s">
        <v>750</v>
      </c>
      <c r="B322" s="10" t="s">
        <v>747</v>
      </c>
      <c r="C322" s="20">
        <v>45948</v>
      </c>
      <c r="D322" s="10" t="s">
        <v>748</v>
      </c>
      <c r="E322" s="10" t="s">
        <v>749</v>
      </c>
      <c r="F322" s="10" t="s">
        <v>121</v>
      </c>
      <c r="G322" s="23">
        <v>2</v>
      </c>
      <c r="H322" s="26">
        <v>287.16000000000003</v>
      </c>
      <c r="I322" s="29">
        <v>0</v>
      </c>
      <c r="J322" s="10" t="s">
        <v>45</v>
      </c>
      <c r="K322" s="10" t="s">
        <v>58</v>
      </c>
      <c r="L322" s="15" t="s">
        <v>47</v>
      </c>
    </row>
    <row r="323" spans="1:12" ht="15" customHeight="1">
      <c r="A323" s="14" t="s">
        <v>751</v>
      </c>
      <c r="B323" s="10" t="s">
        <v>747</v>
      </c>
      <c r="C323" s="20">
        <v>45948</v>
      </c>
      <c r="D323" s="10" t="s">
        <v>748</v>
      </c>
      <c r="E323" s="10" t="s">
        <v>749</v>
      </c>
      <c r="F323" s="10" t="s">
        <v>495</v>
      </c>
      <c r="G323" s="23">
        <v>4</v>
      </c>
      <c r="H323" s="26">
        <v>207.71</v>
      </c>
      <c r="I323" s="29">
        <v>0.15</v>
      </c>
      <c r="J323" s="10" t="s">
        <v>64</v>
      </c>
      <c r="K323" s="10"/>
      <c r="L323" s="15" t="s">
        <v>52</v>
      </c>
    </row>
    <row r="324" spans="1:12" ht="15" customHeight="1">
      <c r="A324" s="14" t="s">
        <v>752</v>
      </c>
      <c r="B324" s="10" t="s">
        <v>747</v>
      </c>
      <c r="C324" s="20">
        <v>45948</v>
      </c>
      <c r="D324" s="10" t="s">
        <v>748</v>
      </c>
      <c r="E324" s="10" t="s">
        <v>749</v>
      </c>
      <c r="F324" s="10" t="s">
        <v>456</v>
      </c>
      <c r="G324" s="23">
        <v>1</v>
      </c>
      <c r="H324" s="26">
        <v>275.76</v>
      </c>
      <c r="I324" s="29">
        <v>0.15</v>
      </c>
      <c r="J324" s="10" t="s">
        <v>64</v>
      </c>
      <c r="K324" s="10" t="s">
        <v>46</v>
      </c>
      <c r="L324" s="15" t="s">
        <v>42</v>
      </c>
    </row>
    <row r="325" spans="1:12" ht="15" customHeight="1">
      <c r="A325" s="14" t="s">
        <v>753</v>
      </c>
      <c r="B325" s="10" t="s">
        <v>754</v>
      </c>
      <c r="C325" s="20">
        <v>45737.041666666664</v>
      </c>
      <c r="D325" s="10" t="s">
        <v>755</v>
      </c>
      <c r="E325" s="10" t="s">
        <v>756</v>
      </c>
      <c r="F325" s="10" t="s">
        <v>108</v>
      </c>
      <c r="G325" s="23">
        <v>4</v>
      </c>
      <c r="H325" s="26">
        <v>33.369999999999997</v>
      </c>
      <c r="I325" s="29">
        <v>0.15</v>
      </c>
      <c r="J325" s="10" t="s">
        <v>64</v>
      </c>
      <c r="K325" s="10" t="s">
        <v>41</v>
      </c>
      <c r="L325" s="15" t="s">
        <v>101</v>
      </c>
    </row>
    <row r="326" spans="1:12" ht="15" customHeight="1">
      <c r="A326" s="14" t="s">
        <v>757</v>
      </c>
      <c r="B326" s="10" t="s">
        <v>754</v>
      </c>
      <c r="C326" s="20">
        <v>45737.041666666664</v>
      </c>
      <c r="D326" s="10" t="s">
        <v>755</v>
      </c>
      <c r="E326" s="10" t="s">
        <v>756</v>
      </c>
      <c r="F326" s="10" t="s">
        <v>77</v>
      </c>
      <c r="G326" s="23">
        <v>3</v>
      </c>
      <c r="H326" s="26">
        <v>34.909999999999997</v>
      </c>
      <c r="I326" s="29">
        <v>0.1</v>
      </c>
      <c r="J326" s="10" t="s">
        <v>40</v>
      </c>
      <c r="K326" s="10" t="s">
        <v>41</v>
      </c>
      <c r="L326" s="15" t="s">
        <v>52</v>
      </c>
    </row>
    <row r="327" spans="1:12" ht="15" customHeight="1">
      <c r="A327" s="14" t="s">
        <v>758</v>
      </c>
      <c r="B327" s="10" t="s">
        <v>759</v>
      </c>
      <c r="C327" s="20">
        <v>45687</v>
      </c>
      <c r="D327" s="10" t="s">
        <v>760</v>
      </c>
      <c r="E327" s="10" t="s">
        <v>761</v>
      </c>
      <c r="F327" s="10" t="s">
        <v>279</v>
      </c>
      <c r="G327" s="23">
        <v>2</v>
      </c>
      <c r="H327" s="26">
        <v>52.79</v>
      </c>
      <c r="I327" s="29">
        <v>0.05</v>
      </c>
      <c r="J327" s="10" t="s">
        <v>45</v>
      </c>
      <c r="K327" s="10" t="s">
        <v>46</v>
      </c>
      <c r="L327" s="15" t="s">
        <v>67</v>
      </c>
    </row>
    <row r="328" spans="1:12" ht="15" customHeight="1">
      <c r="A328" s="14" t="s">
        <v>762</v>
      </c>
      <c r="B328" s="10" t="s">
        <v>759</v>
      </c>
      <c r="C328" s="20">
        <v>45687</v>
      </c>
      <c r="D328" s="10" t="s">
        <v>760</v>
      </c>
      <c r="E328" s="10" t="s">
        <v>761</v>
      </c>
      <c r="F328" s="10" t="s">
        <v>521</v>
      </c>
      <c r="G328" s="23">
        <v>1</v>
      </c>
      <c r="H328" s="26">
        <v>37.82</v>
      </c>
      <c r="I328" s="29">
        <v>0</v>
      </c>
      <c r="J328" s="10" t="s">
        <v>45</v>
      </c>
      <c r="K328" s="10" t="s">
        <v>46</v>
      </c>
      <c r="L328" s="15" t="s">
        <v>42</v>
      </c>
    </row>
    <row r="329" spans="1:12" ht="15" customHeight="1">
      <c r="A329" s="14" t="s">
        <v>763</v>
      </c>
      <c r="B329" s="10" t="s">
        <v>759</v>
      </c>
      <c r="C329" s="20">
        <v>45687</v>
      </c>
      <c r="D329" s="10" t="s">
        <v>760</v>
      </c>
      <c r="E329" s="10" t="s">
        <v>761</v>
      </c>
      <c r="F329" s="10" t="s">
        <v>521</v>
      </c>
      <c r="G329" s="23">
        <v>2</v>
      </c>
      <c r="H329" s="26">
        <v>37.82</v>
      </c>
      <c r="I329" s="29">
        <v>0.15</v>
      </c>
      <c r="J329" s="10" t="s">
        <v>66</v>
      </c>
      <c r="K329" s="10" t="s">
        <v>51</v>
      </c>
      <c r="L329" s="15" t="s">
        <v>67</v>
      </c>
    </row>
    <row r="330" spans="1:12" ht="15" customHeight="1">
      <c r="A330" s="14" t="s">
        <v>764</v>
      </c>
      <c r="B330" s="10" t="s">
        <v>765</v>
      </c>
      <c r="C330" s="20">
        <v>45690</v>
      </c>
      <c r="D330" s="10" t="s">
        <v>697</v>
      </c>
      <c r="E330" s="10" t="s">
        <v>695</v>
      </c>
      <c r="F330" s="10" t="s">
        <v>77</v>
      </c>
      <c r="G330" s="23">
        <v>3</v>
      </c>
      <c r="H330" s="26">
        <v>34.909999999999997</v>
      </c>
      <c r="I330" s="29">
        <v>0.15</v>
      </c>
      <c r="J330" s="10" t="s">
        <v>45</v>
      </c>
      <c r="K330" s="10" t="s">
        <v>41</v>
      </c>
      <c r="L330" s="15" t="s">
        <v>47</v>
      </c>
    </row>
    <row r="331" spans="1:12" ht="15" customHeight="1">
      <c r="A331" s="14" t="s">
        <v>766</v>
      </c>
      <c r="B331" s="10" t="s">
        <v>765</v>
      </c>
      <c r="C331" s="20">
        <v>45690</v>
      </c>
      <c r="D331" s="10" t="s">
        <v>697</v>
      </c>
      <c r="E331" s="10" t="s">
        <v>695</v>
      </c>
      <c r="F331" s="10" t="s">
        <v>150</v>
      </c>
      <c r="G331" s="23">
        <v>2</v>
      </c>
      <c r="H331" s="26">
        <v>263.04000000000002</v>
      </c>
      <c r="I331" s="29">
        <v>0</v>
      </c>
      <c r="J331" s="10" t="s">
        <v>50</v>
      </c>
      <c r="K331" s="10" t="s">
        <v>51</v>
      </c>
      <c r="L331" s="15" t="s">
        <v>42</v>
      </c>
    </row>
    <row r="332" spans="1:12" ht="15" customHeight="1">
      <c r="A332" s="14" t="s">
        <v>767</v>
      </c>
      <c r="B332" s="10" t="s">
        <v>768</v>
      </c>
      <c r="C332" s="20">
        <v>45849</v>
      </c>
      <c r="D332" s="10" t="s">
        <v>548</v>
      </c>
      <c r="E332" s="10" t="s">
        <v>549</v>
      </c>
      <c r="F332" s="10" t="s">
        <v>521</v>
      </c>
      <c r="G332" s="23">
        <v>4</v>
      </c>
      <c r="H332" s="26">
        <v>37.82</v>
      </c>
      <c r="I332" s="29">
        <v>0</v>
      </c>
      <c r="J332" s="10" t="s">
        <v>64</v>
      </c>
      <c r="K332" s="10" t="s">
        <v>58</v>
      </c>
      <c r="L332" s="15" t="s">
        <v>52</v>
      </c>
    </row>
    <row r="333" spans="1:12" ht="15" customHeight="1">
      <c r="A333" s="14" t="s">
        <v>769</v>
      </c>
      <c r="B333" s="10" t="s">
        <v>768</v>
      </c>
      <c r="C333" s="20">
        <v>45849</v>
      </c>
      <c r="D333" s="10" t="s">
        <v>548</v>
      </c>
      <c r="E333" s="10" t="s">
        <v>549</v>
      </c>
      <c r="F333" s="10" t="s">
        <v>108</v>
      </c>
      <c r="G333" s="23">
        <v>2</v>
      </c>
      <c r="H333" s="26">
        <v>33.369999999999997</v>
      </c>
      <c r="I333" s="29">
        <v>0.1</v>
      </c>
      <c r="J333" s="10" t="s">
        <v>45</v>
      </c>
      <c r="K333" s="10" t="s">
        <v>46</v>
      </c>
      <c r="L333" s="15" t="s">
        <v>47</v>
      </c>
    </row>
    <row r="334" spans="1:12" ht="15" customHeight="1">
      <c r="A334" s="14" t="s">
        <v>770</v>
      </c>
      <c r="B334" s="10" t="s">
        <v>768</v>
      </c>
      <c r="C334" s="20">
        <v>45849</v>
      </c>
      <c r="D334" s="10" t="s">
        <v>548</v>
      </c>
      <c r="E334" s="10" t="s">
        <v>549</v>
      </c>
      <c r="F334" s="10" t="s">
        <v>495</v>
      </c>
      <c r="G334" s="23">
        <v>3</v>
      </c>
      <c r="H334" s="26">
        <v>207.71</v>
      </c>
      <c r="I334" s="29">
        <v>0.15</v>
      </c>
      <c r="J334" s="10" t="s">
        <v>45</v>
      </c>
      <c r="K334" s="10" t="s">
        <v>58</v>
      </c>
      <c r="L334" s="15" t="s">
        <v>52</v>
      </c>
    </row>
    <row r="335" spans="1:12" ht="15" customHeight="1">
      <c r="A335" s="14" t="s">
        <v>771</v>
      </c>
      <c r="B335" s="10" t="s">
        <v>768</v>
      </c>
      <c r="C335" s="20">
        <v>45849</v>
      </c>
      <c r="D335" s="10" t="s">
        <v>548</v>
      </c>
      <c r="E335" s="10" t="s">
        <v>549</v>
      </c>
      <c r="F335" s="10" t="s">
        <v>108</v>
      </c>
      <c r="G335" s="23">
        <v>2</v>
      </c>
      <c r="H335" s="26">
        <v>33.369999999999997</v>
      </c>
      <c r="I335" s="29">
        <v>0.1</v>
      </c>
      <c r="J335" s="10" t="s">
        <v>66</v>
      </c>
      <c r="K335" s="10" t="s">
        <v>41</v>
      </c>
      <c r="L335" s="15" t="s">
        <v>52</v>
      </c>
    </row>
    <row r="336" spans="1:12" ht="15" customHeight="1">
      <c r="A336" s="14" t="s">
        <v>772</v>
      </c>
      <c r="B336" s="10" t="s">
        <v>773</v>
      </c>
      <c r="C336" s="20">
        <v>45887</v>
      </c>
      <c r="D336" s="10" t="s">
        <v>733</v>
      </c>
      <c r="E336" s="10" t="s">
        <v>734</v>
      </c>
      <c r="F336" s="10" t="s">
        <v>106</v>
      </c>
      <c r="G336" s="23">
        <v>1</v>
      </c>
      <c r="H336" s="26">
        <v>195.38</v>
      </c>
      <c r="I336" s="29">
        <v>0</v>
      </c>
      <c r="J336" s="10" t="s">
        <v>64</v>
      </c>
      <c r="K336" s="10" t="s">
        <v>58</v>
      </c>
      <c r="L336" s="15" t="s">
        <v>52</v>
      </c>
    </row>
    <row r="337" spans="1:12" ht="15" customHeight="1">
      <c r="A337" s="14" t="s">
        <v>774</v>
      </c>
      <c r="B337" s="10" t="s">
        <v>773</v>
      </c>
      <c r="C337" s="20">
        <v>45887</v>
      </c>
      <c r="D337" s="10" t="s">
        <v>733</v>
      </c>
      <c r="E337" s="10" t="s">
        <v>734</v>
      </c>
      <c r="F337" s="10" t="s">
        <v>100</v>
      </c>
      <c r="G337" s="23">
        <v>3</v>
      </c>
      <c r="H337" s="26">
        <v>42.72</v>
      </c>
      <c r="I337" s="29">
        <v>0.1</v>
      </c>
      <c r="J337" s="10" t="s">
        <v>40</v>
      </c>
      <c r="K337" s="10" t="s">
        <v>46</v>
      </c>
      <c r="L337" s="15" t="s">
        <v>42</v>
      </c>
    </row>
    <row r="338" spans="1:12" ht="15" customHeight="1">
      <c r="A338" s="14" t="s">
        <v>775</v>
      </c>
      <c r="B338" s="10" t="s">
        <v>773</v>
      </c>
      <c r="C338" s="20">
        <v>45887</v>
      </c>
      <c r="D338" s="10" t="s">
        <v>776</v>
      </c>
      <c r="E338" s="10" t="s">
        <v>734</v>
      </c>
      <c r="F338" s="10" t="s">
        <v>468</v>
      </c>
      <c r="G338" s="23">
        <v>1</v>
      </c>
      <c r="H338" s="26">
        <v>160</v>
      </c>
      <c r="I338" s="29">
        <v>0.05</v>
      </c>
      <c r="J338" s="10" t="s">
        <v>50</v>
      </c>
      <c r="K338" s="10" t="s">
        <v>41</v>
      </c>
      <c r="L338" s="15" t="s">
        <v>47</v>
      </c>
    </row>
    <row r="339" spans="1:12" ht="15" customHeight="1">
      <c r="A339" s="14" t="s">
        <v>777</v>
      </c>
      <c r="B339" s="10" t="s">
        <v>778</v>
      </c>
      <c r="C339" s="20">
        <v>45896</v>
      </c>
      <c r="D339" s="10" t="s">
        <v>450</v>
      </c>
      <c r="E339" s="10" t="s">
        <v>451</v>
      </c>
      <c r="F339" s="10" t="s">
        <v>128</v>
      </c>
      <c r="G339" s="23">
        <v>1</v>
      </c>
      <c r="H339" s="26">
        <v>25.15</v>
      </c>
      <c r="I339" s="29">
        <v>0</v>
      </c>
      <c r="J339" s="10" t="s">
        <v>45</v>
      </c>
      <c r="K339" s="10" t="s">
        <v>46</v>
      </c>
      <c r="L339" s="15" t="s">
        <v>52</v>
      </c>
    </row>
    <row r="340" spans="1:12" ht="15" customHeight="1">
      <c r="A340" s="14" t="s">
        <v>779</v>
      </c>
      <c r="B340" s="10" t="s">
        <v>778</v>
      </c>
      <c r="C340" s="20">
        <v>45896</v>
      </c>
      <c r="D340" s="10" t="s">
        <v>450</v>
      </c>
      <c r="E340" s="10" t="s">
        <v>451</v>
      </c>
      <c r="F340" s="10" t="s">
        <v>468</v>
      </c>
      <c r="G340" s="23">
        <v>2</v>
      </c>
      <c r="H340" s="26">
        <v>160</v>
      </c>
      <c r="I340" s="29">
        <v>0.15</v>
      </c>
      <c r="J340" s="10" t="s">
        <v>40</v>
      </c>
      <c r="K340" s="10" t="s">
        <v>58</v>
      </c>
      <c r="L340" s="15" t="s">
        <v>101</v>
      </c>
    </row>
    <row r="341" spans="1:12" ht="15" customHeight="1">
      <c r="A341" s="14" t="s">
        <v>780</v>
      </c>
      <c r="B341" s="10" t="s">
        <v>778</v>
      </c>
      <c r="C341" s="20">
        <v>45896</v>
      </c>
      <c r="D341" s="10" t="s">
        <v>450</v>
      </c>
      <c r="E341" s="10" t="s">
        <v>451</v>
      </c>
      <c r="F341" s="10" t="s">
        <v>128</v>
      </c>
      <c r="G341" s="23">
        <v>1</v>
      </c>
      <c r="H341" s="26">
        <v>25.15</v>
      </c>
      <c r="I341" s="29">
        <v>0.1</v>
      </c>
      <c r="J341" s="10" t="s">
        <v>50</v>
      </c>
      <c r="K341" s="10" t="s">
        <v>46</v>
      </c>
      <c r="L341" s="15" t="s">
        <v>47</v>
      </c>
    </row>
    <row r="342" spans="1:12" ht="15" customHeight="1">
      <c r="A342" s="14" t="s">
        <v>781</v>
      </c>
      <c r="B342" s="10" t="s">
        <v>782</v>
      </c>
      <c r="C342" s="20">
        <v>46001</v>
      </c>
      <c r="D342" s="10" t="s">
        <v>96</v>
      </c>
      <c r="E342" s="10" t="s">
        <v>97</v>
      </c>
      <c r="F342" s="10" t="s">
        <v>110</v>
      </c>
      <c r="G342" s="23">
        <v>2</v>
      </c>
      <c r="H342" s="26">
        <v>133.24</v>
      </c>
      <c r="I342" s="29">
        <v>0</v>
      </c>
      <c r="J342" s="10" t="s">
        <v>66</v>
      </c>
      <c r="K342" s="10"/>
      <c r="L342" s="15" t="s">
        <v>42</v>
      </c>
    </row>
    <row r="343" spans="1:12" ht="15" customHeight="1">
      <c r="A343" s="14" t="s">
        <v>783</v>
      </c>
      <c r="B343" s="10" t="s">
        <v>782</v>
      </c>
      <c r="C343" s="20">
        <v>46001</v>
      </c>
      <c r="D343" s="10" t="s">
        <v>96</v>
      </c>
      <c r="E343" s="10" t="s">
        <v>97</v>
      </c>
      <c r="F343" s="10" t="s">
        <v>784</v>
      </c>
      <c r="G343" s="23">
        <v>3</v>
      </c>
      <c r="H343" s="26">
        <v>96.33</v>
      </c>
      <c r="I343" s="29">
        <v>0.05</v>
      </c>
      <c r="J343" s="10" t="s">
        <v>40</v>
      </c>
      <c r="K343" s="10" t="s">
        <v>46</v>
      </c>
      <c r="L343" s="15" t="s">
        <v>42</v>
      </c>
    </row>
    <row r="344" spans="1:12" ht="15" customHeight="1">
      <c r="A344" s="14" t="s">
        <v>785</v>
      </c>
      <c r="B344" s="10" t="s">
        <v>782</v>
      </c>
      <c r="C344" s="20">
        <v>46001</v>
      </c>
      <c r="D344" s="10" t="s">
        <v>96</v>
      </c>
      <c r="E344" s="10" t="s">
        <v>97</v>
      </c>
      <c r="F344" s="10" t="s">
        <v>332</v>
      </c>
      <c r="G344" s="23">
        <v>2</v>
      </c>
      <c r="H344" s="26">
        <v>273.89</v>
      </c>
      <c r="I344" s="29">
        <v>0.1</v>
      </c>
      <c r="J344" s="10" t="s">
        <v>45</v>
      </c>
      <c r="K344" s="10"/>
      <c r="L344" s="15" t="s">
        <v>42</v>
      </c>
    </row>
    <row r="345" spans="1:12" ht="15" customHeight="1">
      <c r="A345" s="14" t="s">
        <v>786</v>
      </c>
      <c r="B345" s="10" t="s">
        <v>787</v>
      </c>
      <c r="C345" s="20">
        <v>45837</v>
      </c>
      <c r="D345" s="10" t="s">
        <v>300</v>
      </c>
      <c r="E345" s="10" t="s">
        <v>301</v>
      </c>
      <c r="F345" s="10" t="s">
        <v>83</v>
      </c>
      <c r="G345" s="23">
        <v>4</v>
      </c>
      <c r="H345" s="26">
        <v>115.28</v>
      </c>
      <c r="I345" s="29">
        <v>0.05</v>
      </c>
      <c r="J345" s="10" t="s">
        <v>70</v>
      </c>
      <c r="K345" s="10" t="s">
        <v>46</v>
      </c>
      <c r="L345" s="15" t="s">
        <v>47</v>
      </c>
    </row>
    <row r="346" spans="1:12" ht="15" customHeight="1">
      <c r="A346" s="14" t="s">
        <v>788</v>
      </c>
      <c r="B346" s="10" t="s">
        <v>787</v>
      </c>
      <c r="C346" s="20">
        <v>45837</v>
      </c>
      <c r="D346" s="10" t="s">
        <v>300</v>
      </c>
      <c r="E346" s="10" t="s">
        <v>301</v>
      </c>
      <c r="F346" s="10" t="s">
        <v>204</v>
      </c>
      <c r="G346" s="23">
        <v>1</v>
      </c>
      <c r="H346" s="26">
        <v>244.25</v>
      </c>
      <c r="I346" s="29">
        <v>0.15</v>
      </c>
      <c r="J346" s="10" t="s">
        <v>64</v>
      </c>
      <c r="K346" s="10" t="s">
        <v>58</v>
      </c>
      <c r="L346" s="15" t="s">
        <v>101</v>
      </c>
    </row>
    <row r="347" spans="1:12" ht="15" customHeight="1">
      <c r="A347" s="14" t="s">
        <v>789</v>
      </c>
      <c r="B347" s="10" t="s">
        <v>787</v>
      </c>
      <c r="C347" s="20">
        <v>45837</v>
      </c>
      <c r="D347" s="10" t="s">
        <v>300</v>
      </c>
      <c r="E347" s="10" t="s">
        <v>301</v>
      </c>
      <c r="F347" s="10" t="s">
        <v>108</v>
      </c>
      <c r="G347" s="23">
        <v>3</v>
      </c>
      <c r="H347" s="26">
        <v>33.369999999999997</v>
      </c>
      <c r="I347" s="29">
        <v>0</v>
      </c>
      <c r="J347" s="10" t="s">
        <v>66</v>
      </c>
      <c r="K347" s="10" t="s">
        <v>98</v>
      </c>
      <c r="L347" s="15" t="s">
        <v>101</v>
      </c>
    </row>
    <row r="348" spans="1:12" ht="15" customHeight="1">
      <c r="A348" s="14" t="s">
        <v>790</v>
      </c>
      <c r="B348" s="10" t="s">
        <v>791</v>
      </c>
      <c r="C348" s="20">
        <v>45934</v>
      </c>
      <c r="D348" s="10" t="s">
        <v>389</v>
      </c>
      <c r="E348" s="10" t="s">
        <v>390</v>
      </c>
      <c r="F348" s="10" t="s">
        <v>251</v>
      </c>
      <c r="G348" s="23">
        <v>2</v>
      </c>
      <c r="H348" s="26">
        <v>228.91</v>
      </c>
      <c r="I348" s="29">
        <v>0.1</v>
      </c>
      <c r="J348" s="10" t="s">
        <v>50</v>
      </c>
      <c r="K348" s="10" t="s">
        <v>46</v>
      </c>
      <c r="L348" s="15" t="s">
        <v>42</v>
      </c>
    </row>
    <row r="349" spans="1:12" ht="15" customHeight="1">
      <c r="A349" s="14" t="s">
        <v>792</v>
      </c>
      <c r="B349" s="10" t="s">
        <v>791</v>
      </c>
      <c r="C349" s="20">
        <v>45934</v>
      </c>
      <c r="D349" s="10" t="s">
        <v>389</v>
      </c>
      <c r="E349" s="10" t="s">
        <v>390</v>
      </c>
      <c r="F349" s="10" t="s">
        <v>57</v>
      </c>
      <c r="G349" s="23">
        <v>2</v>
      </c>
      <c r="H349" s="26">
        <v>208.81</v>
      </c>
      <c r="I349" s="29">
        <v>0.15</v>
      </c>
      <c r="J349" s="10" t="s">
        <v>45</v>
      </c>
      <c r="K349" s="10" t="s">
        <v>51</v>
      </c>
      <c r="L349" s="15" t="s">
        <v>67</v>
      </c>
    </row>
    <row r="350" spans="1:12" ht="15" customHeight="1">
      <c r="A350" s="14" t="s">
        <v>793</v>
      </c>
      <c r="B350" s="10" t="s">
        <v>794</v>
      </c>
      <c r="C350" s="20">
        <v>45964</v>
      </c>
      <c r="D350" s="10" t="s">
        <v>638</v>
      </c>
      <c r="E350" s="10" t="s">
        <v>639</v>
      </c>
      <c r="F350" s="10" t="s">
        <v>150</v>
      </c>
      <c r="G350" s="23">
        <v>3</v>
      </c>
      <c r="H350" s="26">
        <v>263.04000000000002</v>
      </c>
      <c r="I350" s="29">
        <v>0</v>
      </c>
      <c r="J350" s="10" t="s">
        <v>50</v>
      </c>
      <c r="K350" s="10" t="s">
        <v>98</v>
      </c>
      <c r="L350" s="15" t="s">
        <v>52</v>
      </c>
    </row>
    <row r="351" spans="1:12" ht="15" customHeight="1">
      <c r="A351" s="14" t="s">
        <v>795</v>
      </c>
      <c r="B351" s="10" t="s">
        <v>794</v>
      </c>
      <c r="C351" s="20">
        <v>45964</v>
      </c>
      <c r="D351" s="10" t="s">
        <v>638</v>
      </c>
      <c r="E351" s="10" t="s">
        <v>639</v>
      </c>
      <c r="F351" s="10" t="s">
        <v>251</v>
      </c>
      <c r="G351" s="23">
        <v>1</v>
      </c>
      <c r="H351" s="26">
        <v>228.91</v>
      </c>
      <c r="I351" s="29">
        <v>0</v>
      </c>
      <c r="J351" s="10" t="s">
        <v>70</v>
      </c>
      <c r="K351" s="10" t="s">
        <v>46</v>
      </c>
      <c r="L351" s="15" t="s">
        <v>42</v>
      </c>
    </row>
    <row r="352" spans="1:12" ht="15" customHeight="1">
      <c r="A352" s="14" t="s">
        <v>796</v>
      </c>
      <c r="B352" s="10" t="s">
        <v>794</v>
      </c>
      <c r="C352" s="20">
        <v>45964</v>
      </c>
      <c r="D352" s="10" t="s">
        <v>638</v>
      </c>
      <c r="E352" s="10" t="s">
        <v>639</v>
      </c>
      <c r="F352" s="10" t="s">
        <v>72</v>
      </c>
      <c r="G352" s="23">
        <v>2</v>
      </c>
      <c r="H352" s="26">
        <v>210.2</v>
      </c>
      <c r="I352" s="29">
        <v>0.15</v>
      </c>
      <c r="J352" s="10" t="s">
        <v>40</v>
      </c>
      <c r="K352" s="10" t="s">
        <v>41</v>
      </c>
      <c r="L352" s="15" t="s">
        <v>52</v>
      </c>
    </row>
    <row r="353" spans="1:12" ht="15" customHeight="1">
      <c r="A353" s="14" t="s">
        <v>797</v>
      </c>
      <c r="B353" s="10" t="s">
        <v>794</v>
      </c>
      <c r="C353" s="20">
        <v>45964</v>
      </c>
      <c r="D353" s="10" t="s">
        <v>638</v>
      </c>
      <c r="E353" s="10" t="s">
        <v>639</v>
      </c>
      <c r="F353" s="10" t="s">
        <v>178</v>
      </c>
      <c r="G353" s="23">
        <v>3</v>
      </c>
      <c r="H353" s="26">
        <v>61.81</v>
      </c>
      <c r="I353" s="29">
        <v>0.05</v>
      </c>
      <c r="J353" s="10" t="s">
        <v>45</v>
      </c>
      <c r="K353" s="10" t="s">
        <v>41</v>
      </c>
      <c r="L353" s="15" t="s">
        <v>67</v>
      </c>
    </row>
    <row r="354" spans="1:12" ht="15" customHeight="1">
      <c r="A354" s="14" t="s">
        <v>798</v>
      </c>
      <c r="B354" s="10" t="s">
        <v>799</v>
      </c>
      <c r="C354" s="20">
        <v>45709</v>
      </c>
      <c r="D354" s="10" t="s">
        <v>155</v>
      </c>
      <c r="E354" s="10" t="s">
        <v>156</v>
      </c>
      <c r="F354" s="10" t="s">
        <v>117</v>
      </c>
      <c r="G354" s="23">
        <v>3</v>
      </c>
      <c r="H354" s="26">
        <v>251.17</v>
      </c>
      <c r="I354" s="29">
        <v>0.05</v>
      </c>
      <c r="J354" s="10" t="s">
        <v>64</v>
      </c>
      <c r="K354" s="10" t="s">
        <v>98</v>
      </c>
      <c r="L354" s="15" t="s">
        <v>47</v>
      </c>
    </row>
    <row r="355" spans="1:12" ht="15" customHeight="1">
      <c r="A355" s="14" t="s">
        <v>800</v>
      </c>
      <c r="B355" s="10" t="s">
        <v>799</v>
      </c>
      <c r="C355" s="20">
        <v>45709</v>
      </c>
      <c r="D355" s="10" t="s">
        <v>155</v>
      </c>
      <c r="E355" s="10" t="s">
        <v>156</v>
      </c>
      <c r="F355" s="10" t="s">
        <v>83</v>
      </c>
      <c r="G355" s="23">
        <v>3</v>
      </c>
      <c r="H355" s="26">
        <v>115.28</v>
      </c>
      <c r="I355" s="29">
        <v>0.15</v>
      </c>
      <c r="J355" s="10" t="s">
        <v>70</v>
      </c>
      <c r="K355" s="10" t="s">
        <v>46</v>
      </c>
      <c r="L355" s="15" t="s">
        <v>67</v>
      </c>
    </row>
    <row r="356" spans="1:12" ht="15" customHeight="1">
      <c r="A356" s="14" t="s">
        <v>801</v>
      </c>
      <c r="B356" s="10" t="s">
        <v>799</v>
      </c>
      <c r="C356" s="20">
        <v>45709</v>
      </c>
      <c r="D356" s="10" t="s">
        <v>155</v>
      </c>
      <c r="E356" s="10" t="s">
        <v>156</v>
      </c>
      <c r="F356" s="10" t="s">
        <v>130</v>
      </c>
      <c r="G356" s="23">
        <v>4</v>
      </c>
      <c r="H356" s="26">
        <v>265.73</v>
      </c>
      <c r="I356" s="29">
        <v>0.1</v>
      </c>
      <c r="J356" s="10" t="s">
        <v>66</v>
      </c>
      <c r="K356" s="10" t="s">
        <v>51</v>
      </c>
      <c r="L356" s="15" t="s">
        <v>101</v>
      </c>
    </row>
    <row r="357" spans="1:12" ht="15" customHeight="1">
      <c r="A357" s="14" t="s">
        <v>802</v>
      </c>
      <c r="B357" s="10" t="s">
        <v>799</v>
      </c>
      <c r="C357" s="20">
        <v>45709</v>
      </c>
      <c r="D357" s="10" t="s">
        <v>155</v>
      </c>
      <c r="E357" s="10" t="s">
        <v>156</v>
      </c>
      <c r="F357" s="10" t="s">
        <v>147</v>
      </c>
      <c r="G357" s="23">
        <v>1</v>
      </c>
      <c r="H357" s="26">
        <v>102.78</v>
      </c>
      <c r="I357" s="29">
        <v>0.1</v>
      </c>
      <c r="J357" s="10" t="s">
        <v>64</v>
      </c>
      <c r="K357" s="10" t="s">
        <v>58</v>
      </c>
      <c r="L357" s="15" t="s">
        <v>67</v>
      </c>
    </row>
    <row r="358" spans="1:12" ht="15" customHeight="1">
      <c r="A358" s="14" t="s">
        <v>803</v>
      </c>
      <c r="B358" s="10" t="s">
        <v>804</v>
      </c>
      <c r="C358" s="20">
        <v>45917</v>
      </c>
      <c r="D358" s="10" t="s">
        <v>805</v>
      </c>
      <c r="E358" s="10" t="s">
        <v>806</v>
      </c>
      <c r="F358" s="10" t="s">
        <v>204</v>
      </c>
      <c r="G358" s="23">
        <v>2</v>
      </c>
      <c r="H358" s="26">
        <v>244.25</v>
      </c>
      <c r="I358" s="29">
        <v>0.1</v>
      </c>
      <c r="J358" s="10" t="s">
        <v>66</v>
      </c>
      <c r="K358" s="10" t="s">
        <v>46</v>
      </c>
      <c r="L358" s="15" t="s">
        <v>47</v>
      </c>
    </row>
    <row r="359" spans="1:12" ht="15" customHeight="1">
      <c r="A359" s="14" t="s">
        <v>807</v>
      </c>
      <c r="B359" s="10" t="s">
        <v>808</v>
      </c>
      <c r="C359" s="20">
        <v>45815</v>
      </c>
      <c r="D359" s="10" t="s">
        <v>414</v>
      </c>
      <c r="E359" s="10" t="s">
        <v>415</v>
      </c>
      <c r="F359" s="10" t="s">
        <v>495</v>
      </c>
      <c r="G359" s="23">
        <v>4</v>
      </c>
      <c r="H359" s="26">
        <v>207.71</v>
      </c>
      <c r="I359" s="29">
        <v>0.1</v>
      </c>
      <c r="J359" s="10" t="s">
        <v>45</v>
      </c>
      <c r="K359" s="10" t="s">
        <v>51</v>
      </c>
      <c r="L359" s="15" t="s">
        <v>67</v>
      </c>
    </row>
    <row r="360" spans="1:12" ht="15" customHeight="1">
      <c r="A360" s="14" t="s">
        <v>809</v>
      </c>
      <c r="B360" s="10" t="s">
        <v>808</v>
      </c>
      <c r="C360" s="20">
        <v>45815</v>
      </c>
      <c r="D360" s="10" t="s">
        <v>414</v>
      </c>
      <c r="E360" s="10" t="s">
        <v>415</v>
      </c>
      <c r="F360" s="10" t="s">
        <v>106</v>
      </c>
      <c r="G360" s="23">
        <v>4</v>
      </c>
      <c r="H360" s="26">
        <v>195.38</v>
      </c>
      <c r="I360" s="29">
        <v>0.1</v>
      </c>
      <c r="J360" s="10" t="s">
        <v>50</v>
      </c>
      <c r="K360" s="10" t="s">
        <v>46</v>
      </c>
      <c r="L360" s="15" t="s">
        <v>101</v>
      </c>
    </row>
    <row r="361" spans="1:12" ht="15" customHeight="1">
      <c r="A361" s="14" t="s">
        <v>810</v>
      </c>
      <c r="B361" s="10" t="s">
        <v>808</v>
      </c>
      <c r="C361" s="20">
        <v>45815</v>
      </c>
      <c r="D361" s="10" t="s">
        <v>414</v>
      </c>
      <c r="E361" s="10" t="s">
        <v>415</v>
      </c>
      <c r="F361" s="10" t="s">
        <v>303</v>
      </c>
      <c r="G361" s="23">
        <v>1</v>
      </c>
      <c r="H361" s="26">
        <v>72.81</v>
      </c>
      <c r="I361" s="29">
        <v>0.1</v>
      </c>
      <c r="J361" s="10" t="s">
        <v>45</v>
      </c>
      <c r="K361" s="10" t="s">
        <v>98</v>
      </c>
      <c r="L361" s="15" t="s">
        <v>101</v>
      </c>
    </row>
    <row r="362" spans="1:12" ht="15" customHeight="1">
      <c r="A362" s="14" t="s">
        <v>811</v>
      </c>
      <c r="B362" s="10" t="s">
        <v>812</v>
      </c>
      <c r="C362" s="20">
        <v>45880</v>
      </c>
      <c r="D362" s="10" t="s">
        <v>813</v>
      </c>
      <c r="E362" s="10" t="s">
        <v>814</v>
      </c>
      <c r="F362" s="10" t="s">
        <v>83</v>
      </c>
      <c r="G362" s="23">
        <v>4</v>
      </c>
      <c r="H362" s="26">
        <v>115.28</v>
      </c>
      <c r="I362" s="29">
        <v>0.15</v>
      </c>
      <c r="J362" s="10" t="s">
        <v>66</v>
      </c>
      <c r="K362" s="10" t="s">
        <v>46</v>
      </c>
      <c r="L362" s="15" t="s">
        <v>42</v>
      </c>
    </row>
    <row r="363" spans="1:12" ht="15" customHeight="1">
      <c r="A363" s="14" t="s">
        <v>815</v>
      </c>
      <c r="B363" s="10" t="s">
        <v>812</v>
      </c>
      <c r="C363" s="20">
        <v>45880</v>
      </c>
      <c r="D363" s="10" t="s">
        <v>813</v>
      </c>
      <c r="E363" s="10" t="s">
        <v>814</v>
      </c>
      <c r="F363" s="10" t="s">
        <v>130</v>
      </c>
      <c r="G363" s="23">
        <v>3</v>
      </c>
      <c r="H363" s="26">
        <v>265.73</v>
      </c>
      <c r="I363" s="29">
        <v>0.05</v>
      </c>
      <c r="J363" s="10" t="s">
        <v>50</v>
      </c>
      <c r="K363" s="10" t="s">
        <v>98</v>
      </c>
      <c r="L363" s="15" t="s">
        <v>52</v>
      </c>
    </row>
    <row r="364" spans="1:12" ht="15" customHeight="1">
      <c r="A364" s="14" t="s">
        <v>816</v>
      </c>
      <c r="B364" s="10" t="s">
        <v>812</v>
      </c>
      <c r="C364" s="20">
        <v>45880</v>
      </c>
      <c r="D364" s="10" t="s">
        <v>813</v>
      </c>
      <c r="E364" s="10" t="s">
        <v>814</v>
      </c>
      <c r="F364" s="10" t="s">
        <v>72</v>
      </c>
      <c r="G364" s="23">
        <v>4</v>
      </c>
      <c r="H364" s="26">
        <v>210.2</v>
      </c>
      <c r="I364" s="29">
        <v>0.05</v>
      </c>
      <c r="J364" s="10" t="s">
        <v>50</v>
      </c>
      <c r="K364" s="10"/>
      <c r="L364" s="15" t="s">
        <v>52</v>
      </c>
    </row>
    <row r="365" spans="1:12" ht="15" customHeight="1">
      <c r="A365" s="14" t="s">
        <v>817</v>
      </c>
      <c r="B365" s="10" t="s">
        <v>818</v>
      </c>
      <c r="C365" s="20">
        <v>45828</v>
      </c>
      <c r="D365" s="10" t="s">
        <v>507</v>
      </c>
      <c r="E365" s="10" t="s">
        <v>508</v>
      </c>
      <c r="F365" s="10" t="s">
        <v>316</v>
      </c>
      <c r="G365" s="23">
        <v>1</v>
      </c>
      <c r="H365" s="26">
        <v>180.37</v>
      </c>
      <c r="I365" s="29">
        <v>0.05</v>
      </c>
      <c r="J365" s="10" t="s">
        <v>66</v>
      </c>
      <c r="K365" s="10" t="s">
        <v>58</v>
      </c>
      <c r="L365" s="15" t="s">
        <v>42</v>
      </c>
    </row>
    <row r="366" spans="1:12" ht="15" customHeight="1">
      <c r="A366" s="14" t="s">
        <v>819</v>
      </c>
      <c r="B366" s="10" t="s">
        <v>818</v>
      </c>
      <c r="C366" s="20">
        <v>45828</v>
      </c>
      <c r="D366" s="10" t="s">
        <v>507</v>
      </c>
      <c r="E366" s="10" t="s">
        <v>508</v>
      </c>
      <c r="F366" s="10" t="s">
        <v>332</v>
      </c>
      <c r="G366" s="23">
        <v>4</v>
      </c>
      <c r="H366" s="26">
        <v>273.89</v>
      </c>
      <c r="I366" s="29">
        <v>0</v>
      </c>
      <c r="J366" s="10" t="s">
        <v>45</v>
      </c>
      <c r="K366" s="10" t="s">
        <v>51</v>
      </c>
      <c r="L366" s="15" t="s">
        <v>47</v>
      </c>
    </row>
    <row r="367" spans="1:12" ht="15" customHeight="1">
      <c r="A367" s="14" t="s">
        <v>820</v>
      </c>
      <c r="B367" s="10" t="s">
        <v>821</v>
      </c>
      <c r="C367" s="20">
        <v>45833</v>
      </c>
      <c r="D367" s="10" t="s">
        <v>450</v>
      </c>
      <c r="E367" s="10" t="s">
        <v>451</v>
      </c>
      <c r="F367" s="10" t="s">
        <v>44</v>
      </c>
      <c r="G367" s="23">
        <v>2</v>
      </c>
      <c r="H367" s="26">
        <v>238.47</v>
      </c>
      <c r="I367" s="29">
        <v>0</v>
      </c>
      <c r="J367" s="10" t="s">
        <v>50</v>
      </c>
      <c r="K367" s="10" t="s">
        <v>51</v>
      </c>
      <c r="L367" s="15" t="s">
        <v>101</v>
      </c>
    </row>
    <row r="368" spans="1:12" ht="15" customHeight="1">
      <c r="A368" s="14" t="s">
        <v>822</v>
      </c>
      <c r="B368" s="10" t="s">
        <v>821</v>
      </c>
      <c r="C368" s="20">
        <v>45833</v>
      </c>
      <c r="D368" s="10" t="s">
        <v>450</v>
      </c>
      <c r="E368" s="10" t="s">
        <v>451</v>
      </c>
      <c r="F368" s="10" t="s">
        <v>77</v>
      </c>
      <c r="G368" s="23">
        <v>2</v>
      </c>
      <c r="H368" s="26">
        <v>34.909999999999997</v>
      </c>
      <c r="I368" s="29">
        <v>0.15</v>
      </c>
      <c r="J368" s="10" t="s">
        <v>66</v>
      </c>
      <c r="K368" s="10" t="s">
        <v>51</v>
      </c>
      <c r="L368" s="15" t="s">
        <v>47</v>
      </c>
    </row>
    <row r="369" spans="1:12" ht="15" customHeight="1">
      <c r="A369" s="14" t="s">
        <v>823</v>
      </c>
      <c r="B369" s="10" t="s">
        <v>821</v>
      </c>
      <c r="C369" s="20">
        <v>45833</v>
      </c>
      <c r="D369" s="10" t="s">
        <v>450</v>
      </c>
      <c r="E369" s="10" t="s">
        <v>451</v>
      </c>
      <c r="F369" s="10" t="s">
        <v>220</v>
      </c>
      <c r="G369" s="23">
        <v>2</v>
      </c>
      <c r="H369" s="26">
        <v>25.01</v>
      </c>
      <c r="I369" s="29">
        <v>0.1</v>
      </c>
      <c r="J369" s="10" t="s">
        <v>70</v>
      </c>
      <c r="K369" s="10" t="s">
        <v>46</v>
      </c>
      <c r="L369" s="15" t="s">
        <v>42</v>
      </c>
    </row>
    <row r="370" spans="1:12" ht="15" customHeight="1">
      <c r="A370" s="14" t="s">
        <v>824</v>
      </c>
      <c r="B370" s="10" t="s">
        <v>825</v>
      </c>
      <c r="C370" s="20">
        <v>45861</v>
      </c>
      <c r="D370" s="10" t="s">
        <v>450</v>
      </c>
      <c r="E370" s="10" t="s">
        <v>451</v>
      </c>
      <c r="F370" s="10" t="s">
        <v>49</v>
      </c>
      <c r="G370" s="23">
        <v>1</v>
      </c>
      <c r="H370" s="26">
        <v>300.16000000000003</v>
      </c>
      <c r="I370" s="29">
        <v>0</v>
      </c>
      <c r="J370" s="10" t="s">
        <v>70</v>
      </c>
      <c r="K370" s="10" t="s">
        <v>51</v>
      </c>
      <c r="L370" s="15" t="s">
        <v>101</v>
      </c>
    </row>
    <row r="371" spans="1:12" ht="15" customHeight="1">
      <c r="A371" s="14" t="s">
        <v>826</v>
      </c>
      <c r="B371" s="10" t="s">
        <v>827</v>
      </c>
      <c r="C371" s="20">
        <v>45848</v>
      </c>
      <c r="D371" s="10" t="s">
        <v>75</v>
      </c>
      <c r="E371" s="10" t="s">
        <v>76</v>
      </c>
      <c r="F371" s="10" t="s">
        <v>468</v>
      </c>
      <c r="G371" s="23">
        <v>1</v>
      </c>
      <c r="H371" s="26">
        <v>160</v>
      </c>
      <c r="I371" s="29">
        <v>0.1</v>
      </c>
      <c r="J371" s="10" t="s">
        <v>40</v>
      </c>
      <c r="K371" s="10" t="s">
        <v>98</v>
      </c>
      <c r="L371" s="15" t="s">
        <v>47</v>
      </c>
    </row>
    <row r="372" spans="1:12" ht="15" customHeight="1">
      <c r="A372" s="14" t="s">
        <v>828</v>
      </c>
      <c r="B372" s="10" t="s">
        <v>827</v>
      </c>
      <c r="C372" s="20">
        <v>45848</v>
      </c>
      <c r="D372" s="10" t="s">
        <v>75</v>
      </c>
      <c r="E372" s="10" t="s">
        <v>76</v>
      </c>
      <c r="F372" s="10" t="s">
        <v>44</v>
      </c>
      <c r="G372" s="23">
        <v>2</v>
      </c>
      <c r="H372" s="26">
        <v>238.47</v>
      </c>
      <c r="I372" s="29">
        <v>0</v>
      </c>
      <c r="J372" s="10" t="s">
        <v>50</v>
      </c>
      <c r="K372" s="10" t="s">
        <v>51</v>
      </c>
      <c r="L372" s="15" t="s">
        <v>42</v>
      </c>
    </row>
    <row r="373" spans="1:12" ht="15" customHeight="1">
      <c r="A373" s="14" t="s">
        <v>829</v>
      </c>
      <c r="B373" s="10" t="s">
        <v>830</v>
      </c>
      <c r="C373" s="20">
        <v>45842</v>
      </c>
      <c r="D373" s="10" t="s">
        <v>37</v>
      </c>
      <c r="E373" s="10" t="s">
        <v>38</v>
      </c>
      <c r="F373" s="10" t="s">
        <v>128</v>
      </c>
      <c r="G373" s="23">
        <v>1</v>
      </c>
      <c r="H373" s="26">
        <v>25.15</v>
      </c>
      <c r="I373" s="29">
        <v>0</v>
      </c>
      <c r="J373" s="10" t="s">
        <v>66</v>
      </c>
      <c r="K373" s="10" t="s">
        <v>46</v>
      </c>
      <c r="L373" s="15" t="s">
        <v>52</v>
      </c>
    </row>
    <row r="374" spans="1:12" ht="15" customHeight="1">
      <c r="A374" s="14" t="s">
        <v>831</v>
      </c>
      <c r="B374" s="10" t="s">
        <v>830</v>
      </c>
      <c r="C374" s="20">
        <v>45842</v>
      </c>
      <c r="D374" s="10" t="s">
        <v>832</v>
      </c>
      <c r="E374" s="10" t="s">
        <v>38</v>
      </c>
      <c r="F374" s="10" t="s">
        <v>93</v>
      </c>
      <c r="G374" s="23">
        <v>1</v>
      </c>
      <c r="H374" s="26">
        <v>208.89</v>
      </c>
      <c r="I374" s="29">
        <v>0.1</v>
      </c>
      <c r="J374" s="10" t="s">
        <v>45</v>
      </c>
      <c r="K374" s="10"/>
      <c r="L374" s="15" t="s">
        <v>42</v>
      </c>
    </row>
    <row r="375" spans="1:12" ht="15" customHeight="1">
      <c r="A375" s="14" t="s">
        <v>833</v>
      </c>
      <c r="B375" s="10" t="s">
        <v>834</v>
      </c>
      <c r="C375" s="20">
        <v>45993</v>
      </c>
      <c r="D375" s="10" t="s">
        <v>835</v>
      </c>
      <c r="E375" s="10" t="s">
        <v>836</v>
      </c>
      <c r="F375" s="10" t="s">
        <v>196</v>
      </c>
      <c r="G375" s="23">
        <v>1</v>
      </c>
      <c r="H375" s="26">
        <v>183.73</v>
      </c>
      <c r="I375" s="29">
        <v>0.15</v>
      </c>
      <c r="J375" s="10" t="s">
        <v>40</v>
      </c>
      <c r="K375" s="10" t="s">
        <v>46</v>
      </c>
      <c r="L375" s="15" t="s">
        <v>47</v>
      </c>
    </row>
    <row r="376" spans="1:12" ht="15" customHeight="1">
      <c r="A376" s="14" t="s">
        <v>837</v>
      </c>
      <c r="B376" s="10" t="s">
        <v>838</v>
      </c>
      <c r="C376" s="20">
        <v>45935</v>
      </c>
      <c r="D376" s="10" t="s">
        <v>839</v>
      </c>
      <c r="E376" s="10" t="s">
        <v>840</v>
      </c>
      <c r="F376" s="10" t="s">
        <v>150</v>
      </c>
      <c r="G376" s="23">
        <v>4</v>
      </c>
      <c r="H376" s="26">
        <v>263.04000000000002</v>
      </c>
      <c r="I376" s="29">
        <v>0</v>
      </c>
      <c r="J376" s="10" t="s">
        <v>45</v>
      </c>
      <c r="K376" s="10" t="s">
        <v>58</v>
      </c>
      <c r="L376" s="15" t="s">
        <v>42</v>
      </c>
    </row>
    <row r="377" spans="1:12" ht="15" customHeight="1">
      <c r="A377" s="14" t="s">
        <v>841</v>
      </c>
      <c r="B377" s="10" t="s">
        <v>842</v>
      </c>
      <c r="C377" s="20">
        <v>45963</v>
      </c>
      <c r="D377" s="10" t="s">
        <v>843</v>
      </c>
      <c r="E377" s="10" t="s">
        <v>844</v>
      </c>
      <c r="F377" s="10" t="s">
        <v>201</v>
      </c>
      <c r="G377" s="23">
        <v>4</v>
      </c>
      <c r="H377" s="26">
        <v>154.47</v>
      </c>
      <c r="I377" s="29">
        <v>0</v>
      </c>
      <c r="J377" s="10" t="s">
        <v>45</v>
      </c>
      <c r="K377" s="10"/>
      <c r="L377" s="15" t="s">
        <v>67</v>
      </c>
    </row>
    <row r="378" spans="1:12" ht="15" customHeight="1">
      <c r="A378" s="14" t="s">
        <v>845</v>
      </c>
      <c r="B378" s="10" t="s">
        <v>842</v>
      </c>
      <c r="C378" s="20">
        <v>45963</v>
      </c>
      <c r="D378" s="10" t="s">
        <v>843</v>
      </c>
      <c r="E378" s="10" t="s">
        <v>844</v>
      </c>
      <c r="F378" s="10" t="s">
        <v>270</v>
      </c>
      <c r="G378" s="23">
        <v>3</v>
      </c>
      <c r="H378" s="26">
        <v>214.38</v>
      </c>
      <c r="I378" s="29">
        <v>0</v>
      </c>
      <c r="J378" s="10" t="s">
        <v>40</v>
      </c>
      <c r="K378" s="10" t="s">
        <v>98</v>
      </c>
      <c r="L378" s="15" t="s">
        <v>67</v>
      </c>
    </row>
    <row r="379" spans="1:12" ht="15" customHeight="1">
      <c r="A379" s="14" t="s">
        <v>846</v>
      </c>
      <c r="B379" s="10" t="s">
        <v>842</v>
      </c>
      <c r="C379" s="20">
        <v>45963</v>
      </c>
      <c r="D379" s="10" t="s">
        <v>843</v>
      </c>
      <c r="E379" s="10" t="s">
        <v>844</v>
      </c>
      <c r="F379" s="10" t="s">
        <v>83</v>
      </c>
      <c r="G379" s="23">
        <v>3</v>
      </c>
      <c r="H379" s="26">
        <v>115.28</v>
      </c>
      <c r="I379" s="29">
        <v>0.1</v>
      </c>
      <c r="J379" s="10" t="s">
        <v>40</v>
      </c>
      <c r="K379" s="10" t="s">
        <v>58</v>
      </c>
      <c r="L379" s="15" t="s">
        <v>67</v>
      </c>
    </row>
    <row r="380" spans="1:12" ht="15" customHeight="1">
      <c r="A380" s="14" t="s">
        <v>847</v>
      </c>
      <c r="B380" s="10" t="s">
        <v>848</v>
      </c>
      <c r="C380" s="20">
        <v>45999</v>
      </c>
      <c r="D380" s="10" t="s">
        <v>849</v>
      </c>
      <c r="E380" s="10" t="s">
        <v>850</v>
      </c>
      <c r="F380" s="10" t="s">
        <v>241</v>
      </c>
      <c r="G380" s="23">
        <v>4</v>
      </c>
      <c r="H380" s="26">
        <v>300.56</v>
      </c>
      <c r="I380" s="29">
        <v>0.15</v>
      </c>
      <c r="J380" s="10" t="s">
        <v>70</v>
      </c>
      <c r="K380" s="10"/>
      <c r="L380" s="15" t="s">
        <v>101</v>
      </c>
    </row>
    <row r="381" spans="1:12" ht="15" customHeight="1">
      <c r="A381" s="14" t="s">
        <v>851</v>
      </c>
      <c r="B381" s="10" t="s">
        <v>848</v>
      </c>
      <c r="C381" s="20">
        <v>45999</v>
      </c>
      <c r="D381" s="10" t="s">
        <v>849</v>
      </c>
      <c r="E381" s="10" t="s">
        <v>850</v>
      </c>
      <c r="F381" s="10" t="s">
        <v>147</v>
      </c>
      <c r="G381" s="23">
        <v>4</v>
      </c>
      <c r="H381" s="26">
        <v>102.78</v>
      </c>
      <c r="I381" s="29">
        <v>0.1</v>
      </c>
      <c r="J381" s="10" t="s">
        <v>40</v>
      </c>
      <c r="K381" s="10" t="s">
        <v>98</v>
      </c>
      <c r="L381" s="15" t="s">
        <v>67</v>
      </c>
    </row>
    <row r="382" spans="1:12" ht="15" customHeight="1">
      <c r="A382" s="14" t="s">
        <v>852</v>
      </c>
      <c r="B382" s="10" t="s">
        <v>853</v>
      </c>
      <c r="C382" s="20">
        <v>45802</v>
      </c>
      <c r="D382" s="10" t="s">
        <v>557</v>
      </c>
      <c r="E382" s="10" t="s">
        <v>558</v>
      </c>
      <c r="F382" s="10" t="s">
        <v>241</v>
      </c>
      <c r="G382" s="23">
        <v>2</v>
      </c>
      <c r="H382" s="26">
        <v>300.56</v>
      </c>
      <c r="I382" s="29">
        <v>0.1</v>
      </c>
      <c r="J382" s="10" t="s">
        <v>66</v>
      </c>
      <c r="K382" s="10" t="s">
        <v>46</v>
      </c>
      <c r="L382" s="15" t="s">
        <v>52</v>
      </c>
    </row>
    <row r="383" spans="1:12" ht="15" customHeight="1">
      <c r="A383" s="14" t="s">
        <v>854</v>
      </c>
      <c r="B383" s="10" t="s">
        <v>853</v>
      </c>
      <c r="C383" s="20">
        <v>45802</v>
      </c>
      <c r="D383" s="10" t="s">
        <v>557</v>
      </c>
      <c r="E383" s="10" t="s">
        <v>558</v>
      </c>
      <c r="F383" s="10" t="s">
        <v>93</v>
      </c>
      <c r="G383" s="23">
        <v>2</v>
      </c>
      <c r="H383" s="26">
        <v>208.89</v>
      </c>
      <c r="I383" s="29">
        <v>0</v>
      </c>
      <c r="J383" s="10" t="s">
        <v>66</v>
      </c>
      <c r="K383" s="10" t="s">
        <v>46</v>
      </c>
      <c r="L383" s="15" t="s">
        <v>47</v>
      </c>
    </row>
    <row r="384" spans="1:12" ht="15" customHeight="1">
      <c r="A384" s="14" t="s">
        <v>855</v>
      </c>
      <c r="B384" s="10" t="s">
        <v>853</v>
      </c>
      <c r="C384" s="20">
        <v>45802</v>
      </c>
      <c r="D384" s="10" t="s">
        <v>557</v>
      </c>
      <c r="E384" s="10" t="s">
        <v>558</v>
      </c>
      <c r="F384" s="10" t="s">
        <v>238</v>
      </c>
      <c r="G384" s="23">
        <v>4</v>
      </c>
      <c r="H384" s="26">
        <v>82.77</v>
      </c>
      <c r="I384" s="29">
        <v>0.15</v>
      </c>
      <c r="J384" s="10" t="s">
        <v>45</v>
      </c>
      <c r="K384" s="10" t="s">
        <v>46</v>
      </c>
      <c r="L384" s="15" t="s">
        <v>42</v>
      </c>
    </row>
    <row r="385" spans="1:12" ht="15" customHeight="1">
      <c r="A385" s="14" t="s">
        <v>856</v>
      </c>
      <c r="B385" s="10" t="s">
        <v>853</v>
      </c>
      <c r="C385" s="20">
        <v>45802</v>
      </c>
      <c r="D385" s="10" t="s">
        <v>557</v>
      </c>
      <c r="E385" s="10" t="s">
        <v>558</v>
      </c>
      <c r="F385" s="10" t="s">
        <v>39</v>
      </c>
      <c r="G385" s="23">
        <v>4</v>
      </c>
      <c r="H385" s="26">
        <v>236.51</v>
      </c>
      <c r="I385" s="29">
        <v>0.1</v>
      </c>
      <c r="J385" s="10" t="s">
        <v>45</v>
      </c>
      <c r="K385" s="10" t="s">
        <v>98</v>
      </c>
      <c r="L385" s="15" t="s">
        <v>67</v>
      </c>
    </row>
    <row r="386" spans="1:12" ht="15" customHeight="1">
      <c r="A386" s="14" t="s">
        <v>857</v>
      </c>
      <c r="B386" s="10" t="s">
        <v>858</v>
      </c>
      <c r="C386" s="20">
        <v>45903</v>
      </c>
      <c r="D386" s="10" t="s">
        <v>859</v>
      </c>
      <c r="E386" s="10" t="s">
        <v>860</v>
      </c>
      <c r="F386" s="10" t="s">
        <v>83</v>
      </c>
      <c r="G386" s="23">
        <v>4</v>
      </c>
      <c r="H386" s="26">
        <v>115.28</v>
      </c>
      <c r="I386" s="29">
        <v>0.15</v>
      </c>
      <c r="J386" s="10" t="s">
        <v>70</v>
      </c>
      <c r="K386" s="10" t="s">
        <v>98</v>
      </c>
      <c r="L386" s="15" t="s">
        <v>47</v>
      </c>
    </row>
    <row r="387" spans="1:12" ht="15" customHeight="1">
      <c r="A387" s="14" t="s">
        <v>861</v>
      </c>
      <c r="B387" s="10" t="s">
        <v>858</v>
      </c>
      <c r="C387" s="20">
        <v>45903</v>
      </c>
      <c r="D387" s="10" t="s">
        <v>859</v>
      </c>
      <c r="E387" s="10" t="s">
        <v>860</v>
      </c>
      <c r="F387" s="10" t="s">
        <v>83</v>
      </c>
      <c r="G387" s="23">
        <v>1</v>
      </c>
      <c r="H387" s="26">
        <v>115.28</v>
      </c>
      <c r="I387" s="29">
        <v>0</v>
      </c>
      <c r="J387" s="10" t="s">
        <v>66</v>
      </c>
      <c r="K387" s="10" t="s">
        <v>41</v>
      </c>
      <c r="L387" s="15" t="s">
        <v>42</v>
      </c>
    </row>
    <row r="388" spans="1:12" ht="15" customHeight="1">
      <c r="A388" s="14" t="s">
        <v>862</v>
      </c>
      <c r="B388" s="10" t="s">
        <v>858</v>
      </c>
      <c r="C388" s="20">
        <v>45903</v>
      </c>
      <c r="D388" s="10" t="s">
        <v>859</v>
      </c>
      <c r="E388" s="10" t="s">
        <v>860</v>
      </c>
      <c r="F388" s="10" t="s">
        <v>238</v>
      </c>
      <c r="G388" s="23">
        <v>4</v>
      </c>
      <c r="H388" s="26">
        <v>82.77</v>
      </c>
      <c r="I388" s="29">
        <v>0.15</v>
      </c>
      <c r="J388" s="10" t="s">
        <v>50</v>
      </c>
      <c r="K388" s="10" t="s">
        <v>98</v>
      </c>
      <c r="L388" s="15" t="s">
        <v>42</v>
      </c>
    </row>
    <row r="389" spans="1:12" ht="15" customHeight="1">
      <c r="A389" s="14" t="s">
        <v>863</v>
      </c>
      <c r="B389" s="10" t="s">
        <v>858</v>
      </c>
      <c r="C389" s="20">
        <v>45903</v>
      </c>
      <c r="D389" s="10" t="s">
        <v>859</v>
      </c>
      <c r="E389" s="10" t="s">
        <v>860</v>
      </c>
      <c r="F389" s="10" t="s">
        <v>201</v>
      </c>
      <c r="G389" s="23">
        <v>2</v>
      </c>
      <c r="H389" s="26">
        <v>154.47</v>
      </c>
      <c r="I389" s="29">
        <v>0.15</v>
      </c>
      <c r="J389" s="10" t="s">
        <v>64</v>
      </c>
      <c r="K389" s="10" t="s">
        <v>58</v>
      </c>
      <c r="L389" s="15" t="s">
        <v>47</v>
      </c>
    </row>
    <row r="390" spans="1:12" ht="15" customHeight="1">
      <c r="A390" s="14" t="s">
        <v>864</v>
      </c>
      <c r="B390" s="10" t="s">
        <v>865</v>
      </c>
      <c r="C390" s="20">
        <v>45925</v>
      </c>
      <c r="D390" s="10" t="s">
        <v>866</v>
      </c>
      <c r="E390" s="10" t="s">
        <v>867</v>
      </c>
      <c r="F390" s="10" t="s">
        <v>93</v>
      </c>
      <c r="G390" s="23">
        <v>3</v>
      </c>
      <c r="H390" s="26">
        <v>208.89</v>
      </c>
      <c r="I390" s="29">
        <v>0.15</v>
      </c>
      <c r="J390" s="10" t="s">
        <v>66</v>
      </c>
      <c r="K390" s="10" t="s">
        <v>58</v>
      </c>
      <c r="L390" s="15" t="s">
        <v>52</v>
      </c>
    </row>
    <row r="391" spans="1:12" ht="15" customHeight="1">
      <c r="A391" s="14" t="s">
        <v>868</v>
      </c>
      <c r="B391" s="10" t="s">
        <v>865</v>
      </c>
      <c r="C391" s="20">
        <v>45925</v>
      </c>
      <c r="D391" s="10" t="s">
        <v>866</v>
      </c>
      <c r="E391" s="10" t="s">
        <v>867</v>
      </c>
      <c r="F391" s="10" t="s">
        <v>178</v>
      </c>
      <c r="G391" s="23">
        <v>3</v>
      </c>
      <c r="H391" s="26">
        <v>61.81</v>
      </c>
      <c r="I391" s="29">
        <v>0</v>
      </c>
      <c r="J391" s="10" t="s">
        <v>64</v>
      </c>
      <c r="K391" s="10" t="s">
        <v>98</v>
      </c>
      <c r="L391" s="15" t="s">
        <v>52</v>
      </c>
    </row>
    <row r="392" spans="1:12" ht="15" customHeight="1">
      <c r="A392" s="14" t="s">
        <v>869</v>
      </c>
      <c r="B392" s="10" t="s">
        <v>865</v>
      </c>
      <c r="C392" s="20">
        <v>45925</v>
      </c>
      <c r="D392" s="10" t="s">
        <v>866</v>
      </c>
      <c r="E392" s="10" t="s">
        <v>867</v>
      </c>
      <c r="F392" s="10" t="s">
        <v>521</v>
      </c>
      <c r="G392" s="23">
        <v>2</v>
      </c>
      <c r="H392" s="26">
        <v>37.82</v>
      </c>
      <c r="I392" s="29">
        <v>0.15</v>
      </c>
      <c r="J392" s="10" t="s">
        <v>64</v>
      </c>
      <c r="K392" s="10" t="s">
        <v>41</v>
      </c>
      <c r="L392" s="15" t="s">
        <v>52</v>
      </c>
    </row>
    <row r="393" spans="1:12" ht="15" customHeight="1">
      <c r="A393" s="14" t="s">
        <v>870</v>
      </c>
      <c r="B393" s="10" t="s">
        <v>865</v>
      </c>
      <c r="C393" s="20">
        <v>45925</v>
      </c>
      <c r="D393" s="10" t="s">
        <v>866</v>
      </c>
      <c r="E393" s="10" t="s">
        <v>867</v>
      </c>
      <c r="F393" s="10" t="s">
        <v>57</v>
      </c>
      <c r="G393" s="23">
        <v>1</v>
      </c>
      <c r="H393" s="26">
        <v>208.81</v>
      </c>
      <c r="I393" s="29">
        <v>0.1</v>
      </c>
      <c r="J393" s="10" t="s">
        <v>64</v>
      </c>
      <c r="K393" s="10" t="s">
        <v>41</v>
      </c>
      <c r="L393" s="15" t="s">
        <v>67</v>
      </c>
    </row>
    <row r="394" spans="1:12" ht="15" customHeight="1">
      <c r="A394" s="14" t="s">
        <v>871</v>
      </c>
      <c r="B394" s="10" t="s">
        <v>872</v>
      </c>
      <c r="C394" s="20">
        <v>45847</v>
      </c>
      <c r="D394" s="10" t="s">
        <v>638</v>
      </c>
      <c r="E394" s="10" t="s">
        <v>639</v>
      </c>
      <c r="F394" s="10" t="s">
        <v>309</v>
      </c>
      <c r="G394" s="23">
        <v>3</v>
      </c>
      <c r="H394" s="26">
        <v>56.99</v>
      </c>
      <c r="I394" s="29">
        <v>0.1</v>
      </c>
      <c r="J394" s="10" t="s">
        <v>70</v>
      </c>
      <c r="K394" s="10" t="s">
        <v>58</v>
      </c>
      <c r="L394" s="15" t="s">
        <v>47</v>
      </c>
    </row>
    <row r="395" spans="1:12" ht="15" customHeight="1">
      <c r="A395" s="14" t="s">
        <v>873</v>
      </c>
      <c r="B395" s="10" t="s">
        <v>874</v>
      </c>
      <c r="C395" s="20">
        <v>45951</v>
      </c>
      <c r="D395" s="10" t="s">
        <v>321</v>
      </c>
      <c r="E395" s="10" t="s">
        <v>322</v>
      </c>
      <c r="F395" s="10" t="s">
        <v>119</v>
      </c>
      <c r="G395" s="23">
        <v>1</v>
      </c>
      <c r="H395" s="26">
        <v>103.3</v>
      </c>
      <c r="I395" s="29">
        <v>0</v>
      </c>
      <c r="J395" s="10" t="s">
        <v>45</v>
      </c>
      <c r="K395" s="10" t="s">
        <v>46</v>
      </c>
      <c r="L395" s="15" t="s">
        <v>47</v>
      </c>
    </row>
    <row r="396" spans="1:12" ht="15" customHeight="1">
      <c r="A396" s="14" t="s">
        <v>875</v>
      </c>
      <c r="B396" s="10" t="s">
        <v>874</v>
      </c>
      <c r="C396" s="20">
        <v>45951</v>
      </c>
      <c r="D396" s="10" t="s">
        <v>321</v>
      </c>
      <c r="E396" s="10" t="s">
        <v>322</v>
      </c>
      <c r="F396" s="10" t="s">
        <v>106</v>
      </c>
      <c r="G396" s="23">
        <v>4</v>
      </c>
      <c r="H396" s="26">
        <v>195.38</v>
      </c>
      <c r="I396" s="29">
        <v>0.05</v>
      </c>
      <c r="J396" s="10" t="s">
        <v>40</v>
      </c>
      <c r="K396" s="10" t="s">
        <v>46</v>
      </c>
      <c r="L396" s="15" t="s">
        <v>67</v>
      </c>
    </row>
    <row r="397" spans="1:12" ht="15" customHeight="1">
      <c r="A397" s="14" t="s">
        <v>876</v>
      </c>
      <c r="B397" s="10" t="s">
        <v>874</v>
      </c>
      <c r="C397" s="20">
        <v>45951</v>
      </c>
      <c r="D397" s="10" t="s">
        <v>321</v>
      </c>
      <c r="E397" s="10" t="s">
        <v>322</v>
      </c>
      <c r="F397" s="10" t="s">
        <v>204</v>
      </c>
      <c r="G397" s="23">
        <v>4</v>
      </c>
      <c r="H397" s="26">
        <v>244.25</v>
      </c>
      <c r="I397" s="29">
        <v>0.1</v>
      </c>
      <c r="J397" s="10" t="s">
        <v>70</v>
      </c>
      <c r="K397" s="10" t="s">
        <v>98</v>
      </c>
      <c r="L397" s="15" t="s">
        <v>52</v>
      </c>
    </row>
    <row r="398" spans="1:12" ht="15" customHeight="1">
      <c r="A398" s="14" t="s">
        <v>877</v>
      </c>
      <c r="B398" s="10" t="s">
        <v>874</v>
      </c>
      <c r="C398" s="20">
        <v>45951</v>
      </c>
      <c r="D398" s="10" t="s">
        <v>321</v>
      </c>
      <c r="E398" s="10" t="s">
        <v>322</v>
      </c>
      <c r="F398" s="10" t="s">
        <v>77</v>
      </c>
      <c r="G398" s="23">
        <v>1</v>
      </c>
      <c r="H398" s="26">
        <v>34.909999999999997</v>
      </c>
      <c r="I398" s="29">
        <v>0.1</v>
      </c>
      <c r="J398" s="10" t="s">
        <v>40</v>
      </c>
      <c r="K398" s="10" t="s">
        <v>46</v>
      </c>
      <c r="L398" s="15" t="s">
        <v>42</v>
      </c>
    </row>
    <row r="399" spans="1:12" ht="15" customHeight="1">
      <c r="A399" s="14" t="s">
        <v>878</v>
      </c>
      <c r="B399" s="10" t="s">
        <v>879</v>
      </c>
      <c r="C399" s="20">
        <v>45879</v>
      </c>
      <c r="D399" s="10" t="s">
        <v>880</v>
      </c>
      <c r="E399" s="10" t="s">
        <v>881</v>
      </c>
      <c r="F399" s="10" t="s">
        <v>63</v>
      </c>
      <c r="G399" s="23">
        <v>1</v>
      </c>
      <c r="H399" s="26">
        <v>105.38</v>
      </c>
      <c r="I399" s="29">
        <v>0.15</v>
      </c>
      <c r="J399" s="10" t="s">
        <v>45</v>
      </c>
      <c r="K399" s="10" t="s">
        <v>46</v>
      </c>
      <c r="L399" s="15" t="s">
        <v>47</v>
      </c>
    </row>
    <row r="400" spans="1:12" ht="15" customHeight="1">
      <c r="A400" s="14" t="s">
        <v>882</v>
      </c>
      <c r="B400" s="10" t="s">
        <v>879</v>
      </c>
      <c r="C400" s="20">
        <v>45879</v>
      </c>
      <c r="D400" s="10" t="s">
        <v>880</v>
      </c>
      <c r="E400" s="10" t="s">
        <v>881</v>
      </c>
      <c r="F400" s="10" t="s">
        <v>180</v>
      </c>
      <c r="G400" s="23">
        <v>2</v>
      </c>
      <c r="H400" s="26">
        <v>91.75</v>
      </c>
      <c r="I400" s="29">
        <v>0.15</v>
      </c>
      <c r="J400" s="10" t="s">
        <v>40</v>
      </c>
      <c r="K400" s="10"/>
      <c r="L400" s="15" t="s">
        <v>47</v>
      </c>
    </row>
    <row r="401" spans="1:12" ht="15" customHeight="1">
      <c r="A401" s="14" t="s">
        <v>883</v>
      </c>
      <c r="B401" s="10" t="s">
        <v>879</v>
      </c>
      <c r="C401" s="20">
        <v>45879</v>
      </c>
      <c r="D401" s="10" t="s">
        <v>880</v>
      </c>
      <c r="E401" s="10" t="s">
        <v>881</v>
      </c>
      <c r="F401" s="10" t="s">
        <v>39</v>
      </c>
      <c r="G401" s="23">
        <v>2</v>
      </c>
      <c r="H401" s="26">
        <v>236.51</v>
      </c>
      <c r="I401" s="29">
        <v>0.05</v>
      </c>
      <c r="J401" s="10" t="s">
        <v>45</v>
      </c>
      <c r="K401" s="10" t="s">
        <v>46</v>
      </c>
      <c r="L401" s="15" t="s">
        <v>52</v>
      </c>
    </row>
    <row r="402" spans="1:12" ht="15" customHeight="1">
      <c r="A402" s="14" t="s">
        <v>884</v>
      </c>
      <c r="B402" s="10" t="s">
        <v>879</v>
      </c>
      <c r="C402" s="20">
        <v>45879</v>
      </c>
      <c r="D402" s="10" t="s">
        <v>880</v>
      </c>
      <c r="E402" s="10" t="s">
        <v>881</v>
      </c>
      <c r="F402" s="10" t="s">
        <v>309</v>
      </c>
      <c r="G402" s="23">
        <v>1</v>
      </c>
      <c r="H402" s="26">
        <v>56.99</v>
      </c>
      <c r="I402" s="29">
        <v>0</v>
      </c>
      <c r="J402" s="10" t="s">
        <v>66</v>
      </c>
      <c r="K402" s="10" t="s">
        <v>41</v>
      </c>
      <c r="L402" s="15" t="s">
        <v>42</v>
      </c>
    </row>
    <row r="403" spans="1:12" ht="15" customHeight="1">
      <c r="A403" s="14" t="s">
        <v>885</v>
      </c>
      <c r="B403" s="10" t="s">
        <v>886</v>
      </c>
      <c r="C403" s="20">
        <v>45696</v>
      </c>
      <c r="D403" s="10" t="s">
        <v>283</v>
      </c>
      <c r="E403" s="10" t="s">
        <v>284</v>
      </c>
      <c r="F403" s="10" t="s">
        <v>147</v>
      </c>
      <c r="G403" s="23">
        <v>2</v>
      </c>
      <c r="H403" s="26">
        <v>102.78</v>
      </c>
      <c r="I403" s="29">
        <v>0</v>
      </c>
      <c r="J403" s="10" t="s">
        <v>40</v>
      </c>
      <c r="K403" s="10" t="s">
        <v>41</v>
      </c>
      <c r="L403" s="15" t="s">
        <v>42</v>
      </c>
    </row>
    <row r="404" spans="1:12" ht="15" customHeight="1">
      <c r="A404" s="14" t="s">
        <v>887</v>
      </c>
      <c r="B404" s="10" t="s">
        <v>886</v>
      </c>
      <c r="C404" s="20">
        <v>45696</v>
      </c>
      <c r="D404" s="10" t="s">
        <v>283</v>
      </c>
      <c r="E404" s="10" t="s">
        <v>284</v>
      </c>
      <c r="F404" s="10" t="s">
        <v>251</v>
      </c>
      <c r="G404" s="23">
        <v>1</v>
      </c>
      <c r="H404" s="26">
        <v>228.91</v>
      </c>
      <c r="I404" s="29">
        <v>0</v>
      </c>
      <c r="J404" s="10" t="s">
        <v>40</v>
      </c>
      <c r="K404" s="10"/>
      <c r="L404" s="15" t="s">
        <v>101</v>
      </c>
    </row>
    <row r="405" spans="1:12" ht="15" customHeight="1">
      <c r="A405" s="14" t="s">
        <v>888</v>
      </c>
      <c r="B405" s="10" t="s">
        <v>889</v>
      </c>
      <c r="C405" s="20">
        <v>45928</v>
      </c>
      <c r="D405" s="10" t="s">
        <v>890</v>
      </c>
      <c r="E405" s="10" t="s">
        <v>891</v>
      </c>
      <c r="F405" s="10" t="s">
        <v>456</v>
      </c>
      <c r="G405" s="23">
        <v>1</v>
      </c>
      <c r="H405" s="26">
        <v>275.76</v>
      </c>
      <c r="I405" s="29">
        <v>0</v>
      </c>
      <c r="J405" s="10" t="s">
        <v>40</v>
      </c>
      <c r="K405" s="10" t="s">
        <v>41</v>
      </c>
      <c r="L405" s="15" t="s">
        <v>42</v>
      </c>
    </row>
    <row r="406" spans="1:12" ht="15" customHeight="1">
      <c r="A406" s="14" t="s">
        <v>892</v>
      </c>
      <c r="B406" s="10" t="s">
        <v>889</v>
      </c>
      <c r="C406" s="20">
        <v>45928</v>
      </c>
      <c r="D406" s="10" t="s">
        <v>890</v>
      </c>
      <c r="E406" s="10" t="s">
        <v>891</v>
      </c>
      <c r="F406" s="10" t="s">
        <v>119</v>
      </c>
      <c r="G406" s="23">
        <v>1</v>
      </c>
      <c r="H406" s="26">
        <v>103.3</v>
      </c>
      <c r="I406" s="29">
        <v>0</v>
      </c>
      <c r="J406" s="10" t="s">
        <v>66</v>
      </c>
      <c r="K406" s="10" t="s">
        <v>98</v>
      </c>
      <c r="L406" s="15" t="s">
        <v>101</v>
      </c>
    </row>
    <row r="407" spans="1:12" ht="15" customHeight="1">
      <c r="A407" s="14" t="s">
        <v>893</v>
      </c>
      <c r="B407" s="10" t="s">
        <v>894</v>
      </c>
      <c r="C407" s="20">
        <v>45930</v>
      </c>
      <c r="D407" s="10" t="s">
        <v>895</v>
      </c>
      <c r="E407" s="10" t="s">
        <v>896</v>
      </c>
      <c r="F407" s="10" t="s">
        <v>83</v>
      </c>
      <c r="G407" s="23">
        <v>2</v>
      </c>
      <c r="H407" s="26">
        <v>115.28</v>
      </c>
      <c r="I407" s="29">
        <v>0.15</v>
      </c>
      <c r="J407" s="10" t="s">
        <v>45</v>
      </c>
      <c r="K407" s="10" t="s">
        <v>58</v>
      </c>
      <c r="L407" s="15" t="s">
        <v>47</v>
      </c>
    </row>
    <row r="408" spans="1:12" ht="15" customHeight="1">
      <c r="A408" s="14" t="s">
        <v>897</v>
      </c>
      <c r="B408" s="10" t="s">
        <v>894</v>
      </c>
      <c r="C408" s="20">
        <v>45930</v>
      </c>
      <c r="D408" s="10" t="s">
        <v>895</v>
      </c>
      <c r="E408" s="10" t="s">
        <v>896</v>
      </c>
      <c r="F408" s="10" t="s">
        <v>106</v>
      </c>
      <c r="G408" s="23">
        <v>4</v>
      </c>
      <c r="H408" s="26">
        <v>195.38</v>
      </c>
      <c r="I408" s="29">
        <v>0</v>
      </c>
      <c r="J408" s="10" t="s">
        <v>40</v>
      </c>
      <c r="K408" s="10" t="s">
        <v>46</v>
      </c>
      <c r="L408" s="15" t="s">
        <v>47</v>
      </c>
    </row>
    <row r="409" spans="1:12" ht="15" customHeight="1">
      <c r="A409" s="14" t="s">
        <v>898</v>
      </c>
      <c r="B409" s="10" t="s">
        <v>899</v>
      </c>
      <c r="C409" s="20">
        <v>45821</v>
      </c>
      <c r="D409" s="10" t="s">
        <v>233</v>
      </c>
      <c r="E409" s="10" t="s">
        <v>234</v>
      </c>
      <c r="F409" s="10" t="s">
        <v>110</v>
      </c>
      <c r="G409" s="23">
        <v>2</v>
      </c>
      <c r="H409" s="26">
        <v>133.24</v>
      </c>
      <c r="I409" s="29">
        <v>0.15</v>
      </c>
      <c r="J409" s="10" t="s">
        <v>70</v>
      </c>
      <c r="K409" s="10" t="s">
        <v>51</v>
      </c>
      <c r="L409" s="15" t="s">
        <v>101</v>
      </c>
    </row>
    <row r="410" spans="1:12" ht="15" customHeight="1">
      <c r="A410" s="14" t="s">
        <v>900</v>
      </c>
      <c r="B410" s="10" t="s">
        <v>899</v>
      </c>
      <c r="C410" s="20">
        <v>45821</v>
      </c>
      <c r="D410" s="10" t="s">
        <v>233</v>
      </c>
      <c r="E410" s="10" t="s">
        <v>234</v>
      </c>
      <c r="F410" s="10" t="s">
        <v>108</v>
      </c>
      <c r="G410" s="23">
        <v>2</v>
      </c>
      <c r="H410" s="26">
        <v>33.369999999999997</v>
      </c>
      <c r="I410" s="29">
        <v>0.15</v>
      </c>
      <c r="J410" s="10" t="s">
        <v>64</v>
      </c>
      <c r="K410" s="10" t="s">
        <v>51</v>
      </c>
      <c r="L410" s="15" t="s">
        <v>52</v>
      </c>
    </row>
    <row r="411" spans="1:12" ht="15" customHeight="1">
      <c r="A411" s="14" t="s">
        <v>901</v>
      </c>
      <c r="B411" s="10" t="s">
        <v>899</v>
      </c>
      <c r="C411" s="20">
        <v>45821</v>
      </c>
      <c r="D411" s="10" t="s">
        <v>233</v>
      </c>
      <c r="E411" s="10" t="s">
        <v>234</v>
      </c>
      <c r="F411" s="10" t="s">
        <v>106</v>
      </c>
      <c r="G411" s="23">
        <v>3</v>
      </c>
      <c r="H411" s="26">
        <v>195.38</v>
      </c>
      <c r="I411" s="29">
        <v>0.1</v>
      </c>
      <c r="J411" s="10" t="s">
        <v>70</v>
      </c>
      <c r="K411" s="10" t="s">
        <v>58</v>
      </c>
      <c r="L411" s="15" t="s">
        <v>101</v>
      </c>
    </row>
    <row r="412" spans="1:12" ht="15" customHeight="1">
      <c r="A412" s="14" t="s">
        <v>902</v>
      </c>
      <c r="B412" s="10" t="s">
        <v>903</v>
      </c>
      <c r="C412" s="20">
        <v>45679</v>
      </c>
      <c r="D412" s="10" t="s">
        <v>351</v>
      </c>
      <c r="E412" s="10" t="s">
        <v>352</v>
      </c>
      <c r="F412" s="10" t="s">
        <v>128</v>
      </c>
      <c r="G412" s="23">
        <v>3</v>
      </c>
      <c r="H412" s="26">
        <v>25.15</v>
      </c>
      <c r="I412" s="29">
        <v>0.05</v>
      </c>
      <c r="J412" s="10" t="s">
        <v>66</v>
      </c>
      <c r="K412" s="10" t="s">
        <v>51</v>
      </c>
      <c r="L412" s="15" t="s">
        <v>52</v>
      </c>
    </row>
    <row r="413" spans="1:12" ht="15" customHeight="1">
      <c r="A413" s="14" t="s">
        <v>904</v>
      </c>
      <c r="B413" s="10" t="s">
        <v>905</v>
      </c>
      <c r="C413" s="20">
        <v>45902</v>
      </c>
      <c r="D413" s="10" t="s">
        <v>378</v>
      </c>
      <c r="E413" s="10" t="s">
        <v>135</v>
      </c>
      <c r="F413" s="10" t="s">
        <v>106</v>
      </c>
      <c r="G413" s="23">
        <v>1</v>
      </c>
      <c r="H413" s="26">
        <v>195.38</v>
      </c>
      <c r="I413" s="29">
        <v>0.15</v>
      </c>
      <c r="J413" s="10" t="s">
        <v>66</v>
      </c>
      <c r="K413" s="10" t="s">
        <v>46</v>
      </c>
      <c r="L413" s="15" t="s">
        <v>52</v>
      </c>
    </row>
    <row r="414" spans="1:12" ht="15" customHeight="1">
      <c r="A414" s="14" t="s">
        <v>906</v>
      </c>
      <c r="B414" s="10" t="s">
        <v>907</v>
      </c>
      <c r="C414" s="20">
        <v>46000</v>
      </c>
      <c r="D414" s="10" t="s">
        <v>598</v>
      </c>
      <c r="E414" s="10" t="s">
        <v>599</v>
      </c>
      <c r="F414" s="10" t="s">
        <v>495</v>
      </c>
      <c r="G414" s="23">
        <v>3</v>
      </c>
      <c r="H414" s="26">
        <v>207.71</v>
      </c>
      <c r="I414" s="29">
        <v>0.15</v>
      </c>
      <c r="J414" s="10" t="s">
        <v>40</v>
      </c>
      <c r="K414" s="10" t="s">
        <v>41</v>
      </c>
      <c r="L414" s="15" t="s">
        <v>42</v>
      </c>
    </row>
    <row r="415" spans="1:12" ht="15" customHeight="1">
      <c r="A415" s="14" t="s">
        <v>908</v>
      </c>
      <c r="B415" s="10" t="s">
        <v>909</v>
      </c>
      <c r="C415" s="20">
        <v>45770</v>
      </c>
      <c r="D415" s="10" t="s">
        <v>910</v>
      </c>
      <c r="E415" s="10" t="s">
        <v>911</v>
      </c>
      <c r="F415" s="10" t="s">
        <v>316</v>
      </c>
      <c r="G415" s="23">
        <v>4</v>
      </c>
      <c r="H415" s="26">
        <v>180.37</v>
      </c>
      <c r="I415" s="29">
        <v>0</v>
      </c>
      <c r="J415" s="10" t="s">
        <v>40</v>
      </c>
      <c r="K415" s="10" t="s">
        <v>98</v>
      </c>
      <c r="L415" s="15" t="s">
        <v>101</v>
      </c>
    </row>
    <row r="416" spans="1:12" ht="15" customHeight="1">
      <c r="A416" s="14" t="s">
        <v>912</v>
      </c>
      <c r="B416" s="10" t="s">
        <v>913</v>
      </c>
      <c r="C416" s="20">
        <v>45800</v>
      </c>
      <c r="D416" s="10" t="s">
        <v>680</v>
      </c>
      <c r="E416" s="10" t="s">
        <v>681</v>
      </c>
      <c r="F416" s="10" t="s">
        <v>214</v>
      </c>
      <c r="G416" s="23">
        <v>4</v>
      </c>
      <c r="H416" s="26">
        <v>186.92</v>
      </c>
      <c r="I416" s="29">
        <v>0.1</v>
      </c>
      <c r="J416" s="10" t="s">
        <v>40</v>
      </c>
      <c r="K416" s="10" t="s">
        <v>58</v>
      </c>
      <c r="L416" s="15" t="s">
        <v>42</v>
      </c>
    </row>
    <row r="417" spans="1:12" ht="15" customHeight="1">
      <c r="A417" s="14" t="s">
        <v>914</v>
      </c>
      <c r="B417" s="10" t="s">
        <v>913</v>
      </c>
      <c r="C417" s="20">
        <v>45800</v>
      </c>
      <c r="D417" s="10" t="s">
        <v>680</v>
      </c>
      <c r="E417" s="10" t="s">
        <v>681</v>
      </c>
      <c r="F417" s="10" t="s">
        <v>72</v>
      </c>
      <c r="G417" s="23">
        <v>1</v>
      </c>
      <c r="H417" s="26">
        <v>210.2</v>
      </c>
      <c r="I417" s="29">
        <v>0</v>
      </c>
      <c r="J417" s="10" t="s">
        <v>50</v>
      </c>
      <c r="K417" s="10" t="s">
        <v>51</v>
      </c>
      <c r="L417" s="15" t="s">
        <v>67</v>
      </c>
    </row>
    <row r="418" spans="1:12" ht="15" customHeight="1">
      <c r="A418" s="14" t="s">
        <v>915</v>
      </c>
      <c r="B418" s="10" t="s">
        <v>913</v>
      </c>
      <c r="C418" s="20">
        <v>45800</v>
      </c>
      <c r="D418" s="10" t="s">
        <v>680</v>
      </c>
      <c r="E418" s="10" t="s">
        <v>681</v>
      </c>
      <c r="F418" s="10" t="s">
        <v>121</v>
      </c>
      <c r="G418" s="23">
        <v>3</v>
      </c>
      <c r="H418" s="26">
        <v>287.16000000000003</v>
      </c>
      <c r="I418" s="29">
        <v>0.1</v>
      </c>
      <c r="J418" s="10" t="s">
        <v>50</v>
      </c>
      <c r="K418" s="10" t="s">
        <v>46</v>
      </c>
      <c r="L418" s="15" t="s">
        <v>67</v>
      </c>
    </row>
    <row r="419" spans="1:12" ht="15" customHeight="1">
      <c r="A419" s="14" t="s">
        <v>916</v>
      </c>
      <c r="B419" s="10" t="s">
        <v>917</v>
      </c>
      <c r="C419" s="20">
        <v>45748.041666666664</v>
      </c>
      <c r="D419" s="10" t="s">
        <v>260</v>
      </c>
      <c r="E419" s="10" t="s">
        <v>261</v>
      </c>
      <c r="F419" s="10" t="s">
        <v>270</v>
      </c>
      <c r="G419" s="23">
        <v>4</v>
      </c>
      <c r="H419" s="26">
        <v>214.38</v>
      </c>
      <c r="I419" s="29">
        <v>0.1</v>
      </c>
      <c r="J419" s="10" t="s">
        <v>45</v>
      </c>
      <c r="K419" s="10" t="s">
        <v>98</v>
      </c>
      <c r="L419" s="15" t="s">
        <v>47</v>
      </c>
    </row>
    <row r="420" spans="1:12" ht="15" customHeight="1">
      <c r="A420" s="14" t="s">
        <v>918</v>
      </c>
      <c r="B420" s="10" t="s">
        <v>919</v>
      </c>
      <c r="C420" s="20">
        <v>45778</v>
      </c>
      <c r="D420" s="10" t="s">
        <v>652</v>
      </c>
      <c r="E420" s="10" t="s">
        <v>653</v>
      </c>
      <c r="F420" s="10" t="s">
        <v>112</v>
      </c>
      <c r="G420" s="23">
        <v>1</v>
      </c>
      <c r="H420" s="26">
        <v>88.61</v>
      </c>
      <c r="I420" s="29">
        <v>0.1</v>
      </c>
      <c r="J420" s="10" t="s">
        <v>40</v>
      </c>
      <c r="K420" s="10" t="s">
        <v>51</v>
      </c>
      <c r="L420" s="15" t="s">
        <v>47</v>
      </c>
    </row>
    <row r="421" spans="1:12" ht="15" customHeight="1">
      <c r="A421" s="14" t="s">
        <v>920</v>
      </c>
      <c r="B421" s="10" t="s">
        <v>919</v>
      </c>
      <c r="C421" s="20">
        <v>45778</v>
      </c>
      <c r="D421" s="10" t="s">
        <v>652</v>
      </c>
      <c r="E421" s="10" t="s">
        <v>653</v>
      </c>
      <c r="F421" s="10" t="s">
        <v>238</v>
      </c>
      <c r="G421" s="23">
        <v>1</v>
      </c>
      <c r="H421" s="26">
        <v>82.77</v>
      </c>
      <c r="I421" s="29">
        <v>0.1</v>
      </c>
      <c r="J421" s="10" t="s">
        <v>40</v>
      </c>
      <c r="K421" s="10" t="s">
        <v>98</v>
      </c>
      <c r="L421" s="15" t="s">
        <v>47</v>
      </c>
    </row>
    <row r="422" spans="1:12" ht="15" customHeight="1">
      <c r="A422" s="14" t="s">
        <v>921</v>
      </c>
      <c r="B422" s="10" t="s">
        <v>919</v>
      </c>
      <c r="C422" s="20">
        <v>45778</v>
      </c>
      <c r="D422" s="10" t="s">
        <v>652</v>
      </c>
      <c r="E422" s="10" t="s">
        <v>653</v>
      </c>
      <c r="F422" s="10" t="s">
        <v>309</v>
      </c>
      <c r="G422" s="23">
        <v>3</v>
      </c>
      <c r="H422" s="26">
        <v>56.99</v>
      </c>
      <c r="I422" s="29">
        <v>0.15</v>
      </c>
      <c r="J422" s="10" t="s">
        <v>45</v>
      </c>
      <c r="K422" s="10" t="s">
        <v>46</v>
      </c>
      <c r="L422" s="15" t="s">
        <v>42</v>
      </c>
    </row>
    <row r="423" spans="1:12" ht="15" customHeight="1">
      <c r="A423" s="14" t="s">
        <v>922</v>
      </c>
      <c r="B423" s="10" t="s">
        <v>923</v>
      </c>
      <c r="C423" s="20">
        <v>45685</v>
      </c>
      <c r="D423" s="10" t="s">
        <v>517</v>
      </c>
      <c r="E423" s="10" t="s">
        <v>518</v>
      </c>
      <c r="F423" s="10" t="s">
        <v>110</v>
      </c>
      <c r="G423" s="23">
        <v>1</v>
      </c>
      <c r="H423" s="26">
        <v>133.24</v>
      </c>
      <c r="I423" s="29">
        <v>0.15</v>
      </c>
      <c r="J423" s="10" t="s">
        <v>70</v>
      </c>
      <c r="K423" s="10" t="s">
        <v>58</v>
      </c>
      <c r="L423" s="15" t="s">
        <v>101</v>
      </c>
    </row>
    <row r="424" spans="1:12" ht="15" customHeight="1">
      <c r="A424" s="14" t="s">
        <v>924</v>
      </c>
      <c r="B424" s="10" t="s">
        <v>923</v>
      </c>
      <c r="C424" s="20">
        <v>45685</v>
      </c>
      <c r="D424" s="10" t="s">
        <v>517</v>
      </c>
      <c r="E424" s="10" t="s">
        <v>518</v>
      </c>
      <c r="F424" s="10" t="s">
        <v>241</v>
      </c>
      <c r="G424" s="23">
        <v>3</v>
      </c>
      <c r="H424" s="26">
        <v>300.56</v>
      </c>
      <c r="I424" s="29">
        <v>0.15</v>
      </c>
      <c r="J424" s="10" t="s">
        <v>66</v>
      </c>
      <c r="K424" s="10" t="s">
        <v>46</v>
      </c>
      <c r="L424" s="15" t="s">
        <v>67</v>
      </c>
    </row>
    <row r="425" spans="1:12" ht="15" customHeight="1">
      <c r="A425" s="14" t="s">
        <v>925</v>
      </c>
      <c r="B425" s="10" t="s">
        <v>926</v>
      </c>
      <c r="C425" s="20">
        <v>45987</v>
      </c>
      <c r="D425" s="10" t="s">
        <v>927</v>
      </c>
      <c r="E425" s="10" t="s">
        <v>928</v>
      </c>
      <c r="F425" s="10" t="s">
        <v>44</v>
      </c>
      <c r="G425" s="23">
        <v>4</v>
      </c>
      <c r="H425" s="26">
        <v>238.47</v>
      </c>
      <c r="I425" s="29">
        <v>0</v>
      </c>
      <c r="J425" s="10" t="s">
        <v>50</v>
      </c>
      <c r="K425" s="10" t="s">
        <v>98</v>
      </c>
      <c r="L425" s="15" t="s">
        <v>42</v>
      </c>
    </row>
    <row r="426" spans="1:12" ht="15" customHeight="1">
      <c r="A426" s="14" t="s">
        <v>929</v>
      </c>
      <c r="B426" s="10" t="s">
        <v>926</v>
      </c>
      <c r="C426" s="20">
        <v>45987</v>
      </c>
      <c r="D426" s="10" t="s">
        <v>927</v>
      </c>
      <c r="E426" s="10" t="s">
        <v>928</v>
      </c>
      <c r="F426" s="10" t="s">
        <v>276</v>
      </c>
      <c r="G426" s="23">
        <v>1</v>
      </c>
      <c r="H426" s="26">
        <v>182.94</v>
      </c>
      <c r="I426" s="29">
        <v>0.15</v>
      </c>
      <c r="J426" s="10" t="s">
        <v>45</v>
      </c>
      <c r="K426" s="10" t="s">
        <v>51</v>
      </c>
      <c r="L426" s="15" t="s">
        <v>101</v>
      </c>
    </row>
    <row r="427" spans="1:12" ht="15" customHeight="1">
      <c r="A427" s="14" t="s">
        <v>930</v>
      </c>
      <c r="B427" s="10" t="s">
        <v>931</v>
      </c>
      <c r="C427" s="20">
        <v>45959</v>
      </c>
      <c r="D427" s="10" t="s">
        <v>159</v>
      </c>
      <c r="E427" s="10" t="s">
        <v>160</v>
      </c>
      <c r="F427" s="10" t="s">
        <v>119</v>
      </c>
      <c r="G427" s="23">
        <v>3</v>
      </c>
      <c r="H427" s="26">
        <v>103.3</v>
      </c>
      <c r="I427" s="29">
        <v>0</v>
      </c>
      <c r="J427" s="10" t="s">
        <v>66</v>
      </c>
      <c r="K427" s="10" t="s">
        <v>46</v>
      </c>
      <c r="L427" s="15" t="s">
        <v>67</v>
      </c>
    </row>
    <row r="428" spans="1:12" ht="15" customHeight="1">
      <c r="A428" s="14" t="s">
        <v>932</v>
      </c>
      <c r="B428" s="10" t="s">
        <v>931</v>
      </c>
      <c r="C428" s="20">
        <v>45959</v>
      </c>
      <c r="D428" s="10" t="s">
        <v>159</v>
      </c>
      <c r="E428" s="10" t="s">
        <v>160</v>
      </c>
      <c r="F428" s="10" t="s">
        <v>220</v>
      </c>
      <c r="G428" s="23">
        <v>3</v>
      </c>
      <c r="H428" s="26">
        <v>25.01</v>
      </c>
      <c r="I428" s="29">
        <v>0</v>
      </c>
      <c r="J428" s="10" t="s">
        <v>66</v>
      </c>
      <c r="K428" s="10" t="s">
        <v>58</v>
      </c>
      <c r="L428" s="15" t="s">
        <v>101</v>
      </c>
    </row>
    <row r="429" spans="1:12" ht="15" customHeight="1">
      <c r="A429" s="14" t="s">
        <v>933</v>
      </c>
      <c r="B429" s="10" t="s">
        <v>934</v>
      </c>
      <c r="C429" s="20">
        <v>45881</v>
      </c>
      <c r="D429" s="10" t="s">
        <v>935</v>
      </c>
      <c r="E429" s="10" t="s">
        <v>936</v>
      </c>
      <c r="F429" s="10" t="s">
        <v>196</v>
      </c>
      <c r="G429" s="23">
        <v>3</v>
      </c>
      <c r="H429" s="26">
        <v>183.73</v>
      </c>
      <c r="I429" s="29">
        <v>0.1</v>
      </c>
      <c r="J429" s="10" t="s">
        <v>64</v>
      </c>
      <c r="K429" s="10" t="s">
        <v>51</v>
      </c>
      <c r="L429" s="15" t="s">
        <v>52</v>
      </c>
    </row>
    <row r="430" spans="1:12" ht="15" customHeight="1">
      <c r="A430" s="14" t="s">
        <v>937</v>
      </c>
      <c r="B430" s="10" t="s">
        <v>934</v>
      </c>
      <c r="C430" s="20">
        <v>45881</v>
      </c>
      <c r="D430" s="10" t="s">
        <v>935</v>
      </c>
      <c r="E430" s="10" t="s">
        <v>936</v>
      </c>
      <c r="F430" s="10" t="s">
        <v>57</v>
      </c>
      <c r="G430" s="23">
        <v>4</v>
      </c>
      <c r="H430" s="26">
        <v>208.81</v>
      </c>
      <c r="I430" s="29">
        <v>0.05</v>
      </c>
      <c r="J430" s="10" t="s">
        <v>64</v>
      </c>
      <c r="K430" s="10" t="s">
        <v>41</v>
      </c>
      <c r="L430" s="15" t="s">
        <v>67</v>
      </c>
    </row>
    <row r="431" spans="1:12" ht="15" customHeight="1">
      <c r="A431" s="14" t="s">
        <v>938</v>
      </c>
      <c r="B431" s="10" t="s">
        <v>934</v>
      </c>
      <c r="C431" s="20">
        <v>45881</v>
      </c>
      <c r="D431" s="10" t="s">
        <v>935</v>
      </c>
      <c r="E431" s="10" t="s">
        <v>936</v>
      </c>
      <c r="F431" s="10" t="s">
        <v>784</v>
      </c>
      <c r="G431" s="23">
        <v>1</v>
      </c>
      <c r="H431" s="26">
        <v>96.33</v>
      </c>
      <c r="I431" s="29">
        <v>0.05</v>
      </c>
      <c r="J431" s="10" t="s">
        <v>66</v>
      </c>
      <c r="K431" s="10" t="s">
        <v>58</v>
      </c>
      <c r="L431" s="15" t="s">
        <v>101</v>
      </c>
    </row>
    <row r="432" spans="1:12" ht="15" customHeight="1">
      <c r="A432" s="14" t="s">
        <v>939</v>
      </c>
      <c r="B432" s="10" t="s">
        <v>934</v>
      </c>
      <c r="C432" s="20">
        <v>45881</v>
      </c>
      <c r="D432" s="10" t="s">
        <v>935</v>
      </c>
      <c r="E432" s="10" t="s">
        <v>936</v>
      </c>
      <c r="F432" s="10" t="s">
        <v>44</v>
      </c>
      <c r="G432" s="23">
        <v>3</v>
      </c>
      <c r="H432" s="26">
        <v>238.47</v>
      </c>
      <c r="I432" s="29">
        <v>0</v>
      </c>
      <c r="J432" s="10" t="s">
        <v>50</v>
      </c>
      <c r="K432" s="10" t="s">
        <v>51</v>
      </c>
      <c r="L432" s="15" t="s">
        <v>47</v>
      </c>
    </row>
    <row r="433" spans="1:12" ht="15" customHeight="1">
      <c r="A433" s="14" t="s">
        <v>940</v>
      </c>
      <c r="B433" s="10" t="s">
        <v>941</v>
      </c>
      <c r="C433" s="20">
        <v>45948</v>
      </c>
      <c r="D433" s="10" t="s">
        <v>443</v>
      </c>
      <c r="E433" s="10" t="s">
        <v>444</v>
      </c>
      <c r="F433" s="10" t="s">
        <v>316</v>
      </c>
      <c r="G433" s="23">
        <v>4</v>
      </c>
      <c r="H433" s="26">
        <v>180.37</v>
      </c>
      <c r="I433" s="29">
        <v>0</v>
      </c>
      <c r="J433" s="10" t="s">
        <v>50</v>
      </c>
      <c r="K433" s="10" t="s">
        <v>58</v>
      </c>
      <c r="L433" s="15" t="s">
        <v>52</v>
      </c>
    </row>
    <row r="434" spans="1:12" ht="15" customHeight="1">
      <c r="A434" s="14" t="s">
        <v>942</v>
      </c>
      <c r="B434" s="10" t="s">
        <v>941</v>
      </c>
      <c r="C434" s="20">
        <v>45948</v>
      </c>
      <c r="D434" s="10" t="s">
        <v>443</v>
      </c>
      <c r="E434" s="10" t="s">
        <v>444</v>
      </c>
      <c r="F434" s="10" t="s">
        <v>110</v>
      </c>
      <c r="G434" s="23">
        <v>1</v>
      </c>
      <c r="H434" s="26">
        <v>133.24</v>
      </c>
      <c r="I434" s="29">
        <v>0.15</v>
      </c>
      <c r="J434" s="10" t="s">
        <v>64</v>
      </c>
      <c r="K434" s="10" t="s">
        <v>46</v>
      </c>
      <c r="L434" s="15" t="s">
        <v>101</v>
      </c>
    </row>
    <row r="435" spans="1:12" ht="15" customHeight="1">
      <c r="A435" s="14" t="s">
        <v>943</v>
      </c>
      <c r="B435" s="10" t="s">
        <v>941</v>
      </c>
      <c r="C435" s="20">
        <v>45948</v>
      </c>
      <c r="D435" s="10" t="s">
        <v>443</v>
      </c>
      <c r="E435" s="10" t="s">
        <v>444</v>
      </c>
      <c r="F435" s="10" t="s">
        <v>178</v>
      </c>
      <c r="G435" s="23">
        <v>2</v>
      </c>
      <c r="H435" s="26">
        <v>61.81</v>
      </c>
      <c r="I435" s="29">
        <v>0</v>
      </c>
      <c r="J435" s="10" t="s">
        <v>64</v>
      </c>
      <c r="K435" s="10" t="s">
        <v>41</v>
      </c>
      <c r="L435" s="15" t="s">
        <v>67</v>
      </c>
    </row>
    <row r="436" spans="1:12" ht="15" customHeight="1">
      <c r="A436" s="14" t="s">
        <v>944</v>
      </c>
      <c r="B436" s="10" t="s">
        <v>941</v>
      </c>
      <c r="C436" s="20">
        <v>45948</v>
      </c>
      <c r="D436" s="10" t="s">
        <v>443</v>
      </c>
      <c r="E436" s="10" t="s">
        <v>444</v>
      </c>
      <c r="F436" s="10" t="s">
        <v>77</v>
      </c>
      <c r="G436" s="23">
        <v>4</v>
      </c>
      <c r="H436" s="26">
        <v>34.909999999999997</v>
      </c>
      <c r="I436" s="29">
        <v>0</v>
      </c>
      <c r="J436" s="10" t="s">
        <v>66</v>
      </c>
      <c r="K436" s="10"/>
      <c r="L436" s="15" t="s">
        <v>42</v>
      </c>
    </row>
    <row r="437" spans="1:12" ht="15" customHeight="1">
      <c r="A437" s="14" t="s">
        <v>945</v>
      </c>
      <c r="B437" s="10" t="s">
        <v>946</v>
      </c>
      <c r="C437" s="20">
        <v>45706</v>
      </c>
      <c r="D437" s="10" t="s">
        <v>947</v>
      </c>
      <c r="E437" s="10" t="s">
        <v>948</v>
      </c>
      <c r="F437" s="10" t="s">
        <v>72</v>
      </c>
      <c r="G437" s="23">
        <v>4</v>
      </c>
      <c r="H437" s="26">
        <v>210.2</v>
      </c>
      <c r="I437" s="29">
        <v>0</v>
      </c>
      <c r="J437" s="10" t="s">
        <v>66</v>
      </c>
      <c r="K437" s="10" t="s">
        <v>98</v>
      </c>
      <c r="L437" s="15" t="s">
        <v>101</v>
      </c>
    </row>
    <row r="438" spans="1:12" ht="15" customHeight="1">
      <c r="A438" s="14" t="s">
        <v>949</v>
      </c>
      <c r="B438" s="10" t="s">
        <v>946</v>
      </c>
      <c r="C438" s="20">
        <v>45706</v>
      </c>
      <c r="D438" s="10" t="s">
        <v>947</v>
      </c>
      <c r="E438" s="10" t="s">
        <v>948</v>
      </c>
      <c r="F438" s="10" t="s">
        <v>270</v>
      </c>
      <c r="G438" s="23">
        <v>4</v>
      </c>
      <c r="H438" s="26">
        <v>214.38</v>
      </c>
      <c r="I438" s="29">
        <v>0.05</v>
      </c>
      <c r="J438" s="10" t="s">
        <v>70</v>
      </c>
      <c r="K438" s="10" t="s">
        <v>46</v>
      </c>
      <c r="L438" s="15" t="s">
        <v>101</v>
      </c>
    </row>
    <row r="439" spans="1:12" ht="15" customHeight="1">
      <c r="A439" s="14" t="s">
        <v>950</v>
      </c>
      <c r="B439" s="10" t="s">
        <v>946</v>
      </c>
      <c r="C439" s="20">
        <v>45706</v>
      </c>
      <c r="D439" s="10" t="s">
        <v>947</v>
      </c>
      <c r="E439" s="10" t="s">
        <v>948</v>
      </c>
      <c r="F439" s="10" t="s">
        <v>428</v>
      </c>
      <c r="G439" s="23">
        <v>2</v>
      </c>
      <c r="H439" s="26">
        <v>110.88</v>
      </c>
      <c r="I439" s="29">
        <v>0.1</v>
      </c>
      <c r="J439" s="10" t="s">
        <v>70</v>
      </c>
      <c r="K439" s="10" t="s">
        <v>41</v>
      </c>
      <c r="L439" s="15" t="s">
        <v>52</v>
      </c>
    </row>
    <row r="440" spans="1:12" ht="15" customHeight="1">
      <c r="A440" s="14" t="s">
        <v>951</v>
      </c>
      <c r="B440" s="10" t="s">
        <v>946</v>
      </c>
      <c r="C440" s="20">
        <v>45706</v>
      </c>
      <c r="D440" s="10" t="s">
        <v>947</v>
      </c>
      <c r="E440" s="10" t="s">
        <v>948</v>
      </c>
      <c r="F440" s="10" t="s">
        <v>110</v>
      </c>
      <c r="G440" s="23">
        <v>3</v>
      </c>
      <c r="H440" s="26">
        <v>133.24</v>
      </c>
      <c r="I440" s="29">
        <v>0.15</v>
      </c>
      <c r="J440" s="10" t="s">
        <v>64</v>
      </c>
      <c r="K440" s="10" t="s">
        <v>98</v>
      </c>
      <c r="L440" s="15" t="s">
        <v>101</v>
      </c>
    </row>
    <row r="441" spans="1:12" ht="15" customHeight="1">
      <c r="A441" s="14" t="s">
        <v>952</v>
      </c>
      <c r="B441" s="10" t="s">
        <v>953</v>
      </c>
      <c r="C441" s="20">
        <v>45956</v>
      </c>
      <c r="D441" s="10" t="s">
        <v>954</v>
      </c>
      <c r="E441" s="10" t="s">
        <v>955</v>
      </c>
      <c r="F441" s="10" t="s">
        <v>276</v>
      </c>
      <c r="G441" s="23">
        <v>4</v>
      </c>
      <c r="H441" s="26">
        <v>182.94</v>
      </c>
      <c r="I441" s="29">
        <v>0.05</v>
      </c>
      <c r="J441" s="10" t="s">
        <v>64</v>
      </c>
      <c r="K441" s="10" t="s">
        <v>98</v>
      </c>
      <c r="L441" s="15" t="s">
        <v>42</v>
      </c>
    </row>
    <row r="442" spans="1:12" ht="15" customHeight="1">
      <c r="A442" s="14" t="s">
        <v>956</v>
      </c>
      <c r="B442" s="10" t="s">
        <v>953</v>
      </c>
      <c r="C442" s="20">
        <v>45956</v>
      </c>
      <c r="D442" s="10" t="s">
        <v>954</v>
      </c>
      <c r="E442" s="10" t="s">
        <v>955</v>
      </c>
      <c r="F442" s="10" t="s">
        <v>93</v>
      </c>
      <c r="G442" s="23">
        <v>2</v>
      </c>
      <c r="H442" s="26">
        <v>208.89</v>
      </c>
      <c r="I442" s="29">
        <v>0.05</v>
      </c>
      <c r="J442" s="10" t="s">
        <v>40</v>
      </c>
      <c r="K442" s="10" t="s">
        <v>51</v>
      </c>
      <c r="L442" s="15" t="s">
        <v>47</v>
      </c>
    </row>
    <row r="443" spans="1:12" ht="15" customHeight="1">
      <c r="A443" s="14" t="s">
        <v>957</v>
      </c>
      <c r="B443" s="10" t="s">
        <v>958</v>
      </c>
      <c r="C443" s="20">
        <v>45922</v>
      </c>
      <c r="D443" s="10" t="s">
        <v>207</v>
      </c>
      <c r="E443" s="10" t="s">
        <v>208</v>
      </c>
      <c r="F443" s="10" t="s">
        <v>147</v>
      </c>
      <c r="G443" s="23">
        <v>1</v>
      </c>
      <c r="H443" s="26">
        <v>102.78</v>
      </c>
      <c r="I443" s="29">
        <v>0</v>
      </c>
      <c r="J443" s="10" t="s">
        <v>45</v>
      </c>
      <c r="K443" s="10"/>
      <c r="L443" s="15" t="s">
        <v>101</v>
      </c>
    </row>
    <row r="444" spans="1:12" ht="15" customHeight="1">
      <c r="A444" s="14" t="s">
        <v>959</v>
      </c>
      <c r="B444" s="10" t="s">
        <v>960</v>
      </c>
      <c r="C444" s="20">
        <v>45766</v>
      </c>
      <c r="D444" s="10" t="s">
        <v>199</v>
      </c>
      <c r="E444" s="10" t="s">
        <v>200</v>
      </c>
      <c r="F444" s="10" t="s">
        <v>456</v>
      </c>
      <c r="G444" s="23">
        <v>4</v>
      </c>
      <c r="H444" s="26">
        <v>275.76</v>
      </c>
      <c r="I444" s="29">
        <v>0</v>
      </c>
      <c r="J444" s="10" t="s">
        <v>50</v>
      </c>
      <c r="K444" s="10" t="s">
        <v>51</v>
      </c>
      <c r="L444" s="15" t="s">
        <v>47</v>
      </c>
    </row>
    <row r="445" spans="1:12" ht="15" customHeight="1">
      <c r="A445" s="14" t="s">
        <v>961</v>
      </c>
      <c r="B445" s="10" t="s">
        <v>962</v>
      </c>
      <c r="C445" s="20">
        <v>45670</v>
      </c>
      <c r="D445" s="10" t="s">
        <v>536</v>
      </c>
      <c r="E445" s="10" t="s">
        <v>537</v>
      </c>
      <c r="F445" s="10" t="s">
        <v>332</v>
      </c>
      <c r="G445" s="23">
        <v>2</v>
      </c>
      <c r="H445" s="26">
        <v>273.89</v>
      </c>
      <c r="I445" s="29">
        <v>0</v>
      </c>
      <c r="J445" s="10" t="s">
        <v>45</v>
      </c>
      <c r="K445" s="10" t="s">
        <v>58</v>
      </c>
      <c r="L445" s="15" t="s">
        <v>47</v>
      </c>
    </row>
    <row r="446" spans="1:12" ht="15" customHeight="1">
      <c r="A446" s="14" t="s">
        <v>963</v>
      </c>
      <c r="B446" s="10" t="s">
        <v>962</v>
      </c>
      <c r="C446" s="20">
        <v>45670</v>
      </c>
      <c r="D446" s="10" t="s">
        <v>536</v>
      </c>
      <c r="E446" s="10" t="s">
        <v>537</v>
      </c>
      <c r="F446" s="10" t="s">
        <v>44</v>
      </c>
      <c r="G446" s="23">
        <v>1</v>
      </c>
      <c r="H446" s="26">
        <v>238.47</v>
      </c>
      <c r="I446" s="29">
        <v>0.15</v>
      </c>
      <c r="J446" s="10" t="s">
        <v>64</v>
      </c>
      <c r="K446" s="10"/>
      <c r="L446" s="15" t="s">
        <v>47</v>
      </c>
    </row>
    <row r="447" spans="1:12" ht="15" customHeight="1">
      <c r="A447" s="14" t="s">
        <v>964</v>
      </c>
      <c r="B447" s="10" t="s">
        <v>962</v>
      </c>
      <c r="C447" s="20">
        <v>45670</v>
      </c>
      <c r="D447" s="10" t="s">
        <v>536</v>
      </c>
      <c r="E447" s="10" t="s">
        <v>537</v>
      </c>
      <c r="F447" s="10" t="s">
        <v>178</v>
      </c>
      <c r="G447" s="23">
        <v>4</v>
      </c>
      <c r="H447" s="26">
        <v>61.81</v>
      </c>
      <c r="I447" s="29">
        <v>0.1</v>
      </c>
      <c r="J447" s="10" t="s">
        <v>70</v>
      </c>
      <c r="K447" s="10"/>
      <c r="L447" s="15" t="s">
        <v>47</v>
      </c>
    </row>
    <row r="448" spans="1:12" ht="15" customHeight="1">
      <c r="A448" s="14" t="s">
        <v>965</v>
      </c>
      <c r="B448" s="10" t="s">
        <v>962</v>
      </c>
      <c r="C448" s="20">
        <v>45670</v>
      </c>
      <c r="D448" s="10" t="s">
        <v>536</v>
      </c>
      <c r="E448" s="10" t="s">
        <v>537</v>
      </c>
      <c r="F448" s="10" t="s">
        <v>112</v>
      </c>
      <c r="G448" s="23">
        <v>3</v>
      </c>
      <c r="H448" s="26">
        <v>88.61</v>
      </c>
      <c r="I448" s="29">
        <v>0.15</v>
      </c>
      <c r="J448" s="10" t="s">
        <v>45</v>
      </c>
      <c r="K448" s="10" t="s">
        <v>46</v>
      </c>
      <c r="L448" s="15" t="s">
        <v>52</v>
      </c>
    </row>
    <row r="449" spans="1:12" ht="15" customHeight="1">
      <c r="A449" s="14" t="s">
        <v>966</v>
      </c>
      <c r="B449" s="10" t="s">
        <v>967</v>
      </c>
      <c r="C449" s="20">
        <v>45840</v>
      </c>
      <c r="D449" s="10" t="s">
        <v>968</v>
      </c>
      <c r="E449" s="10" t="s">
        <v>969</v>
      </c>
      <c r="F449" s="10" t="s">
        <v>784</v>
      </c>
      <c r="G449" s="23">
        <v>2</v>
      </c>
      <c r="H449" s="26">
        <v>96.33</v>
      </c>
      <c r="I449" s="29">
        <v>0</v>
      </c>
      <c r="J449" s="10" t="s">
        <v>66</v>
      </c>
      <c r="K449" s="10" t="s">
        <v>58</v>
      </c>
      <c r="L449" s="15" t="s">
        <v>47</v>
      </c>
    </row>
    <row r="450" spans="1:12" ht="15" customHeight="1">
      <c r="A450" s="14" t="s">
        <v>970</v>
      </c>
      <c r="B450" s="10" t="s">
        <v>971</v>
      </c>
      <c r="C450" s="20">
        <v>45787</v>
      </c>
      <c r="D450" s="10" t="s">
        <v>394</v>
      </c>
      <c r="E450" s="10" t="s">
        <v>395</v>
      </c>
      <c r="F450" s="10" t="s">
        <v>108</v>
      </c>
      <c r="G450" s="23">
        <v>2</v>
      </c>
      <c r="H450" s="26">
        <v>33.369999999999997</v>
      </c>
      <c r="I450" s="29">
        <v>0</v>
      </c>
      <c r="J450" s="10" t="s">
        <v>50</v>
      </c>
      <c r="K450" s="10" t="s">
        <v>46</v>
      </c>
      <c r="L450" s="15" t="s">
        <v>42</v>
      </c>
    </row>
    <row r="451" spans="1:12" ht="15" customHeight="1">
      <c r="A451" s="14" t="s">
        <v>972</v>
      </c>
      <c r="B451" s="10" t="s">
        <v>971</v>
      </c>
      <c r="C451" s="20">
        <v>45787</v>
      </c>
      <c r="D451" s="10" t="s">
        <v>394</v>
      </c>
      <c r="E451" s="10" t="s">
        <v>395</v>
      </c>
      <c r="F451" s="10" t="s">
        <v>332</v>
      </c>
      <c r="G451" s="23">
        <v>3</v>
      </c>
      <c r="H451" s="26">
        <v>273.89</v>
      </c>
      <c r="I451" s="29">
        <v>0</v>
      </c>
      <c r="J451" s="10" t="s">
        <v>64</v>
      </c>
      <c r="K451" s="10" t="s">
        <v>51</v>
      </c>
      <c r="L451" s="15" t="s">
        <v>47</v>
      </c>
    </row>
    <row r="452" spans="1:12" ht="15" customHeight="1">
      <c r="A452" s="14" t="s">
        <v>973</v>
      </c>
      <c r="B452" s="10" t="s">
        <v>971</v>
      </c>
      <c r="C452" s="20">
        <v>45787</v>
      </c>
      <c r="D452" s="10" t="s">
        <v>394</v>
      </c>
      <c r="E452" s="10" t="s">
        <v>395</v>
      </c>
      <c r="F452" s="10" t="s">
        <v>93</v>
      </c>
      <c r="G452" s="23">
        <v>3</v>
      </c>
      <c r="H452" s="26">
        <v>208.89</v>
      </c>
      <c r="I452" s="29">
        <v>0</v>
      </c>
      <c r="J452" s="10" t="s">
        <v>66</v>
      </c>
      <c r="K452" s="10" t="s">
        <v>46</v>
      </c>
      <c r="L452" s="15" t="s">
        <v>52</v>
      </c>
    </row>
    <row r="453" spans="1:12" ht="15" customHeight="1">
      <c r="A453" s="14" t="s">
        <v>974</v>
      </c>
      <c r="B453" s="10" t="s">
        <v>971</v>
      </c>
      <c r="C453" s="20">
        <v>45787</v>
      </c>
      <c r="D453" s="10" t="s">
        <v>394</v>
      </c>
      <c r="E453" s="10" t="s">
        <v>395</v>
      </c>
      <c r="F453" s="10" t="s">
        <v>303</v>
      </c>
      <c r="G453" s="23">
        <v>3</v>
      </c>
      <c r="H453" s="26">
        <v>72.81</v>
      </c>
      <c r="I453" s="29">
        <v>0</v>
      </c>
      <c r="J453" s="10" t="s">
        <v>66</v>
      </c>
      <c r="K453" s="10" t="s">
        <v>46</v>
      </c>
      <c r="L453" s="15" t="s">
        <v>42</v>
      </c>
    </row>
    <row r="454" spans="1:12" ht="15" customHeight="1">
      <c r="A454" s="14" t="s">
        <v>975</v>
      </c>
      <c r="B454" s="10" t="s">
        <v>976</v>
      </c>
      <c r="C454" s="20">
        <v>45836</v>
      </c>
      <c r="D454" s="10" t="s">
        <v>977</v>
      </c>
      <c r="E454" s="10" t="s">
        <v>978</v>
      </c>
      <c r="F454" s="10" t="s">
        <v>72</v>
      </c>
      <c r="G454" s="23">
        <v>2</v>
      </c>
      <c r="H454" s="26">
        <v>210.2</v>
      </c>
      <c r="I454" s="29">
        <v>0.1</v>
      </c>
      <c r="J454" s="10" t="s">
        <v>50</v>
      </c>
      <c r="K454" s="10" t="s">
        <v>51</v>
      </c>
      <c r="L454" s="15" t="s">
        <v>42</v>
      </c>
    </row>
    <row r="455" spans="1:12" ht="15" customHeight="1">
      <c r="A455" s="14" t="s">
        <v>979</v>
      </c>
      <c r="B455" s="10" t="s">
        <v>980</v>
      </c>
      <c r="C455" s="20">
        <v>45831</v>
      </c>
      <c r="D455" s="10" t="s">
        <v>680</v>
      </c>
      <c r="E455" s="10" t="s">
        <v>681</v>
      </c>
      <c r="F455" s="10" t="s">
        <v>178</v>
      </c>
      <c r="G455" s="23">
        <v>2</v>
      </c>
      <c r="H455" s="26">
        <v>61.81</v>
      </c>
      <c r="I455" s="29">
        <v>0</v>
      </c>
      <c r="J455" s="10" t="s">
        <v>45</v>
      </c>
      <c r="K455" s="10" t="s">
        <v>98</v>
      </c>
      <c r="L455" s="15" t="s">
        <v>42</v>
      </c>
    </row>
    <row r="456" spans="1:12" ht="15" customHeight="1">
      <c r="A456" s="14" t="s">
        <v>981</v>
      </c>
      <c r="B456" s="10" t="s">
        <v>982</v>
      </c>
      <c r="C456" s="20">
        <v>45749.041666666664</v>
      </c>
      <c r="D456" s="10" t="s">
        <v>760</v>
      </c>
      <c r="E456" s="10" t="s">
        <v>761</v>
      </c>
      <c r="F456" s="10" t="s">
        <v>93</v>
      </c>
      <c r="G456" s="23">
        <v>3</v>
      </c>
      <c r="H456" s="26">
        <v>208.89</v>
      </c>
      <c r="I456" s="29">
        <v>0.15</v>
      </c>
      <c r="J456" s="10" t="s">
        <v>45</v>
      </c>
      <c r="K456" s="10" t="s">
        <v>98</v>
      </c>
      <c r="L456" s="15" t="s">
        <v>47</v>
      </c>
    </row>
    <row r="457" spans="1:12" ht="15" customHeight="1">
      <c r="A457" s="14" t="s">
        <v>983</v>
      </c>
      <c r="B457" s="10" t="s">
        <v>982</v>
      </c>
      <c r="C457" s="20">
        <v>45749.041666666664</v>
      </c>
      <c r="D457" s="10" t="s">
        <v>760</v>
      </c>
      <c r="E457" s="10" t="s">
        <v>761</v>
      </c>
      <c r="F457" s="10" t="s">
        <v>110</v>
      </c>
      <c r="G457" s="23">
        <v>2</v>
      </c>
      <c r="H457" s="26">
        <v>133.24</v>
      </c>
      <c r="I457" s="29">
        <v>0</v>
      </c>
      <c r="J457" s="10" t="s">
        <v>70</v>
      </c>
      <c r="K457" s="10" t="s">
        <v>46</v>
      </c>
      <c r="L457" s="15" t="s">
        <v>101</v>
      </c>
    </row>
    <row r="458" spans="1:12" ht="15" customHeight="1">
      <c r="A458" s="14" t="s">
        <v>984</v>
      </c>
      <c r="B458" s="10" t="s">
        <v>982</v>
      </c>
      <c r="C458" s="20">
        <v>45749.041666666664</v>
      </c>
      <c r="D458" s="10" t="s">
        <v>760</v>
      </c>
      <c r="E458" s="10" t="s">
        <v>761</v>
      </c>
      <c r="F458" s="10" t="s">
        <v>204</v>
      </c>
      <c r="G458" s="23">
        <v>2</v>
      </c>
      <c r="H458" s="26">
        <v>244.25</v>
      </c>
      <c r="I458" s="29">
        <v>0.15</v>
      </c>
      <c r="J458" s="10" t="s">
        <v>50</v>
      </c>
      <c r="K458" s="10" t="s">
        <v>51</v>
      </c>
      <c r="L458" s="15" t="s">
        <v>101</v>
      </c>
    </row>
    <row r="459" spans="1:12" ht="15" customHeight="1">
      <c r="A459" s="14" t="s">
        <v>985</v>
      </c>
      <c r="B459" s="10" t="s">
        <v>986</v>
      </c>
      <c r="C459" s="20">
        <v>45739.041666666664</v>
      </c>
      <c r="D459" s="10" t="s">
        <v>490</v>
      </c>
      <c r="E459" s="10" t="s">
        <v>491</v>
      </c>
      <c r="F459" s="10" t="s">
        <v>112</v>
      </c>
      <c r="G459" s="23">
        <v>4</v>
      </c>
      <c r="H459" s="26">
        <v>88.61</v>
      </c>
      <c r="I459" s="29">
        <v>0</v>
      </c>
      <c r="J459" s="10" t="s">
        <v>64</v>
      </c>
      <c r="K459" s="10"/>
      <c r="L459" s="15" t="s">
        <v>42</v>
      </c>
    </row>
    <row r="460" spans="1:12" ht="15" customHeight="1">
      <c r="A460" s="14" t="s">
        <v>987</v>
      </c>
      <c r="B460" s="10" t="s">
        <v>986</v>
      </c>
      <c r="C460" s="20">
        <v>45739.041666666664</v>
      </c>
      <c r="D460" s="10" t="s">
        <v>490</v>
      </c>
      <c r="E460" s="10" t="s">
        <v>491</v>
      </c>
      <c r="F460" s="10" t="s">
        <v>495</v>
      </c>
      <c r="G460" s="23">
        <v>2</v>
      </c>
      <c r="H460" s="26">
        <v>207.71</v>
      </c>
      <c r="I460" s="29">
        <v>0.15</v>
      </c>
      <c r="J460" s="10" t="s">
        <v>70</v>
      </c>
      <c r="K460" s="10" t="s">
        <v>98</v>
      </c>
      <c r="L460" s="15" t="s">
        <v>101</v>
      </c>
    </row>
    <row r="461" spans="1:12" ht="15" customHeight="1">
      <c r="A461" s="14" t="s">
        <v>988</v>
      </c>
      <c r="B461" s="10" t="s">
        <v>989</v>
      </c>
      <c r="C461" s="20">
        <v>45901</v>
      </c>
      <c r="D461" s="10" t="s">
        <v>572</v>
      </c>
      <c r="E461" s="10" t="s">
        <v>569</v>
      </c>
      <c r="F461" s="10" t="s">
        <v>316</v>
      </c>
      <c r="G461" s="23">
        <v>1</v>
      </c>
      <c r="H461" s="26">
        <v>180.37</v>
      </c>
      <c r="I461" s="29">
        <v>0.15</v>
      </c>
      <c r="J461" s="10" t="s">
        <v>50</v>
      </c>
      <c r="K461" s="10" t="s">
        <v>58</v>
      </c>
      <c r="L461" s="15" t="s">
        <v>47</v>
      </c>
    </row>
    <row r="462" spans="1:12" ht="15" customHeight="1">
      <c r="A462" s="14" t="s">
        <v>990</v>
      </c>
      <c r="B462" s="10" t="s">
        <v>991</v>
      </c>
      <c r="C462" s="20">
        <v>45873</v>
      </c>
      <c r="D462" s="10" t="s">
        <v>992</v>
      </c>
      <c r="E462" s="10" t="s">
        <v>993</v>
      </c>
      <c r="F462" s="10" t="s">
        <v>77</v>
      </c>
      <c r="G462" s="23">
        <v>1</v>
      </c>
      <c r="H462" s="26">
        <v>34.909999999999997</v>
      </c>
      <c r="I462" s="29">
        <v>0.1</v>
      </c>
      <c r="J462" s="10" t="s">
        <v>66</v>
      </c>
      <c r="K462" s="10" t="s">
        <v>46</v>
      </c>
      <c r="L462" s="15" t="s">
        <v>47</v>
      </c>
    </row>
    <row r="463" spans="1:12" ht="15" customHeight="1">
      <c r="A463" s="14" t="s">
        <v>994</v>
      </c>
      <c r="B463" s="10" t="s">
        <v>991</v>
      </c>
      <c r="C463" s="20">
        <v>45873</v>
      </c>
      <c r="D463" s="10" t="s">
        <v>992</v>
      </c>
      <c r="E463" s="10" t="s">
        <v>993</v>
      </c>
      <c r="F463" s="10" t="s">
        <v>270</v>
      </c>
      <c r="G463" s="23">
        <v>3</v>
      </c>
      <c r="H463" s="26">
        <v>214.38</v>
      </c>
      <c r="I463" s="29">
        <v>0</v>
      </c>
      <c r="J463" s="10" t="s">
        <v>50</v>
      </c>
      <c r="K463" s="10" t="s">
        <v>51</v>
      </c>
      <c r="L463" s="15" t="s">
        <v>42</v>
      </c>
    </row>
    <row r="464" spans="1:12" ht="15" customHeight="1">
      <c r="A464" s="14" t="s">
        <v>995</v>
      </c>
      <c r="B464" s="10" t="s">
        <v>996</v>
      </c>
      <c r="C464" s="20">
        <v>45920</v>
      </c>
      <c r="D464" s="10" t="s">
        <v>638</v>
      </c>
      <c r="E464" s="10" t="s">
        <v>639</v>
      </c>
      <c r="F464" s="10" t="s">
        <v>44</v>
      </c>
      <c r="G464" s="23">
        <v>4</v>
      </c>
      <c r="H464" s="26">
        <v>238.47</v>
      </c>
      <c r="I464" s="29">
        <v>0.05</v>
      </c>
      <c r="J464" s="10" t="s">
        <v>64</v>
      </c>
      <c r="K464" s="10" t="s">
        <v>46</v>
      </c>
      <c r="L464" s="15" t="s">
        <v>47</v>
      </c>
    </row>
    <row r="465" spans="1:12" ht="15" customHeight="1">
      <c r="A465" s="14" t="s">
        <v>997</v>
      </c>
      <c r="B465" s="10" t="s">
        <v>996</v>
      </c>
      <c r="C465" s="20">
        <v>45920</v>
      </c>
      <c r="D465" s="10" t="s">
        <v>638</v>
      </c>
      <c r="E465" s="10" t="s">
        <v>639</v>
      </c>
      <c r="F465" s="10" t="s">
        <v>112</v>
      </c>
      <c r="G465" s="23">
        <v>4</v>
      </c>
      <c r="H465" s="26">
        <v>88.61</v>
      </c>
      <c r="I465" s="29">
        <v>0</v>
      </c>
      <c r="J465" s="10" t="s">
        <v>66</v>
      </c>
      <c r="K465" s="10" t="s">
        <v>98</v>
      </c>
      <c r="L465" s="15" t="s">
        <v>52</v>
      </c>
    </row>
    <row r="466" spans="1:12" ht="15" customHeight="1">
      <c r="A466" s="14" t="s">
        <v>998</v>
      </c>
      <c r="B466" s="10" t="s">
        <v>999</v>
      </c>
      <c r="C466" s="20">
        <v>45693</v>
      </c>
      <c r="D466" s="10" t="s">
        <v>321</v>
      </c>
      <c r="E466" s="10" t="s">
        <v>322</v>
      </c>
      <c r="F466" s="10" t="s">
        <v>316</v>
      </c>
      <c r="G466" s="23">
        <v>1</v>
      </c>
      <c r="H466" s="26">
        <v>180.37</v>
      </c>
      <c r="I466" s="29">
        <v>0.15</v>
      </c>
      <c r="J466" s="10" t="s">
        <v>50</v>
      </c>
      <c r="K466" s="10"/>
      <c r="L466" s="15" t="s">
        <v>67</v>
      </c>
    </row>
    <row r="467" spans="1:12" ht="15" customHeight="1">
      <c r="A467" s="14" t="s">
        <v>1000</v>
      </c>
      <c r="B467" s="10" t="s">
        <v>1001</v>
      </c>
      <c r="C467" s="20">
        <v>45673</v>
      </c>
      <c r="D467" s="10" t="s">
        <v>568</v>
      </c>
      <c r="E467" s="10" t="s">
        <v>569</v>
      </c>
      <c r="F467" s="10" t="s">
        <v>106</v>
      </c>
      <c r="G467" s="23">
        <v>4</v>
      </c>
      <c r="H467" s="26">
        <v>195.38</v>
      </c>
      <c r="I467" s="29">
        <v>0.1</v>
      </c>
      <c r="J467" s="10" t="s">
        <v>64</v>
      </c>
      <c r="K467" s="10" t="s">
        <v>41</v>
      </c>
      <c r="L467" s="15" t="s">
        <v>42</v>
      </c>
    </row>
    <row r="468" spans="1:12" ht="15" customHeight="1">
      <c r="A468" s="14" t="s">
        <v>1002</v>
      </c>
      <c r="B468" s="10" t="s">
        <v>1003</v>
      </c>
      <c r="C468" s="20">
        <v>45911</v>
      </c>
      <c r="D468" s="10" t="s">
        <v>75</v>
      </c>
      <c r="E468" s="10" t="s">
        <v>76</v>
      </c>
      <c r="F468" s="10" t="s">
        <v>110</v>
      </c>
      <c r="G468" s="23">
        <v>1</v>
      </c>
      <c r="H468" s="26">
        <v>133.24</v>
      </c>
      <c r="I468" s="29">
        <v>0.05</v>
      </c>
      <c r="J468" s="10" t="s">
        <v>45</v>
      </c>
      <c r="K468" s="10" t="s">
        <v>51</v>
      </c>
      <c r="L468" s="15" t="s">
        <v>42</v>
      </c>
    </row>
    <row r="469" spans="1:12" ht="15" customHeight="1">
      <c r="A469" s="14" t="s">
        <v>1004</v>
      </c>
      <c r="B469" s="10" t="s">
        <v>1005</v>
      </c>
      <c r="C469" s="20">
        <v>45793</v>
      </c>
      <c r="D469" s="10" t="s">
        <v>300</v>
      </c>
      <c r="E469" s="10" t="s">
        <v>301</v>
      </c>
      <c r="F469" s="10" t="s">
        <v>93</v>
      </c>
      <c r="G469" s="23">
        <v>2</v>
      </c>
      <c r="H469" s="26">
        <v>208.89</v>
      </c>
      <c r="I469" s="29">
        <v>0.05</v>
      </c>
      <c r="J469" s="10" t="s">
        <v>66</v>
      </c>
      <c r="K469" s="10" t="s">
        <v>58</v>
      </c>
      <c r="L469" s="15" t="s">
        <v>101</v>
      </c>
    </row>
    <row r="470" spans="1:12" ht="15" customHeight="1">
      <c r="A470" s="14" t="s">
        <v>1006</v>
      </c>
      <c r="B470" s="10" t="s">
        <v>1005</v>
      </c>
      <c r="C470" s="20">
        <v>45793</v>
      </c>
      <c r="D470" s="10" t="s">
        <v>300</v>
      </c>
      <c r="E470" s="10" t="s">
        <v>301</v>
      </c>
      <c r="F470" s="10" t="s">
        <v>72</v>
      </c>
      <c r="G470" s="23">
        <v>1</v>
      </c>
      <c r="H470" s="26">
        <v>210.2</v>
      </c>
      <c r="I470" s="29">
        <v>0.1</v>
      </c>
      <c r="J470" s="10" t="s">
        <v>50</v>
      </c>
      <c r="K470" s="10"/>
      <c r="L470" s="15" t="s">
        <v>67</v>
      </c>
    </row>
    <row r="471" spans="1:12" ht="15" customHeight="1">
      <c r="A471" s="14" t="s">
        <v>1007</v>
      </c>
      <c r="B471" s="10" t="s">
        <v>1005</v>
      </c>
      <c r="C471" s="20">
        <v>45793</v>
      </c>
      <c r="D471" s="10" t="s">
        <v>300</v>
      </c>
      <c r="E471" s="10" t="s">
        <v>301</v>
      </c>
      <c r="F471" s="10" t="s">
        <v>110</v>
      </c>
      <c r="G471" s="23">
        <v>1</v>
      </c>
      <c r="H471" s="26">
        <v>133.24</v>
      </c>
      <c r="I471" s="29">
        <v>0</v>
      </c>
      <c r="J471" s="10" t="s">
        <v>66</v>
      </c>
      <c r="K471" s="10" t="s">
        <v>58</v>
      </c>
      <c r="L471" s="15" t="s">
        <v>67</v>
      </c>
    </row>
    <row r="472" spans="1:12" ht="15" customHeight="1">
      <c r="A472" s="14" t="s">
        <v>1008</v>
      </c>
      <c r="B472" s="10" t="s">
        <v>1005</v>
      </c>
      <c r="C472" s="20">
        <v>45793</v>
      </c>
      <c r="D472" s="10" t="s">
        <v>300</v>
      </c>
      <c r="E472" s="10" t="s">
        <v>301</v>
      </c>
      <c r="F472" s="10" t="s">
        <v>108</v>
      </c>
      <c r="G472" s="23">
        <v>4</v>
      </c>
      <c r="H472" s="26">
        <v>33.369999999999997</v>
      </c>
      <c r="I472" s="29">
        <v>0</v>
      </c>
      <c r="J472" s="10" t="s">
        <v>66</v>
      </c>
      <c r="K472" s="10" t="s">
        <v>58</v>
      </c>
      <c r="L472" s="15" t="s">
        <v>42</v>
      </c>
    </row>
    <row r="473" spans="1:12" ht="15" customHeight="1">
      <c r="A473" s="14" t="s">
        <v>1009</v>
      </c>
      <c r="B473" s="10" t="s">
        <v>1010</v>
      </c>
      <c r="C473" s="20">
        <v>45698</v>
      </c>
      <c r="D473" s="10" t="s">
        <v>582</v>
      </c>
      <c r="E473" s="10" t="s">
        <v>583</v>
      </c>
      <c r="F473" s="10" t="s">
        <v>128</v>
      </c>
      <c r="G473" s="23">
        <v>2</v>
      </c>
      <c r="H473" s="26">
        <v>25.15</v>
      </c>
      <c r="I473" s="29">
        <v>0</v>
      </c>
      <c r="J473" s="10" t="s">
        <v>66</v>
      </c>
      <c r="K473" s="10" t="s">
        <v>58</v>
      </c>
      <c r="L473" s="15" t="s">
        <v>42</v>
      </c>
    </row>
    <row r="474" spans="1:12" ht="15" customHeight="1">
      <c r="A474" s="14" t="s">
        <v>1011</v>
      </c>
      <c r="B474" s="10" t="s">
        <v>1010</v>
      </c>
      <c r="C474" s="20">
        <v>45698</v>
      </c>
      <c r="D474" s="10" t="s">
        <v>582</v>
      </c>
      <c r="E474" s="10" t="s">
        <v>583</v>
      </c>
      <c r="F474" s="10" t="s">
        <v>521</v>
      </c>
      <c r="G474" s="23">
        <v>3</v>
      </c>
      <c r="H474" s="26">
        <v>37.82</v>
      </c>
      <c r="I474" s="29">
        <v>0.1</v>
      </c>
      <c r="J474" s="10" t="s">
        <v>66</v>
      </c>
      <c r="K474" s="10" t="s">
        <v>46</v>
      </c>
      <c r="L474" s="15" t="s">
        <v>47</v>
      </c>
    </row>
    <row r="475" spans="1:12" ht="15" customHeight="1">
      <c r="A475" s="14" t="s">
        <v>1012</v>
      </c>
      <c r="B475" s="10" t="s">
        <v>1013</v>
      </c>
      <c r="C475" s="20">
        <v>45911</v>
      </c>
      <c r="D475" s="10" t="s">
        <v>1014</v>
      </c>
      <c r="E475" s="10" t="s">
        <v>1015</v>
      </c>
      <c r="F475" s="10" t="s">
        <v>241</v>
      </c>
      <c r="G475" s="23">
        <v>2</v>
      </c>
      <c r="H475" s="26">
        <v>300.56</v>
      </c>
      <c r="I475" s="29">
        <v>0</v>
      </c>
      <c r="J475" s="10" t="s">
        <v>70</v>
      </c>
      <c r="K475" s="10" t="s">
        <v>58</v>
      </c>
      <c r="L475" s="15" t="s">
        <v>67</v>
      </c>
    </row>
    <row r="476" spans="1:12" ht="15" customHeight="1">
      <c r="A476" s="14" t="s">
        <v>1016</v>
      </c>
      <c r="B476" s="10" t="s">
        <v>1013</v>
      </c>
      <c r="C476" s="20">
        <v>45911</v>
      </c>
      <c r="D476" s="10" t="s">
        <v>1014</v>
      </c>
      <c r="E476" s="10" t="s">
        <v>1015</v>
      </c>
      <c r="F476" s="10" t="s">
        <v>238</v>
      </c>
      <c r="G476" s="23">
        <v>1</v>
      </c>
      <c r="H476" s="26">
        <v>82.77</v>
      </c>
      <c r="I476" s="29">
        <v>0</v>
      </c>
      <c r="J476" s="10" t="s">
        <v>70</v>
      </c>
      <c r="K476" s="10" t="s">
        <v>98</v>
      </c>
      <c r="L476" s="15" t="s">
        <v>67</v>
      </c>
    </row>
    <row r="477" spans="1:12" ht="15" customHeight="1">
      <c r="A477" s="14" t="s">
        <v>1017</v>
      </c>
      <c r="B477" s="10" t="s">
        <v>1018</v>
      </c>
      <c r="C477" s="20">
        <v>45886</v>
      </c>
      <c r="D477" s="10" t="s">
        <v>1019</v>
      </c>
      <c r="E477" s="10" t="s">
        <v>1020</v>
      </c>
      <c r="F477" s="10" t="s">
        <v>214</v>
      </c>
      <c r="G477" s="23">
        <v>2</v>
      </c>
      <c r="H477" s="26">
        <v>186.92</v>
      </c>
      <c r="I477" s="29">
        <v>0.1</v>
      </c>
      <c r="J477" s="10" t="s">
        <v>50</v>
      </c>
      <c r="K477" s="10" t="s">
        <v>98</v>
      </c>
      <c r="L477" s="15" t="s">
        <v>52</v>
      </c>
    </row>
    <row r="478" spans="1:12" ht="15" customHeight="1">
      <c r="A478" s="14" t="s">
        <v>1021</v>
      </c>
      <c r="B478" s="10" t="s">
        <v>1018</v>
      </c>
      <c r="C478" s="20">
        <v>45886</v>
      </c>
      <c r="D478" s="10" t="s">
        <v>1019</v>
      </c>
      <c r="E478" s="10" t="s">
        <v>1020</v>
      </c>
      <c r="F478" s="10" t="s">
        <v>220</v>
      </c>
      <c r="G478" s="23">
        <v>4</v>
      </c>
      <c r="H478" s="26">
        <v>25.01</v>
      </c>
      <c r="I478" s="29">
        <v>0</v>
      </c>
      <c r="J478" s="10" t="s">
        <v>70</v>
      </c>
      <c r="K478" s="10" t="s">
        <v>51</v>
      </c>
      <c r="L478" s="15" t="s">
        <v>52</v>
      </c>
    </row>
    <row r="479" spans="1:12" ht="15" customHeight="1">
      <c r="A479" s="14" t="s">
        <v>1022</v>
      </c>
      <c r="B479" s="10" t="s">
        <v>1023</v>
      </c>
      <c r="C479" s="20">
        <v>45938</v>
      </c>
      <c r="D479" s="10" t="s">
        <v>1024</v>
      </c>
      <c r="E479" s="10" t="s">
        <v>1025</v>
      </c>
      <c r="F479" s="10" t="s">
        <v>495</v>
      </c>
      <c r="G479" s="23">
        <v>1</v>
      </c>
      <c r="H479" s="26">
        <v>207.71</v>
      </c>
      <c r="I479" s="29">
        <v>0</v>
      </c>
      <c r="J479" s="10" t="s">
        <v>66</v>
      </c>
      <c r="K479" s="10" t="s">
        <v>98</v>
      </c>
      <c r="L479" s="15" t="s">
        <v>67</v>
      </c>
    </row>
    <row r="480" spans="1:12" ht="15" customHeight="1">
      <c r="A480" s="14" t="s">
        <v>1026</v>
      </c>
      <c r="B480" s="10" t="s">
        <v>1023</v>
      </c>
      <c r="C480" s="20">
        <v>45938</v>
      </c>
      <c r="D480" s="10" t="s">
        <v>1024</v>
      </c>
      <c r="E480" s="10" t="s">
        <v>1025</v>
      </c>
      <c r="F480" s="10" t="s">
        <v>178</v>
      </c>
      <c r="G480" s="23">
        <v>2</v>
      </c>
      <c r="H480" s="26">
        <v>61.81</v>
      </c>
      <c r="I480" s="29">
        <v>0</v>
      </c>
      <c r="J480" s="10" t="s">
        <v>70</v>
      </c>
      <c r="K480" s="10" t="s">
        <v>58</v>
      </c>
      <c r="L480" s="15" t="s">
        <v>42</v>
      </c>
    </row>
    <row r="481" spans="1:12" ht="15" customHeight="1">
      <c r="A481" s="14" t="s">
        <v>1027</v>
      </c>
      <c r="B481" s="10" t="s">
        <v>1028</v>
      </c>
      <c r="C481" s="20">
        <v>46004</v>
      </c>
      <c r="D481" s="10" t="s">
        <v>1029</v>
      </c>
      <c r="E481" s="10" t="s">
        <v>1030</v>
      </c>
      <c r="F481" s="10" t="s">
        <v>72</v>
      </c>
      <c r="G481" s="23">
        <v>2</v>
      </c>
      <c r="H481" s="26">
        <v>210.2</v>
      </c>
      <c r="I481" s="29">
        <v>0.1</v>
      </c>
      <c r="J481" s="10" t="s">
        <v>70</v>
      </c>
      <c r="K481" s="10" t="s">
        <v>58</v>
      </c>
      <c r="L481" s="15" t="s">
        <v>52</v>
      </c>
    </row>
    <row r="482" spans="1:12" ht="15" customHeight="1">
      <c r="A482" s="14" t="s">
        <v>1031</v>
      </c>
      <c r="B482" s="10" t="s">
        <v>1032</v>
      </c>
      <c r="C482" s="20">
        <v>45767</v>
      </c>
      <c r="D482" s="10" t="s">
        <v>557</v>
      </c>
      <c r="E482" s="10" t="s">
        <v>558</v>
      </c>
      <c r="F482" s="10" t="s">
        <v>150</v>
      </c>
      <c r="G482" s="23">
        <v>4</v>
      </c>
      <c r="H482" s="26">
        <v>263.04000000000002</v>
      </c>
      <c r="I482" s="29">
        <v>0.15</v>
      </c>
      <c r="J482" s="10" t="s">
        <v>66</v>
      </c>
      <c r="K482" s="10" t="s">
        <v>98</v>
      </c>
      <c r="L482" s="15" t="s">
        <v>47</v>
      </c>
    </row>
    <row r="483" spans="1:12" ht="15" customHeight="1">
      <c r="A483" s="14" t="s">
        <v>1033</v>
      </c>
      <c r="B483" s="10" t="s">
        <v>1032</v>
      </c>
      <c r="C483" s="20">
        <v>45767</v>
      </c>
      <c r="D483" s="10" t="s">
        <v>557</v>
      </c>
      <c r="E483" s="10" t="s">
        <v>558</v>
      </c>
      <c r="F483" s="10" t="s">
        <v>121</v>
      </c>
      <c r="G483" s="23">
        <v>1</v>
      </c>
      <c r="H483" s="26">
        <v>287.16000000000003</v>
      </c>
      <c r="I483" s="29">
        <v>0</v>
      </c>
      <c r="J483" s="10" t="s">
        <v>64</v>
      </c>
      <c r="K483" s="10" t="s">
        <v>58</v>
      </c>
      <c r="L483" s="15" t="s">
        <v>67</v>
      </c>
    </row>
    <row r="484" spans="1:12" ht="15" customHeight="1">
      <c r="A484" s="14" t="s">
        <v>1034</v>
      </c>
      <c r="B484" s="10" t="s">
        <v>1035</v>
      </c>
      <c r="C484" s="20">
        <v>45996</v>
      </c>
      <c r="D484" s="10" t="s">
        <v>557</v>
      </c>
      <c r="E484" s="10" t="s">
        <v>558</v>
      </c>
      <c r="F484" s="10" t="s">
        <v>44</v>
      </c>
      <c r="G484" s="23">
        <v>2</v>
      </c>
      <c r="H484" s="26">
        <v>238.47</v>
      </c>
      <c r="I484" s="29">
        <v>0.05</v>
      </c>
      <c r="J484" s="10" t="s">
        <v>64</v>
      </c>
      <c r="K484" s="10" t="s">
        <v>41</v>
      </c>
      <c r="L484" s="15" t="s">
        <v>67</v>
      </c>
    </row>
    <row r="485" spans="1:12" ht="15" customHeight="1">
      <c r="A485" s="14" t="s">
        <v>1036</v>
      </c>
      <c r="B485" s="10" t="s">
        <v>1035</v>
      </c>
      <c r="C485" s="20">
        <v>45996</v>
      </c>
      <c r="D485" s="10" t="s">
        <v>557</v>
      </c>
      <c r="E485" s="10" t="s">
        <v>558</v>
      </c>
      <c r="F485" s="10" t="s">
        <v>100</v>
      </c>
      <c r="G485" s="23">
        <v>1</v>
      </c>
      <c r="H485" s="26">
        <v>42.72</v>
      </c>
      <c r="I485" s="29">
        <v>0.15</v>
      </c>
      <c r="J485" s="10" t="s">
        <v>66</v>
      </c>
      <c r="K485" s="10" t="s">
        <v>41</v>
      </c>
      <c r="L485" s="15" t="s">
        <v>42</v>
      </c>
    </row>
    <row r="486" spans="1:12" ht="15" customHeight="1">
      <c r="A486" s="14" t="s">
        <v>1037</v>
      </c>
      <c r="B486" s="10" t="s">
        <v>1035</v>
      </c>
      <c r="C486" s="20">
        <v>45996</v>
      </c>
      <c r="D486" s="10" t="s">
        <v>557</v>
      </c>
      <c r="E486" s="10" t="s">
        <v>558</v>
      </c>
      <c r="F486" s="10" t="s">
        <v>44</v>
      </c>
      <c r="G486" s="23">
        <v>2</v>
      </c>
      <c r="H486" s="26">
        <v>238.47</v>
      </c>
      <c r="I486" s="29">
        <v>0.05</v>
      </c>
      <c r="J486" s="10" t="s">
        <v>66</v>
      </c>
      <c r="K486" s="10" t="s">
        <v>41</v>
      </c>
      <c r="L486" s="15" t="s">
        <v>67</v>
      </c>
    </row>
    <row r="487" spans="1:12" ht="15" customHeight="1">
      <c r="A487" s="14" t="s">
        <v>1038</v>
      </c>
      <c r="B487" s="10" t="s">
        <v>1039</v>
      </c>
      <c r="C487" s="20">
        <v>45741.041666666664</v>
      </c>
      <c r="D487" s="10" t="s">
        <v>61</v>
      </c>
      <c r="E487" s="10" t="s">
        <v>62</v>
      </c>
      <c r="F487" s="10" t="s">
        <v>521</v>
      </c>
      <c r="G487" s="23">
        <v>2</v>
      </c>
      <c r="H487" s="26">
        <v>37.82</v>
      </c>
      <c r="I487" s="29">
        <v>0.15</v>
      </c>
      <c r="J487" s="10" t="s">
        <v>66</v>
      </c>
      <c r="K487" s="10" t="s">
        <v>51</v>
      </c>
      <c r="L487" s="15" t="s">
        <v>52</v>
      </c>
    </row>
    <row r="488" spans="1:12" ht="15" customHeight="1">
      <c r="A488" s="14" t="s">
        <v>1040</v>
      </c>
      <c r="B488" s="10" t="s">
        <v>1039</v>
      </c>
      <c r="C488" s="20">
        <v>45741.041666666664</v>
      </c>
      <c r="D488" s="10" t="s">
        <v>61</v>
      </c>
      <c r="E488" s="10" t="s">
        <v>62</v>
      </c>
      <c r="F488" s="10" t="s">
        <v>316</v>
      </c>
      <c r="G488" s="23">
        <v>3</v>
      </c>
      <c r="H488" s="26">
        <v>180.37</v>
      </c>
      <c r="I488" s="29">
        <v>0.05</v>
      </c>
      <c r="J488" s="10" t="s">
        <v>70</v>
      </c>
      <c r="K488" s="10" t="s">
        <v>58</v>
      </c>
      <c r="L488" s="15" t="s">
        <v>47</v>
      </c>
    </row>
    <row r="489" spans="1:12" ht="15" customHeight="1">
      <c r="A489" s="14" t="s">
        <v>1041</v>
      </c>
      <c r="B489" s="10" t="s">
        <v>1039</v>
      </c>
      <c r="C489" s="20">
        <v>45741.041666666664</v>
      </c>
      <c r="D489" s="10" t="s">
        <v>61</v>
      </c>
      <c r="E489" s="10" t="s">
        <v>62</v>
      </c>
      <c r="F489" s="10" t="s">
        <v>130</v>
      </c>
      <c r="G489" s="23">
        <v>2</v>
      </c>
      <c r="H489" s="26">
        <v>265.73</v>
      </c>
      <c r="I489" s="29">
        <v>0.05</v>
      </c>
      <c r="J489" s="10" t="s">
        <v>45</v>
      </c>
      <c r="K489" s="10" t="s">
        <v>46</v>
      </c>
      <c r="L489" s="15" t="s">
        <v>52</v>
      </c>
    </row>
    <row r="490" spans="1:12" ht="15" customHeight="1">
      <c r="A490" s="14" t="s">
        <v>1042</v>
      </c>
      <c r="B490" s="10" t="s">
        <v>1043</v>
      </c>
      <c r="C490" s="20">
        <v>45848</v>
      </c>
      <c r="D490" s="10" t="s">
        <v>977</v>
      </c>
      <c r="E490" s="10" t="s">
        <v>978</v>
      </c>
      <c r="F490" s="10" t="s">
        <v>251</v>
      </c>
      <c r="G490" s="23">
        <v>3</v>
      </c>
      <c r="H490" s="26">
        <v>228.91</v>
      </c>
      <c r="I490" s="29">
        <v>0.15</v>
      </c>
      <c r="J490" s="10" t="s">
        <v>45</v>
      </c>
      <c r="K490" s="10"/>
      <c r="L490" s="15" t="s">
        <v>52</v>
      </c>
    </row>
    <row r="491" spans="1:12" ht="15" customHeight="1">
      <c r="A491" s="14" t="s">
        <v>1044</v>
      </c>
      <c r="B491" s="10" t="s">
        <v>1043</v>
      </c>
      <c r="C491" s="20">
        <v>45848</v>
      </c>
      <c r="D491" s="10" t="s">
        <v>977</v>
      </c>
      <c r="E491" s="10" t="s">
        <v>978</v>
      </c>
      <c r="F491" s="10" t="s">
        <v>69</v>
      </c>
      <c r="G491" s="23">
        <v>2</v>
      </c>
      <c r="H491" s="26">
        <v>75.75</v>
      </c>
      <c r="I491" s="29">
        <v>0.1</v>
      </c>
      <c r="J491" s="10" t="s">
        <v>50</v>
      </c>
      <c r="K491" s="10" t="s">
        <v>58</v>
      </c>
      <c r="L491" s="15" t="s">
        <v>42</v>
      </c>
    </row>
    <row r="492" spans="1:12" ht="15" customHeight="1">
      <c r="A492" s="14" t="s">
        <v>1045</v>
      </c>
      <c r="B492" s="10" t="s">
        <v>1043</v>
      </c>
      <c r="C492" s="20">
        <v>45848</v>
      </c>
      <c r="D492" s="10" t="s">
        <v>977</v>
      </c>
      <c r="E492" s="10" t="s">
        <v>978</v>
      </c>
      <c r="F492" s="10" t="s">
        <v>238</v>
      </c>
      <c r="G492" s="23">
        <v>3</v>
      </c>
      <c r="H492" s="26">
        <v>82.77</v>
      </c>
      <c r="I492" s="29">
        <v>0</v>
      </c>
      <c r="J492" s="10" t="s">
        <v>45</v>
      </c>
      <c r="K492" s="10" t="s">
        <v>41</v>
      </c>
      <c r="L492" s="15" t="s">
        <v>52</v>
      </c>
    </row>
    <row r="493" spans="1:12" ht="15" customHeight="1">
      <c r="A493" s="14" t="s">
        <v>1046</v>
      </c>
      <c r="B493" s="10" t="s">
        <v>1043</v>
      </c>
      <c r="C493" s="20">
        <v>45848</v>
      </c>
      <c r="D493" s="10" t="s">
        <v>977</v>
      </c>
      <c r="E493" s="10" t="s">
        <v>978</v>
      </c>
      <c r="F493" s="10" t="s">
        <v>136</v>
      </c>
      <c r="G493" s="23">
        <v>4</v>
      </c>
      <c r="H493" s="26">
        <v>141.46</v>
      </c>
      <c r="I493" s="29">
        <v>0.15</v>
      </c>
      <c r="J493" s="10" t="s">
        <v>50</v>
      </c>
      <c r="K493" s="10"/>
      <c r="L493" s="15" t="s">
        <v>52</v>
      </c>
    </row>
    <row r="494" spans="1:12" ht="15" customHeight="1">
      <c r="A494" s="14" t="s">
        <v>1047</v>
      </c>
      <c r="B494" s="10" t="s">
        <v>1048</v>
      </c>
      <c r="C494" s="20">
        <v>45840</v>
      </c>
      <c r="D494" s="10" t="s">
        <v>328</v>
      </c>
      <c r="E494" s="10" t="s">
        <v>329</v>
      </c>
      <c r="F494" s="10" t="s">
        <v>784</v>
      </c>
      <c r="G494" s="23">
        <v>1</v>
      </c>
      <c r="H494" s="26">
        <v>96.33</v>
      </c>
      <c r="I494" s="29">
        <v>0</v>
      </c>
      <c r="J494" s="10" t="s">
        <v>45</v>
      </c>
      <c r="K494" s="10" t="s">
        <v>58</v>
      </c>
      <c r="L494" s="15" t="s">
        <v>67</v>
      </c>
    </row>
    <row r="495" spans="1:12" ht="15" customHeight="1">
      <c r="A495" s="14" t="s">
        <v>1049</v>
      </c>
      <c r="B495" s="10" t="s">
        <v>1048</v>
      </c>
      <c r="C495" s="20">
        <v>45840</v>
      </c>
      <c r="D495" s="10" t="s">
        <v>328</v>
      </c>
      <c r="E495" s="10" t="s">
        <v>329</v>
      </c>
      <c r="F495" s="10" t="s">
        <v>251</v>
      </c>
      <c r="G495" s="23">
        <v>4</v>
      </c>
      <c r="H495" s="26">
        <v>228.91</v>
      </c>
      <c r="I495" s="29">
        <v>0.15</v>
      </c>
      <c r="J495" s="10" t="s">
        <v>40</v>
      </c>
      <c r="K495" s="10" t="s">
        <v>98</v>
      </c>
      <c r="L495" s="15" t="s">
        <v>47</v>
      </c>
    </row>
    <row r="496" spans="1:12" ht="15" customHeight="1">
      <c r="A496" s="14" t="s">
        <v>1050</v>
      </c>
      <c r="B496" s="10" t="s">
        <v>1048</v>
      </c>
      <c r="C496" s="20">
        <v>45840</v>
      </c>
      <c r="D496" s="10" t="s">
        <v>328</v>
      </c>
      <c r="E496" s="10" t="s">
        <v>329</v>
      </c>
      <c r="F496" s="10" t="s">
        <v>784</v>
      </c>
      <c r="G496" s="23">
        <v>3</v>
      </c>
      <c r="H496" s="26">
        <v>96.33</v>
      </c>
      <c r="I496" s="29">
        <v>0.1</v>
      </c>
      <c r="J496" s="10" t="s">
        <v>70</v>
      </c>
      <c r="K496" s="10"/>
      <c r="L496" s="15" t="s">
        <v>42</v>
      </c>
    </row>
    <row r="497" spans="1:12" ht="15" customHeight="1">
      <c r="A497" s="14" t="s">
        <v>1051</v>
      </c>
      <c r="B497" s="10" t="s">
        <v>1048</v>
      </c>
      <c r="C497" s="20">
        <v>45840</v>
      </c>
      <c r="D497" s="10" t="s">
        <v>328</v>
      </c>
      <c r="E497" s="10" t="s">
        <v>329</v>
      </c>
      <c r="F497" s="10" t="s">
        <v>214</v>
      </c>
      <c r="G497" s="23">
        <v>4</v>
      </c>
      <c r="H497" s="26">
        <v>186.92</v>
      </c>
      <c r="I497" s="29">
        <v>0</v>
      </c>
      <c r="J497" s="10" t="s">
        <v>45</v>
      </c>
      <c r="K497" s="10" t="s">
        <v>51</v>
      </c>
      <c r="L497" s="15" t="s">
        <v>52</v>
      </c>
    </row>
    <row r="498" spans="1:12" ht="15" customHeight="1">
      <c r="A498" s="14" t="s">
        <v>1052</v>
      </c>
      <c r="B498" s="10" t="s">
        <v>1053</v>
      </c>
      <c r="C498" s="20">
        <v>45780</v>
      </c>
      <c r="D498" s="10" t="s">
        <v>1054</v>
      </c>
      <c r="E498" s="10" t="s">
        <v>1055</v>
      </c>
      <c r="F498" s="10" t="s">
        <v>112</v>
      </c>
      <c r="G498" s="23">
        <v>2</v>
      </c>
      <c r="H498" s="26">
        <v>88.61</v>
      </c>
      <c r="I498" s="29">
        <v>0.15</v>
      </c>
      <c r="J498" s="10" t="s">
        <v>66</v>
      </c>
      <c r="K498" s="10" t="s">
        <v>46</v>
      </c>
      <c r="L498" s="15" t="s">
        <v>42</v>
      </c>
    </row>
    <row r="499" spans="1:12" ht="15" customHeight="1">
      <c r="A499" s="14" t="s">
        <v>1056</v>
      </c>
      <c r="B499" s="10" t="s">
        <v>1053</v>
      </c>
      <c r="C499" s="20">
        <v>45780</v>
      </c>
      <c r="D499" s="10" t="s">
        <v>1054</v>
      </c>
      <c r="E499" s="10" t="s">
        <v>1055</v>
      </c>
      <c r="F499" s="10" t="s">
        <v>204</v>
      </c>
      <c r="G499" s="23">
        <v>2</v>
      </c>
      <c r="H499" s="26">
        <v>244.25</v>
      </c>
      <c r="I499" s="29">
        <v>0.05</v>
      </c>
      <c r="J499" s="10" t="s">
        <v>45</v>
      </c>
      <c r="K499" s="10" t="s">
        <v>41</v>
      </c>
      <c r="L499" s="15" t="s">
        <v>67</v>
      </c>
    </row>
    <row r="500" spans="1:12" ht="15" customHeight="1">
      <c r="A500" s="14" t="s">
        <v>1057</v>
      </c>
      <c r="B500" s="10" t="s">
        <v>1053</v>
      </c>
      <c r="C500" s="20">
        <v>45780</v>
      </c>
      <c r="D500" s="10" t="s">
        <v>1054</v>
      </c>
      <c r="E500" s="10" t="s">
        <v>1055</v>
      </c>
      <c r="F500" s="10" t="s">
        <v>303</v>
      </c>
      <c r="G500" s="23">
        <v>3</v>
      </c>
      <c r="H500" s="26">
        <v>72.81</v>
      </c>
      <c r="I500" s="29">
        <v>0.15</v>
      </c>
      <c r="J500" s="10" t="s">
        <v>50</v>
      </c>
      <c r="K500" s="10" t="s">
        <v>41</v>
      </c>
      <c r="L500" s="15" t="s">
        <v>47</v>
      </c>
    </row>
    <row r="501" spans="1:12" ht="15" customHeight="1">
      <c r="A501" s="14" t="s">
        <v>1058</v>
      </c>
      <c r="B501" s="10" t="s">
        <v>1059</v>
      </c>
      <c r="C501" s="20">
        <v>45691</v>
      </c>
      <c r="D501" s="10" t="s">
        <v>660</v>
      </c>
      <c r="E501" s="10" t="s">
        <v>661</v>
      </c>
      <c r="F501" s="10" t="s">
        <v>77</v>
      </c>
      <c r="G501" s="23">
        <v>1</v>
      </c>
      <c r="H501" s="26">
        <v>34.909999999999997</v>
      </c>
      <c r="I501" s="29">
        <v>0.1</v>
      </c>
      <c r="J501" s="10" t="s">
        <v>40</v>
      </c>
      <c r="K501" s="10" t="s">
        <v>41</v>
      </c>
      <c r="L501" s="15" t="s">
        <v>101</v>
      </c>
    </row>
    <row r="502" spans="1:12" ht="15" customHeight="1">
      <c r="A502" s="14" t="s">
        <v>1060</v>
      </c>
      <c r="B502" s="10" t="s">
        <v>1059</v>
      </c>
      <c r="C502" s="20">
        <v>45691</v>
      </c>
      <c r="D502" s="10" t="s">
        <v>660</v>
      </c>
      <c r="E502" s="10" t="s">
        <v>661</v>
      </c>
      <c r="F502" s="10" t="s">
        <v>147</v>
      </c>
      <c r="G502" s="23">
        <v>2</v>
      </c>
      <c r="H502" s="26">
        <v>102.78</v>
      </c>
      <c r="I502" s="29">
        <v>0.05</v>
      </c>
      <c r="J502" s="10" t="s">
        <v>64</v>
      </c>
      <c r="K502" s="10" t="s">
        <v>41</v>
      </c>
      <c r="L502" s="15" t="s">
        <v>67</v>
      </c>
    </row>
    <row r="503" spans="1:12" ht="15" customHeight="1">
      <c r="A503" s="14" t="s">
        <v>1061</v>
      </c>
      <c r="B503" s="10" t="s">
        <v>1059</v>
      </c>
      <c r="C503" s="20">
        <v>45691</v>
      </c>
      <c r="D503" s="10" t="s">
        <v>660</v>
      </c>
      <c r="E503" s="10" t="s">
        <v>661</v>
      </c>
      <c r="F503" s="10" t="s">
        <v>83</v>
      </c>
      <c r="G503" s="23">
        <v>2</v>
      </c>
      <c r="H503" s="26">
        <v>115.28</v>
      </c>
      <c r="I503" s="29">
        <v>0.15</v>
      </c>
      <c r="J503" s="10" t="s">
        <v>40</v>
      </c>
      <c r="K503" s="10"/>
      <c r="L503" s="15" t="s">
        <v>52</v>
      </c>
    </row>
    <row r="504" spans="1:12" ht="15" customHeight="1">
      <c r="A504" s="14" t="s">
        <v>1062</v>
      </c>
      <c r="B504" s="10" t="s">
        <v>1063</v>
      </c>
      <c r="C504" s="20">
        <v>45841</v>
      </c>
      <c r="D504" s="10" t="s">
        <v>738</v>
      </c>
      <c r="E504" s="10" t="s">
        <v>739</v>
      </c>
      <c r="F504" s="10" t="s">
        <v>201</v>
      </c>
      <c r="G504" s="23">
        <v>1</v>
      </c>
      <c r="H504" s="26">
        <v>154.47</v>
      </c>
      <c r="I504" s="29">
        <v>0</v>
      </c>
      <c r="J504" s="10" t="s">
        <v>66</v>
      </c>
      <c r="K504" s="10" t="s">
        <v>41</v>
      </c>
      <c r="L504" s="15" t="s">
        <v>42</v>
      </c>
    </row>
    <row r="505" spans="1:12" ht="15" customHeight="1">
      <c r="A505" s="14" t="s">
        <v>1064</v>
      </c>
      <c r="B505" s="10" t="s">
        <v>1063</v>
      </c>
      <c r="C505" s="20">
        <v>45841</v>
      </c>
      <c r="D505" s="10" t="s">
        <v>738</v>
      </c>
      <c r="E505" s="10" t="s">
        <v>739</v>
      </c>
      <c r="F505" s="10" t="s">
        <v>136</v>
      </c>
      <c r="G505" s="23">
        <v>4</v>
      </c>
      <c r="H505" s="26">
        <v>141.46</v>
      </c>
      <c r="I505" s="29">
        <v>0</v>
      </c>
      <c r="J505" s="10" t="s">
        <v>66</v>
      </c>
      <c r="K505" s="10" t="s">
        <v>51</v>
      </c>
      <c r="L505" s="15" t="s">
        <v>67</v>
      </c>
    </row>
    <row r="506" spans="1:12" ht="15" customHeight="1">
      <c r="A506" s="14" t="s">
        <v>1065</v>
      </c>
      <c r="B506" s="10" t="s">
        <v>1063</v>
      </c>
      <c r="C506" s="20">
        <v>45841</v>
      </c>
      <c r="D506" s="10" t="s">
        <v>738</v>
      </c>
      <c r="E506" s="10" t="s">
        <v>739</v>
      </c>
      <c r="F506" s="10" t="s">
        <v>112</v>
      </c>
      <c r="G506" s="23">
        <v>4</v>
      </c>
      <c r="H506" s="26">
        <v>88.61</v>
      </c>
      <c r="I506" s="29">
        <v>0.05</v>
      </c>
      <c r="J506" s="10" t="s">
        <v>70</v>
      </c>
      <c r="K506" s="10" t="s">
        <v>46</v>
      </c>
      <c r="L506" s="15" t="s">
        <v>101</v>
      </c>
    </row>
    <row r="507" spans="1:12" ht="15" customHeight="1">
      <c r="A507" s="14" t="s">
        <v>1066</v>
      </c>
      <c r="B507" s="10" t="s">
        <v>1067</v>
      </c>
      <c r="C507" s="20">
        <v>45747.041666666664</v>
      </c>
      <c r="D507" s="10" t="s">
        <v>621</v>
      </c>
      <c r="E507" s="10" t="s">
        <v>622</v>
      </c>
      <c r="F507" s="10" t="s">
        <v>270</v>
      </c>
      <c r="G507" s="23">
        <v>4</v>
      </c>
      <c r="H507" s="26">
        <v>214.38</v>
      </c>
      <c r="I507" s="29">
        <v>0.05</v>
      </c>
      <c r="J507" s="10" t="s">
        <v>64</v>
      </c>
      <c r="K507" s="10" t="s">
        <v>51</v>
      </c>
      <c r="L507" s="15" t="s">
        <v>52</v>
      </c>
    </row>
    <row r="508" spans="1:12" ht="15" customHeight="1">
      <c r="A508" s="14" t="s">
        <v>1068</v>
      </c>
      <c r="B508" s="10" t="s">
        <v>1067</v>
      </c>
      <c r="C508" s="20">
        <v>45747.041666666664</v>
      </c>
      <c r="D508" s="10" t="s">
        <v>621</v>
      </c>
      <c r="E508" s="10" t="s">
        <v>622</v>
      </c>
      <c r="F508" s="10" t="s">
        <v>316</v>
      </c>
      <c r="G508" s="23">
        <v>3</v>
      </c>
      <c r="H508" s="26">
        <v>180.37</v>
      </c>
      <c r="I508" s="29">
        <v>0.05</v>
      </c>
      <c r="J508" s="10" t="s">
        <v>70</v>
      </c>
      <c r="K508" s="10" t="s">
        <v>41</v>
      </c>
      <c r="L508" s="15" t="s">
        <v>52</v>
      </c>
    </row>
    <row r="509" spans="1:12" ht="15" customHeight="1">
      <c r="A509" s="14" t="s">
        <v>1069</v>
      </c>
      <c r="B509" s="10" t="s">
        <v>1070</v>
      </c>
      <c r="C509" s="20">
        <v>45838</v>
      </c>
      <c r="D509" s="10" t="s">
        <v>697</v>
      </c>
      <c r="E509" s="10" t="s">
        <v>695</v>
      </c>
      <c r="F509" s="10" t="s">
        <v>80</v>
      </c>
      <c r="G509" s="23">
        <v>3</v>
      </c>
      <c r="H509" s="26">
        <v>142.16</v>
      </c>
      <c r="I509" s="29">
        <v>0</v>
      </c>
      <c r="J509" s="10" t="s">
        <v>64</v>
      </c>
      <c r="K509" s="10" t="s">
        <v>46</v>
      </c>
      <c r="L509" s="15" t="s">
        <v>101</v>
      </c>
    </row>
    <row r="510" spans="1:12" ht="15" customHeight="1">
      <c r="A510" s="14" t="s">
        <v>1071</v>
      </c>
      <c r="B510" s="10" t="s">
        <v>1070</v>
      </c>
      <c r="C510" s="20">
        <v>45838</v>
      </c>
      <c r="D510" s="10" t="s">
        <v>697</v>
      </c>
      <c r="E510" s="10" t="s">
        <v>695</v>
      </c>
      <c r="F510" s="10" t="s">
        <v>110</v>
      </c>
      <c r="G510" s="23">
        <v>4</v>
      </c>
      <c r="H510" s="26">
        <v>133.24</v>
      </c>
      <c r="I510" s="29">
        <v>0</v>
      </c>
      <c r="J510" s="10" t="s">
        <v>66</v>
      </c>
      <c r="K510" s="10" t="s">
        <v>51</v>
      </c>
      <c r="L510" s="15" t="s">
        <v>42</v>
      </c>
    </row>
    <row r="511" spans="1:12" ht="15" customHeight="1">
      <c r="A511" s="14" t="s">
        <v>1072</v>
      </c>
      <c r="B511" s="10" t="s">
        <v>1073</v>
      </c>
      <c r="C511" s="20">
        <v>45711</v>
      </c>
      <c r="D511" s="10" t="s">
        <v>582</v>
      </c>
      <c r="E511" s="10" t="s">
        <v>583</v>
      </c>
      <c r="F511" s="10" t="s">
        <v>108</v>
      </c>
      <c r="G511" s="23">
        <v>3</v>
      </c>
      <c r="H511" s="26">
        <v>33.369999999999997</v>
      </c>
      <c r="I511" s="29">
        <v>0.15</v>
      </c>
      <c r="J511" s="10" t="s">
        <v>45</v>
      </c>
      <c r="K511" s="10" t="s">
        <v>51</v>
      </c>
      <c r="L511" s="15" t="s">
        <v>47</v>
      </c>
    </row>
    <row r="512" spans="1:12" ht="15" customHeight="1">
      <c r="A512" s="14" t="s">
        <v>1074</v>
      </c>
      <c r="B512" s="10" t="s">
        <v>1075</v>
      </c>
      <c r="C512" s="20">
        <v>45911</v>
      </c>
      <c r="D512" s="10" t="s">
        <v>866</v>
      </c>
      <c r="E512" s="10" t="s">
        <v>867</v>
      </c>
      <c r="F512" s="10" t="s">
        <v>106</v>
      </c>
      <c r="G512" s="23">
        <v>3</v>
      </c>
      <c r="H512" s="26">
        <v>195.38</v>
      </c>
      <c r="I512" s="29">
        <v>0</v>
      </c>
      <c r="J512" s="10" t="s">
        <v>70</v>
      </c>
      <c r="K512" s="10" t="s">
        <v>46</v>
      </c>
      <c r="L512" s="15" t="s">
        <v>67</v>
      </c>
    </row>
    <row r="513" spans="1:12" ht="15" customHeight="1">
      <c r="A513" s="14" t="s">
        <v>1076</v>
      </c>
      <c r="B513" s="10" t="s">
        <v>1075</v>
      </c>
      <c r="C513" s="20">
        <v>45911</v>
      </c>
      <c r="D513" s="10" t="s">
        <v>866</v>
      </c>
      <c r="E513" s="10" t="s">
        <v>867</v>
      </c>
      <c r="F513" s="10" t="s">
        <v>88</v>
      </c>
      <c r="G513" s="23">
        <v>2</v>
      </c>
      <c r="H513" s="26">
        <v>147.46</v>
      </c>
      <c r="I513" s="29">
        <v>0</v>
      </c>
      <c r="J513" s="10" t="s">
        <v>50</v>
      </c>
      <c r="K513" s="10" t="s">
        <v>46</v>
      </c>
      <c r="L513" s="15" t="s">
        <v>52</v>
      </c>
    </row>
    <row r="514" spans="1:12" ht="15" customHeight="1">
      <c r="A514" s="14" t="s">
        <v>1077</v>
      </c>
      <c r="B514" s="10" t="s">
        <v>1078</v>
      </c>
      <c r="C514" s="20">
        <v>45679</v>
      </c>
      <c r="D514" s="10" t="s">
        <v>163</v>
      </c>
      <c r="E514" s="10" t="s">
        <v>164</v>
      </c>
      <c r="F514" s="10" t="s">
        <v>150</v>
      </c>
      <c r="G514" s="23">
        <v>2</v>
      </c>
      <c r="H514" s="26">
        <v>263.04000000000002</v>
      </c>
      <c r="I514" s="29">
        <v>0.05</v>
      </c>
      <c r="J514" s="10" t="s">
        <v>40</v>
      </c>
      <c r="K514" s="10" t="s">
        <v>51</v>
      </c>
      <c r="L514" s="15" t="s">
        <v>42</v>
      </c>
    </row>
    <row r="515" spans="1:12" ht="15" customHeight="1">
      <c r="A515" s="14" t="s">
        <v>1079</v>
      </c>
      <c r="B515" s="10" t="s">
        <v>1078</v>
      </c>
      <c r="C515" s="20">
        <v>45679</v>
      </c>
      <c r="D515" s="10" t="s">
        <v>163</v>
      </c>
      <c r="E515" s="10" t="s">
        <v>164</v>
      </c>
      <c r="F515" s="10" t="s">
        <v>93</v>
      </c>
      <c r="G515" s="23">
        <v>4</v>
      </c>
      <c r="H515" s="26">
        <v>208.89</v>
      </c>
      <c r="I515" s="29">
        <v>0</v>
      </c>
      <c r="J515" s="10" t="s">
        <v>64</v>
      </c>
      <c r="K515" s="10" t="s">
        <v>58</v>
      </c>
      <c r="L515" s="15" t="s">
        <v>47</v>
      </c>
    </row>
    <row r="516" spans="1:12" ht="15" customHeight="1">
      <c r="A516" s="14" t="s">
        <v>1080</v>
      </c>
      <c r="B516" s="10" t="s">
        <v>1078</v>
      </c>
      <c r="C516" s="20">
        <v>45679</v>
      </c>
      <c r="D516" s="10" t="s">
        <v>163</v>
      </c>
      <c r="E516" s="10" t="s">
        <v>164</v>
      </c>
      <c r="F516" s="10" t="s">
        <v>279</v>
      </c>
      <c r="G516" s="23">
        <v>2</v>
      </c>
      <c r="H516" s="26">
        <v>52.79</v>
      </c>
      <c r="I516" s="29">
        <v>0</v>
      </c>
      <c r="J516" s="10" t="s">
        <v>64</v>
      </c>
      <c r="K516" s="10"/>
      <c r="L516" s="15" t="s">
        <v>42</v>
      </c>
    </row>
    <row r="517" spans="1:12" ht="15" customHeight="1">
      <c r="A517" s="14" t="s">
        <v>1081</v>
      </c>
      <c r="B517" s="10" t="s">
        <v>1082</v>
      </c>
      <c r="C517" s="20">
        <v>46018</v>
      </c>
      <c r="D517" s="10" t="s">
        <v>1083</v>
      </c>
      <c r="E517" s="10" t="s">
        <v>1084</v>
      </c>
      <c r="F517" s="10" t="s">
        <v>44</v>
      </c>
      <c r="G517" s="23">
        <v>4</v>
      </c>
      <c r="H517" s="26">
        <v>238.47</v>
      </c>
      <c r="I517" s="29">
        <v>0.05</v>
      </c>
      <c r="J517" s="10" t="s">
        <v>50</v>
      </c>
      <c r="K517" s="10" t="s">
        <v>98</v>
      </c>
      <c r="L517" s="15" t="s">
        <v>67</v>
      </c>
    </row>
    <row r="518" spans="1:12" ht="15" customHeight="1">
      <c r="A518" s="14" t="s">
        <v>1085</v>
      </c>
      <c r="B518" s="10" t="s">
        <v>1082</v>
      </c>
      <c r="C518" s="20">
        <v>46018</v>
      </c>
      <c r="D518" s="10" t="s">
        <v>1083</v>
      </c>
      <c r="E518" s="10" t="s">
        <v>1084</v>
      </c>
      <c r="F518" s="10" t="s">
        <v>83</v>
      </c>
      <c r="G518" s="23">
        <v>4</v>
      </c>
      <c r="H518" s="26">
        <v>115.28</v>
      </c>
      <c r="I518" s="29">
        <v>0</v>
      </c>
      <c r="J518" s="10" t="s">
        <v>64</v>
      </c>
      <c r="K518" s="10" t="s">
        <v>58</v>
      </c>
      <c r="L518" s="15" t="s">
        <v>42</v>
      </c>
    </row>
    <row r="519" spans="1:12" ht="15" customHeight="1">
      <c r="A519" s="14" t="s">
        <v>1086</v>
      </c>
      <c r="B519" s="10" t="s">
        <v>1082</v>
      </c>
      <c r="C519" s="20">
        <v>46018</v>
      </c>
      <c r="D519" s="10" t="s">
        <v>1083</v>
      </c>
      <c r="E519" s="10" t="s">
        <v>1084</v>
      </c>
      <c r="F519" s="10" t="s">
        <v>150</v>
      </c>
      <c r="G519" s="23">
        <v>4</v>
      </c>
      <c r="H519" s="26">
        <v>263.04000000000002</v>
      </c>
      <c r="I519" s="29">
        <v>0</v>
      </c>
      <c r="J519" s="10" t="s">
        <v>50</v>
      </c>
      <c r="K519" s="10" t="s">
        <v>41</v>
      </c>
      <c r="L519" s="15" t="s">
        <v>52</v>
      </c>
    </row>
    <row r="520" spans="1:12" ht="15" customHeight="1">
      <c r="A520" s="14" t="s">
        <v>1087</v>
      </c>
      <c r="B520" s="10" t="s">
        <v>1088</v>
      </c>
      <c r="C520" s="20">
        <v>45766</v>
      </c>
      <c r="D520" s="10" t="s">
        <v>394</v>
      </c>
      <c r="E520" s="10" t="s">
        <v>395</v>
      </c>
      <c r="F520" s="10" t="s">
        <v>238</v>
      </c>
      <c r="G520" s="23">
        <v>3</v>
      </c>
      <c r="H520" s="26">
        <v>82.77</v>
      </c>
      <c r="I520" s="29">
        <v>0.1</v>
      </c>
      <c r="J520" s="10" t="s">
        <v>66</v>
      </c>
      <c r="K520" s="10" t="s">
        <v>41</v>
      </c>
      <c r="L520" s="15" t="s">
        <v>52</v>
      </c>
    </row>
    <row r="521" spans="1:12" ht="15" customHeight="1">
      <c r="A521" s="14" t="s">
        <v>1089</v>
      </c>
      <c r="B521" s="10" t="s">
        <v>1088</v>
      </c>
      <c r="C521" s="20">
        <v>45766</v>
      </c>
      <c r="D521" s="10" t="s">
        <v>394</v>
      </c>
      <c r="E521" s="10" t="s">
        <v>395</v>
      </c>
      <c r="F521" s="10" t="s">
        <v>100</v>
      </c>
      <c r="G521" s="23">
        <v>4</v>
      </c>
      <c r="H521" s="26">
        <v>42.72</v>
      </c>
      <c r="I521" s="29">
        <v>0</v>
      </c>
      <c r="J521" s="10" t="s">
        <v>45</v>
      </c>
      <c r="K521" s="10" t="s">
        <v>41</v>
      </c>
      <c r="L521" s="15" t="s">
        <v>101</v>
      </c>
    </row>
    <row r="522" spans="1:12" ht="15" customHeight="1">
      <c r="A522" s="14" t="s">
        <v>1090</v>
      </c>
      <c r="B522" s="10" t="s">
        <v>1088</v>
      </c>
      <c r="C522" s="20">
        <v>45766</v>
      </c>
      <c r="D522" s="10" t="s">
        <v>394</v>
      </c>
      <c r="E522" s="10" t="s">
        <v>395</v>
      </c>
      <c r="F522" s="10" t="s">
        <v>130</v>
      </c>
      <c r="G522" s="23">
        <v>4</v>
      </c>
      <c r="H522" s="26">
        <v>265.73</v>
      </c>
      <c r="I522" s="29">
        <v>0.1</v>
      </c>
      <c r="J522" s="10" t="s">
        <v>50</v>
      </c>
      <c r="K522" s="10" t="s">
        <v>98</v>
      </c>
      <c r="L522" s="15" t="s">
        <v>101</v>
      </c>
    </row>
    <row r="523" spans="1:12" ht="15" customHeight="1">
      <c r="A523" s="14" t="s">
        <v>1091</v>
      </c>
      <c r="B523" s="10" t="s">
        <v>1092</v>
      </c>
      <c r="C523" s="20">
        <v>45884</v>
      </c>
      <c r="D523" s="10" t="s">
        <v>1093</v>
      </c>
      <c r="E523" s="10" t="s">
        <v>1094</v>
      </c>
      <c r="F523" s="10" t="s">
        <v>150</v>
      </c>
      <c r="G523" s="23">
        <v>1</v>
      </c>
      <c r="H523" s="26">
        <v>263.04000000000002</v>
      </c>
      <c r="I523" s="29">
        <v>0.05</v>
      </c>
      <c r="J523" s="10" t="s">
        <v>50</v>
      </c>
      <c r="K523" s="10" t="s">
        <v>51</v>
      </c>
      <c r="L523" s="15" t="s">
        <v>42</v>
      </c>
    </row>
    <row r="524" spans="1:12" ht="15" customHeight="1">
      <c r="A524" s="14" t="s">
        <v>1095</v>
      </c>
      <c r="B524" s="10" t="s">
        <v>1096</v>
      </c>
      <c r="C524" s="20">
        <v>45834</v>
      </c>
      <c r="D524" s="10" t="s">
        <v>1097</v>
      </c>
      <c r="E524" s="10" t="s">
        <v>1098</v>
      </c>
      <c r="F524" s="10" t="s">
        <v>495</v>
      </c>
      <c r="G524" s="23">
        <v>4</v>
      </c>
      <c r="H524" s="26">
        <v>207.71</v>
      </c>
      <c r="I524" s="29">
        <v>0.15</v>
      </c>
      <c r="J524" s="10" t="s">
        <v>50</v>
      </c>
      <c r="K524" s="10" t="s">
        <v>41</v>
      </c>
      <c r="L524" s="15" t="s">
        <v>47</v>
      </c>
    </row>
    <row r="525" spans="1:12" ht="15" customHeight="1">
      <c r="A525" s="14" t="s">
        <v>1099</v>
      </c>
      <c r="B525" s="10" t="s">
        <v>1096</v>
      </c>
      <c r="C525" s="20">
        <v>45834</v>
      </c>
      <c r="D525" s="10" t="s">
        <v>1097</v>
      </c>
      <c r="E525" s="10" t="s">
        <v>1098</v>
      </c>
      <c r="F525" s="10" t="s">
        <v>332</v>
      </c>
      <c r="G525" s="23">
        <v>4</v>
      </c>
      <c r="H525" s="26">
        <v>273.89</v>
      </c>
      <c r="I525" s="29">
        <v>0.15</v>
      </c>
      <c r="J525" s="10" t="s">
        <v>45</v>
      </c>
      <c r="K525" s="10" t="s">
        <v>98</v>
      </c>
      <c r="L525" s="15" t="s">
        <v>67</v>
      </c>
    </row>
    <row r="526" spans="1:12" ht="15" customHeight="1">
      <c r="A526" s="14" t="s">
        <v>1100</v>
      </c>
      <c r="B526" s="10" t="s">
        <v>1101</v>
      </c>
      <c r="C526" s="20">
        <v>45687</v>
      </c>
      <c r="D526" s="10" t="s">
        <v>432</v>
      </c>
      <c r="E526" s="10" t="s">
        <v>433</v>
      </c>
      <c r="F526" s="10" t="s">
        <v>332</v>
      </c>
      <c r="G526" s="23">
        <v>2</v>
      </c>
      <c r="H526" s="26">
        <v>273.89</v>
      </c>
      <c r="I526" s="29">
        <v>0.05</v>
      </c>
      <c r="J526" s="10" t="s">
        <v>40</v>
      </c>
      <c r="K526" s="10" t="s">
        <v>41</v>
      </c>
      <c r="L526" s="15" t="s">
        <v>47</v>
      </c>
    </row>
    <row r="527" spans="1:12" ht="15" customHeight="1">
      <c r="A527" s="14" t="s">
        <v>1102</v>
      </c>
      <c r="B527" s="10" t="s">
        <v>1101</v>
      </c>
      <c r="C527" s="20">
        <v>45687</v>
      </c>
      <c r="D527" s="10" t="s">
        <v>432</v>
      </c>
      <c r="E527" s="10" t="s">
        <v>433</v>
      </c>
      <c r="F527" s="10" t="s">
        <v>69</v>
      </c>
      <c r="G527" s="23">
        <v>4</v>
      </c>
      <c r="H527" s="26">
        <v>75.75</v>
      </c>
      <c r="I527" s="29">
        <v>0</v>
      </c>
      <c r="J527" s="10" t="s">
        <v>45</v>
      </c>
      <c r="K527" s="10" t="s">
        <v>46</v>
      </c>
      <c r="L527" s="15" t="s">
        <v>42</v>
      </c>
    </row>
    <row r="528" spans="1:12" ht="15" customHeight="1">
      <c r="A528" s="14" t="s">
        <v>1103</v>
      </c>
      <c r="B528" s="10" t="s">
        <v>1101</v>
      </c>
      <c r="C528" s="20">
        <v>45687</v>
      </c>
      <c r="D528" s="10" t="s">
        <v>432</v>
      </c>
      <c r="E528" s="10" t="s">
        <v>433</v>
      </c>
      <c r="F528" s="10" t="s">
        <v>100</v>
      </c>
      <c r="G528" s="23">
        <v>2</v>
      </c>
      <c r="H528" s="26">
        <v>42.72</v>
      </c>
      <c r="I528" s="29">
        <v>0</v>
      </c>
      <c r="J528" s="10" t="s">
        <v>70</v>
      </c>
      <c r="K528" s="10" t="s">
        <v>51</v>
      </c>
      <c r="L528" s="15" t="s">
        <v>47</v>
      </c>
    </row>
    <row r="529" spans="1:12" ht="15" customHeight="1">
      <c r="A529" s="14" t="s">
        <v>1104</v>
      </c>
      <c r="B529" s="10" t="s">
        <v>1105</v>
      </c>
      <c r="C529" s="20">
        <v>45964</v>
      </c>
      <c r="D529" s="10" t="s">
        <v>321</v>
      </c>
      <c r="E529" s="10" t="s">
        <v>322</v>
      </c>
      <c r="F529" s="10" t="s">
        <v>121</v>
      </c>
      <c r="G529" s="23">
        <v>2</v>
      </c>
      <c r="H529" s="26">
        <v>287.16000000000003</v>
      </c>
      <c r="I529" s="29">
        <v>0</v>
      </c>
      <c r="J529" s="10" t="s">
        <v>70</v>
      </c>
      <c r="K529" s="10" t="s">
        <v>51</v>
      </c>
      <c r="L529" s="15" t="s">
        <v>101</v>
      </c>
    </row>
    <row r="530" spans="1:12" ht="15" customHeight="1">
      <c r="A530" s="14" t="s">
        <v>1106</v>
      </c>
      <c r="B530" s="10" t="s">
        <v>1105</v>
      </c>
      <c r="C530" s="20">
        <v>45964</v>
      </c>
      <c r="D530" s="10" t="s">
        <v>321</v>
      </c>
      <c r="E530" s="10" t="s">
        <v>322</v>
      </c>
      <c r="F530" s="10" t="s">
        <v>150</v>
      </c>
      <c r="G530" s="23">
        <v>2</v>
      </c>
      <c r="H530" s="26">
        <v>263.04000000000002</v>
      </c>
      <c r="I530" s="29">
        <v>0.05</v>
      </c>
      <c r="J530" s="10" t="s">
        <v>64</v>
      </c>
      <c r="K530" s="10" t="s">
        <v>58</v>
      </c>
      <c r="L530" s="15" t="s">
        <v>101</v>
      </c>
    </row>
    <row r="531" spans="1:12" ht="15" customHeight="1">
      <c r="A531" s="14" t="s">
        <v>1107</v>
      </c>
      <c r="B531" s="10" t="s">
        <v>1108</v>
      </c>
      <c r="C531" s="20">
        <v>45720.041666666664</v>
      </c>
      <c r="D531" s="10" t="s">
        <v>371</v>
      </c>
      <c r="E531" s="10" t="s">
        <v>372</v>
      </c>
      <c r="F531" s="10" t="s">
        <v>117</v>
      </c>
      <c r="G531" s="23">
        <v>1</v>
      </c>
      <c r="H531" s="26">
        <v>251.17</v>
      </c>
      <c r="I531" s="29">
        <v>0.15</v>
      </c>
      <c r="J531" s="10" t="s">
        <v>45</v>
      </c>
      <c r="K531" s="10" t="s">
        <v>51</v>
      </c>
      <c r="L531" s="15" t="s">
        <v>101</v>
      </c>
    </row>
    <row r="532" spans="1:12" ht="15" customHeight="1">
      <c r="A532" s="14" t="s">
        <v>1109</v>
      </c>
      <c r="B532" s="10" t="s">
        <v>1108</v>
      </c>
      <c r="C532" s="20">
        <v>45720.041666666664</v>
      </c>
      <c r="D532" s="10" t="s">
        <v>371</v>
      </c>
      <c r="E532" s="10" t="s">
        <v>372</v>
      </c>
      <c r="F532" s="10" t="s">
        <v>784</v>
      </c>
      <c r="G532" s="23">
        <v>4</v>
      </c>
      <c r="H532" s="26">
        <v>96.33</v>
      </c>
      <c r="I532" s="29">
        <v>0.05</v>
      </c>
      <c r="J532" s="10" t="s">
        <v>66</v>
      </c>
      <c r="K532" s="10" t="s">
        <v>58</v>
      </c>
      <c r="L532" s="15" t="s">
        <v>101</v>
      </c>
    </row>
    <row r="533" spans="1:12" ht="15" customHeight="1">
      <c r="A533" s="14" t="s">
        <v>1110</v>
      </c>
      <c r="B533" s="10" t="s">
        <v>1108</v>
      </c>
      <c r="C533" s="20">
        <v>45720.041666666664</v>
      </c>
      <c r="D533" s="10" t="s">
        <v>371</v>
      </c>
      <c r="E533" s="10" t="s">
        <v>372</v>
      </c>
      <c r="F533" s="10" t="s">
        <v>428</v>
      </c>
      <c r="G533" s="23">
        <v>4</v>
      </c>
      <c r="H533" s="26">
        <v>110.88</v>
      </c>
      <c r="I533" s="29">
        <v>0</v>
      </c>
      <c r="J533" s="10" t="s">
        <v>70</v>
      </c>
      <c r="K533" s="10" t="s">
        <v>46</v>
      </c>
      <c r="L533" s="15" t="s">
        <v>42</v>
      </c>
    </row>
    <row r="534" spans="1:12" ht="15" customHeight="1">
      <c r="A534" s="14" t="s">
        <v>1111</v>
      </c>
      <c r="B534" s="10" t="s">
        <v>1108</v>
      </c>
      <c r="C534" s="20">
        <v>45720.041666666664</v>
      </c>
      <c r="D534" s="10" t="s">
        <v>371</v>
      </c>
      <c r="E534" s="10" t="s">
        <v>372</v>
      </c>
      <c r="F534" s="10" t="s">
        <v>309</v>
      </c>
      <c r="G534" s="23">
        <v>4</v>
      </c>
      <c r="H534" s="26">
        <v>56.99</v>
      </c>
      <c r="I534" s="29">
        <v>0.1</v>
      </c>
      <c r="J534" s="10" t="s">
        <v>50</v>
      </c>
      <c r="K534" s="10" t="s">
        <v>41</v>
      </c>
      <c r="L534" s="15" t="s">
        <v>52</v>
      </c>
    </row>
    <row r="535" spans="1:12" ht="15" customHeight="1">
      <c r="A535" s="14" t="s">
        <v>1112</v>
      </c>
      <c r="B535" s="10" t="s">
        <v>1113</v>
      </c>
      <c r="C535" s="20">
        <v>45853</v>
      </c>
      <c r="D535" s="10" t="s">
        <v>1114</v>
      </c>
      <c r="E535" s="10" t="s">
        <v>1115</v>
      </c>
      <c r="F535" s="10" t="s">
        <v>279</v>
      </c>
      <c r="G535" s="23">
        <v>2</v>
      </c>
      <c r="H535" s="26">
        <v>52.79</v>
      </c>
      <c r="I535" s="29">
        <v>0.1</v>
      </c>
      <c r="J535" s="10" t="s">
        <v>45</v>
      </c>
      <c r="K535" s="10"/>
      <c r="L535" s="15" t="s">
        <v>52</v>
      </c>
    </row>
    <row r="536" spans="1:12" ht="15" customHeight="1">
      <c r="A536" s="14" t="s">
        <v>1116</v>
      </c>
      <c r="B536" s="10" t="s">
        <v>1117</v>
      </c>
      <c r="C536" s="20">
        <v>46021</v>
      </c>
      <c r="D536" s="10" t="s">
        <v>609</v>
      </c>
      <c r="E536" s="10" t="s">
        <v>610</v>
      </c>
      <c r="F536" s="10" t="s">
        <v>468</v>
      </c>
      <c r="G536" s="23">
        <v>2</v>
      </c>
      <c r="H536" s="26">
        <v>160</v>
      </c>
      <c r="I536" s="29">
        <v>0.1</v>
      </c>
      <c r="J536" s="10" t="s">
        <v>45</v>
      </c>
      <c r="K536" s="10" t="s">
        <v>51</v>
      </c>
      <c r="L536" s="15" t="s">
        <v>47</v>
      </c>
    </row>
    <row r="537" spans="1:12" ht="15" customHeight="1">
      <c r="A537" s="14" t="s">
        <v>1118</v>
      </c>
      <c r="B537" s="10" t="s">
        <v>1117</v>
      </c>
      <c r="C537" s="20">
        <v>46021</v>
      </c>
      <c r="D537" s="10" t="s">
        <v>609</v>
      </c>
      <c r="E537" s="10" t="s">
        <v>610</v>
      </c>
      <c r="F537" s="10" t="s">
        <v>63</v>
      </c>
      <c r="G537" s="23">
        <v>1</v>
      </c>
      <c r="H537" s="26">
        <v>105.38</v>
      </c>
      <c r="I537" s="29">
        <v>0.1</v>
      </c>
      <c r="J537" s="10" t="s">
        <v>70</v>
      </c>
      <c r="K537" s="10" t="s">
        <v>98</v>
      </c>
      <c r="L537" s="15" t="s">
        <v>101</v>
      </c>
    </row>
    <row r="538" spans="1:12" ht="15" customHeight="1">
      <c r="A538" s="14" t="s">
        <v>1119</v>
      </c>
      <c r="B538" s="10" t="s">
        <v>1120</v>
      </c>
      <c r="C538" s="20">
        <v>45894</v>
      </c>
      <c r="D538" s="10" t="s">
        <v>358</v>
      </c>
      <c r="E538" s="10" t="s">
        <v>359</v>
      </c>
      <c r="F538" s="10" t="s">
        <v>214</v>
      </c>
      <c r="G538" s="23">
        <v>3</v>
      </c>
      <c r="H538" s="26">
        <v>186.92</v>
      </c>
      <c r="I538" s="29">
        <v>0</v>
      </c>
      <c r="J538" s="10" t="s">
        <v>70</v>
      </c>
      <c r="K538" s="10" t="s">
        <v>46</v>
      </c>
      <c r="L538" s="15" t="s">
        <v>52</v>
      </c>
    </row>
    <row r="539" spans="1:12" ht="15" customHeight="1">
      <c r="A539" s="14" t="s">
        <v>1121</v>
      </c>
      <c r="B539" s="10" t="s">
        <v>1122</v>
      </c>
      <c r="C539" s="20">
        <v>45815</v>
      </c>
      <c r="D539" s="10" t="s">
        <v>1123</v>
      </c>
      <c r="E539" s="10" t="s">
        <v>275</v>
      </c>
      <c r="F539" s="10" t="s">
        <v>69</v>
      </c>
      <c r="G539" s="23">
        <v>2</v>
      </c>
      <c r="H539" s="26">
        <v>75.75</v>
      </c>
      <c r="I539" s="29">
        <v>0.05</v>
      </c>
      <c r="J539" s="10" t="s">
        <v>40</v>
      </c>
      <c r="K539" s="10" t="s">
        <v>98</v>
      </c>
      <c r="L539" s="15" t="s">
        <v>67</v>
      </c>
    </row>
    <row r="540" spans="1:12" ht="15" customHeight="1">
      <c r="A540" s="14" t="s">
        <v>1124</v>
      </c>
      <c r="B540" s="10" t="s">
        <v>1122</v>
      </c>
      <c r="C540" s="20">
        <v>45815</v>
      </c>
      <c r="D540" s="10" t="s">
        <v>274</v>
      </c>
      <c r="E540" s="10" t="s">
        <v>275</v>
      </c>
      <c r="F540" s="10" t="s">
        <v>178</v>
      </c>
      <c r="G540" s="23">
        <v>4</v>
      </c>
      <c r="H540" s="26">
        <v>61.81</v>
      </c>
      <c r="I540" s="29">
        <v>0.15</v>
      </c>
      <c r="J540" s="10" t="s">
        <v>50</v>
      </c>
      <c r="K540" s="10"/>
      <c r="L540" s="15" t="s">
        <v>42</v>
      </c>
    </row>
    <row r="541" spans="1:12" ht="15" customHeight="1">
      <c r="A541" s="14" t="s">
        <v>1125</v>
      </c>
      <c r="B541" s="10" t="s">
        <v>1122</v>
      </c>
      <c r="C541" s="20">
        <v>45815</v>
      </c>
      <c r="D541" s="10" t="s">
        <v>274</v>
      </c>
      <c r="E541" s="10" t="s">
        <v>275</v>
      </c>
      <c r="F541" s="10" t="s">
        <v>117</v>
      </c>
      <c r="G541" s="23">
        <v>4</v>
      </c>
      <c r="H541" s="26">
        <v>251.17</v>
      </c>
      <c r="I541" s="29">
        <v>0.1</v>
      </c>
      <c r="J541" s="10" t="s">
        <v>66</v>
      </c>
      <c r="K541" s="10" t="s">
        <v>98</v>
      </c>
      <c r="L541" s="15" t="s">
        <v>67</v>
      </c>
    </row>
    <row r="542" spans="1:12" ht="15" customHeight="1">
      <c r="A542" s="14" t="s">
        <v>1126</v>
      </c>
      <c r="B542" s="10" t="s">
        <v>1122</v>
      </c>
      <c r="C542" s="20">
        <v>45815</v>
      </c>
      <c r="D542" s="10" t="s">
        <v>274</v>
      </c>
      <c r="E542" s="10" t="s">
        <v>275</v>
      </c>
      <c r="F542" s="10" t="s">
        <v>100</v>
      </c>
      <c r="G542" s="23">
        <v>3</v>
      </c>
      <c r="H542" s="26">
        <v>42.72</v>
      </c>
      <c r="I542" s="29">
        <v>0.1</v>
      </c>
      <c r="J542" s="10" t="s">
        <v>64</v>
      </c>
      <c r="K542" s="10" t="s">
        <v>46</v>
      </c>
      <c r="L542" s="15" t="s">
        <v>67</v>
      </c>
    </row>
    <row r="543" spans="1:12" ht="15" customHeight="1">
      <c r="A543" s="14" t="s">
        <v>1127</v>
      </c>
      <c r="B543" s="10" t="s">
        <v>1128</v>
      </c>
      <c r="C543" s="20">
        <v>45915</v>
      </c>
      <c r="D543" s="10" t="s">
        <v>947</v>
      </c>
      <c r="E543" s="10" t="s">
        <v>948</v>
      </c>
      <c r="F543" s="10" t="s">
        <v>201</v>
      </c>
      <c r="G543" s="23">
        <v>3</v>
      </c>
      <c r="H543" s="26">
        <v>154.47</v>
      </c>
      <c r="I543" s="29">
        <v>0.1</v>
      </c>
      <c r="J543" s="10" t="s">
        <v>50</v>
      </c>
      <c r="K543" s="10" t="s">
        <v>41</v>
      </c>
      <c r="L543" s="15" t="s">
        <v>52</v>
      </c>
    </row>
    <row r="544" spans="1:12" ht="15" customHeight="1">
      <c r="A544" s="14" t="s">
        <v>1129</v>
      </c>
      <c r="B544" s="10" t="s">
        <v>1128</v>
      </c>
      <c r="C544" s="20">
        <v>45915</v>
      </c>
      <c r="D544" s="10" t="s">
        <v>947</v>
      </c>
      <c r="E544" s="10" t="s">
        <v>948</v>
      </c>
      <c r="F544" s="10" t="s">
        <v>204</v>
      </c>
      <c r="G544" s="23">
        <v>1</v>
      </c>
      <c r="H544" s="26">
        <v>244.25</v>
      </c>
      <c r="I544" s="29">
        <v>0.15</v>
      </c>
      <c r="J544" s="10" t="s">
        <v>66</v>
      </c>
      <c r="K544" s="10" t="s">
        <v>46</v>
      </c>
      <c r="L544" s="15" t="s">
        <v>42</v>
      </c>
    </row>
    <row r="545" spans="1:12" ht="15" customHeight="1">
      <c r="A545" s="14" t="s">
        <v>1130</v>
      </c>
      <c r="B545" s="10" t="s">
        <v>1128</v>
      </c>
      <c r="C545" s="20">
        <v>45915</v>
      </c>
      <c r="D545" s="10" t="s">
        <v>947</v>
      </c>
      <c r="E545" s="10" t="s">
        <v>948</v>
      </c>
      <c r="F545" s="10" t="s">
        <v>180</v>
      </c>
      <c r="G545" s="23">
        <v>2</v>
      </c>
      <c r="H545" s="26">
        <v>91.75</v>
      </c>
      <c r="I545" s="29">
        <v>0</v>
      </c>
      <c r="J545" s="10" t="s">
        <v>64</v>
      </c>
      <c r="K545" s="10" t="s">
        <v>46</v>
      </c>
      <c r="L545" s="15" t="s">
        <v>42</v>
      </c>
    </row>
    <row r="546" spans="1:12" ht="15" customHeight="1">
      <c r="A546" s="14" t="s">
        <v>1131</v>
      </c>
      <c r="B546" s="10" t="s">
        <v>1128</v>
      </c>
      <c r="C546" s="20">
        <v>45915</v>
      </c>
      <c r="D546" s="10" t="s">
        <v>947</v>
      </c>
      <c r="E546" s="10" t="s">
        <v>948</v>
      </c>
      <c r="F546" s="10" t="s">
        <v>316</v>
      </c>
      <c r="G546" s="23">
        <v>1</v>
      </c>
      <c r="H546" s="26">
        <v>180.37</v>
      </c>
      <c r="I546" s="29">
        <v>0.15</v>
      </c>
      <c r="J546" s="10" t="s">
        <v>50</v>
      </c>
      <c r="K546" s="10" t="s">
        <v>46</v>
      </c>
      <c r="L546" s="15" t="s">
        <v>67</v>
      </c>
    </row>
    <row r="547" spans="1:12" ht="15" customHeight="1">
      <c r="A547" s="14" t="s">
        <v>1132</v>
      </c>
      <c r="B547" s="10" t="s">
        <v>1133</v>
      </c>
      <c r="C547" s="20">
        <v>45800</v>
      </c>
      <c r="D547" s="10" t="s">
        <v>115</v>
      </c>
      <c r="E547" s="10" t="s">
        <v>116</v>
      </c>
      <c r="F547" s="10" t="s">
        <v>88</v>
      </c>
      <c r="G547" s="23">
        <v>2</v>
      </c>
      <c r="H547" s="26">
        <v>147.46</v>
      </c>
      <c r="I547" s="29">
        <v>0.15</v>
      </c>
      <c r="J547" s="10" t="s">
        <v>70</v>
      </c>
      <c r="K547" s="10" t="s">
        <v>41</v>
      </c>
      <c r="L547" s="15" t="s">
        <v>67</v>
      </c>
    </row>
    <row r="548" spans="1:12" ht="15" customHeight="1">
      <c r="A548" s="14" t="s">
        <v>1134</v>
      </c>
      <c r="B548" s="10" t="s">
        <v>1135</v>
      </c>
      <c r="C548" s="20">
        <v>45853</v>
      </c>
      <c r="D548" s="10" t="s">
        <v>193</v>
      </c>
      <c r="E548" s="10" t="s">
        <v>194</v>
      </c>
      <c r="F548" s="10" t="s">
        <v>784</v>
      </c>
      <c r="G548" s="23">
        <v>1</v>
      </c>
      <c r="H548" s="26">
        <v>96.33</v>
      </c>
      <c r="I548" s="29">
        <v>0</v>
      </c>
      <c r="J548" s="10" t="s">
        <v>66</v>
      </c>
      <c r="K548" s="10" t="s">
        <v>98</v>
      </c>
      <c r="L548" s="15" t="s">
        <v>101</v>
      </c>
    </row>
    <row r="549" spans="1:12" ht="15" customHeight="1">
      <c r="A549" s="14" t="s">
        <v>1136</v>
      </c>
      <c r="B549" s="10" t="s">
        <v>1137</v>
      </c>
      <c r="C549" s="20">
        <v>45738.041666666664</v>
      </c>
      <c r="D549" s="10" t="s">
        <v>340</v>
      </c>
      <c r="E549" s="10" t="s">
        <v>341</v>
      </c>
      <c r="F549" s="10" t="s">
        <v>119</v>
      </c>
      <c r="G549" s="23">
        <v>2</v>
      </c>
      <c r="H549" s="26">
        <v>103.3</v>
      </c>
      <c r="I549" s="29">
        <v>0</v>
      </c>
      <c r="J549" s="10" t="s">
        <v>64</v>
      </c>
      <c r="K549" s="10" t="s">
        <v>98</v>
      </c>
      <c r="L549" s="15" t="s">
        <v>52</v>
      </c>
    </row>
    <row r="550" spans="1:12" ht="15" customHeight="1">
      <c r="A550" s="14" t="s">
        <v>1138</v>
      </c>
      <c r="B550" s="10" t="s">
        <v>1137</v>
      </c>
      <c r="C550" s="20">
        <v>45738.041666666664</v>
      </c>
      <c r="D550" s="10" t="s">
        <v>340</v>
      </c>
      <c r="E550" s="10" t="s">
        <v>341</v>
      </c>
      <c r="F550" s="10" t="s">
        <v>80</v>
      </c>
      <c r="G550" s="23">
        <v>3</v>
      </c>
      <c r="H550" s="26">
        <v>142.16</v>
      </c>
      <c r="I550" s="29">
        <v>0</v>
      </c>
      <c r="J550" s="10" t="s">
        <v>40</v>
      </c>
      <c r="K550" s="10" t="s">
        <v>46</v>
      </c>
      <c r="L550" s="15" t="s">
        <v>47</v>
      </c>
    </row>
    <row r="551" spans="1:12" ht="15" customHeight="1">
      <c r="A551" s="14" t="s">
        <v>1139</v>
      </c>
      <c r="B551" s="10" t="s">
        <v>1137</v>
      </c>
      <c r="C551" s="20">
        <v>45738.041666666664</v>
      </c>
      <c r="D551" s="10" t="s">
        <v>340</v>
      </c>
      <c r="E551" s="10" t="s">
        <v>341</v>
      </c>
      <c r="F551" s="10" t="s">
        <v>39</v>
      </c>
      <c r="G551" s="23">
        <v>1</v>
      </c>
      <c r="H551" s="26">
        <v>236.51</v>
      </c>
      <c r="I551" s="29">
        <v>0</v>
      </c>
      <c r="J551" s="10" t="s">
        <v>70</v>
      </c>
      <c r="K551" s="10" t="s">
        <v>51</v>
      </c>
      <c r="L551" s="15" t="s">
        <v>47</v>
      </c>
    </row>
    <row r="552" spans="1:12" ht="15" customHeight="1">
      <c r="A552" s="14" t="s">
        <v>1140</v>
      </c>
      <c r="B552" s="10" t="s">
        <v>1141</v>
      </c>
      <c r="C552" s="20">
        <v>45679</v>
      </c>
      <c r="D552" s="10" t="s">
        <v>300</v>
      </c>
      <c r="E552" s="10" t="s">
        <v>301</v>
      </c>
      <c r="F552" s="10" t="s">
        <v>112</v>
      </c>
      <c r="G552" s="23">
        <v>4</v>
      </c>
      <c r="H552" s="26">
        <v>88.61</v>
      </c>
      <c r="I552" s="29">
        <v>0.05</v>
      </c>
      <c r="J552" s="10" t="s">
        <v>70</v>
      </c>
      <c r="K552" s="10" t="s">
        <v>41</v>
      </c>
      <c r="L552" s="15" t="s">
        <v>67</v>
      </c>
    </row>
    <row r="553" spans="1:12" ht="15" customHeight="1">
      <c r="A553" s="14" t="s">
        <v>1142</v>
      </c>
      <c r="B553" s="10" t="s">
        <v>1141</v>
      </c>
      <c r="C553" s="20">
        <v>45679</v>
      </c>
      <c r="D553" s="10" t="s">
        <v>300</v>
      </c>
      <c r="E553" s="10" t="s">
        <v>301</v>
      </c>
      <c r="F553" s="10" t="s">
        <v>119</v>
      </c>
      <c r="G553" s="23">
        <v>3</v>
      </c>
      <c r="H553" s="26">
        <v>103.3</v>
      </c>
      <c r="I553" s="29">
        <v>0.15</v>
      </c>
      <c r="J553" s="10" t="s">
        <v>45</v>
      </c>
      <c r="K553" s="10" t="s">
        <v>98</v>
      </c>
      <c r="L553" s="15" t="s">
        <v>42</v>
      </c>
    </row>
    <row r="554" spans="1:12" ht="15" customHeight="1">
      <c r="A554" s="14" t="s">
        <v>1143</v>
      </c>
      <c r="B554" s="10" t="s">
        <v>1144</v>
      </c>
      <c r="C554" s="20">
        <v>45847</v>
      </c>
      <c r="D554" s="10" t="s">
        <v>398</v>
      </c>
      <c r="E554" s="10" t="s">
        <v>399</v>
      </c>
      <c r="F554" s="10" t="s">
        <v>136</v>
      </c>
      <c r="G554" s="23">
        <v>4</v>
      </c>
      <c r="H554" s="26">
        <v>141.46</v>
      </c>
      <c r="I554" s="29">
        <v>0</v>
      </c>
      <c r="J554" s="10" t="s">
        <v>40</v>
      </c>
      <c r="K554" s="10" t="s">
        <v>51</v>
      </c>
      <c r="L554" s="15" t="s">
        <v>52</v>
      </c>
    </row>
    <row r="555" spans="1:12" ht="15" customHeight="1">
      <c r="A555" s="14" t="s">
        <v>1145</v>
      </c>
      <c r="B555" s="10" t="s">
        <v>1144</v>
      </c>
      <c r="C555" s="20">
        <v>45847</v>
      </c>
      <c r="D555" s="10" t="s">
        <v>398</v>
      </c>
      <c r="E555" s="10" t="s">
        <v>399</v>
      </c>
      <c r="F555" s="10" t="s">
        <v>150</v>
      </c>
      <c r="G555" s="23">
        <v>2</v>
      </c>
      <c r="H555" s="26">
        <v>263.04000000000002</v>
      </c>
      <c r="I555" s="29">
        <v>0.1</v>
      </c>
      <c r="J555" s="10" t="s">
        <v>70</v>
      </c>
      <c r="K555" s="10" t="s">
        <v>51</v>
      </c>
      <c r="L555" s="15" t="s">
        <v>42</v>
      </c>
    </row>
    <row r="556" spans="1:12" ht="15" customHeight="1">
      <c r="A556" s="14" t="s">
        <v>1146</v>
      </c>
      <c r="B556" s="10" t="s">
        <v>1144</v>
      </c>
      <c r="C556" s="20">
        <v>45847</v>
      </c>
      <c r="D556" s="10" t="s">
        <v>398</v>
      </c>
      <c r="E556" s="10" t="s">
        <v>399</v>
      </c>
      <c r="F556" s="10" t="s">
        <v>238</v>
      </c>
      <c r="G556" s="23">
        <v>3</v>
      </c>
      <c r="H556" s="26">
        <v>82.77</v>
      </c>
      <c r="I556" s="29">
        <v>0.1</v>
      </c>
      <c r="J556" s="10" t="s">
        <v>40</v>
      </c>
      <c r="K556" s="10" t="s">
        <v>58</v>
      </c>
      <c r="L556" s="15" t="s">
        <v>42</v>
      </c>
    </row>
    <row r="557" spans="1:12" ht="15" customHeight="1">
      <c r="A557" s="14" t="s">
        <v>1147</v>
      </c>
      <c r="B557" s="10" t="s">
        <v>1144</v>
      </c>
      <c r="C557" s="20">
        <v>45847</v>
      </c>
      <c r="D557" s="10" t="s">
        <v>398</v>
      </c>
      <c r="E557" s="10" t="s">
        <v>399</v>
      </c>
      <c r="F557" s="10" t="s">
        <v>456</v>
      </c>
      <c r="G557" s="23">
        <v>2</v>
      </c>
      <c r="H557" s="26">
        <v>275.76</v>
      </c>
      <c r="I557" s="29">
        <v>0.15</v>
      </c>
      <c r="J557" s="10" t="s">
        <v>50</v>
      </c>
      <c r="K557" s="10" t="s">
        <v>51</v>
      </c>
      <c r="L557" s="15" t="s">
        <v>42</v>
      </c>
    </row>
    <row r="558" spans="1:12" ht="15" customHeight="1">
      <c r="A558" s="14" t="s">
        <v>1148</v>
      </c>
      <c r="B558" s="10" t="s">
        <v>1149</v>
      </c>
      <c r="C558" s="20">
        <v>45746.041666666664</v>
      </c>
      <c r="D558" s="10" t="s">
        <v>927</v>
      </c>
      <c r="E558" s="10" t="s">
        <v>928</v>
      </c>
      <c r="F558" s="10" t="s">
        <v>332</v>
      </c>
      <c r="G558" s="23">
        <v>3</v>
      </c>
      <c r="H558" s="26">
        <v>273.89</v>
      </c>
      <c r="I558" s="29">
        <v>0</v>
      </c>
      <c r="J558" s="10" t="s">
        <v>40</v>
      </c>
      <c r="K558" s="10" t="s">
        <v>46</v>
      </c>
      <c r="L558" s="15" t="s">
        <v>52</v>
      </c>
    </row>
    <row r="559" spans="1:12" ht="15" customHeight="1">
      <c r="A559" s="14" t="s">
        <v>1150</v>
      </c>
      <c r="B559" s="10" t="s">
        <v>1149</v>
      </c>
      <c r="C559" s="20">
        <v>45746.041666666664</v>
      </c>
      <c r="D559" s="10" t="s">
        <v>927</v>
      </c>
      <c r="E559" s="10" t="s">
        <v>928</v>
      </c>
      <c r="F559" s="10" t="s">
        <v>110</v>
      </c>
      <c r="G559" s="23">
        <v>3</v>
      </c>
      <c r="H559" s="26">
        <v>133.24</v>
      </c>
      <c r="I559" s="29">
        <v>0.15</v>
      </c>
      <c r="J559" s="10" t="s">
        <v>45</v>
      </c>
      <c r="K559" s="10" t="s">
        <v>41</v>
      </c>
      <c r="L559" s="15" t="s">
        <v>101</v>
      </c>
    </row>
    <row r="560" spans="1:12" ht="15" customHeight="1">
      <c r="A560" s="14" t="s">
        <v>1151</v>
      </c>
      <c r="B560" s="10" t="s">
        <v>1149</v>
      </c>
      <c r="C560" s="20">
        <v>45746.041666666664</v>
      </c>
      <c r="D560" s="10" t="s">
        <v>927</v>
      </c>
      <c r="E560" s="10" t="s">
        <v>928</v>
      </c>
      <c r="F560" s="10" t="s">
        <v>150</v>
      </c>
      <c r="G560" s="23">
        <v>3</v>
      </c>
      <c r="H560" s="26">
        <v>263.04000000000002</v>
      </c>
      <c r="I560" s="29">
        <v>0</v>
      </c>
      <c r="J560" s="10" t="s">
        <v>40</v>
      </c>
      <c r="K560" s="10" t="s">
        <v>51</v>
      </c>
      <c r="L560" s="15" t="s">
        <v>101</v>
      </c>
    </row>
    <row r="561" spans="1:12" ht="15" customHeight="1">
      <c r="A561" s="14" t="s">
        <v>1152</v>
      </c>
      <c r="B561" s="10" t="s">
        <v>1149</v>
      </c>
      <c r="C561" s="20">
        <v>45746.041666666664</v>
      </c>
      <c r="D561" s="10" t="s">
        <v>927</v>
      </c>
      <c r="E561" s="10" t="s">
        <v>928</v>
      </c>
      <c r="F561" s="10" t="s">
        <v>180</v>
      </c>
      <c r="G561" s="23">
        <v>3</v>
      </c>
      <c r="H561" s="26">
        <v>91.75</v>
      </c>
      <c r="I561" s="29">
        <v>0.1</v>
      </c>
      <c r="J561" s="10" t="s">
        <v>66</v>
      </c>
      <c r="K561" s="10" t="s">
        <v>46</v>
      </c>
      <c r="L561" s="15" t="s">
        <v>42</v>
      </c>
    </row>
    <row r="562" spans="1:12" ht="15" customHeight="1">
      <c r="A562" s="14" t="s">
        <v>1153</v>
      </c>
      <c r="B562" s="10" t="s">
        <v>1154</v>
      </c>
      <c r="C562" s="20">
        <v>45768</v>
      </c>
      <c r="D562" s="10" t="s">
        <v>394</v>
      </c>
      <c r="E562" s="10" t="s">
        <v>395</v>
      </c>
      <c r="F562" s="10" t="s">
        <v>303</v>
      </c>
      <c r="G562" s="23">
        <v>3</v>
      </c>
      <c r="H562" s="26">
        <v>72.81</v>
      </c>
      <c r="I562" s="29">
        <v>0</v>
      </c>
      <c r="J562" s="10" t="s">
        <v>64</v>
      </c>
      <c r="K562" s="10" t="s">
        <v>41</v>
      </c>
      <c r="L562" s="15" t="s">
        <v>101</v>
      </c>
    </row>
    <row r="563" spans="1:12" ht="15" customHeight="1">
      <c r="A563" s="14" t="s">
        <v>1155</v>
      </c>
      <c r="B563" s="10" t="s">
        <v>1154</v>
      </c>
      <c r="C563" s="20">
        <v>45768</v>
      </c>
      <c r="D563" s="10" t="s">
        <v>394</v>
      </c>
      <c r="E563" s="10" t="s">
        <v>395</v>
      </c>
      <c r="F563" s="10" t="s">
        <v>49</v>
      </c>
      <c r="G563" s="23">
        <v>3</v>
      </c>
      <c r="H563" s="26">
        <v>300.16000000000003</v>
      </c>
      <c r="I563" s="29">
        <v>0</v>
      </c>
      <c r="J563" s="10" t="s">
        <v>50</v>
      </c>
      <c r="K563" s="10" t="s">
        <v>46</v>
      </c>
      <c r="L563" s="15" t="s">
        <v>47</v>
      </c>
    </row>
    <row r="564" spans="1:12" ht="15" customHeight="1">
      <c r="A564" s="14" t="s">
        <v>1156</v>
      </c>
      <c r="B564" s="10" t="s">
        <v>1157</v>
      </c>
      <c r="C564" s="20">
        <v>45825</v>
      </c>
      <c r="D564" s="10" t="s">
        <v>421</v>
      </c>
      <c r="E564" s="10" t="s">
        <v>422</v>
      </c>
      <c r="F564" s="10" t="s">
        <v>80</v>
      </c>
      <c r="G564" s="23">
        <v>2</v>
      </c>
      <c r="H564" s="26">
        <v>142.16</v>
      </c>
      <c r="I564" s="29">
        <v>0.1</v>
      </c>
      <c r="J564" s="10" t="s">
        <v>64</v>
      </c>
      <c r="K564" s="10" t="s">
        <v>41</v>
      </c>
      <c r="L564" s="15" t="s">
        <v>42</v>
      </c>
    </row>
    <row r="565" spans="1:12" ht="15" customHeight="1">
      <c r="A565" s="14" t="s">
        <v>1158</v>
      </c>
      <c r="B565" s="10" t="s">
        <v>1157</v>
      </c>
      <c r="C565" s="20">
        <v>45825</v>
      </c>
      <c r="D565" s="10" t="s">
        <v>421</v>
      </c>
      <c r="E565" s="10" t="s">
        <v>422</v>
      </c>
      <c r="F565" s="10" t="s">
        <v>121</v>
      </c>
      <c r="G565" s="23">
        <v>2</v>
      </c>
      <c r="H565" s="26">
        <v>287.16000000000003</v>
      </c>
      <c r="I565" s="29">
        <v>0</v>
      </c>
      <c r="J565" s="10" t="s">
        <v>70</v>
      </c>
      <c r="K565" s="10" t="s">
        <v>46</v>
      </c>
      <c r="L565" s="15" t="s">
        <v>67</v>
      </c>
    </row>
    <row r="566" spans="1:12" ht="15" customHeight="1">
      <c r="A566" s="14" t="s">
        <v>1159</v>
      </c>
      <c r="B566" s="10" t="s">
        <v>1157</v>
      </c>
      <c r="C566" s="20">
        <v>45825</v>
      </c>
      <c r="D566" s="10" t="s">
        <v>421</v>
      </c>
      <c r="E566" s="10" t="s">
        <v>422</v>
      </c>
      <c r="F566" s="10" t="s">
        <v>150</v>
      </c>
      <c r="G566" s="23">
        <v>3</v>
      </c>
      <c r="H566" s="26">
        <v>263.04000000000002</v>
      </c>
      <c r="I566" s="29">
        <v>0</v>
      </c>
      <c r="J566" s="10" t="s">
        <v>45</v>
      </c>
      <c r="K566" s="10" t="s">
        <v>46</v>
      </c>
      <c r="L566" s="15" t="s">
        <v>101</v>
      </c>
    </row>
    <row r="567" spans="1:12" ht="15" customHeight="1">
      <c r="A567" s="14" t="s">
        <v>1160</v>
      </c>
      <c r="B567" s="10" t="s">
        <v>1157</v>
      </c>
      <c r="C567" s="20">
        <v>45825</v>
      </c>
      <c r="D567" s="10" t="s">
        <v>421</v>
      </c>
      <c r="E567" s="10" t="s">
        <v>422</v>
      </c>
      <c r="F567" s="10" t="s">
        <v>270</v>
      </c>
      <c r="G567" s="23">
        <v>1</v>
      </c>
      <c r="H567" s="26">
        <v>214.38</v>
      </c>
      <c r="I567" s="29">
        <v>0</v>
      </c>
      <c r="J567" s="10" t="s">
        <v>66</v>
      </c>
      <c r="K567" s="10" t="s">
        <v>58</v>
      </c>
      <c r="L567" s="15" t="s">
        <v>47</v>
      </c>
    </row>
    <row r="568" spans="1:12" ht="15" customHeight="1">
      <c r="A568" s="14" t="s">
        <v>1161</v>
      </c>
      <c r="B568" s="10" t="s">
        <v>1162</v>
      </c>
      <c r="C568" s="20">
        <v>45682</v>
      </c>
      <c r="D568" s="10" t="s">
        <v>432</v>
      </c>
      <c r="E568" s="10" t="s">
        <v>433</v>
      </c>
      <c r="F568" s="10" t="s">
        <v>270</v>
      </c>
      <c r="G568" s="23">
        <v>2</v>
      </c>
      <c r="H568" s="26">
        <v>214.38</v>
      </c>
      <c r="I568" s="29">
        <v>0</v>
      </c>
      <c r="J568" s="10" t="s">
        <v>64</v>
      </c>
      <c r="K568" s="10" t="s">
        <v>98</v>
      </c>
      <c r="L568" s="15" t="s">
        <v>52</v>
      </c>
    </row>
    <row r="569" spans="1:12" ht="15" customHeight="1">
      <c r="A569" s="14" t="s">
        <v>1163</v>
      </c>
      <c r="B569" s="10" t="s">
        <v>1162</v>
      </c>
      <c r="C569" s="20">
        <v>45682</v>
      </c>
      <c r="D569" s="10" t="s">
        <v>432</v>
      </c>
      <c r="E569" s="10" t="s">
        <v>433</v>
      </c>
      <c r="F569" s="10" t="s">
        <v>468</v>
      </c>
      <c r="G569" s="23">
        <v>4</v>
      </c>
      <c r="H569" s="26">
        <v>160</v>
      </c>
      <c r="I569" s="29">
        <v>0.15</v>
      </c>
      <c r="J569" s="10" t="s">
        <v>40</v>
      </c>
      <c r="K569" s="10" t="s">
        <v>98</v>
      </c>
      <c r="L569" s="15" t="s">
        <v>101</v>
      </c>
    </row>
    <row r="570" spans="1:12" ht="15" customHeight="1">
      <c r="A570" s="14" t="s">
        <v>1164</v>
      </c>
      <c r="B570" s="10" t="s">
        <v>1162</v>
      </c>
      <c r="C570" s="20">
        <v>45682</v>
      </c>
      <c r="D570" s="10" t="s">
        <v>432</v>
      </c>
      <c r="E570" s="10" t="s">
        <v>433</v>
      </c>
      <c r="F570" s="10" t="s">
        <v>428</v>
      </c>
      <c r="G570" s="23">
        <v>4</v>
      </c>
      <c r="H570" s="26">
        <v>110.88</v>
      </c>
      <c r="I570" s="29">
        <v>0.15</v>
      </c>
      <c r="J570" s="10" t="s">
        <v>40</v>
      </c>
      <c r="K570" s="10" t="s">
        <v>98</v>
      </c>
      <c r="L570" s="15" t="s">
        <v>42</v>
      </c>
    </row>
    <row r="571" spans="1:12" ht="15" customHeight="1">
      <c r="A571" s="14" t="s">
        <v>1165</v>
      </c>
      <c r="B571" s="10" t="s">
        <v>1166</v>
      </c>
      <c r="C571" s="20">
        <v>45901</v>
      </c>
      <c r="D571" s="10" t="s">
        <v>382</v>
      </c>
      <c r="E571" s="10" t="s">
        <v>383</v>
      </c>
      <c r="F571" s="10" t="s">
        <v>69</v>
      </c>
      <c r="G571" s="23">
        <v>4</v>
      </c>
      <c r="H571" s="26">
        <v>75.75</v>
      </c>
      <c r="I571" s="29">
        <v>0.05</v>
      </c>
      <c r="J571" s="10" t="s">
        <v>40</v>
      </c>
      <c r="K571" s="10" t="s">
        <v>51</v>
      </c>
      <c r="L571" s="15" t="s">
        <v>101</v>
      </c>
    </row>
    <row r="572" spans="1:12" ht="15" customHeight="1">
      <c r="A572" s="14" t="s">
        <v>1167</v>
      </c>
      <c r="B572" s="10" t="s">
        <v>1168</v>
      </c>
      <c r="C572" s="20">
        <v>45887</v>
      </c>
      <c r="D572" s="10" t="s">
        <v>351</v>
      </c>
      <c r="E572" s="10" t="s">
        <v>352</v>
      </c>
      <c r="F572" s="10" t="s">
        <v>110</v>
      </c>
      <c r="G572" s="23">
        <v>4</v>
      </c>
      <c r="H572" s="26">
        <v>133.24</v>
      </c>
      <c r="I572" s="29">
        <v>0</v>
      </c>
      <c r="J572" s="10" t="s">
        <v>50</v>
      </c>
      <c r="K572" s="10" t="s">
        <v>98</v>
      </c>
      <c r="L572" s="15" t="s">
        <v>101</v>
      </c>
    </row>
    <row r="573" spans="1:12" ht="15" customHeight="1">
      <c r="A573" s="14" t="s">
        <v>1169</v>
      </c>
      <c r="B573" s="10" t="s">
        <v>1170</v>
      </c>
      <c r="C573" s="20">
        <v>45819</v>
      </c>
      <c r="D573" s="10" t="s">
        <v>866</v>
      </c>
      <c r="E573" s="10" t="s">
        <v>867</v>
      </c>
      <c r="F573" s="10" t="s">
        <v>196</v>
      </c>
      <c r="G573" s="23">
        <v>3</v>
      </c>
      <c r="H573" s="26">
        <v>183.73</v>
      </c>
      <c r="I573" s="29">
        <v>0.05</v>
      </c>
      <c r="J573" s="10" t="s">
        <v>64</v>
      </c>
      <c r="K573" s="10" t="s">
        <v>98</v>
      </c>
      <c r="L573" s="15" t="s">
        <v>67</v>
      </c>
    </row>
    <row r="574" spans="1:12" ht="15" customHeight="1">
      <c r="A574" s="14" t="s">
        <v>1171</v>
      </c>
      <c r="B574" s="10" t="s">
        <v>1170</v>
      </c>
      <c r="C574" s="20">
        <v>45819</v>
      </c>
      <c r="D574" s="10" t="s">
        <v>866</v>
      </c>
      <c r="E574" s="10" t="s">
        <v>867</v>
      </c>
      <c r="F574" s="10" t="s">
        <v>456</v>
      </c>
      <c r="G574" s="23">
        <v>3</v>
      </c>
      <c r="H574" s="26">
        <v>275.76</v>
      </c>
      <c r="I574" s="29">
        <v>0</v>
      </c>
      <c r="J574" s="10" t="s">
        <v>50</v>
      </c>
      <c r="K574" s="10" t="s">
        <v>51</v>
      </c>
      <c r="L574" s="15" t="s">
        <v>67</v>
      </c>
    </row>
    <row r="575" spans="1:12" ht="15" customHeight="1">
      <c r="A575" s="14" t="s">
        <v>1172</v>
      </c>
      <c r="B575" s="10" t="s">
        <v>1170</v>
      </c>
      <c r="C575" s="20">
        <v>45819</v>
      </c>
      <c r="D575" s="10" t="s">
        <v>866</v>
      </c>
      <c r="E575" s="10" t="s">
        <v>867</v>
      </c>
      <c r="F575" s="10" t="s">
        <v>279</v>
      </c>
      <c r="G575" s="23">
        <v>1</v>
      </c>
      <c r="H575" s="26">
        <v>52.79</v>
      </c>
      <c r="I575" s="29">
        <v>0.15</v>
      </c>
      <c r="J575" s="10" t="s">
        <v>70</v>
      </c>
      <c r="K575" s="10" t="s">
        <v>58</v>
      </c>
      <c r="L575" s="15" t="s">
        <v>42</v>
      </c>
    </row>
    <row r="576" spans="1:12" ht="15" customHeight="1">
      <c r="A576" s="14" t="s">
        <v>1173</v>
      </c>
      <c r="B576" s="10" t="s">
        <v>1170</v>
      </c>
      <c r="C576" s="20">
        <v>45819</v>
      </c>
      <c r="D576" s="10" t="s">
        <v>866</v>
      </c>
      <c r="E576" s="10" t="s">
        <v>867</v>
      </c>
      <c r="F576" s="10" t="s">
        <v>276</v>
      </c>
      <c r="G576" s="23">
        <v>4</v>
      </c>
      <c r="H576" s="26">
        <v>182.94</v>
      </c>
      <c r="I576" s="29">
        <v>0</v>
      </c>
      <c r="J576" s="10" t="s">
        <v>70</v>
      </c>
      <c r="K576" s="10" t="s">
        <v>58</v>
      </c>
      <c r="L576" s="15" t="s">
        <v>101</v>
      </c>
    </row>
    <row r="577" spans="1:12" ht="15" customHeight="1">
      <c r="A577" s="14" t="s">
        <v>1174</v>
      </c>
      <c r="B577" s="10" t="s">
        <v>1175</v>
      </c>
      <c r="C577" s="20">
        <v>45744.041666666664</v>
      </c>
      <c r="D577" s="10" t="s">
        <v>672</v>
      </c>
      <c r="E577" s="10" t="s">
        <v>673</v>
      </c>
      <c r="F577" s="10" t="s">
        <v>49</v>
      </c>
      <c r="G577" s="23">
        <v>4</v>
      </c>
      <c r="H577" s="26">
        <v>300.16000000000003</v>
      </c>
      <c r="I577" s="29">
        <v>0.15</v>
      </c>
      <c r="J577" s="10" t="s">
        <v>45</v>
      </c>
      <c r="K577" s="10"/>
      <c r="L577" s="15" t="s">
        <v>101</v>
      </c>
    </row>
    <row r="578" spans="1:12" ht="15" customHeight="1">
      <c r="A578" s="14" t="s">
        <v>1176</v>
      </c>
      <c r="B578" s="10" t="s">
        <v>1175</v>
      </c>
      <c r="C578" s="20">
        <v>45744.041666666664</v>
      </c>
      <c r="D578" s="10" t="s">
        <v>672</v>
      </c>
      <c r="E578" s="10" t="s">
        <v>673</v>
      </c>
      <c r="F578" s="10" t="s">
        <v>80</v>
      </c>
      <c r="G578" s="23">
        <v>4</v>
      </c>
      <c r="H578" s="26">
        <v>142.16</v>
      </c>
      <c r="I578" s="29">
        <v>0</v>
      </c>
      <c r="J578" s="10" t="s">
        <v>64</v>
      </c>
      <c r="K578" s="10" t="s">
        <v>98</v>
      </c>
      <c r="L578" s="15" t="s">
        <v>47</v>
      </c>
    </row>
    <row r="579" spans="1:12" ht="15" customHeight="1">
      <c r="A579" s="14" t="s">
        <v>1177</v>
      </c>
      <c r="B579" s="10" t="s">
        <v>1175</v>
      </c>
      <c r="C579" s="20">
        <v>45744.041666666664</v>
      </c>
      <c r="D579" s="10" t="s">
        <v>672</v>
      </c>
      <c r="E579" s="10" t="s">
        <v>673</v>
      </c>
      <c r="F579" s="10" t="s">
        <v>456</v>
      </c>
      <c r="G579" s="23">
        <v>3</v>
      </c>
      <c r="H579" s="26">
        <v>275.76</v>
      </c>
      <c r="I579" s="29">
        <v>0</v>
      </c>
      <c r="J579" s="10" t="s">
        <v>66</v>
      </c>
      <c r="K579" s="10"/>
      <c r="L579" s="15" t="s">
        <v>42</v>
      </c>
    </row>
    <row r="580" spans="1:12" ht="15" customHeight="1">
      <c r="A580" s="14" t="s">
        <v>1178</v>
      </c>
      <c r="B580" s="10" t="s">
        <v>1175</v>
      </c>
      <c r="C580" s="20">
        <v>45744.041666666664</v>
      </c>
      <c r="D580" s="10" t="s">
        <v>672</v>
      </c>
      <c r="E580" s="10" t="s">
        <v>673</v>
      </c>
      <c r="F580" s="10" t="s">
        <v>112</v>
      </c>
      <c r="G580" s="23">
        <v>1</v>
      </c>
      <c r="H580" s="26">
        <v>88.61</v>
      </c>
      <c r="I580" s="29">
        <v>0.1</v>
      </c>
      <c r="J580" s="10" t="s">
        <v>50</v>
      </c>
      <c r="K580" s="10" t="s">
        <v>58</v>
      </c>
      <c r="L580" s="15" t="s">
        <v>47</v>
      </c>
    </row>
    <row r="581" spans="1:12" ht="15" customHeight="1">
      <c r="A581" s="14" t="s">
        <v>1179</v>
      </c>
      <c r="B581" s="10" t="s">
        <v>1180</v>
      </c>
      <c r="C581" s="20">
        <v>45683</v>
      </c>
      <c r="D581" s="10" t="s">
        <v>1181</v>
      </c>
      <c r="E581" s="10" t="s">
        <v>1182</v>
      </c>
      <c r="F581" s="10" t="s">
        <v>112</v>
      </c>
      <c r="G581" s="23">
        <v>4</v>
      </c>
      <c r="H581" s="26">
        <v>88.61</v>
      </c>
      <c r="I581" s="29">
        <v>0.05</v>
      </c>
      <c r="J581" s="10" t="s">
        <v>45</v>
      </c>
      <c r="K581" s="10" t="s">
        <v>41</v>
      </c>
      <c r="L581" s="15" t="s">
        <v>101</v>
      </c>
    </row>
    <row r="582" spans="1:12" ht="15" customHeight="1">
      <c r="A582" s="14" t="s">
        <v>1183</v>
      </c>
      <c r="B582" s="10" t="s">
        <v>1180</v>
      </c>
      <c r="C582" s="20">
        <v>45683</v>
      </c>
      <c r="D582" s="10" t="s">
        <v>1181</v>
      </c>
      <c r="E582" s="10" t="s">
        <v>1182</v>
      </c>
      <c r="F582" s="10" t="s">
        <v>69</v>
      </c>
      <c r="G582" s="23">
        <v>3</v>
      </c>
      <c r="H582" s="26">
        <v>75.75</v>
      </c>
      <c r="I582" s="29">
        <v>0.1</v>
      </c>
      <c r="J582" s="10" t="s">
        <v>66</v>
      </c>
      <c r="K582" s="10" t="s">
        <v>46</v>
      </c>
      <c r="L582" s="15" t="s">
        <v>42</v>
      </c>
    </row>
    <row r="583" spans="1:12" ht="15" customHeight="1">
      <c r="A583" s="14" t="s">
        <v>1184</v>
      </c>
      <c r="B583" s="10" t="s">
        <v>1180</v>
      </c>
      <c r="C583" s="20">
        <v>45683</v>
      </c>
      <c r="D583" s="10" t="s">
        <v>1181</v>
      </c>
      <c r="E583" s="10" t="s">
        <v>1182</v>
      </c>
      <c r="F583" s="10" t="s">
        <v>495</v>
      </c>
      <c r="G583" s="23">
        <v>4</v>
      </c>
      <c r="H583" s="26">
        <v>207.71</v>
      </c>
      <c r="I583" s="29">
        <v>0</v>
      </c>
      <c r="J583" s="10" t="s">
        <v>50</v>
      </c>
      <c r="K583" s="10"/>
      <c r="L583" s="15" t="s">
        <v>42</v>
      </c>
    </row>
    <row r="584" spans="1:12" ht="15" customHeight="1">
      <c r="A584" s="14" t="s">
        <v>1185</v>
      </c>
      <c r="B584" s="10" t="s">
        <v>1186</v>
      </c>
      <c r="C584" s="20">
        <v>45811</v>
      </c>
      <c r="D584" s="10" t="s">
        <v>437</v>
      </c>
      <c r="E584" s="10" t="s">
        <v>438</v>
      </c>
      <c r="F584" s="10" t="s">
        <v>80</v>
      </c>
      <c r="G584" s="23">
        <v>2</v>
      </c>
      <c r="H584" s="26">
        <v>142.16</v>
      </c>
      <c r="I584" s="29">
        <v>0</v>
      </c>
      <c r="J584" s="10" t="s">
        <v>70</v>
      </c>
      <c r="K584" s="10" t="s">
        <v>41</v>
      </c>
      <c r="L584" s="15" t="s">
        <v>42</v>
      </c>
    </row>
    <row r="585" spans="1:12" ht="15" customHeight="1">
      <c r="A585" s="14" t="s">
        <v>1187</v>
      </c>
      <c r="B585" s="10" t="s">
        <v>1186</v>
      </c>
      <c r="C585" s="20">
        <v>45811</v>
      </c>
      <c r="D585" s="10" t="s">
        <v>437</v>
      </c>
      <c r="E585" s="10" t="s">
        <v>438</v>
      </c>
      <c r="F585" s="10" t="s">
        <v>108</v>
      </c>
      <c r="G585" s="23">
        <v>4</v>
      </c>
      <c r="H585" s="26">
        <v>33.369999999999997</v>
      </c>
      <c r="I585" s="29">
        <v>0</v>
      </c>
      <c r="J585" s="10" t="s">
        <v>66</v>
      </c>
      <c r="K585" s="10" t="s">
        <v>58</v>
      </c>
      <c r="L585" s="15" t="s">
        <v>47</v>
      </c>
    </row>
    <row r="586" spans="1:12" ht="15" customHeight="1">
      <c r="A586" s="14" t="s">
        <v>1188</v>
      </c>
      <c r="B586" s="10" t="s">
        <v>1189</v>
      </c>
      <c r="C586" s="20">
        <v>45924</v>
      </c>
      <c r="D586" s="10" t="s">
        <v>598</v>
      </c>
      <c r="E586" s="10" t="s">
        <v>599</v>
      </c>
      <c r="F586" s="10" t="s">
        <v>128</v>
      </c>
      <c r="G586" s="23">
        <v>4</v>
      </c>
      <c r="H586" s="26">
        <v>25.15</v>
      </c>
      <c r="I586" s="29">
        <v>0.15</v>
      </c>
      <c r="J586" s="10" t="s">
        <v>45</v>
      </c>
      <c r="K586" s="10" t="s">
        <v>41</v>
      </c>
      <c r="L586" s="15" t="s">
        <v>42</v>
      </c>
    </row>
    <row r="587" spans="1:12" ht="15" customHeight="1">
      <c r="A587" s="14" t="s">
        <v>1190</v>
      </c>
      <c r="B587" s="10" t="s">
        <v>1189</v>
      </c>
      <c r="C587" s="20">
        <v>45924</v>
      </c>
      <c r="D587" s="10" t="s">
        <v>598</v>
      </c>
      <c r="E587" s="10" t="s">
        <v>599</v>
      </c>
      <c r="F587" s="10" t="s">
        <v>130</v>
      </c>
      <c r="G587" s="23">
        <v>3</v>
      </c>
      <c r="H587" s="26">
        <v>265.73</v>
      </c>
      <c r="I587" s="29">
        <v>0.15</v>
      </c>
      <c r="J587" s="10" t="s">
        <v>66</v>
      </c>
      <c r="K587" s="10" t="s">
        <v>46</v>
      </c>
      <c r="L587" s="15" t="s">
        <v>101</v>
      </c>
    </row>
    <row r="588" spans="1:12" ht="15" customHeight="1">
      <c r="A588" s="14" t="s">
        <v>1191</v>
      </c>
      <c r="B588" s="10" t="s">
        <v>1189</v>
      </c>
      <c r="C588" s="20">
        <v>45924</v>
      </c>
      <c r="D588" s="10" t="s">
        <v>598</v>
      </c>
      <c r="E588" s="10" t="s">
        <v>599</v>
      </c>
      <c r="F588" s="10" t="s">
        <v>80</v>
      </c>
      <c r="G588" s="23">
        <v>4</v>
      </c>
      <c r="H588" s="26">
        <v>142.16</v>
      </c>
      <c r="I588" s="29">
        <v>0</v>
      </c>
      <c r="J588" s="10" t="s">
        <v>45</v>
      </c>
      <c r="K588" s="10" t="s">
        <v>46</v>
      </c>
      <c r="L588" s="15" t="s">
        <v>67</v>
      </c>
    </row>
    <row r="589" spans="1:12" ht="15" customHeight="1">
      <c r="A589" s="14" t="s">
        <v>1192</v>
      </c>
      <c r="B589" s="10" t="s">
        <v>1193</v>
      </c>
      <c r="C589" s="20">
        <v>45705</v>
      </c>
      <c r="D589" s="10" t="s">
        <v>927</v>
      </c>
      <c r="E589" s="10" t="s">
        <v>928</v>
      </c>
      <c r="F589" s="10" t="s">
        <v>72</v>
      </c>
      <c r="G589" s="23">
        <v>3</v>
      </c>
      <c r="H589" s="26">
        <v>210.2</v>
      </c>
      <c r="I589" s="29">
        <v>0.1</v>
      </c>
      <c r="J589" s="10" t="s">
        <v>64</v>
      </c>
      <c r="K589" s="10"/>
      <c r="L589" s="15" t="s">
        <v>67</v>
      </c>
    </row>
    <row r="590" spans="1:12" ht="15" customHeight="1">
      <c r="A590" s="14" t="s">
        <v>1194</v>
      </c>
      <c r="B590" s="10" t="s">
        <v>1193</v>
      </c>
      <c r="C590" s="20">
        <v>45705</v>
      </c>
      <c r="D590" s="10" t="s">
        <v>927</v>
      </c>
      <c r="E590" s="10" t="s">
        <v>928</v>
      </c>
      <c r="F590" s="10" t="s">
        <v>180</v>
      </c>
      <c r="G590" s="23">
        <v>3</v>
      </c>
      <c r="H590" s="26">
        <v>91.75</v>
      </c>
      <c r="I590" s="29">
        <v>0</v>
      </c>
      <c r="J590" s="10" t="s">
        <v>45</v>
      </c>
      <c r="K590" s="10" t="s">
        <v>51</v>
      </c>
      <c r="L590" s="15" t="s">
        <v>67</v>
      </c>
    </row>
    <row r="591" spans="1:12" ht="15" customHeight="1">
      <c r="A591" s="14" t="s">
        <v>1195</v>
      </c>
      <c r="B591" s="10" t="s">
        <v>1196</v>
      </c>
      <c r="C591" s="20">
        <v>46002</v>
      </c>
      <c r="D591" s="10" t="s">
        <v>1197</v>
      </c>
      <c r="E591" s="10" t="s">
        <v>1198</v>
      </c>
      <c r="F591" s="10" t="s">
        <v>303</v>
      </c>
      <c r="G591" s="23">
        <v>3</v>
      </c>
      <c r="H591" s="26">
        <v>72.81</v>
      </c>
      <c r="I591" s="29">
        <v>0.15</v>
      </c>
      <c r="J591" s="10" t="s">
        <v>66</v>
      </c>
      <c r="K591" s="10" t="s">
        <v>41</v>
      </c>
      <c r="L591" s="15" t="s">
        <v>67</v>
      </c>
    </row>
    <row r="592" spans="1:12" ht="15" customHeight="1">
      <c r="A592" s="14" t="s">
        <v>1199</v>
      </c>
      <c r="B592" s="10" t="s">
        <v>1196</v>
      </c>
      <c r="C592" s="20">
        <v>46002</v>
      </c>
      <c r="D592" s="10" t="s">
        <v>1197</v>
      </c>
      <c r="E592" s="10" t="s">
        <v>1198</v>
      </c>
      <c r="F592" s="10" t="s">
        <v>39</v>
      </c>
      <c r="G592" s="23">
        <v>2</v>
      </c>
      <c r="H592" s="26">
        <v>236.51</v>
      </c>
      <c r="I592" s="29">
        <v>0</v>
      </c>
      <c r="J592" s="10" t="s">
        <v>66</v>
      </c>
      <c r="K592" s="10" t="s">
        <v>58</v>
      </c>
      <c r="L592" s="15" t="s">
        <v>67</v>
      </c>
    </row>
    <row r="593" spans="1:12" ht="15" customHeight="1">
      <c r="A593" s="14" t="s">
        <v>1200</v>
      </c>
      <c r="B593" s="10" t="s">
        <v>1201</v>
      </c>
      <c r="C593" s="20">
        <v>45986</v>
      </c>
      <c r="D593" s="10" t="s">
        <v>672</v>
      </c>
      <c r="E593" s="10" t="s">
        <v>673</v>
      </c>
      <c r="F593" s="10" t="s">
        <v>456</v>
      </c>
      <c r="G593" s="23">
        <v>2</v>
      </c>
      <c r="H593" s="26">
        <v>275.76</v>
      </c>
      <c r="I593" s="29">
        <v>0.1</v>
      </c>
      <c r="J593" s="10" t="s">
        <v>66</v>
      </c>
      <c r="K593" s="10" t="s">
        <v>51</v>
      </c>
      <c r="L593" s="15" t="s">
        <v>67</v>
      </c>
    </row>
    <row r="594" spans="1:12" ht="15" customHeight="1">
      <c r="A594" s="14" t="s">
        <v>1202</v>
      </c>
      <c r="B594" s="10" t="s">
        <v>1201</v>
      </c>
      <c r="C594" s="20">
        <v>45986</v>
      </c>
      <c r="D594" s="10" t="s">
        <v>672</v>
      </c>
      <c r="E594" s="10" t="s">
        <v>673</v>
      </c>
      <c r="F594" s="10" t="s">
        <v>150</v>
      </c>
      <c r="G594" s="23">
        <v>1</v>
      </c>
      <c r="H594" s="26">
        <v>263.04000000000002</v>
      </c>
      <c r="I594" s="29">
        <v>0.15</v>
      </c>
      <c r="J594" s="10" t="s">
        <v>66</v>
      </c>
      <c r="K594" s="10" t="s">
        <v>51</v>
      </c>
      <c r="L594" s="15" t="s">
        <v>47</v>
      </c>
    </row>
    <row r="595" spans="1:12" ht="15" customHeight="1">
      <c r="A595" s="14" t="s">
        <v>1203</v>
      </c>
      <c r="B595" s="10" t="s">
        <v>1201</v>
      </c>
      <c r="C595" s="20">
        <v>45986</v>
      </c>
      <c r="D595" s="10" t="s">
        <v>672</v>
      </c>
      <c r="E595" s="10" t="s">
        <v>673</v>
      </c>
      <c r="F595" s="10" t="s">
        <v>180</v>
      </c>
      <c r="G595" s="23">
        <v>3</v>
      </c>
      <c r="H595" s="26">
        <v>91.75</v>
      </c>
      <c r="I595" s="29">
        <v>0.1</v>
      </c>
      <c r="J595" s="10" t="s">
        <v>45</v>
      </c>
      <c r="K595" s="10" t="s">
        <v>41</v>
      </c>
      <c r="L595" s="15" t="s">
        <v>52</v>
      </c>
    </row>
    <row r="596" spans="1:12" ht="15" customHeight="1">
      <c r="A596" s="14" t="s">
        <v>1204</v>
      </c>
      <c r="B596" s="10" t="s">
        <v>1201</v>
      </c>
      <c r="C596" s="20">
        <v>45986</v>
      </c>
      <c r="D596" s="10" t="s">
        <v>672</v>
      </c>
      <c r="E596" s="10" t="s">
        <v>673</v>
      </c>
      <c r="F596" s="10" t="s">
        <v>241</v>
      </c>
      <c r="G596" s="23">
        <v>4</v>
      </c>
      <c r="H596" s="26">
        <v>300.56</v>
      </c>
      <c r="I596" s="29">
        <v>0.15</v>
      </c>
      <c r="J596" s="10" t="s">
        <v>66</v>
      </c>
      <c r="K596" s="10" t="s">
        <v>41</v>
      </c>
      <c r="L596" s="15" t="s">
        <v>52</v>
      </c>
    </row>
    <row r="597" spans="1:12" ht="15" customHeight="1">
      <c r="A597" s="14" t="s">
        <v>1205</v>
      </c>
      <c r="B597" s="10" t="s">
        <v>1206</v>
      </c>
      <c r="C597" s="20">
        <v>45703</v>
      </c>
      <c r="D597" s="10" t="s">
        <v>340</v>
      </c>
      <c r="E597" s="10" t="s">
        <v>341</v>
      </c>
      <c r="F597" s="10" t="s">
        <v>495</v>
      </c>
      <c r="G597" s="23">
        <v>3</v>
      </c>
      <c r="H597" s="26">
        <v>207.71</v>
      </c>
      <c r="I597" s="29">
        <v>0.15</v>
      </c>
      <c r="J597" s="10" t="s">
        <v>40</v>
      </c>
      <c r="K597" s="10" t="s">
        <v>98</v>
      </c>
      <c r="L597" s="15" t="s">
        <v>42</v>
      </c>
    </row>
    <row r="598" spans="1:12" ht="15" customHeight="1">
      <c r="A598" s="14" t="s">
        <v>1207</v>
      </c>
      <c r="B598" s="10" t="s">
        <v>1206</v>
      </c>
      <c r="C598" s="20">
        <v>45703</v>
      </c>
      <c r="D598" s="10" t="s">
        <v>340</v>
      </c>
      <c r="E598" s="10" t="s">
        <v>341</v>
      </c>
      <c r="F598" s="10" t="s">
        <v>44</v>
      </c>
      <c r="G598" s="23">
        <v>4</v>
      </c>
      <c r="H598" s="26">
        <v>238.47</v>
      </c>
      <c r="I598" s="29">
        <v>0.1</v>
      </c>
      <c r="J598" s="10" t="s">
        <v>70</v>
      </c>
      <c r="K598" s="10" t="s">
        <v>46</v>
      </c>
      <c r="L598" s="15" t="s">
        <v>52</v>
      </c>
    </row>
    <row r="599" spans="1:12" ht="15" customHeight="1">
      <c r="A599" s="14" t="s">
        <v>1208</v>
      </c>
      <c r="B599" s="10" t="s">
        <v>1206</v>
      </c>
      <c r="C599" s="20">
        <v>45703</v>
      </c>
      <c r="D599" s="10" t="s">
        <v>340</v>
      </c>
      <c r="E599" s="10" t="s">
        <v>341</v>
      </c>
      <c r="F599" s="10" t="s">
        <v>784</v>
      </c>
      <c r="G599" s="23">
        <v>4</v>
      </c>
      <c r="H599" s="26">
        <v>96.33</v>
      </c>
      <c r="I599" s="29">
        <v>0</v>
      </c>
      <c r="J599" s="10" t="s">
        <v>40</v>
      </c>
      <c r="K599" s="10" t="s">
        <v>46</v>
      </c>
      <c r="L599" s="15" t="s">
        <v>52</v>
      </c>
    </row>
    <row r="600" spans="1:12" ht="15" customHeight="1">
      <c r="A600" s="14" t="s">
        <v>1209</v>
      </c>
      <c r="B600" s="10" t="s">
        <v>1210</v>
      </c>
      <c r="C600" s="20">
        <v>45687</v>
      </c>
      <c r="D600" s="10" t="s">
        <v>244</v>
      </c>
      <c r="E600" s="10" t="s">
        <v>245</v>
      </c>
      <c r="F600" s="10" t="s">
        <v>80</v>
      </c>
      <c r="G600" s="23">
        <v>1</v>
      </c>
      <c r="H600" s="26">
        <v>142.16</v>
      </c>
      <c r="I600" s="29">
        <v>0.05</v>
      </c>
      <c r="J600" s="10" t="s">
        <v>40</v>
      </c>
      <c r="K600" s="10" t="s">
        <v>51</v>
      </c>
      <c r="L600" s="15" t="s">
        <v>42</v>
      </c>
    </row>
    <row r="601" spans="1:12" ht="15" customHeight="1">
      <c r="A601" s="14" t="s">
        <v>1211</v>
      </c>
      <c r="B601" s="10" t="s">
        <v>1212</v>
      </c>
      <c r="C601" s="20">
        <v>45763</v>
      </c>
      <c r="D601" s="10" t="s">
        <v>910</v>
      </c>
      <c r="E601" s="10" t="s">
        <v>911</v>
      </c>
      <c r="F601" s="10" t="s">
        <v>428</v>
      </c>
      <c r="G601" s="23">
        <v>4</v>
      </c>
      <c r="H601" s="26">
        <v>110.88</v>
      </c>
      <c r="I601" s="29">
        <v>0.15</v>
      </c>
      <c r="J601" s="10" t="s">
        <v>45</v>
      </c>
      <c r="K601" s="10" t="s">
        <v>46</v>
      </c>
      <c r="L601" s="15" t="s">
        <v>52</v>
      </c>
    </row>
    <row r="602" spans="1:12" ht="15" customHeight="1">
      <c r="A602" s="14" t="s">
        <v>1213</v>
      </c>
      <c r="B602" s="10" t="s">
        <v>1212</v>
      </c>
      <c r="C602" s="20">
        <v>45763</v>
      </c>
      <c r="D602" s="10" t="s">
        <v>910</v>
      </c>
      <c r="E602" s="10" t="s">
        <v>911</v>
      </c>
      <c r="F602" s="10" t="s">
        <v>279</v>
      </c>
      <c r="G602" s="23">
        <v>2</v>
      </c>
      <c r="H602" s="26">
        <v>52.79</v>
      </c>
      <c r="I602" s="29">
        <v>0.1</v>
      </c>
      <c r="J602" s="10" t="s">
        <v>64</v>
      </c>
      <c r="K602" s="10" t="s">
        <v>41</v>
      </c>
      <c r="L602" s="15" t="s">
        <v>101</v>
      </c>
    </row>
    <row r="603" spans="1:12" ht="15" customHeight="1">
      <c r="A603" s="14" t="s">
        <v>1214</v>
      </c>
      <c r="B603" s="10" t="s">
        <v>1212</v>
      </c>
      <c r="C603" s="20">
        <v>45763</v>
      </c>
      <c r="D603" s="10" t="s">
        <v>910</v>
      </c>
      <c r="E603" s="10" t="s">
        <v>911</v>
      </c>
      <c r="F603" s="10" t="s">
        <v>180</v>
      </c>
      <c r="G603" s="23">
        <v>3</v>
      </c>
      <c r="H603" s="26">
        <v>91.75</v>
      </c>
      <c r="I603" s="29">
        <v>0.1</v>
      </c>
      <c r="J603" s="10" t="s">
        <v>50</v>
      </c>
      <c r="K603" s="10" t="s">
        <v>58</v>
      </c>
      <c r="L603" s="15" t="s">
        <v>101</v>
      </c>
    </row>
    <row r="604" spans="1:12" ht="15" customHeight="1">
      <c r="A604" s="14" t="s">
        <v>1215</v>
      </c>
      <c r="B604" s="10" t="s">
        <v>1212</v>
      </c>
      <c r="C604" s="20">
        <v>45763</v>
      </c>
      <c r="D604" s="10" t="s">
        <v>910</v>
      </c>
      <c r="E604" s="10" t="s">
        <v>911</v>
      </c>
      <c r="F604" s="10" t="s">
        <v>220</v>
      </c>
      <c r="G604" s="23">
        <v>4</v>
      </c>
      <c r="H604" s="26">
        <v>25.01</v>
      </c>
      <c r="I604" s="29">
        <v>0</v>
      </c>
      <c r="J604" s="10" t="s">
        <v>64</v>
      </c>
      <c r="K604" s="10" t="s">
        <v>41</v>
      </c>
      <c r="L604" s="15" t="s">
        <v>52</v>
      </c>
    </row>
    <row r="605" spans="1:12" ht="15" customHeight="1">
      <c r="A605" s="14" t="s">
        <v>1216</v>
      </c>
      <c r="B605" s="10" t="s">
        <v>1217</v>
      </c>
      <c r="C605" s="20">
        <v>45809</v>
      </c>
      <c r="D605" s="10" t="s">
        <v>548</v>
      </c>
      <c r="E605" s="10" t="s">
        <v>549</v>
      </c>
      <c r="F605" s="10" t="s">
        <v>130</v>
      </c>
      <c r="G605" s="23">
        <v>3</v>
      </c>
      <c r="H605" s="26">
        <v>265.73</v>
      </c>
      <c r="I605" s="29">
        <v>0</v>
      </c>
      <c r="J605" s="10" t="s">
        <v>40</v>
      </c>
      <c r="K605" s="10" t="s">
        <v>98</v>
      </c>
      <c r="L605" s="15" t="s">
        <v>52</v>
      </c>
    </row>
    <row r="606" spans="1:12" ht="15" customHeight="1">
      <c r="A606" s="14" t="s">
        <v>1218</v>
      </c>
      <c r="B606" s="10" t="s">
        <v>1217</v>
      </c>
      <c r="C606" s="20">
        <v>45809</v>
      </c>
      <c r="D606" s="10" t="s">
        <v>548</v>
      </c>
      <c r="E606" s="10" t="s">
        <v>549</v>
      </c>
      <c r="F606" s="10" t="s">
        <v>270</v>
      </c>
      <c r="G606" s="23">
        <v>3</v>
      </c>
      <c r="H606" s="26">
        <v>214.38</v>
      </c>
      <c r="I606" s="29">
        <v>0.15</v>
      </c>
      <c r="J606" s="10" t="s">
        <v>50</v>
      </c>
      <c r="K606" s="10" t="s">
        <v>41</v>
      </c>
      <c r="L606" s="15" t="s">
        <v>42</v>
      </c>
    </row>
    <row r="607" spans="1:12" ht="15" customHeight="1">
      <c r="A607" s="14" t="s">
        <v>1219</v>
      </c>
      <c r="B607" s="10" t="s">
        <v>1220</v>
      </c>
      <c r="C607" s="20">
        <v>45708</v>
      </c>
      <c r="D607" s="10" t="s">
        <v>890</v>
      </c>
      <c r="E607" s="10" t="s">
        <v>891</v>
      </c>
      <c r="F607" s="10" t="s">
        <v>150</v>
      </c>
      <c r="G607" s="23">
        <v>1</v>
      </c>
      <c r="H607" s="26">
        <v>263.04000000000002</v>
      </c>
      <c r="I607" s="29">
        <v>0.05</v>
      </c>
      <c r="J607" s="10" t="s">
        <v>50</v>
      </c>
      <c r="K607" s="10" t="s">
        <v>51</v>
      </c>
      <c r="L607" s="15" t="s">
        <v>42</v>
      </c>
    </row>
    <row r="608" spans="1:12" ht="15" customHeight="1">
      <c r="A608" s="14" t="s">
        <v>1221</v>
      </c>
      <c r="B608" s="10" t="s">
        <v>1220</v>
      </c>
      <c r="C608" s="20">
        <v>45708</v>
      </c>
      <c r="D608" s="10" t="s">
        <v>890</v>
      </c>
      <c r="E608" s="10" t="s">
        <v>891</v>
      </c>
      <c r="F608" s="10" t="s">
        <v>117</v>
      </c>
      <c r="G608" s="23">
        <v>1</v>
      </c>
      <c r="H608" s="26">
        <v>251.17</v>
      </c>
      <c r="I608" s="29">
        <v>0</v>
      </c>
      <c r="J608" s="10" t="s">
        <v>40</v>
      </c>
      <c r="K608" s="10" t="s">
        <v>58</v>
      </c>
      <c r="L608" s="15" t="s">
        <v>101</v>
      </c>
    </row>
    <row r="609" spans="1:12" ht="15" customHeight="1">
      <c r="A609" s="14" t="s">
        <v>1222</v>
      </c>
      <c r="B609" s="10" t="s">
        <v>1220</v>
      </c>
      <c r="C609" s="20">
        <v>45708</v>
      </c>
      <c r="D609" s="10" t="s">
        <v>890</v>
      </c>
      <c r="E609" s="10" t="s">
        <v>891</v>
      </c>
      <c r="F609" s="10" t="s">
        <v>106</v>
      </c>
      <c r="G609" s="23">
        <v>3</v>
      </c>
      <c r="H609" s="26">
        <v>195.38</v>
      </c>
      <c r="I609" s="29">
        <v>0.15</v>
      </c>
      <c r="J609" s="10" t="s">
        <v>64</v>
      </c>
      <c r="K609" s="10" t="s">
        <v>46</v>
      </c>
      <c r="L609" s="15" t="s">
        <v>101</v>
      </c>
    </row>
    <row r="610" spans="1:12" ht="15" customHeight="1">
      <c r="A610" s="14" t="s">
        <v>1223</v>
      </c>
      <c r="B610" s="10" t="s">
        <v>1220</v>
      </c>
      <c r="C610" s="20">
        <v>45708</v>
      </c>
      <c r="D610" s="10" t="s">
        <v>890</v>
      </c>
      <c r="E610" s="10" t="s">
        <v>891</v>
      </c>
      <c r="F610" s="10" t="s">
        <v>316</v>
      </c>
      <c r="G610" s="23">
        <v>3</v>
      </c>
      <c r="H610" s="26">
        <v>180.37</v>
      </c>
      <c r="I610" s="29">
        <v>0.1</v>
      </c>
      <c r="J610" s="10" t="s">
        <v>50</v>
      </c>
      <c r="K610" s="10"/>
      <c r="L610" s="15" t="s">
        <v>47</v>
      </c>
    </row>
    <row r="611" spans="1:12" ht="15" customHeight="1">
      <c r="A611" s="14" t="s">
        <v>1224</v>
      </c>
      <c r="B611" s="10" t="s">
        <v>1225</v>
      </c>
      <c r="C611" s="20">
        <v>45856</v>
      </c>
      <c r="D611" s="10" t="s">
        <v>224</v>
      </c>
      <c r="E611" s="10" t="s">
        <v>225</v>
      </c>
      <c r="F611" s="10" t="s">
        <v>136</v>
      </c>
      <c r="G611" s="23">
        <v>3</v>
      </c>
      <c r="H611" s="26">
        <v>141.46</v>
      </c>
      <c r="I611" s="29">
        <v>0</v>
      </c>
      <c r="J611" s="10" t="s">
        <v>45</v>
      </c>
      <c r="K611" s="10"/>
      <c r="L611" s="15" t="s">
        <v>47</v>
      </c>
    </row>
    <row r="612" spans="1:12" ht="15" customHeight="1">
      <c r="A612" s="14" t="s">
        <v>1226</v>
      </c>
      <c r="B612" s="10" t="s">
        <v>1227</v>
      </c>
      <c r="C612" s="20">
        <v>45910</v>
      </c>
      <c r="D612" s="10" t="s">
        <v>274</v>
      </c>
      <c r="E612" s="10" t="s">
        <v>275</v>
      </c>
      <c r="F612" s="10" t="s">
        <v>49</v>
      </c>
      <c r="G612" s="23">
        <v>2</v>
      </c>
      <c r="H612" s="26">
        <v>300.16000000000003</v>
      </c>
      <c r="I612" s="29">
        <v>0.15</v>
      </c>
      <c r="J612" s="10" t="s">
        <v>70</v>
      </c>
      <c r="K612" s="10" t="s">
        <v>51</v>
      </c>
      <c r="L612" s="15" t="s">
        <v>47</v>
      </c>
    </row>
    <row r="613" spans="1:12" ht="15" customHeight="1">
      <c r="A613" s="14" t="s">
        <v>1228</v>
      </c>
      <c r="B613" s="10" t="s">
        <v>1229</v>
      </c>
      <c r="C613" s="20">
        <v>45684</v>
      </c>
      <c r="D613" s="10" t="s">
        <v>335</v>
      </c>
      <c r="E613" s="10" t="s">
        <v>336</v>
      </c>
      <c r="F613" s="10" t="s">
        <v>238</v>
      </c>
      <c r="G613" s="23">
        <v>1</v>
      </c>
      <c r="H613" s="26">
        <v>82.77</v>
      </c>
      <c r="I613" s="29">
        <v>0.05</v>
      </c>
      <c r="J613" s="10" t="s">
        <v>66</v>
      </c>
      <c r="K613" s="10" t="s">
        <v>51</v>
      </c>
      <c r="L613" s="15" t="s">
        <v>42</v>
      </c>
    </row>
    <row r="614" spans="1:12" ht="15" customHeight="1">
      <c r="A614" s="14" t="s">
        <v>1230</v>
      </c>
      <c r="B614" s="10" t="s">
        <v>1229</v>
      </c>
      <c r="C614" s="20">
        <v>45684</v>
      </c>
      <c r="D614" s="10" t="s">
        <v>335</v>
      </c>
      <c r="E614" s="10" t="s">
        <v>336</v>
      </c>
      <c r="F614" s="10" t="s">
        <v>204</v>
      </c>
      <c r="G614" s="23">
        <v>1</v>
      </c>
      <c r="H614" s="26">
        <v>244.25</v>
      </c>
      <c r="I614" s="29">
        <v>0.15</v>
      </c>
      <c r="J614" s="10" t="s">
        <v>70</v>
      </c>
      <c r="K614" s="10" t="s">
        <v>51</v>
      </c>
      <c r="L614" s="15" t="s">
        <v>67</v>
      </c>
    </row>
    <row r="615" spans="1:12" ht="15" customHeight="1">
      <c r="A615" s="14" t="s">
        <v>1231</v>
      </c>
      <c r="B615" s="10" t="s">
        <v>1229</v>
      </c>
      <c r="C615" s="20">
        <v>45684</v>
      </c>
      <c r="D615" s="10" t="s">
        <v>335</v>
      </c>
      <c r="E615" s="10" t="s">
        <v>336</v>
      </c>
      <c r="F615" s="10" t="s">
        <v>150</v>
      </c>
      <c r="G615" s="23">
        <v>2</v>
      </c>
      <c r="H615" s="26">
        <v>263.04000000000002</v>
      </c>
      <c r="I615" s="29">
        <v>0.1</v>
      </c>
      <c r="J615" s="10" t="s">
        <v>70</v>
      </c>
      <c r="K615" s="10" t="s">
        <v>98</v>
      </c>
      <c r="L615" s="15" t="s">
        <v>42</v>
      </c>
    </row>
    <row r="616" spans="1:12" ht="15" customHeight="1">
      <c r="A616" s="14" t="s">
        <v>1232</v>
      </c>
      <c r="B616" s="10" t="s">
        <v>1229</v>
      </c>
      <c r="C616" s="20">
        <v>45684</v>
      </c>
      <c r="D616" s="10" t="s">
        <v>335</v>
      </c>
      <c r="E616" s="10" t="s">
        <v>336</v>
      </c>
      <c r="F616" s="10" t="s">
        <v>316</v>
      </c>
      <c r="G616" s="23">
        <v>4</v>
      </c>
      <c r="H616" s="26">
        <v>180.37</v>
      </c>
      <c r="I616" s="29">
        <v>0.15</v>
      </c>
      <c r="J616" s="10" t="s">
        <v>64</v>
      </c>
      <c r="K616" s="10" t="s">
        <v>41</v>
      </c>
      <c r="L616" s="15" t="s">
        <v>42</v>
      </c>
    </row>
    <row r="617" spans="1:12" ht="15" customHeight="1">
      <c r="A617" s="14" t="s">
        <v>1233</v>
      </c>
      <c r="B617" s="10" t="s">
        <v>1234</v>
      </c>
      <c r="C617" s="20">
        <v>45860</v>
      </c>
      <c r="D617" s="10" t="s">
        <v>358</v>
      </c>
      <c r="E617" s="10" t="s">
        <v>359</v>
      </c>
      <c r="F617" s="10" t="s">
        <v>428</v>
      </c>
      <c r="G617" s="23">
        <v>4</v>
      </c>
      <c r="H617" s="26">
        <v>110.88</v>
      </c>
      <c r="I617" s="29">
        <v>0.05</v>
      </c>
      <c r="J617" s="10" t="s">
        <v>45</v>
      </c>
      <c r="K617" s="10" t="s">
        <v>51</v>
      </c>
      <c r="L617" s="15" t="s">
        <v>52</v>
      </c>
    </row>
    <row r="618" spans="1:12" ht="15" customHeight="1">
      <c r="A618" s="14" t="s">
        <v>1235</v>
      </c>
      <c r="B618" s="10" t="s">
        <v>1234</v>
      </c>
      <c r="C618" s="20">
        <v>45860</v>
      </c>
      <c r="D618" s="10" t="s">
        <v>358</v>
      </c>
      <c r="E618" s="10" t="s">
        <v>359</v>
      </c>
      <c r="F618" s="10" t="s">
        <v>63</v>
      </c>
      <c r="G618" s="23">
        <v>1</v>
      </c>
      <c r="H618" s="26">
        <v>105.38</v>
      </c>
      <c r="I618" s="29">
        <v>0.1</v>
      </c>
      <c r="J618" s="10" t="s">
        <v>50</v>
      </c>
      <c r="K618" s="10" t="s">
        <v>41</v>
      </c>
      <c r="L618" s="15" t="s">
        <v>67</v>
      </c>
    </row>
    <row r="619" spans="1:12" ht="15" customHeight="1">
      <c r="A619" s="14" t="s">
        <v>1236</v>
      </c>
      <c r="B619" s="10" t="s">
        <v>1234</v>
      </c>
      <c r="C619" s="20">
        <v>45860</v>
      </c>
      <c r="D619" s="10" t="s">
        <v>358</v>
      </c>
      <c r="E619" s="10" t="s">
        <v>359</v>
      </c>
      <c r="F619" s="10" t="s">
        <v>204</v>
      </c>
      <c r="G619" s="23">
        <v>1</v>
      </c>
      <c r="H619" s="26">
        <v>244.25</v>
      </c>
      <c r="I619" s="29">
        <v>0</v>
      </c>
      <c r="J619" s="10" t="s">
        <v>70</v>
      </c>
      <c r="K619" s="10"/>
      <c r="L619" s="15" t="s">
        <v>47</v>
      </c>
    </row>
    <row r="620" spans="1:12" ht="15" customHeight="1">
      <c r="A620" s="14" t="s">
        <v>1237</v>
      </c>
      <c r="B620" s="10" t="s">
        <v>1234</v>
      </c>
      <c r="C620" s="20">
        <v>45860</v>
      </c>
      <c r="D620" s="10" t="s">
        <v>358</v>
      </c>
      <c r="E620" s="10" t="s">
        <v>359</v>
      </c>
      <c r="F620" s="10" t="s">
        <v>72</v>
      </c>
      <c r="G620" s="23">
        <v>1</v>
      </c>
      <c r="H620" s="26">
        <v>210.2</v>
      </c>
      <c r="I620" s="29">
        <v>0.05</v>
      </c>
      <c r="J620" s="10" t="s">
        <v>45</v>
      </c>
      <c r="K620" s="10" t="s">
        <v>58</v>
      </c>
      <c r="L620" s="15" t="s">
        <v>67</v>
      </c>
    </row>
    <row r="621" spans="1:12" ht="15" customHeight="1">
      <c r="A621" s="14" t="s">
        <v>1238</v>
      </c>
      <c r="B621" s="10" t="s">
        <v>1239</v>
      </c>
      <c r="C621" s="20">
        <v>45714.041666666664</v>
      </c>
      <c r="D621" s="10" t="s">
        <v>954</v>
      </c>
      <c r="E621" s="10" t="s">
        <v>955</v>
      </c>
      <c r="F621" s="10" t="s">
        <v>57</v>
      </c>
      <c r="G621" s="23">
        <v>3</v>
      </c>
      <c r="H621" s="26">
        <v>208.81</v>
      </c>
      <c r="I621" s="29">
        <v>0</v>
      </c>
      <c r="J621" s="10" t="s">
        <v>45</v>
      </c>
      <c r="K621" s="10" t="s">
        <v>41</v>
      </c>
      <c r="L621" s="15" t="s">
        <v>67</v>
      </c>
    </row>
    <row r="622" spans="1:12" ht="15" customHeight="1">
      <c r="A622" s="14" t="s">
        <v>1240</v>
      </c>
      <c r="B622" s="10" t="s">
        <v>1241</v>
      </c>
      <c r="C622" s="20">
        <v>45920</v>
      </c>
      <c r="D622" s="10" t="s">
        <v>680</v>
      </c>
      <c r="E622" s="10" t="s">
        <v>681</v>
      </c>
      <c r="F622" s="10" t="s">
        <v>110</v>
      </c>
      <c r="G622" s="23">
        <v>3</v>
      </c>
      <c r="H622" s="26">
        <v>133.24</v>
      </c>
      <c r="I622" s="29">
        <v>0</v>
      </c>
      <c r="J622" s="10" t="s">
        <v>64</v>
      </c>
      <c r="K622" s="10" t="s">
        <v>41</v>
      </c>
      <c r="L622" s="15" t="s">
        <v>42</v>
      </c>
    </row>
    <row r="623" spans="1:12" ht="15" customHeight="1">
      <c r="A623" s="14" t="s">
        <v>1242</v>
      </c>
      <c r="B623" s="10" t="s">
        <v>1243</v>
      </c>
      <c r="C623" s="20">
        <v>45965</v>
      </c>
      <c r="D623" s="10" t="s">
        <v>895</v>
      </c>
      <c r="E623" s="10" t="s">
        <v>896</v>
      </c>
      <c r="F623" s="10" t="s">
        <v>57</v>
      </c>
      <c r="G623" s="23">
        <v>2</v>
      </c>
      <c r="H623" s="26">
        <v>208.81</v>
      </c>
      <c r="I623" s="29">
        <v>0</v>
      </c>
      <c r="J623" s="10" t="s">
        <v>70</v>
      </c>
      <c r="K623" s="10" t="s">
        <v>58</v>
      </c>
      <c r="L623" s="15" t="s">
        <v>42</v>
      </c>
    </row>
    <row r="624" spans="1:12" ht="15" customHeight="1">
      <c r="A624" s="14" t="s">
        <v>1244</v>
      </c>
      <c r="B624" s="10" t="s">
        <v>1243</v>
      </c>
      <c r="C624" s="20">
        <v>45965</v>
      </c>
      <c r="D624" s="10" t="s">
        <v>895</v>
      </c>
      <c r="E624" s="10" t="s">
        <v>896</v>
      </c>
      <c r="F624" s="10" t="s">
        <v>121</v>
      </c>
      <c r="G624" s="23">
        <v>3</v>
      </c>
      <c r="H624" s="26">
        <v>287.16000000000003</v>
      </c>
      <c r="I624" s="29">
        <v>0</v>
      </c>
      <c r="J624" s="10" t="s">
        <v>50</v>
      </c>
      <c r="K624" s="10" t="s">
        <v>98</v>
      </c>
      <c r="L624" s="15" t="s">
        <v>52</v>
      </c>
    </row>
    <row r="625" spans="1:12" ht="15" customHeight="1">
      <c r="A625" s="14" t="s">
        <v>1245</v>
      </c>
      <c r="B625" s="10" t="s">
        <v>1246</v>
      </c>
      <c r="C625" s="20">
        <v>45996</v>
      </c>
      <c r="D625" s="10" t="s">
        <v>1247</v>
      </c>
      <c r="E625" s="10" t="s">
        <v>1248</v>
      </c>
      <c r="F625" s="10" t="s">
        <v>152</v>
      </c>
      <c r="G625" s="23">
        <v>4</v>
      </c>
      <c r="H625" s="26">
        <v>234.37</v>
      </c>
      <c r="I625" s="29">
        <v>0</v>
      </c>
      <c r="J625" s="10" t="s">
        <v>50</v>
      </c>
      <c r="K625" s="10" t="s">
        <v>98</v>
      </c>
      <c r="L625" s="15" t="s">
        <v>42</v>
      </c>
    </row>
    <row r="626" spans="1:12" ht="15" customHeight="1">
      <c r="A626" s="14" t="s">
        <v>1249</v>
      </c>
      <c r="B626" s="10" t="s">
        <v>1246</v>
      </c>
      <c r="C626" s="20">
        <v>45996</v>
      </c>
      <c r="D626" s="10" t="s">
        <v>1247</v>
      </c>
      <c r="E626" s="10" t="s">
        <v>1248</v>
      </c>
      <c r="F626" s="10" t="s">
        <v>468</v>
      </c>
      <c r="G626" s="23">
        <v>4</v>
      </c>
      <c r="H626" s="26">
        <v>160</v>
      </c>
      <c r="I626" s="29">
        <v>0.05</v>
      </c>
      <c r="J626" s="10" t="s">
        <v>64</v>
      </c>
      <c r="K626" s="10"/>
      <c r="L626" s="15" t="s">
        <v>101</v>
      </c>
    </row>
    <row r="627" spans="1:12" ht="15" customHeight="1">
      <c r="A627" s="14" t="s">
        <v>1250</v>
      </c>
      <c r="B627" s="10" t="s">
        <v>1246</v>
      </c>
      <c r="C627" s="20">
        <v>45996</v>
      </c>
      <c r="D627" s="10" t="s">
        <v>1247</v>
      </c>
      <c r="E627" s="10" t="s">
        <v>1248</v>
      </c>
      <c r="F627" s="10" t="s">
        <v>49</v>
      </c>
      <c r="G627" s="23">
        <v>3</v>
      </c>
      <c r="H627" s="26">
        <v>300.16000000000003</v>
      </c>
      <c r="I627" s="29">
        <v>0.05</v>
      </c>
      <c r="J627" s="10" t="s">
        <v>64</v>
      </c>
      <c r="K627" s="10" t="s">
        <v>46</v>
      </c>
      <c r="L627" s="15" t="s">
        <v>52</v>
      </c>
    </row>
    <row r="628" spans="1:12" ht="15" customHeight="1">
      <c r="A628" s="14" t="s">
        <v>1251</v>
      </c>
      <c r="B628" s="10" t="s">
        <v>1246</v>
      </c>
      <c r="C628" s="20">
        <v>45996</v>
      </c>
      <c r="D628" s="10" t="s">
        <v>1247</v>
      </c>
      <c r="E628" s="10" t="s">
        <v>1248</v>
      </c>
      <c r="F628" s="10" t="s">
        <v>39</v>
      </c>
      <c r="G628" s="23">
        <v>1</v>
      </c>
      <c r="H628" s="26">
        <v>236.51</v>
      </c>
      <c r="I628" s="29">
        <v>0</v>
      </c>
      <c r="J628" s="10" t="s">
        <v>40</v>
      </c>
      <c r="K628" s="10"/>
      <c r="L628" s="15" t="s">
        <v>42</v>
      </c>
    </row>
    <row r="629" spans="1:12" ht="15" customHeight="1">
      <c r="A629" s="14" t="s">
        <v>1252</v>
      </c>
      <c r="B629" s="10" t="s">
        <v>1253</v>
      </c>
      <c r="C629" s="20">
        <v>45972</v>
      </c>
      <c r="D629" s="10" t="s">
        <v>1254</v>
      </c>
      <c r="E629" s="10" t="s">
        <v>1255</v>
      </c>
      <c r="F629" s="10" t="s">
        <v>150</v>
      </c>
      <c r="G629" s="23">
        <v>3</v>
      </c>
      <c r="H629" s="26">
        <v>263.04000000000002</v>
      </c>
      <c r="I629" s="29">
        <v>0.05</v>
      </c>
      <c r="J629" s="10" t="s">
        <v>66</v>
      </c>
      <c r="K629" s="10"/>
      <c r="L629" s="15" t="s">
        <v>47</v>
      </c>
    </row>
    <row r="630" spans="1:12" ht="15" customHeight="1">
      <c r="A630" s="14" t="s">
        <v>1256</v>
      </c>
      <c r="B630" s="10" t="s">
        <v>1253</v>
      </c>
      <c r="C630" s="20">
        <v>45972</v>
      </c>
      <c r="D630" s="10" t="s">
        <v>1254</v>
      </c>
      <c r="E630" s="10" t="s">
        <v>1255</v>
      </c>
      <c r="F630" s="10" t="s">
        <v>316</v>
      </c>
      <c r="G630" s="23">
        <v>3</v>
      </c>
      <c r="H630" s="26">
        <v>180.37</v>
      </c>
      <c r="I630" s="29">
        <v>0</v>
      </c>
      <c r="J630" s="10" t="s">
        <v>50</v>
      </c>
      <c r="K630" s="10" t="s">
        <v>46</v>
      </c>
      <c r="L630" s="15" t="s">
        <v>47</v>
      </c>
    </row>
    <row r="631" spans="1:12" ht="15" customHeight="1">
      <c r="A631" s="14" t="s">
        <v>1257</v>
      </c>
      <c r="B631" s="10" t="s">
        <v>1253</v>
      </c>
      <c r="C631" s="20">
        <v>45972</v>
      </c>
      <c r="D631" s="10" t="s">
        <v>1254</v>
      </c>
      <c r="E631" s="10" t="s">
        <v>1255</v>
      </c>
      <c r="F631" s="10" t="s">
        <v>100</v>
      </c>
      <c r="G631" s="23">
        <v>2</v>
      </c>
      <c r="H631" s="26">
        <v>42.72</v>
      </c>
      <c r="I631" s="29">
        <v>0.15</v>
      </c>
      <c r="J631" s="10" t="s">
        <v>70</v>
      </c>
      <c r="K631" s="10" t="s">
        <v>41</v>
      </c>
      <c r="L631" s="15" t="s">
        <v>52</v>
      </c>
    </row>
    <row r="632" spans="1:12" ht="15" customHeight="1">
      <c r="A632" s="14" t="s">
        <v>1258</v>
      </c>
      <c r="B632" s="10" t="s">
        <v>1259</v>
      </c>
      <c r="C632" s="20">
        <v>45894</v>
      </c>
      <c r="D632" s="10" t="s">
        <v>382</v>
      </c>
      <c r="E632" s="10" t="s">
        <v>383</v>
      </c>
      <c r="F632" s="10" t="s">
        <v>180</v>
      </c>
      <c r="G632" s="23">
        <v>1</v>
      </c>
      <c r="H632" s="26">
        <v>91.75</v>
      </c>
      <c r="I632" s="29">
        <v>0.05</v>
      </c>
      <c r="J632" s="10" t="s">
        <v>45</v>
      </c>
      <c r="K632" s="10" t="s">
        <v>46</v>
      </c>
      <c r="L632" s="15" t="s">
        <v>67</v>
      </c>
    </row>
    <row r="633" spans="1:12" ht="15" customHeight="1">
      <c r="A633" s="14" t="s">
        <v>1260</v>
      </c>
      <c r="B633" s="10" t="s">
        <v>1259</v>
      </c>
      <c r="C633" s="20">
        <v>45894</v>
      </c>
      <c r="D633" s="10" t="s">
        <v>382</v>
      </c>
      <c r="E633" s="10" t="s">
        <v>383</v>
      </c>
      <c r="F633" s="10" t="s">
        <v>152</v>
      </c>
      <c r="G633" s="23">
        <v>1</v>
      </c>
      <c r="H633" s="26">
        <v>234.37</v>
      </c>
      <c r="I633" s="29">
        <v>0.15</v>
      </c>
      <c r="J633" s="10" t="s">
        <v>50</v>
      </c>
      <c r="K633" s="10" t="s">
        <v>58</v>
      </c>
      <c r="L633" s="15" t="s">
        <v>42</v>
      </c>
    </row>
    <row r="634" spans="1:12" ht="15" customHeight="1">
      <c r="A634" s="14" t="s">
        <v>1261</v>
      </c>
      <c r="B634" s="10" t="s">
        <v>1259</v>
      </c>
      <c r="C634" s="20">
        <v>45894</v>
      </c>
      <c r="D634" s="10" t="s">
        <v>382</v>
      </c>
      <c r="E634" s="10" t="s">
        <v>383</v>
      </c>
      <c r="F634" s="10" t="s">
        <v>49</v>
      </c>
      <c r="G634" s="23">
        <v>2</v>
      </c>
      <c r="H634" s="26">
        <v>300.16000000000003</v>
      </c>
      <c r="I634" s="29">
        <v>0.05</v>
      </c>
      <c r="J634" s="10" t="s">
        <v>64</v>
      </c>
      <c r="K634" s="10" t="s">
        <v>41</v>
      </c>
      <c r="L634" s="15" t="s">
        <v>67</v>
      </c>
    </row>
    <row r="635" spans="1:12" ht="15" customHeight="1">
      <c r="A635" s="14" t="s">
        <v>1262</v>
      </c>
      <c r="B635" s="10" t="s">
        <v>1263</v>
      </c>
      <c r="C635" s="20">
        <v>45921</v>
      </c>
      <c r="D635" s="10" t="s">
        <v>218</v>
      </c>
      <c r="E635" s="10" t="s">
        <v>219</v>
      </c>
      <c r="F635" s="10" t="s">
        <v>196</v>
      </c>
      <c r="G635" s="23">
        <v>1</v>
      </c>
      <c r="H635" s="26">
        <v>183.73</v>
      </c>
      <c r="I635" s="29">
        <v>0</v>
      </c>
      <c r="J635" s="10" t="s">
        <v>66</v>
      </c>
      <c r="K635" s="10" t="s">
        <v>51</v>
      </c>
      <c r="L635" s="15" t="s">
        <v>101</v>
      </c>
    </row>
    <row r="636" spans="1:12" ht="15" customHeight="1">
      <c r="A636" s="14" t="s">
        <v>1264</v>
      </c>
      <c r="B636" s="10" t="s">
        <v>1263</v>
      </c>
      <c r="C636" s="20">
        <v>45921</v>
      </c>
      <c r="D636" s="10" t="s">
        <v>218</v>
      </c>
      <c r="E636" s="10" t="s">
        <v>219</v>
      </c>
      <c r="F636" s="10" t="s">
        <v>332</v>
      </c>
      <c r="G636" s="23">
        <v>4</v>
      </c>
      <c r="H636" s="26">
        <v>273.89</v>
      </c>
      <c r="I636" s="29">
        <v>0.05</v>
      </c>
      <c r="J636" s="10" t="s">
        <v>45</v>
      </c>
      <c r="K636" s="10"/>
      <c r="L636" s="15" t="s">
        <v>47</v>
      </c>
    </row>
    <row r="637" spans="1:12" ht="15" customHeight="1">
      <c r="A637" s="14" t="s">
        <v>1265</v>
      </c>
      <c r="B637" s="10" t="s">
        <v>1263</v>
      </c>
      <c r="C637" s="20">
        <v>45921</v>
      </c>
      <c r="D637" s="10" t="s">
        <v>218</v>
      </c>
      <c r="E637" s="10" t="s">
        <v>219</v>
      </c>
      <c r="F637" s="10" t="s">
        <v>316</v>
      </c>
      <c r="G637" s="23">
        <v>3</v>
      </c>
      <c r="H637" s="26">
        <v>180.37</v>
      </c>
      <c r="I637" s="29">
        <v>0.1</v>
      </c>
      <c r="J637" s="10" t="s">
        <v>64</v>
      </c>
      <c r="K637" s="10" t="s">
        <v>58</v>
      </c>
      <c r="L637" s="15" t="s">
        <v>52</v>
      </c>
    </row>
    <row r="638" spans="1:12" ht="15" customHeight="1">
      <c r="A638" s="14" t="s">
        <v>1266</v>
      </c>
      <c r="B638" s="10" t="s">
        <v>1263</v>
      </c>
      <c r="C638" s="20">
        <v>45921</v>
      </c>
      <c r="D638" s="10" t="s">
        <v>218</v>
      </c>
      <c r="E638" s="10" t="s">
        <v>219</v>
      </c>
      <c r="F638" s="10" t="s">
        <v>80</v>
      </c>
      <c r="G638" s="23">
        <v>4</v>
      </c>
      <c r="H638" s="26">
        <v>142.16</v>
      </c>
      <c r="I638" s="29">
        <v>0.15</v>
      </c>
      <c r="J638" s="10" t="s">
        <v>70</v>
      </c>
      <c r="K638" s="10" t="s">
        <v>98</v>
      </c>
      <c r="L638" s="15" t="s">
        <v>52</v>
      </c>
    </row>
    <row r="639" spans="1:12" ht="15" customHeight="1">
      <c r="A639" s="14" t="s">
        <v>1267</v>
      </c>
      <c r="B639" s="10" t="s">
        <v>1268</v>
      </c>
      <c r="C639" s="20">
        <v>45793</v>
      </c>
      <c r="D639" s="10" t="s">
        <v>290</v>
      </c>
      <c r="E639" s="10" t="s">
        <v>291</v>
      </c>
      <c r="F639" s="10" t="s">
        <v>150</v>
      </c>
      <c r="G639" s="23">
        <v>2</v>
      </c>
      <c r="H639" s="26">
        <v>263.04000000000002</v>
      </c>
      <c r="I639" s="29">
        <v>0.1</v>
      </c>
      <c r="J639" s="10" t="s">
        <v>40</v>
      </c>
      <c r="K639" s="10" t="s">
        <v>98</v>
      </c>
      <c r="L639" s="15" t="s">
        <v>52</v>
      </c>
    </row>
    <row r="640" spans="1:12" ht="15" customHeight="1">
      <c r="A640" s="14" t="s">
        <v>1269</v>
      </c>
      <c r="B640" s="10" t="s">
        <v>1268</v>
      </c>
      <c r="C640" s="20">
        <v>45793</v>
      </c>
      <c r="D640" s="10" t="s">
        <v>290</v>
      </c>
      <c r="E640" s="10" t="s">
        <v>291</v>
      </c>
      <c r="F640" s="10" t="s">
        <v>121</v>
      </c>
      <c r="G640" s="23">
        <v>3</v>
      </c>
      <c r="H640" s="26">
        <v>287.16000000000003</v>
      </c>
      <c r="I640" s="29">
        <v>0</v>
      </c>
      <c r="J640" s="10" t="s">
        <v>50</v>
      </c>
      <c r="K640" s="10" t="s">
        <v>58</v>
      </c>
      <c r="L640" s="15" t="s">
        <v>52</v>
      </c>
    </row>
    <row r="641" spans="1:12" ht="15" customHeight="1">
      <c r="A641" s="14" t="s">
        <v>1270</v>
      </c>
      <c r="B641" s="10" t="s">
        <v>1268</v>
      </c>
      <c r="C641" s="20">
        <v>45793</v>
      </c>
      <c r="D641" s="10" t="s">
        <v>290</v>
      </c>
      <c r="E641" s="10" t="s">
        <v>291</v>
      </c>
      <c r="F641" s="10" t="s">
        <v>220</v>
      </c>
      <c r="G641" s="23">
        <v>3</v>
      </c>
      <c r="H641" s="26">
        <v>25.01</v>
      </c>
      <c r="I641" s="29">
        <v>0</v>
      </c>
      <c r="J641" s="10" t="s">
        <v>50</v>
      </c>
      <c r="K641" s="10" t="s">
        <v>58</v>
      </c>
      <c r="L641" s="15" t="s">
        <v>42</v>
      </c>
    </row>
    <row r="642" spans="1:12" ht="15" customHeight="1">
      <c r="A642" s="14" t="s">
        <v>1271</v>
      </c>
      <c r="B642" s="10" t="s">
        <v>1268</v>
      </c>
      <c r="C642" s="20">
        <v>45793</v>
      </c>
      <c r="D642" s="10" t="s">
        <v>290</v>
      </c>
      <c r="E642" s="10" t="s">
        <v>291</v>
      </c>
      <c r="F642" s="10" t="s">
        <v>100</v>
      </c>
      <c r="G642" s="23">
        <v>1</v>
      </c>
      <c r="H642" s="26">
        <v>42.72</v>
      </c>
      <c r="I642" s="29">
        <v>0.05</v>
      </c>
      <c r="J642" s="10" t="s">
        <v>66</v>
      </c>
      <c r="K642" s="10" t="s">
        <v>51</v>
      </c>
      <c r="L642" s="15" t="s">
        <v>42</v>
      </c>
    </row>
    <row r="643" spans="1:12" ht="15" customHeight="1">
      <c r="A643" s="14" t="s">
        <v>1272</v>
      </c>
      <c r="B643" s="10" t="s">
        <v>1273</v>
      </c>
      <c r="C643" s="20">
        <v>45841</v>
      </c>
      <c r="D643" s="10" t="s">
        <v>300</v>
      </c>
      <c r="E643" s="10" t="s">
        <v>301</v>
      </c>
      <c r="F643" s="10" t="s">
        <v>80</v>
      </c>
      <c r="G643" s="23">
        <v>1</v>
      </c>
      <c r="H643" s="26">
        <v>142.16</v>
      </c>
      <c r="I643" s="29">
        <v>0</v>
      </c>
      <c r="J643" s="10" t="s">
        <v>45</v>
      </c>
      <c r="K643" s="10" t="s">
        <v>98</v>
      </c>
      <c r="L643" s="15" t="s">
        <v>42</v>
      </c>
    </row>
    <row r="644" spans="1:12" ht="15" customHeight="1">
      <c r="A644" s="14" t="s">
        <v>1274</v>
      </c>
      <c r="B644" s="10" t="s">
        <v>1273</v>
      </c>
      <c r="C644" s="20">
        <v>45841</v>
      </c>
      <c r="D644" s="10" t="s">
        <v>1275</v>
      </c>
      <c r="E644" s="10" t="s">
        <v>301</v>
      </c>
      <c r="F644" s="10" t="s">
        <v>241</v>
      </c>
      <c r="G644" s="23">
        <v>3</v>
      </c>
      <c r="H644" s="26">
        <v>300.56</v>
      </c>
      <c r="I644" s="29">
        <v>0.15</v>
      </c>
      <c r="J644" s="10" t="s">
        <v>70</v>
      </c>
      <c r="K644" s="10" t="s">
        <v>46</v>
      </c>
      <c r="L644" s="15" t="s">
        <v>67</v>
      </c>
    </row>
    <row r="645" spans="1:12" ht="15" customHeight="1">
      <c r="A645" s="14" t="s">
        <v>1276</v>
      </c>
      <c r="B645" s="10" t="s">
        <v>1273</v>
      </c>
      <c r="C645" s="20">
        <v>45841</v>
      </c>
      <c r="D645" s="10" t="s">
        <v>300</v>
      </c>
      <c r="E645" s="10" t="s">
        <v>301</v>
      </c>
      <c r="F645" s="10" t="s">
        <v>108</v>
      </c>
      <c r="G645" s="23">
        <v>3</v>
      </c>
      <c r="H645" s="26">
        <v>33.369999999999997</v>
      </c>
      <c r="I645" s="29">
        <v>0.1</v>
      </c>
      <c r="J645" s="10" t="s">
        <v>50</v>
      </c>
      <c r="K645" s="10"/>
      <c r="L645" s="15" t="s">
        <v>42</v>
      </c>
    </row>
    <row r="646" spans="1:12" ht="15" customHeight="1">
      <c r="A646" s="14" t="s">
        <v>1277</v>
      </c>
      <c r="B646" s="10" t="s">
        <v>1278</v>
      </c>
      <c r="C646" s="20">
        <v>45745.041666666664</v>
      </c>
      <c r="D646" s="10" t="s">
        <v>1279</v>
      </c>
      <c r="E646" s="10" t="s">
        <v>1280</v>
      </c>
      <c r="F646" s="10" t="s">
        <v>112</v>
      </c>
      <c r="G646" s="23">
        <v>1</v>
      </c>
      <c r="H646" s="26">
        <v>88.61</v>
      </c>
      <c r="I646" s="29">
        <v>0</v>
      </c>
      <c r="J646" s="10" t="s">
        <v>40</v>
      </c>
      <c r="K646" s="10" t="s">
        <v>98</v>
      </c>
      <c r="L646" s="15" t="s">
        <v>67</v>
      </c>
    </row>
    <row r="647" spans="1:12" ht="15" customHeight="1">
      <c r="A647" s="14" t="s">
        <v>1281</v>
      </c>
      <c r="B647" s="10" t="s">
        <v>1278</v>
      </c>
      <c r="C647" s="20">
        <v>45745.041666666664</v>
      </c>
      <c r="D647" s="10" t="s">
        <v>1279</v>
      </c>
      <c r="E647" s="10" t="s">
        <v>1280</v>
      </c>
      <c r="F647" s="10" t="s">
        <v>468</v>
      </c>
      <c r="G647" s="23">
        <v>1</v>
      </c>
      <c r="H647" s="26">
        <v>160</v>
      </c>
      <c r="I647" s="29">
        <v>0</v>
      </c>
      <c r="J647" s="10" t="s">
        <v>50</v>
      </c>
      <c r="K647" s="10" t="s">
        <v>98</v>
      </c>
      <c r="L647" s="15" t="s">
        <v>67</v>
      </c>
    </row>
    <row r="648" spans="1:12" ht="15" customHeight="1">
      <c r="A648" s="14" t="s">
        <v>1282</v>
      </c>
      <c r="B648" s="10" t="s">
        <v>1283</v>
      </c>
      <c r="C648" s="20">
        <v>45717.041666666664</v>
      </c>
      <c r="D648" s="10" t="s">
        <v>1284</v>
      </c>
      <c r="E648" s="10" t="s">
        <v>969</v>
      </c>
      <c r="F648" s="10" t="s">
        <v>303</v>
      </c>
      <c r="G648" s="23">
        <v>3</v>
      </c>
      <c r="H648" s="26">
        <v>72.81</v>
      </c>
      <c r="I648" s="29">
        <v>0</v>
      </c>
      <c r="J648" s="10" t="s">
        <v>64</v>
      </c>
      <c r="K648" s="10"/>
      <c r="L648" s="15" t="s">
        <v>42</v>
      </c>
    </row>
    <row r="649" spans="1:12" ht="15" customHeight="1">
      <c r="A649" s="14" t="s">
        <v>1285</v>
      </c>
      <c r="B649" s="10" t="s">
        <v>1283</v>
      </c>
      <c r="C649" s="20">
        <v>45717.041666666664</v>
      </c>
      <c r="D649" s="10" t="s">
        <v>1284</v>
      </c>
      <c r="E649" s="10" t="s">
        <v>969</v>
      </c>
      <c r="F649" s="10" t="s">
        <v>63</v>
      </c>
      <c r="G649" s="23">
        <v>1</v>
      </c>
      <c r="H649" s="26">
        <v>105.38</v>
      </c>
      <c r="I649" s="29">
        <v>0</v>
      </c>
      <c r="J649" s="10" t="s">
        <v>70</v>
      </c>
      <c r="K649" s="10" t="s">
        <v>98</v>
      </c>
      <c r="L649" s="15" t="s">
        <v>101</v>
      </c>
    </row>
    <row r="650" spans="1:12" ht="15" customHeight="1">
      <c r="A650" s="14" t="s">
        <v>1286</v>
      </c>
      <c r="B650" s="10" t="s">
        <v>1283</v>
      </c>
      <c r="C650" s="20">
        <v>45717.041666666664</v>
      </c>
      <c r="D650" s="10" t="s">
        <v>1284</v>
      </c>
      <c r="E650" s="10" t="s">
        <v>969</v>
      </c>
      <c r="F650" s="10" t="s">
        <v>238</v>
      </c>
      <c r="G650" s="23">
        <v>1</v>
      </c>
      <c r="H650" s="26">
        <v>82.77</v>
      </c>
      <c r="I650" s="29">
        <v>0</v>
      </c>
      <c r="J650" s="10" t="s">
        <v>70</v>
      </c>
      <c r="K650" s="10" t="s">
        <v>98</v>
      </c>
      <c r="L650" s="15" t="s">
        <v>101</v>
      </c>
    </row>
    <row r="651" spans="1:12" ht="15" customHeight="1">
      <c r="A651" s="14" t="s">
        <v>1287</v>
      </c>
      <c r="B651" s="10" t="s">
        <v>1288</v>
      </c>
      <c r="C651" s="20">
        <v>46017</v>
      </c>
      <c r="D651" s="10" t="s">
        <v>365</v>
      </c>
      <c r="E651" s="10" t="s">
        <v>366</v>
      </c>
      <c r="F651" s="10" t="s">
        <v>121</v>
      </c>
      <c r="G651" s="23">
        <v>4</v>
      </c>
      <c r="H651" s="26">
        <v>287.16000000000003</v>
      </c>
      <c r="I651" s="29">
        <v>0</v>
      </c>
      <c r="J651" s="10" t="s">
        <v>45</v>
      </c>
      <c r="K651" s="10" t="s">
        <v>51</v>
      </c>
      <c r="L651" s="15" t="s">
        <v>47</v>
      </c>
    </row>
    <row r="652" spans="1:12" ht="15" customHeight="1">
      <c r="A652" s="14" t="s">
        <v>1289</v>
      </c>
      <c r="B652" s="10" t="s">
        <v>1290</v>
      </c>
      <c r="C652" s="20">
        <v>45779</v>
      </c>
      <c r="D652" s="10" t="s">
        <v>568</v>
      </c>
      <c r="E652" s="10" t="s">
        <v>569</v>
      </c>
      <c r="F652" s="10" t="s">
        <v>77</v>
      </c>
      <c r="G652" s="23">
        <v>1</v>
      </c>
      <c r="H652" s="26">
        <v>34.909999999999997</v>
      </c>
      <c r="I652" s="29">
        <v>0.1</v>
      </c>
      <c r="J652" s="10" t="s">
        <v>64</v>
      </c>
      <c r="K652" s="10" t="s">
        <v>98</v>
      </c>
      <c r="L652" s="15" t="s">
        <v>52</v>
      </c>
    </row>
    <row r="653" spans="1:12" ht="15" customHeight="1">
      <c r="A653" s="14" t="s">
        <v>1291</v>
      </c>
      <c r="B653" s="10" t="s">
        <v>1290</v>
      </c>
      <c r="C653" s="20">
        <v>45779</v>
      </c>
      <c r="D653" s="10" t="s">
        <v>568</v>
      </c>
      <c r="E653" s="10" t="s">
        <v>569</v>
      </c>
      <c r="F653" s="10" t="s">
        <v>150</v>
      </c>
      <c r="G653" s="23">
        <v>1</v>
      </c>
      <c r="H653" s="26">
        <v>263.04000000000002</v>
      </c>
      <c r="I653" s="29">
        <v>0.1</v>
      </c>
      <c r="J653" s="10" t="s">
        <v>40</v>
      </c>
      <c r="K653" s="10" t="s">
        <v>98</v>
      </c>
      <c r="L653" s="15" t="s">
        <v>47</v>
      </c>
    </row>
    <row r="654" spans="1:12" ht="15" customHeight="1">
      <c r="A654" s="14" t="s">
        <v>1292</v>
      </c>
      <c r="B654" s="10" t="s">
        <v>1290</v>
      </c>
      <c r="C654" s="20">
        <v>45779</v>
      </c>
      <c r="D654" s="10" t="s">
        <v>568</v>
      </c>
      <c r="E654" s="10" t="s">
        <v>569</v>
      </c>
      <c r="F654" s="10" t="s">
        <v>241</v>
      </c>
      <c r="G654" s="23">
        <v>2</v>
      </c>
      <c r="H654" s="26">
        <v>300.56</v>
      </c>
      <c r="I654" s="29">
        <v>0.1</v>
      </c>
      <c r="J654" s="10" t="s">
        <v>66</v>
      </c>
      <c r="K654" s="10" t="s">
        <v>98</v>
      </c>
      <c r="L654" s="15" t="s">
        <v>52</v>
      </c>
    </row>
    <row r="655" spans="1:12" ht="15" customHeight="1">
      <c r="A655" s="14" t="s">
        <v>1293</v>
      </c>
      <c r="B655" s="10" t="s">
        <v>1290</v>
      </c>
      <c r="C655" s="20">
        <v>45779</v>
      </c>
      <c r="D655" s="10" t="s">
        <v>568</v>
      </c>
      <c r="E655" s="10" t="s">
        <v>569</v>
      </c>
      <c r="F655" s="10" t="s">
        <v>214</v>
      </c>
      <c r="G655" s="23">
        <v>1</v>
      </c>
      <c r="H655" s="26">
        <v>186.92</v>
      </c>
      <c r="I655" s="29">
        <v>0</v>
      </c>
      <c r="J655" s="10" t="s">
        <v>50</v>
      </c>
      <c r="K655" s="10" t="s">
        <v>41</v>
      </c>
      <c r="L655" s="15" t="s">
        <v>101</v>
      </c>
    </row>
    <row r="656" spans="1:12" ht="15" customHeight="1">
      <c r="A656" s="14" t="s">
        <v>1294</v>
      </c>
      <c r="B656" s="10" t="s">
        <v>1295</v>
      </c>
      <c r="C656" s="20">
        <v>46018</v>
      </c>
      <c r="D656" s="10" t="s">
        <v>667</v>
      </c>
      <c r="E656" s="10" t="s">
        <v>668</v>
      </c>
      <c r="F656" s="10" t="s">
        <v>276</v>
      </c>
      <c r="G656" s="23">
        <v>1</v>
      </c>
      <c r="H656" s="26">
        <v>182.94</v>
      </c>
      <c r="I656" s="29">
        <v>0.05</v>
      </c>
      <c r="J656" s="10" t="s">
        <v>50</v>
      </c>
      <c r="K656" s="10" t="s">
        <v>46</v>
      </c>
      <c r="L656" s="15" t="s">
        <v>101</v>
      </c>
    </row>
    <row r="657" spans="1:12" ht="15" customHeight="1">
      <c r="A657" s="14" t="s">
        <v>1296</v>
      </c>
      <c r="B657" s="10" t="s">
        <v>1295</v>
      </c>
      <c r="C657" s="20">
        <v>46018</v>
      </c>
      <c r="D657" s="10" t="s">
        <v>667</v>
      </c>
      <c r="E657" s="10" t="s">
        <v>668</v>
      </c>
      <c r="F657" s="10" t="s">
        <v>332</v>
      </c>
      <c r="G657" s="23">
        <v>1</v>
      </c>
      <c r="H657" s="26">
        <v>273.89</v>
      </c>
      <c r="I657" s="29">
        <v>0.1</v>
      </c>
      <c r="J657" s="10" t="s">
        <v>66</v>
      </c>
      <c r="K657" s="10" t="s">
        <v>51</v>
      </c>
      <c r="L657" s="15" t="s">
        <v>52</v>
      </c>
    </row>
    <row r="658" spans="1:12" ht="15" customHeight="1">
      <c r="A658" s="14" t="s">
        <v>1297</v>
      </c>
      <c r="B658" s="10" t="s">
        <v>1298</v>
      </c>
      <c r="C658" s="20">
        <v>45810</v>
      </c>
      <c r="D658" s="10" t="s">
        <v>805</v>
      </c>
      <c r="E658" s="10" t="s">
        <v>806</v>
      </c>
      <c r="F658" s="10" t="s">
        <v>44</v>
      </c>
      <c r="G658" s="23">
        <v>3</v>
      </c>
      <c r="H658" s="26">
        <v>238.47</v>
      </c>
      <c r="I658" s="29">
        <v>0.15</v>
      </c>
      <c r="J658" s="10" t="s">
        <v>45</v>
      </c>
      <c r="K658" s="10" t="s">
        <v>46</v>
      </c>
      <c r="L658" s="15" t="s">
        <v>42</v>
      </c>
    </row>
    <row r="659" spans="1:12" ht="15" customHeight="1">
      <c r="A659" s="14" t="s">
        <v>1299</v>
      </c>
      <c r="B659" s="10" t="s">
        <v>1298</v>
      </c>
      <c r="C659" s="20">
        <v>45810</v>
      </c>
      <c r="D659" s="10" t="s">
        <v>805</v>
      </c>
      <c r="E659" s="10" t="s">
        <v>806</v>
      </c>
      <c r="F659" s="10" t="s">
        <v>117</v>
      </c>
      <c r="G659" s="23">
        <v>4</v>
      </c>
      <c r="H659" s="26">
        <v>251.17</v>
      </c>
      <c r="I659" s="29">
        <v>0</v>
      </c>
      <c r="J659" s="10" t="s">
        <v>45</v>
      </c>
      <c r="K659" s="10" t="s">
        <v>41</v>
      </c>
      <c r="L659" s="15" t="s">
        <v>42</v>
      </c>
    </row>
    <row r="660" spans="1:12" ht="15" customHeight="1">
      <c r="A660" s="14" t="s">
        <v>1300</v>
      </c>
      <c r="B660" s="10" t="s">
        <v>1301</v>
      </c>
      <c r="C660" s="20">
        <v>45853</v>
      </c>
      <c r="D660" s="10" t="s">
        <v>645</v>
      </c>
      <c r="E660" s="10" t="s">
        <v>646</v>
      </c>
      <c r="F660" s="10" t="s">
        <v>276</v>
      </c>
      <c r="G660" s="23">
        <v>1</v>
      </c>
      <c r="H660" s="26">
        <v>182.94</v>
      </c>
      <c r="I660" s="29">
        <v>0.15</v>
      </c>
      <c r="J660" s="10" t="s">
        <v>66</v>
      </c>
      <c r="K660" s="10" t="s">
        <v>58</v>
      </c>
      <c r="L660" s="15" t="s">
        <v>52</v>
      </c>
    </row>
    <row r="661" spans="1:12" ht="15" customHeight="1">
      <c r="A661" s="14" t="s">
        <v>1302</v>
      </c>
      <c r="B661" s="10" t="s">
        <v>1301</v>
      </c>
      <c r="C661" s="20">
        <v>45853</v>
      </c>
      <c r="D661" s="10" t="s">
        <v>645</v>
      </c>
      <c r="E661" s="10" t="s">
        <v>646</v>
      </c>
      <c r="F661" s="10" t="s">
        <v>147</v>
      </c>
      <c r="G661" s="23">
        <v>3</v>
      </c>
      <c r="H661" s="26">
        <v>102.78</v>
      </c>
      <c r="I661" s="29">
        <v>0.1</v>
      </c>
      <c r="J661" s="10" t="s">
        <v>40</v>
      </c>
      <c r="K661" s="10" t="s">
        <v>51</v>
      </c>
      <c r="L661" s="15" t="s">
        <v>67</v>
      </c>
    </row>
    <row r="662" spans="1:12" ht="15" customHeight="1">
      <c r="A662" s="14" t="s">
        <v>1303</v>
      </c>
      <c r="B662" s="10" t="s">
        <v>1301</v>
      </c>
      <c r="C662" s="20">
        <v>45853</v>
      </c>
      <c r="D662" s="10" t="s">
        <v>645</v>
      </c>
      <c r="E662" s="10" t="s">
        <v>646</v>
      </c>
      <c r="F662" s="10" t="s">
        <v>309</v>
      </c>
      <c r="G662" s="23">
        <v>3</v>
      </c>
      <c r="H662" s="26">
        <v>56.99</v>
      </c>
      <c r="I662" s="29">
        <v>0</v>
      </c>
      <c r="J662" s="10" t="s">
        <v>45</v>
      </c>
      <c r="K662" s="10" t="s">
        <v>41</v>
      </c>
      <c r="L662" s="15" t="s">
        <v>42</v>
      </c>
    </row>
    <row r="663" spans="1:12" ht="15" customHeight="1">
      <c r="A663" s="14" t="s">
        <v>1304</v>
      </c>
      <c r="B663" s="10" t="s">
        <v>1301</v>
      </c>
      <c r="C663" s="20">
        <v>45853</v>
      </c>
      <c r="D663" s="10" t="s">
        <v>645</v>
      </c>
      <c r="E663" s="10" t="s">
        <v>646</v>
      </c>
      <c r="F663" s="10" t="s">
        <v>468</v>
      </c>
      <c r="G663" s="23">
        <v>4</v>
      </c>
      <c r="H663" s="26">
        <v>160</v>
      </c>
      <c r="I663" s="29">
        <v>0</v>
      </c>
      <c r="J663" s="10" t="s">
        <v>70</v>
      </c>
      <c r="K663" s="10" t="s">
        <v>46</v>
      </c>
      <c r="L663" s="15" t="s">
        <v>101</v>
      </c>
    </row>
    <row r="664" spans="1:12" ht="15" customHeight="1">
      <c r="A664" s="14" t="s">
        <v>1305</v>
      </c>
      <c r="B664" s="10" t="s">
        <v>1306</v>
      </c>
      <c r="C664" s="20">
        <v>45914</v>
      </c>
      <c r="D664" s="10" t="s">
        <v>572</v>
      </c>
      <c r="E664" s="10" t="s">
        <v>569</v>
      </c>
      <c r="F664" s="10" t="s">
        <v>238</v>
      </c>
      <c r="G664" s="23">
        <v>2</v>
      </c>
      <c r="H664" s="26">
        <v>82.77</v>
      </c>
      <c r="I664" s="29">
        <v>0.15</v>
      </c>
      <c r="J664" s="10" t="s">
        <v>40</v>
      </c>
      <c r="K664" s="10" t="s">
        <v>46</v>
      </c>
      <c r="L664" s="15" t="s">
        <v>101</v>
      </c>
    </row>
    <row r="665" spans="1:12" ht="15" customHeight="1">
      <c r="A665" s="14" t="s">
        <v>1307</v>
      </c>
      <c r="B665" s="10" t="s">
        <v>1306</v>
      </c>
      <c r="C665" s="20">
        <v>45914</v>
      </c>
      <c r="D665" s="10" t="s">
        <v>572</v>
      </c>
      <c r="E665" s="10" t="s">
        <v>569</v>
      </c>
      <c r="F665" s="10" t="s">
        <v>108</v>
      </c>
      <c r="G665" s="23">
        <v>3</v>
      </c>
      <c r="H665" s="26">
        <v>33.369999999999997</v>
      </c>
      <c r="I665" s="29">
        <v>0</v>
      </c>
      <c r="J665" s="10" t="s">
        <v>40</v>
      </c>
      <c r="K665" s="10"/>
      <c r="L665" s="15" t="s">
        <v>47</v>
      </c>
    </row>
    <row r="666" spans="1:12" ht="15" customHeight="1">
      <c r="A666" s="14" t="s">
        <v>1308</v>
      </c>
      <c r="B666" s="10" t="s">
        <v>1306</v>
      </c>
      <c r="C666" s="20">
        <v>45914</v>
      </c>
      <c r="D666" s="10" t="s">
        <v>572</v>
      </c>
      <c r="E666" s="10" t="s">
        <v>569</v>
      </c>
      <c r="F666" s="10" t="s">
        <v>251</v>
      </c>
      <c r="G666" s="23">
        <v>2</v>
      </c>
      <c r="H666" s="26">
        <v>228.91</v>
      </c>
      <c r="I666" s="29">
        <v>0.1</v>
      </c>
      <c r="J666" s="10" t="s">
        <v>40</v>
      </c>
      <c r="K666" s="10" t="s">
        <v>58</v>
      </c>
      <c r="L666" s="15" t="s">
        <v>47</v>
      </c>
    </row>
    <row r="667" spans="1:12" ht="15" customHeight="1">
      <c r="A667" s="14" t="s">
        <v>1309</v>
      </c>
      <c r="B667" s="10" t="s">
        <v>1310</v>
      </c>
      <c r="C667" s="20">
        <v>45714.041666666664</v>
      </c>
      <c r="D667" s="10" t="s">
        <v>1093</v>
      </c>
      <c r="E667" s="10" t="s">
        <v>1094</v>
      </c>
      <c r="F667" s="10" t="s">
        <v>130</v>
      </c>
      <c r="G667" s="23">
        <v>1</v>
      </c>
      <c r="H667" s="26">
        <v>265.73</v>
      </c>
      <c r="I667" s="29">
        <v>0.1</v>
      </c>
      <c r="J667" s="10" t="s">
        <v>70</v>
      </c>
      <c r="K667" s="10" t="s">
        <v>58</v>
      </c>
      <c r="L667" s="15" t="s">
        <v>42</v>
      </c>
    </row>
    <row r="668" spans="1:12" ht="15" customHeight="1">
      <c r="A668" s="14" t="s">
        <v>1311</v>
      </c>
      <c r="B668" s="10" t="s">
        <v>1310</v>
      </c>
      <c r="C668" s="20">
        <v>45714.041666666664</v>
      </c>
      <c r="D668" s="10" t="s">
        <v>1093</v>
      </c>
      <c r="E668" s="10" t="s">
        <v>1094</v>
      </c>
      <c r="F668" s="10" t="s">
        <v>201</v>
      </c>
      <c r="G668" s="23">
        <v>3</v>
      </c>
      <c r="H668" s="26">
        <v>154.47</v>
      </c>
      <c r="I668" s="29">
        <v>0.1</v>
      </c>
      <c r="J668" s="10" t="s">
        <v>50</v>
      </c>
      <c r="K668" s="10" t="s">
        <v>98</v>
      </c>
      <c r="L668" s="15" t="s">
        <v>47</v>
      </c>
    </row>
    <row r="669" spans="1:12" ht="15" customHeight="1">
      <c r="A669" s="14" t="s">
        <v>1312</v>
      </c>
      <c r="B669" s="10" t="s">
        <v>1310</v>
      </c>
      <c r="C669" s="20">
        <v>45714.041666666664</v>
      </c>
      <c r="D669" s="10" t="s">
        <v>1093</v>
      </c>
      <c r="E669" s="10" t="s">
        <v>1094</v>
      </c>
      <c r="F669" s="10" t="s">
        <v>39</v>
      </c>
      <c r="G669" s="23">
        <v>4</v>
      </c>
      <c r="H669" s="26">
        <v>236.51</v>
      </c>
      <c r="I669" s="29">
        <v>0.15</v>
      </c>
      <c r="J669" s="10" t="s">
        <v>50</v>
      </c>
      <c r="K669" s="10" t="s">
        <v>58</v>
      </c>
      <c r="L669" s="15" t="s">
        <v>47</v>
      </c>
    </row>
    <row r="670" spans="1:12" ht="15" customHeight="1">
      <c r="A670" s="14" t="s">
        <v>1313</v>
      </c>
      <c r="B670" s="10" t="s">
        <v>1310</v>
      </c>
      <c r="C670" s="20">
        <v>45714.041666666664</v>
      </c>
      <c r="D670" s="10" t="s">
        <v>1093</v>
      </c>
      <c r="E670" s="10" t="s">
        <v>1094</v>
      </c>
      <c r="F670" s="10" t="s">
        <v>303</v>
      </c>
      <c r="G670" s="23">
        <v>4</v>
      </c>
      <c r="H670" s="26">
        <v>72.81</v>
      </c>
      <c r="I670" s="29">
        <v>0.15</v>
      </c>
      <c r="J670" s="10" t="s">
        <v>66</v>
      </c>
      <c r="K670" s="10" t="s">
        <v>58</v>
      </c>
      <c r="L670" s="15" t="s">
        <v>101</v>
      </c>
    </row>
    <row r="671" spans="1:12" ht="15" customHeight="1">
      <c r="A671" s="14" t="s">
        <v>1314</v>
      </c>
      <c r="B671" s="10" t="s">
        <v>1315</v>
      </c>
      <c r="C671" s="20">
        <v>45660</v>
      </c>
      <c r="D671" s="10" t="s">
        <v>1316</v>
      </c>
      <c r="E671" s="10" t="s">
        <v>1317</v>
      </c>
      <c r="F671" s="10" t="s">
        <v>39</v>
      </c>
      <c r="G671" s="23">
        <v>1</v>
      </c>
      <c r="H671" s="26">
        <v>236.51</v>
      </c>
      <c r="I671" s="29">
        <v>0.05</v>
      </c>
      <c r="J671" s="10" t="s">
        <v>45</v>
      </c>
      <c r="K671" s="10" t="s">
        <v>46</v>
      </c>
      <c r="L671" s="15" t="s">
        <v>101</v>
      </c>
    </row>
    <row r="672" spans="1:12" ht="15" customHeight="1">
      <c r="A672" s="14" t="s">
        <v>1318</v>
      </c>
      <c r="B672" s="10" t="s">
        <v>1315</v>
      </c>
      <c r="C672" s="20">
        <v>45660</v>
      </c>
      <c r="D672" s="10" t="s">
        <v>1316</v>
      </c>
      <c r="E672" s="10" t="s">
        <v>1317</v>
      </c>
      <c r="F672" s="10" t="s">
        <v>309</v>
      </c>
      <c r="G672" s="23">
        <v>1</v>
      </c>
      <c r="H672" s="26">
        <v>56.99</v>
      </c>
      <c r="I672" s="29">
        <v>0.15</v>
      </c>
      <c r="J672" s="10" t="s">
        <v>66</v>
      </c>
      <c r="K672" s="10"/>
      <c r="L672" s="15" t="s">
        <v>67</v>
      </c>
    </row>
    <row r="673" spans="1:12" ht="15" customHeight="1">
      <c r="A673" s="14" t="s">
        <v>1319</v>
      </c>
      <c r="B673" s="10" t="s">
        <v>1315</v>
      </c>
      <c r="C673" s="20">
        <v>45660</v>
      </c>
      <c r="D673" s="10" t="s">
        <v>1316</v>
      </c>
      <c r="E673" s="10" t="s">
        <v>1317</v>
      </c>
      <c r="F673" s="10" t="s">
        <v>147</v>
      </c>
      <c r="G673" s="23">
        <v>2</v>
      </c>
      <c r="H673" s="26">
        <v>102.78</v>
      </c>
      <c r="I673" s="29">
        <v>0.1</v>
      </c>
      <c r="J673" s="10" t="s">
        <v>50</v>
      </c>
      <c r="K673" s="10" t="s">
        <v>98</v>
      </c>
      <c r="L673" s="15" t="s">
        <v>42</v>
      </c>
    </row>
    <row r="674" spans="1:12" ht="15" customHeight="1">
      <c r="A674" s="14" t="s">
        <v>1320</v>
      </c>
      <c r="B674" s="10" t="s">
        <v>1321</v>
      </c>
      <c r="C674" s="20">
        <v>45980</v>
      </c>
      <c r="D674" s="10" t="s">
        <v>1322</v>
      </c>
      <c r="E674" s="10" t="s">
        <v>1323</v>
      </c>
      <c r="F674" s="10" t="s">
        <v>49</v>
      </c>
      <c r="G674" s="23">
        <v>3</v>
      </c>
      <c r="H674" s="26">
        <v>300.16000000000003</v>
      </c>
      <c r="I674" s="29">
        <v>0</v>
      </c>
      <c r="J674" s="10" t="s">
        <v>64</v>
      </c>
      <c r="K674" s="10"/>
      <c r="L674" s="15" t="s">
        <v>101</v>
      </c>
    </row>
    <row r="675" spans="1:12" ht="15" customHeight="1">
      <c r="A675" s="14" t="s">
        <v>1324</v>
      </c>
      <c r="B675" s="10" t="s">
        <v>1325</v>
      </c>
      <c r="C675" s="20">
        <v>45874</v>
      </c>
      <c r="D675" s="10" t="s">
        <v>75</v>
      </c>
      <c r="E675" s="10" t="s">
        <v>76</v>
      </c>
      <c r="F675" s="10" t="s">
        <v>178</v>
      </c>
      <c r="G675" s="23">
        <v>2</v>
      </c>
      <c r="H675" s="26">
        <v>61.81</v>
      </c>
      <c r="I675" s="29">
        <v>0</v>
      </c>
      <c r="J675" s="10" t="s">
        <v>40</v>
      </c>
      <c r="K675" s="10" t="s">
        <v>58</v>
      </c>
      <c r="L675" s="15" t="s">
        <v>52</v>
      </c>
    </row>
    <row r="676" spans="1:12" ht="15" customHeight="1">
      <c r="A676" s="14" t="s">
        <v>1326</v>
      </c>
      <c r="B676" s="10" t="s">
        <v>1325</v>
      </c>
      <c r="C676" s="20">
        <v>45874</v>
      </c>
      <c r="D676" s="10" t="s">
        <v>75</v>
      </c>
      <c r="E676" s="10" t="s">
        <v>76</v>
      </c>
      <c r="F676" s="10" t="s">
        <v>117</v>
      </c>
      <c r="G676" s="23">
        <v>1</v>
      </c>
      <c r="H676" s="26">
        <v>251.17</v>
      </c>
      <c r="I676" s="29">
        <v>0</v>
      </c>
      <c r="J676" s="10" t="s">
        <v>66</v>
      </c>
      <c r="K676" s="10" t="s">
        <v>58</v>
      </c>
      <c r="L676" s="15" t="s">
        <v>52</v>
      </c>
    </row>
    <row r="677" spans="1:12" ht="15" customHeight="1">
      <c r="A677" s="14" t="s">
        <v>1327</v>
      </c>
      <c r="B677" s="10" t="s">
        <v>1325</v>
      </c>
      <c r="C677" s="20">
        <v>45874</v>
      </c>
      <c r="D677" s="10" t="s">
        <v>75</v>
      </c>
      <c r="E677" s="10" t="s">
        <v>76</v>
      </c>
      <c r="F677" s="10" t="s">
        <v>521</v>
      </c>
      <c r="G677" s="23">
        <v>4</v>
      </c>
      <c r="H677" s="26">
        <v>37.82</v>
      </c>
      <c r="I677" s="29">
        <v>0.05</v>
      </c>
      <c r="J677" s="10" t="s">
        <v>64</v>
      </c>
      <c r="K677" s="10" t="s">
        <v>41</v>
      </c>
      <c r="L677" s="15" t="s">
        <v>42</v>
      </c>
    </row>
    <row r="678" spans="1:12" ht="15" customHeight="1">
      <c r="A678" s="14" t="s">
        <v>1328</v>
      </c>
      <c r="B678" s="10" t="s">
        <v>1329</v>
      </c>
      <c r="C678" s="20">
        <v>45773</v>
      </c>
      <c r="D678" s="10" t="s">
        <v>652</v>
      </c>
      <c r="E678" s="10" t="s">
        <v>653</v>
      </c>
      <c r="F678" s="10" t="s">
        <v>279</v>
      </c>
      <c r="G678" s="23">
        <v>2</v>
      </c>
      <c r="H678" s="26">
        <v>52.79</v>
      </c>
      <c r="I678" s="29">
        <v>0</v>
      </c>
      <c r="J678" s="10" t="s">
        <v>66</v>
      </c>
      <c r="K678" s="10" t="s">
        <v>41</v>
      </c>
      <c r="L678" s="15" t="s">
        <v>101</v>
      </c>
    </row>
    <row r="679" spans="1:12" ht="15" customHeight="1">
      <c r="A679" s="14" t="s">
        <v>1330</v>
      </c>
      <c r="B679" s="10" t="s">
        <v>1329</v>
      </c>
      <c r="C679" s="20">
        <v>45773</v>
      </c>
      <c r="D679" s="10" t="s">
        <v>652</v>
      </c>
      <c r="E679" s="10" t="s">
        <v>653</v>
      </c>
      <c r="F679" s="10" t="s">
        <v>521</v>
      </c>
      <c r="G679" s="23">
        <v>1</v>
      </c>
      <c r="H679" s="26">
        <v>37.82</v>
      </c>
      <c r="I679" s="29">
        <v>0.1</v>
      </c>
      <c r="J679" s="10" t="s">
        <v>66</v>
      </c>
      <c r="K679" s="10" t="s">
        <v>98</v>
      </c>
      <c r="L679" s="15" t="s">
        <v>67</v>
      </c>
    </row>
    <row r="680" spans="1:12" ht="15" customHeight="1">
      <c r="A680" s="14" t="s">
        <v>1331</v>
      </c>
      <c r="B680" s="10" t="s">
        <v>1329</v>
      </c>
      <c r="C680" s="20">
        <v>45773</v>
      </c>
      <c r="D680" s="10" t="s">
        <v>652</v>
      </c>
      <c r="E680" s="10" t="s">
        <v>653</v>
      </c>
      <c r="F680" s="10" t="s">
        <v>44</v>
      </c>
      <c r="G680" s="23">
        <v>4</v>
      </c>
      <c r="H680" s="26">
        <v>238.47</v>
      </c>
      <c r="I680" s="29">
        <v>0.15</v>
      </c>
      <c r="J680" s="10" t="s">
        <v>45</v>
      </c>
      <c r="K680" s="10" t="s">
        <v>46</v>
      </c>
      <c r="L680" s="15" t="s">
        <v>101</v>
      </c>
    </row>
    <row r="681" spans="1:12" ht="15" customHeight="1">
      <c r="A681" s="14" t="s">
        <v>1332</v>
      </c>
      <c r="B681" s="10" t="s">
        <v>1333</v>
      </c>
      <c r="C681" s="20">
        <v>45713.041666666664</v>
      </c>
      <c r="D681" s="10" t="s">
        <v>1334</v>
      </c>
      <c r="E681" s="10" t="s">
        <v>116</v>
      </c>
      <c r="F681" s="10" t="s">
        <v>220</v>
      </c>
      <c r="G681" s="23">
        <v>2</v>
      </c>
      <c r="H681" s="26">
        <v>25.01</v>
      </c>
      <c r="I681" s="29">
        <v>0.05</v>
      </c>
      <c r="J681" s="10" t="s">
        <v>45</v>
      </c>
      <c r="K681" s="10"/>
      <c r="L681" s="15" t="s">
        <v>42</v>
      </c>
    </row>
    <row r="682" spans="1:12" ht="15" customHeight="1">
      <c r="A682" s="14" t="s">
        <v>1335</v>
      </c>
      <c r="B682" s="10" t="s">
        <v>1333</v>
      </c>
      <c r="C682" s="20">
        <v>45713.041666666664</v>
      </c>
      <c r="D682" s="10" t="s">
        <v>144</v>
      </c>
      <c r="E682" s="10" t="s">
        <v>116</v>
      </c>
      <c r="F682" s="10" t="s">
        <v>119</v>
      </c>
      <c r="G682" s="23">
        <v>1</v>
      </c>
      <c r="H682" s="26">
        <v>103.3</v>
      </c>
      <c r="I682" s="29">
        <v>0</v>
      </c>
      <c r="J682" s="10" t="s">
        <v>66</v>
      </c>
      <c r="K682" s="10" t="s">
        <v>98</v>
      </c>
      <c r="L682" s="15" t="s">
        <v>67</v>
      </c>
    </row>
    <row r="683" spans="1:12" ht="15" customHeight="1">
      <c r="A683" s="14" t="s">
        <v>1336</v>
      </c>
      <c r="B683" s="10" t="s">
        <v>1333</v>
      </c>
      <c r="C683" s="20">
        <v>45713.041666666664</v>
      </c>
      <c r="D683" s="10" t="s">
        <v>144</v>
      </c>
      <c r="E683" s="10" t="s">
        <v>116</v>
      </c>
      <c r="F683" s="10" t="s">
        <v>136</v>
      </c>
      <c r="G683" s="23">
        <v>1</v>
      </c>
      <c r="H683" s="26">
        <v>141.46</v>
      </c>
      <c r="I683" s="29">
        <v>0.1</v>
      </c>
      <c r="J683" s="10" t="s">
        <v>40</v>
      </c>
      <c r="K683" s="10" t="s">
        <v>51</v>
      </c>
      <c r="L683" s="15" t="s">
        <v>42</v>
      </c>
    </row>
    <row r="684" spans="1:12" ht="15" customHeight="1">
      <c r="A684" s="14" t="s">
        <v>1337</v>
      </c>
      <c r="B684" s="10" t="s">
        <v>1338</v>
      </c>
      <c r="C684" s="20">
        <v>45855</v>
      </c>
      <c r="D684" s="10" t="s">
        <v>490</v>
      </c>
      <c r="E684" s="10" t="s">
        <v>491</v>
      </c>
      <c r="F684" s="10" t="s">
        <v>80</v>
      </c>
      <c r="G684" s="23">
        <v>3</v>
      </c>
      <c r="H684" s="26">
        <v>142.16</v>
      </c>
      <c r="I684" s="29">
        <v>0.15</v>
      </c>
      <c r="J684" s="10" t="s">
        <v>45</v>
      </c>
      <c r="K684" s="10" t="s">
        <v>58</v>
      </c>
      <c r="L684" s="15" t="s">
        <v>52</v>
      </c>
    </row>
    <row r="685" spans="1:12" ht="15" customHeight="1">
      <c r="A685" s="14" t="s">
        <v>1339</v>
      </c>
      <c r="B685" s="10" t="s">
        <v>1338</v>
      </c>
      <c r="C685" s="20">
        <v>45855</v>
      </c>
      <c r="D685" s="10" t="s">
        <v>490</v>
      </c>
      <c r="E685" s="10" t="s">
        <v>491</v>
      </c>
      <c r="F685" s="10" t="s">
        <v>276</v>
      </c>
      <c r="G685" s="23">
        <v>4</v>
      </c>
      <c r="H685" s="26">
        <v>182.94</v>
      </c>
      <c r="I685" s="29">
        <v>0</v>
      </c>
      <c r="J685" s="10" t="s">
        <v>50</v>
      </c>
      <c r="K685" s="10" t="s">
        <v>46</v>
      </c>
      <c r="L685" s="15" t="s">
        <v>47</v>
      </c>
    </row>
    <row r="686" spans="1:12" ht="15" customHeight="1">
      <c r="A686" s="14" t="s">
        <v>1340</v>
      </c>
      <c r="B686" s="10" t="s">
        <v>1341</v>
      </c>
      <c r="C686" s="20">
        <v>45984</v>
      </c>
      <c r="D686" s="10" t="s">
        <v>249</v>
      </c>
      <c r="E686" s="10" t="s">
        <v>250</v>
      </c>
      <c r="F686" s="10" t="s">
        <v>204</v>
      </c>
      <c r="G686" s="23">
        <v>3</v>
      </c>
      <c r="H686" s="26">
        <v>244.25</v>
      </c>
      <c r="I686" s="29">
        <v>0.05</v>
      </c>
      <c r="J686" s="10" t="s">
        <v>45</v>
      </c>
      <c r="K686" s="10"/>
      <c r="L686" s="15" t="s">
        <v>67</v>
      </c>
    </row>
    <row r="687" spans="1:12" ht="15" customHeight="1">
      <c r="A687" s="14" t="s">
        <v>1342</v>
      </c>
      <c r="B687" s="10" t="s">
        <v>1343</v>
      </c>
      <c r="C687" s="20">
        <v>45837</v>
      </c>
      <c r="D687" s="10" t="s">
        <v>1344</v>
      </c>
      <c r="E687" s="10" t="s">
        <v>1345</v>
      </c>
      <c r="F687" s="10" t="s">
        <v>456</v>
      </c>
      <c r="G687" s="23">
        <v>2</v>
      </c>
      <c r="H687" s="26">
        <v>275.76</v>
      </c>
      <c r="I687" s="29">
        <v>0</v>
      </c>
      <c r="J687" s="10" t="s">
        <v>50</v>
      </c>
      <c r="K687" s="10" t="s">
        <v>41</v>
      </c>
      <c r="L687" s="15" t="s">
        <v>42</v>
      </c>
    </row>
    <row r="688" spans="1:12" ht="15" customHeight="1">
      <c r="A688" s="14" t="s">
        <v>1346</v>
      </c>
      <c r="B688" s="10" t="s">
        <v>1343</v>
      </c>
      <c r="C688" s="20">
        <v>45837</v>
      </c>
      <c r="D688" s="10" t="s">
        <v>1344</v>
      </c>
      <c r="E688" s="10" t="s">
        <v>1345</v>
      </c>
      <c r="F688" s="10" t="s">
        <v>83</v>
      </c>
      <c r="G688" s="23">
        <v>1</v>
      </c>
      <c r="H688" s="26">
        <v>115.28</v>
      </c>
      <c r="I688" s="29">
        <v>0.05</v>
      </c>
      <c r="J688" s="10" t="s">
        <v>64</v>
      </c>
      <c r="K688" s="10" t="s">
        <v>46</v>
      </c>
      <c r="L688" s="15" t="s">
        <v>67</v>
      </c>
    </row>
    <row r="689" spans="1:12" ht="15" customHeight="1">
      <c r="A689" s="14" t="s">
        <v>1347</v>
      </c>
      <c r="B689" s="10" t="s">
        <v>1343</v>
      </c>
      <c r="C689" s="20">
        <v>45837</v>
      </c>
      <c r="D689" s="10" t="s">
        <v>1344</v>
      </c>
      <c r="E689" s="10" t="s">
        <v>1345</v>
      </c>
      <c r="F689" s="10" t="s">
        <v>117</v>
      </c>
      <c r="G689" s="23">
        <v>2</v>
      </c>
      <c r="H689" s="26">
        <v>251.17</v>
      </c>
      <c r="I689" s="29">
        <v>0.05</v>
      </c>
      <c r="J689" s="10" t="s">
        <v>40</v>
      </c>
      <c r="K689" s="10" t="s">
        <v>98</v>
      </c>
      <c r="L689" s="15" t="s">
        <v>42</v>
      </c>
    </row>
    <row r="690" spans="1:12" ht="15" customHeight="1">
      <c r="A690" s="14" t="s">
        <v>1348</v>
      </c>
      <c r="B690" s="10" t="s">
        <v>1349</v>
      </c>
      <c r="C690" s="20">
        <v>45948</v>
      </c>
      <c r="D690" s="10" t="s">
        <v>1097</v>
      </c>
      <c r="E690" s="10" t="s">
        <v>1098</v>
      </c>
      <c r="F690" s="10" t="s">
        <v>69</v>
      </c>
      <c r="G690" s="23">
        <v>2</v>
      </c>
      <c r="H690" s="26">
        <v>75.75</v>
      </c>
      <c r="I690" s="29">
        <v>0.05</v>
      </c>
      <c r="J690" s="10" t="s">
        <v>66</v>
      </c>
      <c r="K690" s="10" t="s">
        <v>58</v>
      </c>
      <c r="L690" s="15" t="s">
        <v>52</v>
      </c>
    </row>
    <row r="691" spans="1:12" ht="15" customHeight="1">
      <c r="A691" s="14" t="s">
        <v>1350</v>
      </c>
      <c r="B691" s="10" t="s">
        <v>1349</v>
      </c>
      <c r="C691" s="20">
        <v>45948</v>
      </c>
      <c r="D691" s="10" t="s">
        <v>1097</v>
      </c>
      <c r="E691" s="10" t="s">
        <v>1098</v>
      </c>
      <c r="F691" s="10" t="s">
        <v>112</v>
      </c>
      <c r="G691" s="23">
        <v>3</v>
      </c>
      <c r="H691" s="26">
        <v>88.61</v>
      </c>
      <c r="I691" s="29">
        <v>0.15</v>
      </c>
      <c r="J691" s="10" t="s">
        <v>64</v>
      </c>
      <c r="K691" s="10" t="s">
        <v>51</v>
      </c>
      <c r="L691" s="15" t="s">
        <v>67</v>
      </c>
    </row>
    <row r="692" spans="1:12" ht="15" customHeight="1">
      <c r="A692" s="14" t="s">
        <v>1351</v>
      </c>
      <c r="B692" s="10" t="s">
        <v>1352</v>
      </c>
      <c r="C692" s="20">
        <v>45970</v>
      </c>
      <c r="D692" s="10" t="s">
        <v>927</v>
      </c>
      <c r="E692" s="10" t="s">
        <v>928</v>
      </c>
      <c r="F692" s="10" t="s">
        <v>150</v>
      </c>
      <c r="G692" s="23">
        <v>1</v>
      </c>
      <c r="H692" s="26">
        <v>263.04000000000002</v>
      </c>
      <c r="I692" s="29">
        <v>0.05</v>
      </c>
      <c r="J692" s="10" t="s">
        <v>66</v>
      </c>
      <c r="K692" s="10" t="s">
        <v>46</v>
      </c>
      <c r="L692" s="15" t="s">
        <v>67</v>
      </c>
    </row>
    <row r="693" spans="1:12" ht="15" customHeight="1">
      <c r="A693" s="14" t="s">
        <v>1353</v>
      </c>
      <c r="B693" s="10" t="s">
        <v>1352</v>
      </c>
      <c r="C693" s="20">
        <v>45970</v>
      </c>
      <c r="D693" s="10" t="s">
        <v>927</v>
      </c>
      <c r="E693" s="10" t="s">
        <v>928</v>
      </c>
      <c r="F693" s="10" t="s">
        <v>117</v>
      </c>
      <c r="G693" s="23">
        <v>3</v>
      </c>
      <c r="H693" s="26">
        <v>251.17</v>
      </c>
      <c r="I693" s="29">
        <v>0.15</v>
      </c>
      <c r="J693" s="10" t="s">
        <v>64</v>
      </c>
      <c r="K693" s="10" t="s">
        <v>41</v>
      </c>
      <c r="L693" s="15" t="s">
        <v>47</v>
      </c>
    </row>
    <row r="694" spans="1:12" ht="15" customHeight="1">
      <c r="A694" s="14" t="s">
        <v>1354</v>
      </c>
      <c r="B694" s="10" t="s">
        <v>1355</v>
      </c>
      <c r="C694" s="20">
        <v>45727.041666666664</v>
      </c>
      <c r="D694" s="10" t="s">
        <v>748</v>
      </c>
      <c r="E694" s="10" t="s">
        <v>749</v>
      </c>
      <c r="F694" s="10" t="s">
        <v>106</v>
      </c>
      <c r="G694" s="23">
        <v>2</v>
      </c>
      <c r="H694" s="26">
        <v>195.38</v>
      </c>
      <c r="I694" s="29">
        <v>0.05</v>
      </c>
      <c r="J694" s="10" t="s">
        <v>40</v>
      </c>
      <c r="K694" s="10" t="s">
        <v>41</v>
      </c>
      <c r="L694" s="15" t="s">
        <v>52</v>
      </c>
    </row>
    <row r="695" spans="1:12" ht="15" customHeight="1">
      <c r="A695" s="14" t="s">
        <v>1356</v>
      </c>
      <c r="B695" s="10" t="s">
        <v>1355</v>
      </c>
      <c r="C695" s="20">
        <v>45727.041666666664</v>
      </c>
      <c r="D695" s="10" t="s">
        <v>748</v>
      </c>
      <c r="E695" s="10" t="s">
        <v>749</v>
      </c>
      <c r="F695" s="10" t="s">
        <v>72</v>
      </c>
      <c r="G695" s="23">
        <v>3</v>
      </c>
      <c r="H695" s="26">
        <v>210.2</v>
      </c>
      <c r="I695" s="29">
        <v>0.15</v>
      </c>
      <c r="J695" s="10" t="s">
        <v>40</v>
      </c>
      <c r="K695" s="10" t="s">
        <v>51</v>
      </c>
      <c r="L695" s="15" t="s">
        <v>42</v>
      </c>
    </row>
    <row r="696" spans="1:12" ht="15" customHeight="1">
      <c r="A696" s="14" t="s">
        <v>1357</v>
      </c>
      <c r="B696" s="10" t="s">
        <v>1355</v>
      </c>
      <c r="C696" s="20">
        <v>45727.041666666664</v>
      </c>
      <c r="D696" s="10" t="s">
        <v>748</v>
      </c>
      <c r="E696" s="10" t="s">
        <v>749</v>
      </c>
      <c r="F696" s="10" t="s">
        <v>136</v>
      </c>
      <c r="G696" s="23">
        <v>3</v>
      </c>
      <c r="H696" s="26">
        <v>141.46</v>
      </c>
      <c r="I696" s="29">
        <v>0</v>
      </c>
      <c r="J696" s="10" t="s">
        <v>40</v>
      </c>
      <c r="K696" s="10" t="s">
        <v>98</v>
      </c>
      <c r="L696" s="15" t="s">
        <v>42</v>
      </c>
    </row>
    <row r="697" spans="1:12" ht="15" customHeight="1">
      <c r="A697" s="14" t="s">
        <v>1358</v>
      </c>
      <c r="B697" s="10" t="s">
        <v>1359</v>
      </c>
      <c r="C697" s="20">
        <v>45920</v>
      </c>
      <c r="D697" s="10" t="s">
        <v>1360</v>
      </c>
      <c r="E697" s="10" t="s">
        <v>1361</v>
      </c>
      <c r="F697" s="10" t="s">
        <v>88</v>
      </c>
      <c r="G697" s="23">
        <v>1</v>
      </c>
      <c r="H697" s="26">
        <v>147.46</v>
      </c>
      <c r="I697" s="29">
        <v>0</v>
      </c>
      <c r="J697" s="10" t="s">
        <v>40</v>
      </c>
      <c r="K697" s="10" t="s">
        <v>98</v>
      </c>
      <c r="L697" s="15" t="s">
        <v>101</v>
      </c>
    </row>
    <row r="698" spans="1:12" ht="15" customHeight="1">
      <c r="A698" s="14" t="s">
        <v>1362</v>
      </c>
      <c r="B698" s="10" t="s">
        <v>1359</v>
      </c>
      <c r="C698" s="20">
        <v>45920</v>
      </c>
      <c r="D698" s="10" t="s">
        <v>1363</v>
      </c>
      <c r="E698" s="10" t="s">
        <v>1361</v>
      </c>
      <c r="F698" s="10" t="s">
        <v>201</v>
      </c>
      <c r="G698" s="23">
        <v>1</v>
      </c>
      <c r="H698" s="26">
        <v>154.47</v>
      </c>
      <c r="I698" s="29">
        <v>0</v>
      </c>
      <c r="J698" s="10" t="s">
        <v>66</v>
      </c>
      <c r="K698" s="10" t="s">
        <v>98</v>
      </c>
      <c r="L698" s="15" t="s">
        <v>42</v>
      </c>
    </row>
    <row r="699" spans="1:12" ht="15" customHeight="1">
      <c r="A699" s="14" t="s">
        <v>1364</v>
      </c>
      <c r="B699" s="10" t="s">
        <v>1365</v>
      </c>
      <c r="C699" s="20">
        <v>45986</v>
      </c>
      <c r="D699" s="10" t="s">
        <v>268</v>
      </c>
      <c r="E699" s="10" t="s">
        <v>269</v>
      </c>
      <c r="F699" s="10" t="s">
        <v>128</v>
      </c>
      <c r="G699" s="23">
        <v>4</v>
      </c>
      <c r="H699" s="26">
        <v>25.15</v>
      </c>
      <c r="I699" s="29">
        <v>0.1</v>
      </c>
      <c r="J699" s="10" t="s">
        <v>64</v>
      </c>
      <c r="K699" s="10" t="s">
        <v>41</v>
      </c>
      <c r="L699" s="15" t="s">
        <v>52</v>
      </c>
    </row>
    <row r="700" spans="1:12" ht="15" customHeight="1">
      <c r="A700" s="14" t="s">
        <v>1366</v>
      </c>
      <c r="B700" s="10" t="s">
        <v>1365</v>
      </c>
      <c r="C700" s="20">
        <v>45986</v>
      </c>
      <c r="D700" s="10" t="s">
        <v>268</v>
      </c>
      <c r="E700" s="10" t="s">
        <v>269</v>
      </c>
      <c r="F700" s="10" t="s">
        <v>241</v>
      </c>
      <c r="G700" s="23">
        <v>1</v>
      </c>
      <c r="H700" s="26">
        <v>300.56</v>
      </c>
      <c r="I700" s="29">
        <v>0</v>
      </c>
      <c r="J700" s="10" t="s">
        <v>64</v>
      </c>
      <c r="K700" s="10" t="s">
        <v>58</v>
      </c>
      <c r="L700" s="15" t="s">
        <v>67</v>
      </c>
    </row>
    <row r="701" spans="1:12" ht="15" customHeight="1">
      <c r="A701" s="14" t="s">
        <v>1367</v>
      </c>
      <c r="B701" s="10" t="s">
        <v>1365</v>
      </c>
      <c r="C701" s="20">
        <v>45986</v>
      </c>
      <c r="D701" s="10" t="s">
        <v>268</v>
      </c>
      <c r="E701" s="10" t="s">
        <v>269</v>
      </c>
      <c r="F701" s="10" t="s">
        <v>80</v>
      </c>
      <c r="G701" s="23">
        <v>4</v>
      </c>
      <c r="H701" s="26">
        <v>142.16</v>
      </c>
      <c r="I701" s="29">
        <v>0</v>
      </c>
      <c r="J701" s="10" t="s">
        <v>50</v>
      </c>
      <c r="K701" s="10" t="s">
        <v>51</v>
      </c>
      <c r="L701" s="15" t="s">
        <v>67</v>
      </c>
    </row>
    <row r="702" spans="1:12" ht="15" customHeight="1">
      <c r="A702" s="14" t="s">
        <v>1368</v>
      </c>
      <c r="B702" s="10" t="s">
        <v>1369</v>
      </c>
      <c r="C702" s="20">
        <v>45920</v>
      </c>
      <c r="D702" s="10" t="s">
        <v>378</v>
      </c>
      <c r="E702" s="10" t="s">
        <v>135</v>
      </c>
      <c r="F702" s="10" t="s">
        <v>108</v>
      </c>
      <c r="G702" s="23">
        <v>4</v>
      </c>
      <c r="H702" s="26">
        <v>33.369999999999997</v>
      </c>
      <c r="I702" s="29">
        <v>0</v>
      </c>
      <c r="J702" s="10" t="s">
        <v>66</v>
      </c>
      <c r="K702" s="10" t="s">
        <v>41</v>
      </c>
      <c r="L702" s="15" t="s">
        <v>47</v>
      </c>
    </row>
    <row r="703" spans="1:12" ht="15" customHeight="1">
      <c r="A703" s="14" t="s">
        <v>1370</v>
      </c>
      <c r="B703" s="10" t="s">
        <v>1369</v>
      </c>
      <c r="C703" s="20">
        <v>45920</v>
      </c>
      <c r="D703" s="10" t="s">
        <v>378</v>
      </c>
      <c r="E703" s="10" t="s">
        <v>135</v>
      </c>
      <c r="F703" s="10" t="s">
        <v>276</v>
      </c>
      <c r="G703" s="23">
        <v>3</v>
      </c>
      <c r="H703" s="26">
        <v>182.94</v>
      </c>
      <c r="I703" s="29">
        <v>0</v>
      </c>
      <c r="J703" s="10" t="s">
        <v>64</v>
      </c>
      <c r="K703" s="10" t="s">
        <v>98</v>
      </c>
      <c r="L703" s="15" t="s">
        <v>101</v>
      </c>
    </row>
    <row r="704" spans="1:12" ht="15" customHeight="1">
      <c r="A704" s="14" t="s">
        <v>1371</v>
      </c>
      <c r="B704" s="10" t="s">
        <v>1369</v>
      </c>
      <c r="C704" s="20">
        <v>45920</v>
      </c>
      <c r="D704" s="10" t="s">
        <v>378</v>
      </c>
      <c r="E704" s="10" t="s">
        <v>135</v>
      </c>
      <c r="F704" s="10" t="s">
        <v>80</v>
      </c>
      <c r="G704" s="23">
        <v>3</v>
      </c>
      <c r="H704" s="26">
        <v>142.16</v>
      </c>
      <c r="I704" s="29">
        <v>0.05</v>
      </c>
      <c r="J704" s="10" t="s">
        <v>50</v>
      </c>
      <c r="K704" s="10" t="s">
        <v>41</v>
      </c>
      <c r="L704" s="15" t="s">
        <v>67</v>
      </c>
    </row>
    <row r="705" spans="1:12" ht="15" customHeight="1">
      <c r="A705" s="14" t="s">
        <v>1372</v>
      </c>
      <c r="B705" s="10" t="s">
        <v>1369</v>
      </c>
      <c r="C705" s="20">
        <v>45920</v>
      </c>
      <c r="D705" s="10" t="s">
        <v>378</v>
      </c>
      <c r="E705" s="10" t="s">
        <v>135</v>
      </c>
      <c r="F705" s="10" t="s">
        <v>303</v>
      </c>
      <c r="G705" s="23">
        <v>1</v>
      </c>
      <c r="H705" s="26">
        <v>72.81</v>
      </c>
      <c r="I705" s="29">
        <v>0.05</v>
      </c>
      <c r="J705" s="10" t="s">
        <v>40</v>
      </c>
      <c r="K705" s="10" t="s">
        <v>58</v>
      </c>
      <c r="L705" s="15" t="s">
        <v>42</v>
      </c>
    </row>
    <row r="706" spans="1:12" ht="15" customHeight="1">
      <c r="A706" s="14" t="s">
        <v>1373</v>
      </c>
      <c r="B706" s="10" t="s">
        <v>1374</v>
      </c>
      <c r="C706" s="20">
        <v>45852</v>
      </c>
      <c r="D706" s="10" t="s">
        <v>910</v>
      </c>
      <c r="E706" s="10" t="s">
        <v>911</v>
      </c>
      <c r="F706" s="10" t="s">
        <v>241</v>
      </c>
      <c r="G706" s="23">
        <v>1</v>
      </c>
      <c r="H706" s="26">
        <v>300.56</v>
      </c>
      <c r="I706" s="29">
        <v>0.15</v>
      </c>
      <c r="J706" s="10" t="s">
        <v>40</v>
      </c>
      <c r="K706" s="10"/>
      <c r="L706" s="15" t="s">
        <v>52</v>
      </c>
    </row>
    <row r="707" spans="1:12" ht="15" customHeight="1">
      <c r="A707" s="14" t="s">
        <v>1375</v>
      </c>
      <c r="B707" s="10" t="s">
        <v>1374</v>
      </c>
      <c r="C707" s="20">
        <v>45852</v>
      </c>
      <c r="D707" s="10" t="s">
        <v>910</v>
      </c>
      <c r="E707" s="10" t="s">
        <v>911</v>
      </c>
      <c r="F707" s="10" t="s">
        <v>196</v>
      </c>
      <c r="G707" s="23">
        <v>4</v>
      </c>
      <c r="H707" s="26">
        <v>183.73</v>
      </c>
      <c r="I707" s="29">
        <v>0.05</v>
      </c>
      <c r="J707" s="10" t="s">
        <v>50</v>
      </c>
      <c r="K707" s="10"/>
      <c r="L707" s="15" t="s">
        <v>101</v>
      </c>
    </row>
    <row r="708" spans="1:12" ht="15" customHeight="1">
      <c r="A708" s="14" t="s">
        <v>1376</v>
      </c>
      <c r="B708" s="10" t="s">
        <v>1377</v>
      </c>
      <c r="C708" s="20">
        <v>45985</v>
      </c>
      <c r="D708" s="10" t="s">
        <v>733</v>
      </c>
      <c r="E708" s="10" t="s">
        <v>734</v>
      </c>
      <c r="F708" s="10" t="s">
        <v>77</v>
      </c>
      <c r="G708" s="23">
        <v>3</v>
      </c>
      <c r="H708" s="26">
        <v>34.909999999999997</v>
      </c>
      <c r="I708" s="29">
        <v>0.1</v>
      </c>
      <c r="J708" s="10" t="s">
        <v>45</v>
      </c>
      <c r="K708" s="10" t="s">
        <v>98</v>
      </c>
      <c r="L708" s="15" t="s">
        <v>47</v>
      </c>
    </row>
    <row r="709" spans="1:12" ht="15" customHeight="1">
      <c r="A709" s="14" t="s">
        <v>1378</v>
      </c>
      <c r="B709" s="10" t="s">
        <v>1377</v>
      </c>
      <c r="C709" s="20">
        <v>45985</v>
      </c>
      <c r="D709" s="10" t="s">
        <v>733</v>
      </c>
      <c r="E709" s="10" t="s">
        <v>734</v>
      </c>
      <c r="F709" s="10" t="s">
        <v>241</v>
      </c>
      <c r="G709" s="23">
        <v>4</v>
      </c>
      <c r="H709" s="26">
        <v>300.56</v>
      </c>
      <c r="I709" s="29">
        <v>0.1</v>
      </c>
      <c r="J709" s="10" t="s">
        <v>70</v>
      </c>
      <c r="K709" s="10" t="s">
        <v>41</v>
      </c>
      <c r="L709" s="15" t="s">
        <v>47</v>
      </c>
    </row>
    <row r="710" spans="1:12" ht="15" customHeight="1">
      <c r="A710" s="14" t="s">
        <v>1379</v>
      </c>
      <c r="B710" s="10" t="s">
        <v>1380</v>
      </c>
      <c r="C710" s="20">
        <v>45992</v>
      </c>
      <c r="D710" s="10" t="s">
        <v>55</v>
      </c>
      <c r="E710" s="10" t="s">
        <v>56</v>
      </c>
      <c r="F710" s="10" t="s">
        <v>110</v>
      </c>
      <c r="G710" s="23">
        <v>2</v>
      </c>
      <c r="H710" s="26">
        <v>133.24</v>
      </c>
      <c r="I710" s="29">
        <v>0</v>
      </c>
      <c r="J710" s="10" t="s">
        <v>50</v>
      </c>
      <c r="K710" s="10"/>
      <c r="L710" s="15" t="s">
        <v>42</v>
      </c>
    </row>
    <row r="711" spans="1:12" ht="15" customHeight="1">
      <c r="A711" s="14" t="s">
        <v>1381</v>
      </c>
      <c r="B711" s="10" t="s">
        <v>1380</v>
      </c>
      <c r="C711" s="20">
        <v>45992</v>
      </c>
      <c r="D711" s="10" t="s">
        <v>55</v>
      </c>
      <c r="E711" s="10" t="s">
        <v>56</v>
      </c>
      <c r="F711" s="10" t="s">
        <v>784</v>
      </c>
      <c r="G711" s="23">
        <v>1</v>
      </c>
      <c r="H711" s="26">
        <v>96.33</v>
      </c>
      <c r="I711" s="29">
        <v>0</v>
      </c>
      <c r="J711" s="10" t="s">
        <v>40</v>
      </c>
      <c r="K711" s="10" t="s">
        <v>46</v>
      </c>
      <c r="L711" s="15" t="s">
        <v>52</v>
      </c>
    </row>
    <row r="712" spans="1:12" ht="15" customHeight="1">
      <c r="A712" s="14" t="s">
        <v>1382</v>
      </c>
      <c r="B712" s="10" t="s">
        <v>1383</v>
      </c>
      <c r="C712" s="20">
        <v>45782</v>
      </c>
      <c r="D712" s="10" t="s">
        <v>1384</v>
      </c>
      <c r="E712" s="10" t="s">
        <v>1385</v>
      </c>
      <c r="F712" s="10" t="s">
        <v>279</v>
      </c>
      <c r="G712" s="23">
        <v>2</v>
      </c>
      <c r="H712" s="26">
        <v>52.79</v>
      </c>
      <c r="I712" s="29">
        <v>0</v>
      </c>
      <c r="J712" s="10" t="s">
        <v>50</v>
      </c>
      <c r="K712" s="10" t="s">
        <v>51</v>
      </c>
      <c r="L712" s="15" t="s">
        <v>42</v>
      </c>
    </row>
    <row r="713" spans="1:12" ht="15" customHeight="1">
      <c r="A713" s="14" t="s">
        <v>1386</v>
      </c>
      <c r="B713" s="10" t="s">
        <v>1383</v>
      </c>
      <c r="C713" s="20">
        <v>45782</v>
      </c>
      <c r="D713" s="10" t="s">
        <v>1384</v>
      </c>
      <c r="E713" s="10" t="s">
        <v>1385</v>
      </c>
      <c r="F713" s="10" t="s">
        <v>241</v>
      </c>
      <c r="G713" s="23">
        <v>2</v>
      </c>
      <c r="H713" s="26">
        <v>300.56</v>
      </c>
      <c r="I713" s="29">
        <v>0.05</v>
      </c>
      <c r="J713" s="10" t="s">
        <v>40</v>
      </c>
      <c r="K713" s="10" t="s">
        <v>46</v>
      </c>
      <c r="L713" s="15" t="s">
        <v>42</v>
      </c>
    </row>
    <row r="714" spans="1:12" ht="15" customHeight="1">
      <c r="A714" s="14" t="s">
        <v>1387</v>
      </c>
      <c r="B714" s="10" t="s">
        <v>1383</v>
      </c>
      <c r="C714" s="20">
        <v>45782</v>
      </c>
      <c r="D714" s="10" t="s">
        <v>1384</v>
      </c>
      <c r="E714" s="10" t="s">
        <v>1385</v>
      </c>
      <c r="F714" s="10" t="s">
        <v>316</v>
      </c>
      <c r="G714" s="23">
        <v>4</v>
      </c>
      <c r="H714" s="26">
        <v>180.37</v>
      </c>
      <c r="I714" s="29">
        <v>0.05</v>
      </c>
      <c r="J714" s="10" t="s">
        <v>66</v>
      </c>
      <c r="K714" s="10" t="s">
        <v>98</v>
      </c>
      <c r="L714" s="15" t="s">
        <v>47</v>
      </c>
    </row>
    <row r="715" spans="1:12" ht="15" customHeight="1">
      <c r="A715" s="14" t="s">
        <v>1388</v>
      </c>
      <c r="B715" s="10" t="s">
        <v>1389</v>
      </c>
      <c r="C715" s="20">
        <v>45734.041666666664</v>
      </c>
      <c r="D715" s="10" t="s">
        <v>992</v>
      </c>
      <c r="E715" s="10" t="s">
        <v>993</v>
      </c>
      <c r="F715" s="10" t="s">
        <v>112</v>
      </c>
      <c r="G715" s="23">
        <v>3</v>
      </c>
      <c r="H715" s="26">
        <v>88.61</v>
      </c>
      <c r="I715" s="29">
        <v>0</v>
      </c>
      <c r="J715" s="10" t="s">
        <v>50</v>
      </c>
      <c r="K715" s="10" t="s">
        <v>98</v>
      </c>
      <c r="L715" s="15" t="s">
        <v>101</v>
      </c>
    </row>
    <row r="716" spans="1:12" ht="15" customHeight="1">
      <c r="A716" s="14" t="s">
        <v>1390</v>
      </c>
      <c r="B716" s="10" t="s">
        <v>1389</v>
      </c>
      <c r="C716" s="20">
        <v>45734.041666666664</v>
      </c>
      <c r="D716" s="10" t="s">
        <v>992</v>
      </c>
      <c r="E716" s="10" t="s">
        <v>993</v>
      </c>
      <c r="F716" s="10" t="s">
        <v>100</v>
      </c>
      <c r="G716" s="23">
        <v>4</v>
      </c>
      <c r="H716" s="26">
        <v>42.72</v>
      </c>
      <c r="I716" s="29">
        <v>0.1</v>
      </c>
      <c r="J716" s="10" t="s">
        <v>45</v>
      </c>
      <c r="K716" s="10" t="s">
        <v>41</v>
      </c>
      <c r="L716" s="15" t="s">
        <v>42</v>
      </c>
    </row>
    <row r="717" spans="1:12" ht="15" customHeight="1">
      <c r="A717" s="14" t="s">
        <v>1391</v>
      </c>
      <c r="B717" s="10" t="s">
        <v>1389</v>
      </c>
      <c r="C717" s="20">
        <v>45734.041666666664</v>
      </c>
      <c r="D717" s="10" t="s">
        <v>992</v>
      </c>
      <c r="E717" s="10" t="s">
        <v>993</v>
      </c>
      <c r="F717" s="10" t="s">
        <v>784</v>
      </c>
      <c r="G717" s="23">
        <v>3</v>
      </c>
      <c r="H717" s="26">
        <v>96.33</v>
      </c>
      <c r="I717" s="29">
        <v>0</v>
      </c>
      <c r="J717" s="10" t="s">
        <v>40</v>
      </c>
      <c r="K717" s="10" t="s">
        <v>46</v>
      </c>
      <c r="L717" s="15" t="s">
        <v>47</v>
      </c>
    </row>
    <row r="718" spans="1:12" ht="15" customHeight="1">
      <c r="A718" s="14" t="s">
        <v>1392</v>
      </c>
      <c r="B718" s="10" t="s">
        <v>1389</v>
      </c>
      <c r="C718" s="20">
        <v>45734.041666666664</v>
      </c>
      <c r="D718" s="10" t="s">
        <v>992</v>
      </c>
      <c r="E718" s="10" t="s">
        <v>993</v>
      </c>
      <c r="F718" s="10" t="s">
        <v>88</v>
      </c>
      <c r="G718" s="23">
        <v>3</v>
      </c>
      <c r="H718" s="26">
        <v>147.46</v>
      </c>
      <c r="I718" s="29">
        <v>0</v>
      </c>
      <c r="J718" s="10" t="s">
        <v>40</v>
      </c>
      <c r="K718" s="10" t="s">
        <v>46</v>
      </c>
      <c r="L718" s="15" t="s">
        <v>47</v>
      </c>
    </row>
    <row r="719" spans="1:12" ht="15" customHeight="1">
      <c r="A719" s="14" t="s">
        <v>1393</v>
      </c>
      <c r="B719" s="10" t="s">
        <v>1394</v>
      </c>
      <c r="C719" s="20">
        <v>45945</v>
      </c>
      <c r="D719" s="10" t="s">
        <v>96</v>
      </c>
      <c r="E719" s="10" t="s">
        <v>97</v>
      </c>
      <c r="F719" s="10" t="s">
        <v>152</v>
      </c>
      <c r="G719" s="23">
        <v>4</v>
      </c>
      <c r="H719" s="26">
        <v>234.37</v>
      </c>
      <c r="I719" s="29">
        <v>0.1</v>
      </c>
      <c r="J719" s="10" t="s">
        <v>45</v>
      </c>
      <c r="K719" s="10" t="s">
        <v>58</v>
      </c>
      <c r="L719" s="15" t="s">
        <v>67</v>
      </c>
    </row>
    <row r="720" spans="1:12" ht="15" customHeight="1">
      <c r="A720" s="14" t="s">
        <v>1395</v>
      </c>
      <c r="B720" s="10" t="s">
        <v>1394</v>
      </c>
      <c r="C720" s="20">
        <v>45945</v>
      </c>
      <c r="D720" s="10" t="s">
        <v>96</v>
      </c>
      <c r="E720" s="10" t="s">
        <v>97</v>
      </c>
      <c r="F720" s="10" t="s">
        <v>428</v>
      </c>
      <c r="G720" s="23">
        <v>1</v>
      </c>
      <c r="H720" s="26">
        <v>110.88</v>
      </c>
      <c r="I720" s="29">
        <v>0</v>
      </c>
      <c r="J720" s="10" t="s">
        <v>70</v>
      </c>
      <c r="K720" s="10" t="s">
        <v>51</v>
      </c>
      <c r="L720" s="15" t="s">
        <v>101</v>
      </c>
    </row>
    <row r="721" spans="1:12" ht="15" customHeight="1">
      <c r="A721" s="14" t="s">
        <v>1396</v>
      </c>
      <c r="B721" s="10" t="s">
        <v>1394</v>
      </c>
      <c r="C721" s="20">
        <v>45945</v>
      </c>
      <c r="D721" s="10" t="s">
        <v>96</v>
      </c>
      <c r="E721" s="10" t="s">
        <v>97</v>
      </c>
      <c r="F721" s="10" t="s">
        <v>63</v>
      </c>
      <c r="G721" s="23">
        <v>2</v>
      </c>
      <c r="H721" s="26">
        <v>105.38</v>
      </c>
      <c r="I721" s="29">
        <v>0</v>
      </c>
      <c r="J721" s="10" t="s">
        <v>64</v>
      </c>
      <c r="K721" s="10" t="s">
        <v>98</v>
      </c>
      <c r="L721" s="15" t="s">
        <v>52</v>
      </c>
    </row>
    <row r="722" spans="1:12" ht="15" customHeight="1">
      <c r="A722" s="14" t="s">
        <v>1397</v>
      </c>
      <c r="B722" s="10" t="s">
        <v>1398</v>
      </c>
      <c r="C722" s="20">
        <v>45833</v>
      </c>
      <c r="D722" s="10" t="s">
        <v>1123</v>
      </c>
      <c r="E722" s="10" t="s">
        <v>275</v>
      </c>
      <c r="F722" s="10" t="s">
        <v>130</v>
      </c>
      <c r="G722" s="23">
        <v>2</v>
      </c>
      <c r="H722" s="26">
        <v>265.73</v>
      </c>
      <c r="I722" s="29">
        <v>0</v>
      </c>
      <c r="J722" s="10" t="s">
        <v>64</v>
      </c>
      <c r="K722" s="10"/>
      <c r="L722" s="15" t="s">
        <v>47</v>
      </c>
    </row>
    <row r="723" spans="1:12" ht="15" customHeight="1">
      <c r="A723" s="14" t="s">
        <v>1399</v>
      </c>
      <c r="B723" s="10" t="s">
        <v>1400</v>
      </c>
      <c r="C723" s="20">
        <v>45893</v>
      </c>
      <c r="D723" s="10" t="s">
        <v>598</v>
      </c>
      <c r="E723" s="10" t="s">
        <v>599</v>
      </c>
      <c r="F723" s="10" t="s">
        <v>93</v>
      </c>
      <c r="G723" s="23">
        <v>2</v>
      </c>
      <c r="H723" s="26">
        <v>208.89</v>
      </c>
      <c r="I723" s="29">
        <v>0</v>
      </c>
      <c r="J723" s="10" t="s">
        <v>70</v>
      </c>
      <c r="K723" s="10" t="s">
        <v>51</v>
      </c>
      <c r="L723" s="15" t="s">
        <v>101</v>
      </c>
    </row>
    <row r="724" spans="1:12" ht="15" customHeight="1">
      <c r="A724" s="14" t="s">
        <v>1401</v>
      </c>
      <c r="B724" s="10" t="s">
        <v>1400</v>
      </c>
      <c r="C724" s="20">
        <v>45893</v>
      </c>
      <c r="D724" s="10" t="s">
        <v>598</v>
      </c>
      <c r="E724" s="10" t="s">
        <v>599</v>
      </c>
      <c r="F724" s="10" t="s">
        <v>100</v>
      </c>
      <c r="G724" s="23">
        <v>3</v>
      </c>
      <c r="H724" s="26">
        <v>42.72</v>
      </c>
      <c r="I724" s="29">
        <v>0</v>
      </c>
      <c r="J724" s="10" t="s">
        <v>50</v>
      </c>
      <c r="K724" s="10" t="s">
        <v>51</v>
      </c>
      <c r="L724" s="15" t="s">
        <v>67</v>
      </c>
    </row>
    <row r="725" spans="1:12" ht="15" customHeight="1">
      <c r="A725" s="14" t="s">
        <v>1402</v>
      </c>
      <c r="B725" s="10" t="s">
        <v>1400</v>
      </c>
      <c r="C725" s="20">
        <v>45893</v>
      </c>
      <c r="D725" s="10" t="s">
        <v>598</v>
      </c>
      <c r="E725" s="10" t="s">
        <v>599</v>
      </c>
      <c r="F725" s="10" t="s">
        <v>204</v>
      </c>
      <c r="G725" s="23">
        <v>1</v>
      </c>
      <c r="H725" s="26">
        <v>244.25</v>
      </c>
      <c r="I725" s="29">
        <v>0</v>
      </c>
      <c r="J725" s="10" t="s">
        <v>64</v>
      </c>
      <c r="K725" s="10" t="s">
        <v>41</v>
      </c>
      <c r="L725" s="15" t="s">
        <v>67</v>
      </c>
    </row>
    <row r="726" spans="1:12" ht="15" customHeight="1">
      <c r="A726" s="14" t="s">
        <v>1403</v>
      </c>
      <c r="B726" s="10" t="s">
        <v>1404</v>
      </c>
      <c r="C726" s="20">
        <v>45816</v>
      </c>
      <c r="D726" s="10" t="s">
        <v>1405</v>
      </c>
      <c r="E726" s="10" t="s">
        <v>1406</v>
      </c>
      <c r="F726" s="10" t="s">
        <v>83</v>
      </c>
      <c r="G726" s="23">
        <v>3</v>
      </c>
      <c r="H726" s="26">
        <v>115.28</v>
      </c>
      <c r="I726" s="29">
        <v>0</v>
      </c>
      <c r="J726" s="10" t="s">
        <v>64</v>
      </c>
      <c r="K726" s="10"/>
      <c r="L726" s="15" t="s">
        <v>52</v>
      </c>
    </row>
    <row r="727" spans="1:12" ht="15" customHeight="1">
      <c r="A727" s="14" t="s">
        <v>1407</v>
      </c>
      <c r="B727" s="10" t="s">
        <v>1404</v>
      </c>
      <c r="C727" s="20">
        <v>45816</v>
      </c>
      <c r="D727" s="10" t="s">
        <v>1405</v>
      </c>
      <c r="E727" s="10" t="s">
        <v>1406</v>
      </c>
      <c r="F727" s="10" t="s">
        <v>332</v>
      </c>
      <c r="G727" s="23">
        <v>4</v>
      </c>
      <c r="H727" s="26">
        <v>273.89</v>
      </c>
      <c r="I727" s="29">
        <v>0</v>
      </c>
      <c r="J727" s="10" t="s">
        <v>45</v>
      </c>
      <c r="K727" s="10" t="s">
        <v>41</v>
      </c>
      <c r="L727" s="15" t="s">
        <v>67</v>
      </c>
    </row>
    <row r="728" spans="1:12" ht="15" customHeight="1">
      <c r="A728" s="14" t="s">
        <v>1408</v>
      </c>
      <c r="B728" s="10" t="s">
        <v>1409</v>
      </c>
      <c r="C728" s="20">
        <v>45789</v>
      </c>
      <c r="D728" s="10" t="s">
        <v>437</v>
      </c>
      <c r="E728" s="10" t="s">
        <v>438</v>
      </c>
      <c r="F728" s="10" t="s">
        <v>332</v>
      </c>
      <c r="G728" s="23">
        <v>3</v>
      </c>
      <c r="H728" s="26">
        <v>273.89</v>
      </c>
      <c r="I728" s="29">
        <v>0</v>
      </c>
      <c r="J728" s="10" t="s">
        <v>66</v>
      </c>
      <c r="K728" s="10" t="s">
        <v>51</v>
      </c>
      <c r="L728" s="15" t="s">
        <v>42</v>
      </c>
    </row>
    <row r="729" spans="1:12" ht="15" customHeight="1">
      <c r="A729" s="14" t="s">
        <v>1410</v>
      </c>
      <c r="B729" s="10" t="s">
        <v>1409</v>
      </c>
      <c r="C729" s="20">
        <v>45789</v>
      </c>
      <c r="D729" s="10" t="s">
        <v>437</v>
      </c>
      <c r="E729" s="10" t="s">
        <v>438</v>
      </c>
      <c r="F729" s="10" t="s">
        <v>316</v>
      </c>
      <c r="G729" s="23">
        <v>2</v>
      </c>
      <c r="H729" s="26">
        <v>180.37</v>
      </c>
      <c r="I729" s="29">
        <v>0.1</v>
      </c>
      <c r="J729" s="10" t="s">
        <v>64</v>
      </c>
      <c r="K729" s="10" t="s">
        <v>98</v>
      </c>
      <c r="L729" s="15" t="s">
        <v>67</v>
      </c>
    </row>
    <row r="730" spans="1:12" ht="15" customHeight="1">
      <c r="A730" s="14" t="s">
        <v>1411</v>
      </c>
      <c r="B730" s="10" t="s">
        <v>1409</v>
      </c>
      <c r="C730" s="20">
        <v>45789</v>
      </c>
      <c r="D730" s="10" t="s">
        <v>437</v>
      </c>
      <c r="E730" s="10" t="s">
        <v>438</v>
      </c>
      <c r="F730" s="10" t="s">
        <v>180</v>
      </c>
      <c r="G730" s="23">
        <v>2</v>
      </c>
      <c r="H730" s="26">
        <v>91.75</v>
      </c>
      <c r="I730" s="29">
        <v>0.05</v>
      </c>
      <c r="J730" s="10" t="s">
        <v>64</v>
      </c>
      <c r="K730" s="10" t="s">
        <v>51</v>
      </c>
      <c r="L730" s="15" t="s">
        <v>67</v>
      </c>
    </row>
    <row r="731" spans="1:12" ht="15" customHeight="1">
      <c r="A731" s="14" t="s">
        <v>1412</v>
      </c>
      <c r="B731" s="10" t="s">
        <v>1409</v>
      </c>
      <c r="C731" s="20">
        <v>45789</v>
      </c>
      <c r="D731" s="10" t="s">
        <v>437</v>
      </c>
      <c r="E731" s="10" t="s">
        <v>438</v>
      </c>
      <c r="F731" s="10" t="s">
        <v>57</v>
      </c>
      <c r="G731" s="23">
        <v>3</v>
      </c>
      <c r="H731" s="26">
        <v>208.81</v>
      </c>
      <c r="I731" s="29">
        <v>0</v>
      </c>
      <c r="J731" s="10" t="s">
        <v>50</v>
      </c>
      <c r="K731" s="10" t="s">
        <v>98</v>
      </c>
      <c r="L731" s="15" t="s">
        <v>47</v>
      </c>
    </row>
    <row r="732" spans="1:12" ht="15" customHeight="1">
      <c r="A732" s="14" t="s">
        <v>1413</v>
      </c>
      <c r="B732" s="10" t="s">
        <v>1414</v>
      </c>
      <c r="C732" s="20">
        <v>45934</v>
      </c>
      <c r="D732" s="10" t="s">
        <v>1415</v>
      </c>
      <c r="E732" s="10" t="s">
        <v>1416</v>
      </c>
      <c r="F732" s="10" t="s">
        <v>495</v>
      </c>
      <c r="G732" s="23">
        <v>3</v>
      </c>
      <c r="H732" s="26">
        <v>207.71</v>
      </c>
      <c r="I732" s="29">
        <v>0</v>
      </c>
      <c r="J732" s="10" t="s">
        <v>50</v>
      </c>
      <c r="K732" s="10"/>
      <c r="L732" s="15" t="s">
        <v>67</v>
      </c>
    </row>
    <row r="733" spans="1:12" ht="15" customHeight="1">
      <c r="A733" s="14" t="s">
        <v>1417</v>
      </c>
      <c r="B733" s="10" t="s">
        <v>1414</v>
      </c>
      <c r="C733" s="20">
        <v>45934</v>
      </c>
      <c r="D733" s="10" t="s">
        <v>1415</v>
      </c>
      <c r="E733" s="10" t="s">
        <v>1416</v>
      </c>
      <c r="F733" s="10" t="s">
        <v>44</v>
      </c>
      <c r="G733" s="23">
        <v>1</v>
      </c>
      <c r="H733" s="26">
        <v>238.47</v>
      </c>
      <c r="I733" s="29">
        <v>0.15</v>
      </c>
      <c r="J733" s="10" t="s">
        <v>70</v>
      </c>
      <c r="K733" s="10" t="s">
        <v>46</v>
      </c>
      <c r="L733" s="15" t="s">
        <v>67</v>
      </c>
    </row>
    <row r="734" spans="1:12" ht="15" customHeight="1">
      <c r="A734" s="14" t="s">
        <v>1418</v>
      </c>
      <c r="B734" s="10" t="s">
        <v>1419</v>
      </c>
      <c r="C734" s="20">
        <v>45731.041666666664</v>
      </c>
      <c r="D734" s="10" t="s">
        <v>425</v>
      </c>
      <c r="E734" s="10" t="s">
        <v>426</v>
      </c>
      <c r="F734" s="10" t="s">
        <v>106</v>
      </c>
      <c r="G734" s="23">
        <v>1</v>
      </c>
      <c r="H734" s="26">
        <v>195.38</v>
      </c>
      <c r="I734" s="29">
        <v>0</v>
      </c>
      <c r="J734" s="10" t="s">
        <v>64</v>
      </c>
      <c r="K734" s="10" t="s">
        <v>51</v>
      </c>
      <c r="L734" s="15" t="s">
        <v>42</v>
      </c>
    </row>
    <row r="735" spans="1:12" ht="15" customHeight="1">
      <c r="A735" s="14" t="s">
        <v>1420</v>
      </c>
      <c r="B735" s="10" t="s">
        <v>1419</v>
      </c>
      <c r="C735" s="20">
        <v>45731.041666666664</v>
      </c>
      <c r="D735" s="10" t="s">
        <v>425</v>
      </c>
      <c r="E735" s="10" t="s">
        <v>426</v>
      </c>
      <c r="F735" s="10" t="s">
        <v>495</v>
      </c>
      <c r="G735" s="23">
        <v>2</v>
      </c>
      <c r="H735" s="26">
        <v>207.71</v>
      </c>
      <c r="I735" s="29">
        <v>0.15</v>
      </c>
      <c r="J735" s="10" t="s">
        <v>66</v>
      </c>
      <c r="K735" s="10" t="s">
        <v>98</v>
      </c>
      <c r="L735" s="15" t="s">
        <v>42</v>
      </c>
    </row>
    <row r="736" spans="1:12" ht="15" customHeight="1">
      <c r="A736" s="14" t="s">
        <v>1421</v>
      </c>
      <c r="B736" s="10" t="s">
        <v>1419</v>
      </c>
      <c r="C736" s="20">
        <v>45731.041666666664</v>
      </c>
      <c r="D736" s="10" t="s">
        <v>425</v>
      </c>
      <c r="E736" s="10" t="s">
        <v>426</v>
      </c>
      <c r="F736" s="10" t="s">
        <v>110</v>
      </c>
      <c r="G736" s="23">
        <v>2</v>
      </c>
      <c r="H736" s="26">
        <v>133.24</v>
      </c>
      <c r="I736" s="29">
        <v>0.05</v>
      </c>
      <c r="J736" s="10" t="s">
        <v>50</v>
      </c>
      <c r="K736" s="10"/>
      <c r="L736" s="15" t="s">
        <v>42</v>
      </c>
    </row>
    <row r="737" spans="1:12" ht="15" customHeight="1">
      <c r="A737" s="14" t="s">
        <v>1422</v>
      </c>
      <c r="B737" s="10" t="s">
        <v>1423</v>
      </c>
      <c r="C737" s="20">
        <v>45924</v>
      </c>
      <c r="D737" s="10" t="s">
        <v>866</v>
      </c>
      <c r="E737" s="10" t="s">
        <v>867</v>
      </c>
      <c r="F737" s="10" t="s">
        <v>220</v>
      </c>
      <c r="G737" s="23">
        <v>3</v>
      </c>
      <c r="H737" s="26">
        <v>25.01</v>
      </c>
      <c r="I737" s="29">
        <v>0.05</v>
      </c>
      <c r="J737" s="10" t="s">
        <v>50</v>
      </c>
      <c r="K737" s="10" t="s">
        <v>98</v>
      </c>
      <c r="L737" s="15" t="s">
        <v>42</v>
      </c>
    </row>
    <row r="738" spans="1:12" ht="15" customHeight="1">
      <c r="A738" s="14" t="s">
        <v>1424</v>
      </c>
      <c r="B738" s="10" t="s">
        <v>1425</v>
      </c>
      <c r="C738" s="20">
        <v>45792</v>
      </c>
      <c r="D738" s="10" t="s">
        <v>75</v>
      </c>
      <c r="E738" s="10" t="s">
        <v>76</v>
      </c>
      <c r="F738" s="10" t="s">
        <v>495</v>
      </c>
      <c r="G738" s="23">
        <v>2</v>
      </c>
      <c r="H738" s="26">
        <v>207.71</v>
      </c>
      <c r="I738" s="29">
        <v>0.15</v>
      </c>
      <c r="J738" s="10" t="s">
        <v>64</v>
      </c>
      <c r="K738" s="10" t="s">
        <v>58</v>
      </c>
      <c r="L738" s="15" t="s">
        <v>42</v>
      </c>
    </row>
    <row r="739" spans="1:12" ht="15" customHeight="1">
      <c r="A739" s="14" t="s">
        <v>1426</v>
      </c>
      <c r="B739" s="10" t="s">
        <v>1425</v>
      </c>
      <c r="C739" s="20">
        <v>45792</v>
      </c>
      <c r="D739" s="10" t="s">
        <v>75</v>
      </c>
      <c r="E739" s="10" t="s">
        <v>76</v>
      </c>
      <c r="F739" s="10" t="s">
        <v>112</v>
      </c>
      <c r="G739" s="23">
        <v>1</v>
      </c>
      <c r="H739" s="26">
        <v>88.61</v>
      </c>
      <c r="I739" s="29">
        <v>0.1</v>
      </c>
      <c r="J739" s="10" t="s">
        <v>45</v>
      </c>
      <c r="K739" s="10" t="s">
        <v>41</v>
      </c>
      <c r="L739" s="15" t="s">
        <v>47</v>
      </c>
    </row>
    <row r="740" spans="1:12" ht="15" customHeight="1">
      <c r="A740" s="14" t="s">
        <v>1427</v>
      </c>
      <c r="B740" s="10" t="s">
        <v>1425</v>
      </c>
      <c r="C740" s="20">
        <v>45792</v>
      </c>
      <c r="D740" s="10" t="s">
        <v>75</v>
      </c>
      <c r="E740" s="10" t="s">
        <v>76</v>
      </c>
      <c r="F740" s="10" t="s">
        <v>49</v>
      </c>
      <c r="G740" s="23">
        <v>3</v>
      </c>
      <c r="H740" s="26">
        <v>300.16000000000003</v>
      </c>
      <c r="I740" s="29">
        <v>0.1</v>
      </c>
      <c r="J740" s="10" t="s">
        <v>45</v>
      </c>
      <c r="K740" s="10"/>
      <c r="L740" s="15" t="s">
        <v>52</v>
      </c>
    </row>
    <row r="741" spans="1:12" ht="15" customHeight="1">
      <c r="A741" s="14" t="s">
        <v>1428</v>
      </c>
      <c r="B741" s="10" t="s">
        <v>1425</v>
      </c>
      <c r="C741" s="20">
        <v>45792</v>
      </c>
      <c r="D741" s="10" t="s">
        <v>75</v>
      </c>
      <c r="E741" s="10" t="s">
        <v>76</v>
      </c>
      <c r="F741" s="10" t="s">
        <v>128</v>
      </c>
      <c r="G741" s="23">
        <v>2</v>
      </c>
      <c r="H741" s="26">
        <v>25.15</v>
      </c>
      <c r="I741" s="29">
        <v>0.1</v>
      </c>
      <c r="J741" s="10" t="s">
        <v>66</v>
      </c>
      <c r="K741" s="10" t="s">
        <v>41</v>
      </c>
      <c r="L741" s="15" t="s">
        <v>42</v>
      </c>
    </row>
    <row r="742" spans="1:12" ht="15" customHeight="1">
      <c r="A742" s="14" t="s">
        <v>1429</v>
      </c>
      <c r="B742" s="10" t="s">
        <v>1430</v>
      </c>
      <c r="C742" s="20">
        <v>45943</v>
      </c>
      <c r="D742" s="10" t="s">
        <v>358</v>
      </c>
      <c r="E742" s="10" t="s">
        <v>359</v>
      </c>
      <c r="F742" s="10" t="s">
        <v>201</v>
      </c>
      <c r="G742" s="23">
        <v>4</v>
      </c>
      <c r="H742" s="26">
        <v>154.47</v>
      </c>
      <c r="I742" s="29">
        <v>0</v>
      </c>
      <c r="J742" s="10" t="s">
        <v>70</v>
      </c>
      <c r="K742" s="10" t="s">
        <v>98</v>
      </c>
      <c r="L742" s="15" t="s">
        <v>52</v>
      </c>
    </row>
    <row r="743" spans="1:12" ht="15" customHeight="1">
      <c r="A743" s="14" t="s">
        <v>1431</v>
      </c>
      <c r="B743" s="10" t="s">
        <v>1430</v>
      </c>
      <c r="C743" s="20">
        <v>45943</v>
      </c>
      <c r="D743" s="10" t="s">
        <v>358</v>
      </c>
      <c r="E743" s="10" t="s">
        <v>359</v>
      </c>
      <c r="F743" s="10" t="s">
        <v>117</v>
      </c>
      <c r="G743" s="23">
        <v>4</v>
      </c>
      <c r="H743" s="26">
        <v>251.17</v>
      </c>
      <c r="I743" s="29">
        <v>0.15</v>
      </c>
      <c r="J743" s="10" t="s">
        <v>64</v>
      </c>
      <c r="K743" s="10" t="s">
        <v>58</v>
      </c>
      <c r="L743" s="15" t="s">
        <v>42</v>
      </c>
    </row>
    <row r="744" spans="1:12" ht="15" customHeight="1">
      <c r="A744" s="14" t="s">
        <v>1432</v>
      </c>
      <c r="B744" s="10" t="s">
        <v>1430</v>
      </c>
      <c r="C744" s="20">
        <v>45943</v>
      </c>
      <c r="D744" s="10" t="s">
        <v>358</v>
      </c>
      <c r="E744" s="10" t="s">
        <v>359</v>
      </c>
      <c r="F744" s="10" t="s">
        <v>220</v>
      </c>
      <c r="G744" s="23">
        <v>4</v>
      </c>
      <c r="H744" s="26">
        <v>25.01</v>
      </c>
      <c r="I744" s="29">
        <v>0.05</v>
      </c>
      <c r="J744" s="10" t="s">
        <v>66</v>
      </c>
      <c r="K744" s="10" t="s">
        <v>58</v>
      </c>
      <c r="L744" s="15" t="s">
        <v>42</v>
      </c>
    </row>
    <row r="745" spans="1:12" ht="15" customHeight="1">
      <c r="A745" s="14" t="s">
        <v>1433</v>
      </c>
      <c r="B745" s="10" t="s">
        <v>1430</v>
      </c>
      <c r="C745" s="20">
        <v>45943</v>
      </c>
      <c r="D745" s="10" t="s">
        <v>358</v>
      </c>
      <c r="E745" s="10" t="s">
        <v>359</v>
      </c>
      <c r="F745" s="10" t="s">
        <v>303</v>
      </c>
      <c r="G745" s="23">
        <v>2</v>
      </c>
      <c r="H745" s="26">
        <v>72.81</v>
      </c>
      <c r="I745" s="29">
        <v>0.1</v>
      </c>
      <c r="J745" s="10" t="s">
        <v>50</v>
      </c>
      <c r="K745" s="10" t="s">
        <v>51</v>
      </c>
      <c r="L745" s="15" t="s">
        <v>101</v>
      </c>
    </row>
    <row r="746" spans="1:12" ht="15" customHeight="1">
      <c r="A746" s="14" t="s">
        <v>1434</v>
      </c>
      <c r="B746" s="10" t="s">
        <v>1435</v>
      </c>
      <c r="C746" s="20">
        <v>45969</v>
      </c>
      <c r="D746" s="10" t="s">
        <v>684</v>
      </c>
      <c r="E746" s="10" t="s">
        <v>685</v>
      </c>
      <c r="F746" s="10" t="s">
        <v>80</v>
      </c>
      <c r="G746" s="23">
        <v>3</v>
      </c>
      <c r="H746" s="26">
        <v>142.16</v>
      </c>
      <c r="I746" s="29">
        <v>0.05</v>
      </c>
      <c r="J746" s="10" t="s">
        <v>40</v>
      </c>
      <c r="K746" s="10" t="s">
        <v>46</v>
      </c>
      <c r="L746" s="15" t="s">
        <v>42</v>
      </c>
    </row>
    <row r="747" spans="1:12" ht="15" customHeight="1">
      <c r="A747" s="14" t="s">
        <v>1436</v>
      </c>
      <c r="B747" s="10" t="s">
        <v>1437</v>
      </c>
      <c r="C747" s="20">
        <v>45964</v>
      </c>
      <c r="D747" s="10" t="s">
        <v>1438</v>
      </c>
      <c r="E747" s="10" t="s">
        <v>1439</v>
      </c>
      <c r="F747" s="10" t="s">
        <v>44</v>
      </c>
      <c r="G747" s="23">
        <v>2</v>
      </c>
      <c r="H747" s="26">
        <v>238.47</v>
      </c>
      <c r="I747" s="29">
        <v>0</v>
      </c>
      <c r="J747" s="10" t="s">
        <v>40</v>
      </c>
      <c r="K747" s="10" t="s">
        <v>51</v>
      </c>
      <c r="L747" s="15" t="s">
        <v>52</v>
      </c>
    </row>
    <row r="748" spans="1:12" ht="15" customHeight="1">
      <c r="A748" s="14" t="s">
        <v>1440</v>
      </c>
      <c r="B748" s="10" t="s">
        <v>1441</v>
      </c>
      <c r="C748" s="20">
        <v>45796</v>
      </c>
      <c r="D748" s="10" t="s">
        <v>1254</v>
      </c>
      <c r="E748" s="10" t="s">
        <v>1255</v>
      </c>
      <c r="F748" s="10" t="s">
        <v>784</v>
      </c>
      <c r="G748" s="23">
        <v>3</v>
      </c>
      <c r="H748" s="26">
        <v>96.33</v>
      </c>
      <c r="I748" s="29">
        <v>0</v>
      </c>
      <c r="J748" s="10" t="s">
        <v>64</v>
      </c>
      <c r="K748" s="10" t="s">
        <v>46</v>
      </c>
      <c r="L748" s="15" t="s">
        <v>101</v>
      </c>
    </row>
    <row r="749" spans="1:12" ht="15" customHeight="1">
      <c r="A749" s="14" t="s">
        <v>1442</v>
      </c>
      <c r="B749" s="10" t="s">
        <v>1441</v>
      </c>
      <c r="C749" s="20">
        <v>45796</v>
      </c>
      <c r="D749" s="10" t="s">
        <v>1254</v>
      </c>
      <c r="E749" s="10" t="s">
        <v>1255</v>
      </c>
      <c r="F749" s="10" t="s">
        <v>44</v>
      </c>
      <c r="G749" s="23">
        <v>1</v>
      </c>
      <c r="H749" s="26">
        <v>238.47</v>
      </c>
      <c r="I749" s="29">
        <v>0.05</v>
      </c>
      <c r="J749" s="10" t="s">
        <v>70</v>
      </c>
      <c r="K749" s="10"/>
      <c r="L749" s="15" t="s">
        <v>101</v>
      </c>
    </row>
    <row r="750" spans="1:12" ht="15" customHeight="1">
      <c r="A750" s="14" t="s">
        <v>1443</v>
      </c>
      <c r="B750" s="10" t="s">
        <v>1441</v>
      </c>
      <c r="C750" s="20">
        <v>45796</v>
      </c>
      <c r="D750" s="10" t="s">
        <v>1254</v>
      </c>
      <c r="E750" s="10" t="s">
        <v>1255</v>
      </c>
      <c r="F750" s="10" t="s">
        <v>130</v>
      </c>
      <c r="G750" s="23">
        <v>1</v>
      </c>
      <c r="H750" s="26">
        <v>265.73</v>
      </c>
      <c r="I750" s="29">
        <v>0</v>
      </c>
      <c r="J750" s="10" t="s">
        <v>70</v>
      </c>
      <c r="K750" s="10" t="s">
        <v>98</v>
      </c>
      <c r="L750" s="15" t="s">
        <v>67</v>
      </c>
    </row>
    <row r="751" spans="1:12" ht="15" customHeight="1">
      <c r="A751" s="14" t="s">
        <v>1444</v>
      </c>
      <c r="B751" s="10" t="s">
        <v>1441</v>
      </c>
      <c r="C751" s="20">
        <v>45796</v>
      </c>
      <c r="D751" s="10" t="s">
        <v>1254</v>
      </c>
      <c r="E751" s="10" t="s">
        <v>1255</v>
      </c>
      <c r="F751" s="10" t="s">
        <v>171</v>
      </c>
      <c r="G751" s="23">
        <v>1</v>
      </c>
      <c r="H751" s="26">
        <v>228.81</v>
      </c>
      <c r="I751" s="29">
        <v>0</v>
      </c>
      <c r="J751" s="10" t="s">
        <v>66</v>
      </c>
      <c r="K751" s="10" t="s">
        <v>51</v>
      </c>
      <c r="L751" s="15" t="s">
        <v>42</v>
      </c>
    </row>
    <row r="752" spans="1:12" ht="15" customHeight="1">
      <c r="A752" s="14" t="s">
        <v>1445</v>
      </c>
      <c r="B752" s="10" t="s">
        <v>1446</v>
      </c>
      <c r="C752" s="20">
        <v>45827</v>
      </c>
      <c r="D752" s="10" t="s">
        <v>1447</v>
      </c>
      <c r="E752" s="10" t="s">
        <v>1448</v>
      </c>
      <c r="F752" s="10" t="s">
        <v>251</v>
      </c>
      <c r="G752" s="23">
        <v>4</v>
      </c>
      <c r="H752" s="26">
        <v>228.91</v>
      </c>
      <c r="I752" s="29">
        <v>0.05</v>
      </c>
      <c r="J752" s="10" t="s">
        <v>66</v>
      </c>
      <c r="K752" s="10" t="s">
        <v>58</v>
      </c>
      <c r="L752" s="15" t="s">
        <v>42</v>
      </c>
    </row>
    <row r="753" spans="1:12" ht="15" customHeight="1">
      <c r="A753" s="14" t="s">
        <v>1449</v>
      </c>
      <c r="B753" s="10" t="s">
        <v>1446</v>
      </c>
      <c r="C753" s="20">
        <v>45827</v>
      </c>
      <c r="D753" s="10" t="s">
        <v>1447</v>
      </c>
      <c r="E753" s="10" t="s">
        <v>1448</v>
      </c>
      <c r="F753" s="10" t="s">
        <v>119</v>
      </c>
      <c r="G753" s="23">
        <v>4</v>
      </c>
      <c r="H753" s="26">
        <v>103.3</v>
      </c>
      <c r="I753" s="29">
        <v>0</v>
      </c>
      <c r="J753" s="10" t="s">
        <v>66</v>
      </c>
      <c r="K753" s="10"/>
      <c r="L753" s="15" t="s">
        <v>52</v>
      </c>
    </row>
    <row r="754" spans="1:12" ht="15" customHeight="1">
      <c r="A754" s="14" t="s">
        <v>1450</v>
      </c>
      <c r="B754" s="10" t="s">
        <v>1446</v>
      </c>
      <c r="C754" s="20">
        <v>45827</v>
      </c>
      <c r="D754" s="10" t="s">
        <v>1447</v>
      </c>
      <c r="E754" s="10" t="s">
        <v>1448</v>
      </c>
      <c r="F754" s="10" t="s">
        <v>88</v>
      </c>
      <c r="G754" s="23">
        <v>3</v>
      </c>
      <c r="H754" s="26">
        <v>147.46</v>
      </c>
      <c r="I754" s="29">
        <v>0.05</v>
      </c>
      <c r="J754" s="10" t="s">
        <v>66</v>
      </c>
      <c r="K754" s="10" t="s">
        <v>41</v>
      </c>
      <c r="L754" s="15" t="s">
        <v>42</v>
      </c>
    </row>
    <row r="755" spans="1:12" ht="15" customHeight="1">
      <c r="A755" s="14" t="s">
        <v>1451</v>
      </c>
      <c r="B755" s="10" t="s">
        <v>1452</v>
      </c>
      <c r="C755" s="20">
        <v>45802</v>
      </c>
      <c r="D755" s="10" t="s">
        <v>684</v>
      </c>
      <c r="E755" s="10" t="s">
        <v>685</v>
      </c>
      <c r="F755" s="10" t="s">
        <v>204</v>
      </c>
      <c r="G755" s="23">
        <v>2</v>
      </c>
      <c r="H755" s="26">
        <v>244.25</v>
      </c>
      <c r="I755" s="29">
        <v>0</v>
      </c>
      <c r="J755" s="10" t="s">
        <v>40</v>
      </c>
      <c r="K755" s="10" t="s">
        <v>58</v>
      </c>
      <c r="L755" s="15" t="s">
        <v>47</v>
      </c>
    </row>
    <row r="756" spans="1:12" ht="15" customHeight="1">
      <c r="A756" s="14" t="s">
        <v>1453</v>
      </c>
      <c r="B756" s="10" t="s">
        <v>1452</v>
      </c>
      <c r="C756" s="20">
        <v>45802</v>
      </c>
      <c r="D756" s="10" t="s">
        <v>684</v>
      </c>
      <c r="E756" s="10" t="s">
        <v>685</v>
      </c>
      <c r="F756" s="10" t="s">
        <v>128</v>
      </c>
      <c r="G756" s="23">
        <v>2</v>
      </c>
      <c r="H756" s="26">
        <v>25.15</v>
      </c>
      <c r="I756" s="29">
        <v>0.1</v>
      </c>
      <c r="J756" s="10" t="s">
        <v>50</v>
      </c>
      <c r="K756" s="10" t="s">
        <v>98</v>
      </c>
      <c r="L756" s="15" t="s">
        <v>67</v>
      </c>
    </row>
    <row r="757" spans="1:12" ht="15" customHeight="1">
      <c r="A757" s="14" t="s">
        <v>1454</v>
      </c>
      <c r="B757" s="10" t="s">
        <v>1452</v>
      </c>
      <c r="C757" s="20">
        <v>45802</v>
      </c>
      <c r="D757" s="10" t="s">
        <v>684</v>
      </c>
      <c r="E757" s="10" t="s">
        <v>685</v>
      </c>
      <c r="F757" s="10" t="s">
        <v>316</v>
      </c>
      <c r="G757" s="23">
        <v>4</v>
      </c>
      <c r="H757" s="26">
        <v>180.37</v>
      </c>
      <c r="I757" s="29">
        <v>0.05</v>
      </c>
      <c r="J757" s="10" t="s">
        <v>70</v>
      </c>
      <c r="K757" s="10" t="s">
        <v>98</v>
      </c>
      <c r="L757" s="15" t="s">
        <v>101</v>
      </c>
    </row>
    <row r="758" spans="1:12" ht="15" customHeight="1">
      <c r="A758" s="14" t="s">
        <v>1455</v>
      </c>
      <c r="B758" s="10" t="s">
        <v>1456</v>
      </c>
      <c r="C758" s="20">
        <v>45828</v>
      </c>
      <c r="D758" s="10" t="s">
        <v>283</v>
      </c>
      <c r="E758" s="10" t="s">
        <v>284</v>
      </c>
      <c r="F758" s="10" t="s">
        <v>147</v>
      </c>
      <c r="G758" s="23">
        <v>1</v>
      </c>
      <c r="H758" s="26">
        <v>102.78</v>
      </c>
      <c r="I758" s="29">
        <v>0</v>
      </c>
      <c r="J758" s="10" t="s">
        <v>66</v>
      </c>
      <c r="K758" s="10" t="s">
        <v>46</v>
      </c>
      <c r="L758" s="15" t="s">
        <v>52</v>
      </c>
    </row>
    <row r="759" spans="1:12" ht="15" customHeight="1">
      <c r="A759" s="14" t="s">
        <v>1457</v>
      </c>
      <c r="B759" s="10" t="s">
        <v>1456</v>
      </c>
      <c r="C759" s="20">
        <v>45828</v>
      </c>
      <c r="D759" s="10" t="s">
        <v>283</v>
      </c>
      <c r="E759" s="10" t="s">
        <v>284</v>
      </c>
      <c r="F759" s="10" t="s">
        <v>428</v>
      </c>
      <c r="G759" s="23">
        <v>4</v>
      </c>
      <c r="H759" s="26">
        <v>110.88</v>
      </c>
      <c r="I759" s="29">
        <v>0.15</v>
      </c>
      <c r="J759" s="10" t="s">
        <v>50</v>
      </c>
      <c r="K759" s="10" t="s">
        <v>58</v>
      </c>
      <c r="L759" s="15" t="s">
        <v>67</v>
      </c>
    </row>
    <row r="760" spans="1:12" ht="15" customHeight="1">
      <c r="A760" s="14" t="s">
        <v>1458</v>
      </c>
      <c r="B760" s="10" t="s">
        <v>1459</v>
      </c>
      <c r="C760" s="20">
        <v>45957</v>
      </c>
      <c r="D760" s="10" t="s">
        <v>443</v>
      </c>
      <c r="E760" s="10" t="s">
        <v>444</v>
      </c>
      <c r="F760" s="10" t="s">
        <v>63</v>
      </c>
      <c r="G760" s="23">
        <v>2</v>
      </c>
      <c r="H760" s="26">
        <v>105.38</v>
      </c>
      <c r="I760" s="29">
        <v>0.1</v>
      </c>
      <c r="J760" s="10" t="s">
        <v>70</v>
      </c>
      <c r="K760" s="10" t="s">
        <v>41</v>
      </c>
      <c r="L760" s="15" t="s">
        <v>42</v>
      </c>
    </row>
    <row r="761" spans="1:12" ht="15" customHeight="1">
      <c r="A761" s="14" t="s">
        <v>1460</v>
      </c>
      <c r="B761" s="10" t="s">
        <v>1459</v>
      </c>
      <c r="C761" s="20">
        <v>45957</v>
      </c>
      <c r="D761" s="10" t="s">
        <v>443</v>
      </c>
      <c r="E761" s="10" t="s">
        <v>444</v>
      </c>
      <c r="F761" s="10" t="s">
        <v>178</v>
      </c>
      <c r="G761" s="23">
        <v>1</v>
      </c>
      <c r="H761" s="26">
        <v>61.81</v>
      </c>
      <c r="I761" s="29">
        <v>0</v>
      </c>
      <c r="J761" s="10" t="s">
        <v>40</v>
      </c>
      <c r="K761" s="10" t="s">
        <v>58</v>
      </c>
      <c r="L761" s="15" t="s">
        <v>52</v>
      </c>
    </row>
    <row r="762" spans="1:12" ht="15" customHeight="1">
      <c r="A762" s="14" t="s">
        <v>1461</v>
      </c>
      <c r="B762" s="10" t="s">
        <v>1462</v>
      </c>
      <c r="C762" s="20">
        <v>45958</v>
      </c>
      <c r="D762" s="10" t="s">
        <v>1463</v>
      </c>
      <c r="E762" s="10" t="s">
        <v>1464</v>
      </c>
      <c r="F762" s="10" t="s">
        <v>309</v>
      </c>
      <c r="G762" s="23">
        <v>3</v>
      </c>
      <c r="H762" s="26">
        <v>56.99</v>
      </c>
      <c r="I762" s="29">
        <v>0.15</v>
      </c>
      <c r="J762" s="10" t="s">
        <v>64</v>
      </c>
      <c r="K762" s="10" t="s">
        <v>41</v>
      </c>
      <c r="L762" s="15" t="s">
        <v>47</v>
      </c>
    </row>
    <row r="763" spans="1:12" ht="15" customHeight="1">
      <c r="A763" s="14" t="s">
        <v>1465</v>
      </c>
      <c r="B763" s="10" t="s">
        <v>1466</v>
      </c>
      <c r="C763" s="20">
        <v>45756</v>
      </c>
      <c r="D763" s="10" t="s">
        <v>748</v>
      </c>
      <c r="E763" s="10" t="s">
        <v>749</v>
      </c>
      <c r="F763" s="10" t="s">
        <v>332</v>
      </c>
      <c r="G763" s="23">
        <v>1</v>
      </c>
      <c r="H763" s="26">
        <v>273.89</v>
      </c>
      <c r="I763" s="29">
        <v>0</v>
      </c>
      <c r="J763" s="10" t="s">
        <v>70</v>
      </c>
      <c r="K763" s="10"/>
      <c r="L763" s="15" t="s">
        <v>42</v>
      </c>
    </row>
    <row r="764" spans="1:12" ht="15" customHeight="1">
      <c r="A764" s="14" t="s">
        <v>1467</v>
      </c>
      <c r="B764" s="10" t="s">
        <v>1466</v>
      </c>
      <c r="C764" s="20">
        <v>45756</v>
      </c>
      <c r="D764" s="10" t="s">
        <v>748</v>
      </c>
      <c r="E764" s="10" t="s">
        <v>749</v>
      </c>
      <c r="F764" s="10" t="s">
        <v>196</v>
      </c>
      <c r="G764" s="23">
        <v>3</v>
      </c>
      <c r="H764" s="26">
        <v>183.73</v>
      </c>
      <c r="I764" s="29">
        <v>0.15</v>
      </c>
      <c r="J764" s="10" t="s">
        <v>66</v>
      </c>
      <c r="K764" s="10" t="s">
        <v>58</v>
      </c>
      <c r="L764" s="15" t="s">
        <v>42</v>
      </c>
    </row>
    <row r="765" spans="1:12" ht="15" customHeight="1">
      <c r="A765" s="14" t="s">
        <v>1468</v>
      </c>
      <c r="B765" s="10" t="s">
        <v>1469</v>
      </c>
      <c r="C765" s="20">
        <v>45993</v>
      </c>
      <c r="D765" s="10" t="s">
        <v>134</v>
      </c>
      <c r="E765" s="10" t="s">
        <v>135</v>
      </c>
      <c r="F765" s="10" t="s">
        <v>303</v>
      </c>
      <c r="G765" s="23">
        <v>4</v>
      </c>
      <c r="H765" s="26">
        <v>72.81</v>
      </c>
      <c r="I765" s="29">
        <v>0.05</v>
      </c>
      <c r="J765" s="10" t="s">
        <v>50</v>
      </c>
      <c r="K765" s="10" t="s">
        <v>98</v>
      </c>
      <c r="L765" s="15" t="s">
        <v>52</v>
      </c>
    </row>
    <row r="766" spans="1:12" ht="15" customHeight="1">
      <c r="A766" s="14" t="s">
        <v>1470</v>
      </c>
      <c r="B766" s="10" t="s">
        <v>1469</v>
      </c>
      <c r="C766" s="20">
        <v>45993</v>
      </c>
      <c r="D766" s="10" t="s">
        <v>134</v>
      </c>
      <c r="E766" s="10" t="s">
        <v>135</v>
      </c>
      <c r="F766" s="10" t="s">
        <v>468</v>
      </c>
      <c r="G766" s="23">
        <v>3</v>
      </c>
      <c r="H766" s="26">
        <v>160</v>
      </c>
      <c r="I766" s="29">
        <v>0</v>
      </c>
      <c r="J766" s="10" t="s">
        <v>70</v>
      </c>
      <c r="K766" s="10" t="s">
        <v>46</v>
      </c>
      <c r="L766" s="15" t="s">
        <v>42</v>
      </c>
    </row>
    <row r="767" spans="1:12" ht="15" customHeight="1">
      <c r="A767" s="14" t="s">
        <v>1471</v>
      </c>
      <c r="B767" s="10" t="s">
        <v>1472</v>
      </c>
      <c r="C767" s="20">
        <v>45873</v>
      </c>
      <c r="D767" s="10" t="s">
        <v>340</v>
      </c>
      <c r="E767" s="10" t="s">
        <v>341</v>
      </c>
      <c r="F767" s="10" t="s">
        <v>136</v>
      </c>
      <c r="G767" s="23">
        <v>1</v>
      </c>
      <c r="H767" s="26">
        <v>141.46</v>
      </c>
      <c r="I767" s="29">
        <v>0</v>
      </c>
      <c r="J767" s="10" t="s">
        <v>45</v>
      </c>
      <c r="K767" s="10" t="s">
        <v>41</v>
      </c>
      <c r="L767" s="15" t="s">
        <v>101</v>
      </c>
    </row>
    <row r="768" spans="1:12" ht="15" customHeight="1">
      <c r="A768" s="14" t="s">
        <v>1473</v>
      </c>
      <c r="B768" s="10" t="s">
        <v>1472</v>
      </c>
      <c r="C768" s="20">
        <v>45873</v>
      </c>
      <c r="D768" s="10" t="s">
        <v>340</v>
      </c>
      <c r="E768" s="10" t="s">
        <v>341</v>
      </c>
      <c r="F768" s="10" t="s">
        <v>468</v>
      </c>
      <c r="G768" s="23">
        <v>4</v>
      </c>
      <c r="H768" s="26">
        <v>160</v>
      </c>
      <c r="I768" s="29">
        <v>0.1</v>
      </c>
      <c r="J768" s="10" t="s">
        <v>70</v>
      </c>
      <c r="K768" s="10" t="s">
        <v>58</v>
      </c>
      <c r="L768" s="15" t="s">
        <v>52</v>
      </c>
    </row>
    <row r="769" spans="1:12" ht="15" customHeight="1">
      <c r="A769" s="14" t="s">
        <v>1474</v>
      </c>
      <c r="B769" s="10" t="s">
        <v>1475</v>
      </c>
      <c r="C769" s="20">
        <v>45698</v>
      </c>
      <c r="D769" s="10" t="s">
        <v>572</v>
      </c>
      <c r="E769" s="10" t="s">
        <v>569</v>
      </c>
      <c r="F769" s="10" t="s">
        <v>88</v>
      </c>
      <c r="G769" s="23">
        <v>1</v>
      </c>
      <c r="H769" s="26">
        <v>147.46</v>
      </c>
      <c r="I769" s="29">
        <v>0.05</v>
      </c>
      <c r="J769" s="10" t="s">
        <v>70</v>
      </c>
      <c r="K769" s="10" t="s">
        <v>58</v>
      </c>
      <c r="L769" s="15" t="s">
        <v>52</v>
      </c>
    </row>
    <row r="770" spans="1:12" ht="15" customHeight="1">
      <c r="A770" s="14" t="s">
        <v>1476</v>
      </c>
      <c r="B770" s="10" t="s">
        <v>1475</v>
      </c>
      <c r="C770" s="20">
        <v>45698</v>
      </c>
      <c r="D770" s="10" t="s">
        <v>572</v>
      </c>
      <c r="E770" s="10" t="s">
        <v>569</v>
      </c>
      <c r="F770" s="10" t="s">
        <v>428</v>
      </c>
      <c r="G770" s="23">
        <v>4</v>
      </c>
      <c r="H770" s="26">
        <v>110.88</v>
      </c>
      <c r="I770" s="29">
        <v>0.15</v>
      </c>
      <c r="J770" s="10" t="s">
        <v>64</v>
      </c>
      <c r="K770" s="10"/>
      <c r="L770" s="15" t="s">
        <v>42</v>
      </c>
    </row>
    <row r="771" spans="1:12" ht="15" customHeight="1">
      <c r="A771" s="14" t="s">
        <v>1477</v>
      </c>
      <c r="B771" s="10" t="s">
        <v>1475</v>
      </c>
      <c r="C771" s="20">
        <v>45698</v>
      </c>
      <c r="D771" s="10" t="s">
        <v>572</v>
      </c>
      <c r="E771" s="10" t="s">
        <v>569</v>
      </c>
      <c r="F771" s="10" t="s">
        <v>276</v>
      </c>
      <c r="G771" s="23">
        <v>2</v>
      </c>
      <c r="H771" s="26">
        <v>182.94</v>
      </c>
      <c r="I771" s="29">
        <v>0.1</v>
      </c>
      <c r="J771" s="10" t="s">
        <v>66</v>
      </c>
      <c r="K771" s="10" t="s">
        <v>51</v>
      </c>
      <c r="L771" s="15" t="s">
        <v>52</v>
      </c>
    </row>
    <row r="772" spans="1:12" ht="15" customHeight="1">
      <c r="A772" s="14" t="s">
        <v>1478</v>
      </c>
      <c r="B772" s="10" t="s">
        <v>1479</v>
      </c>
      <c r="C772" s="20">
        <v>46022</v>
      </c>
      <c r="D772" s="10" t="s">
        <v>421</v>
      </c>
      <c r="E772" s="10" t="s">
        <v>422</v>
      </c>
      <c r="F772" s="10" t="s">
        <v>136</v>
      </c>
      <c r="G772" s="23">
        <v>1</v>
      </c>
      <c r="H772" s="26">
        <v>141.46</v>
      </c>
      <c r="I772" s="29">
        <v>0.1</v>
      </c>
      <c r="J772" s="10" t="s">
        <v>70</v>
      </c>
      <c r="K772" s="10" t="s">
        <v>41</v>
      </c>
      <c r="L772" s="15" t="s">
        <v>52</v>
      </c>
    </row>
    <row r="773" spans="1:12" ht="15" customHeight="1">
      <c r="A773" s="14" t="s">
        <v>1480</v>
      </c>
      <c r="B773" s="10" t="s">
        <v>1479</v>
      </c>
      <c r="C773" s="20">
        <v>46022</v>
      </c>
      <c r="D773" s="10" t="s">
        <v>421</v>
      </c>
      <c r="E773" s="10" t="s">
        <v>422</v>
      </c>
      <c r="F773" s="10" t="s">
        <v>152</v>
      </c>
      <c r="G773" s="23">
        <v>2</v>
      </c>
      <c r="H773" s="26">
        <v>234.37</v>
      </c>
      <c r="I773" s="29">
        <v>0.1</v>
      </c>
      <c r="J773" s="10" t="s">
        <v>66</v>
      </c>
      <c r="K773" s="10" t="s">
        <v>58</v>
      </c>
      <c r="L773" s="15" t="s">
        <v>52</v>
      </c>
    </row>
    <row r="774" spans="1:12" ht="15" customHeight="1">
      <c r="A774" s="14" t="s">
        <v>1481</v>
      </c>
      <c r="B774" s="10" t="s">
        <v>1482</v>
      </c>
      <c r="C774" s="20">
        <v>45943</v>
      </c>
      <c r="D774" s="10" t="s">
        <v>490</v>
      </c>
      <c r="E774" s="10" t="s">
        <v>491</v>
      </c>
      <c r="F774" s="10" t="s">
        <v>784</v>
      </c>
      <c r="G774" s="23">
        <v>1</v>
      </c>
      <c r="H774" s="26">
        <v>96.33</v>
      </c>
      <c r="I774" s="29">
        <v>0</v>
      </c>
      <c r="J774" s="10" t="s">
        <v>40</v>
      </c>
      <c r="K774" s="10" t="s">
        <v>46</v>
      </c>
      <c r="L774" s="15" t="s">
        <v>67</v>
      </c>
    </row>
    <row r="775" spans="1:12" ht="15" customHeight="1">
      <c r="A775" s="14" t="s">
        <v>1483</v>
      </c>
      <c r="B775" s="10" t="s">
        <v>1484</v>
      </c>
      <c r="C775" s="20">
        <v>45927</v>
      </c>
      <c r="D775" s="10" t="s">
        <v>1485</v>
      </c>
      <c r="E775" s="10" t="s">
        <v>1486</v>
      </c>
      <c r="F775" s="10" t="s">
        <v>214</v>
      </c>
      <c r="G775" s="23">
        <v>2</v>
      </c>
      <c r="H775" s="26">
        <v>186.92</v>
      </c>
      <c r="I775" s="29">
        <v>0</v>
      </c>
      <c r="J775" s="10" t="s">
        <v>64</v>
      </c>
      <c r="K775" s="10" t="s">
        <v>51</v>
      </c>
      <c r="L775" s="15" t="s">
        <v>42</v>
      </c>
    </row>
    <row r="776" spans="1:12" ht="15" customHeight="1">
      <c r="A776" s="14" t="s">
        <v>1487</v>
      </c>
      <c r="B776" s="10" t="s">
        <v>1484</v>
      </c>
      <c r="C776" s="20">
        <v>45927</v>
      </c>
      <c r="D776" s="10" t="s">
        <v>1485</v>
      </c>
      <c r="E776" s="10" t="s">
        <v>1486</v>
      </c>
      <c r="F776" s="10" t="s">
        <v>136</v>
      </c>
      <c r="G776" s="23">
        <v>2</v>
      </c>
      <c r="H776" s="26">
        <v>141.46</v>
      </c>
      <c r="I776" s="29">
        <v>0.15</v>
      </c>
      <c r="J776" s="10" t="s">
        <v>70</v>
      </c>
      <c r="K776" s="10" t="s">
        <v>46</v>
      </c>
      <c r="L776" s="15" t="s">
        <v>67</v>
      </c>
    </row>
    <row r="777" spans="1:12" ht="15" customHeight="1">
      <c r="A777" s="14" t="s">
        <v>1488</v>
      </c>
      <c r="B777" s="10" t="s">
        <v>1489</v>
      </c>
      <c r="C777" s="20">
        <v>45988</v>
      </c>
      <c r="D777" s="10" t="s">
        <v>1490</v>
      </c>
      <c r="E777" s="10" t="s">
        <v>1491</v>
      </c>
      <c r="F777" s="10" t="s">
        <v>178</v>
      </c>
      <c r="G777" s="23">
        <v>1</v>
      </c>
      <c r="H777" s="26">
        <v>61.81</v>
      </c>
      <c r="I777" s="29">
        <v>0</v>
      </c>
      <c r="J777" s="10" t="s">
        <v>64</v>
      </c>
      <c r="K777" s="10" t="s">
        <v>58</v>
      </c>
      <c r="L777" s="15" t="s">
        <v>52</v>
      </c>
    </row>
    <row r="778" spans="1:12" ht="15" customHeight="1">
      <c r="A778" s="14" t="s">
        <v>1492</v>
      </c>
      <c r="B778" s="10" t="s">
        <v>1489</v>
      </c>
      <c r="C778" s="20">
        <v>45988</v>
      </c>
      <c r="D778" s="10" t="s">
        <v>1490</v>
      </c>
      <c r="E778" s="10" t="s">
        <v>1491</v>
      </c>
      <c r="F778" s="10" t="s">
        <v>39</v>
      </c>
      <c r="G778" s="23">
        <v>1</v>
      </c>
      <c r="H778" s="26">
        <v>236.51</v>
      </c>
      <c r="I778" s="29">
        <v>0</v>
      </c>
      <c r="J778" s="10" t="s">
        <v>64</v>
      </c>
      <c r="K778" s="10" t="s">
        <v>41</v>
      </c>
      <c r="L778" s="15" t="s">
        <v>101</v>
      </c>
    </row>
    <row r="779" spans="1:12" ht="15" customHeight="1">
      <c r="A779" s="14" t="s">
        <v>1493</v>
      </c>
      <c r="B779" s="10" t="s">
        <v>1489</v>
      </c>
      <c r="C779" s="20">
        <v>45988</v>
      </c>
      <c r="D779" s="10" t="s">
        <v>1490</v>
      </c>
      <c r="E779" s="10" t="s">
        <v>1491</v>
      </c>
      <c r="F779" s="10" t="s">
        <v>108</v>
      </c>
      <c r="G779" s="23">
        <v>1</v>
      </c>
      <c r="H779" s="26">
        <v>33.369999999999997</v>
      </c>
      <c r="I779" s="29">
        <v>0</v>
      </c>
      <c r="J779" s="10" t="s">
        <v>66</v>
      </c>
      <c r="K779" s="10"/>
      <c r="L779" s="15" t="s">
        <v>52</v>
      </c>
    </row>
    <row r="780" spans="1:12" ht="15" customHeight="1">
      <c r="A780" s="14" t="s">
        <v>1494</v>
      </c>
      <c r="B780" s="10" t="s">
        <v>1489</v>
      </c>
      <c r="C780" s="20">
        <v>45988</v>
      </c>
      <c r="D780" s="10" t="s">
        <v>1490</v>
      </c>
      <c r="E780" s="10" t="s">
        <v>1491</v>
      </c>
      <c r="F780" s="10" t="s">
        <v>201</v>
      </c>
      <c r="G780" s="23">
        <v>3</v>
      </c>
      <c r="H780" s="26">
        <v>154.47</v>
      </c>
      <c r="I780" s="29">
        <v>0</v>
      </c>
      <c r="J780" s="10" t="s">
        <v>45</v>
      </c>
      <c r="K780" s="10" t="s">
        <v>58</v>
      </c>
      <c r="L780" s="15" t="s">
        <v>42</v>
      </c>
    </row>
    <row r="781" spans="1:12" ht="15" customHeight="1">
      <c r="A781" s="14" t="s">
        <v>1495</v>
      </c>
      <c r="B781" s="10" t="s">
        <v>1496</v>
      </c>
      <c r="C781" s="20">
        <v>45767</v>
      </c>
      <c r="D781" s="10" t="s">
        <v>525</v>
      </c>
      <c r="E781" s="10" t="s">
        <v>526</v>
      </c>
      <c r="F781" s="10" t="s">
        <v>152</v>
      </c>
      <c r="G781" s="23">
        <v>1</v>
      </c>
      <c r="H781" s="26">
        <v>234.37</v>
      </c>
      <c r="I781" s="29">
        <v>0</v>
      </c>
      <c r="J781" s="10" t="s">
        <v>70</v>
      </c>
      <c r="K781" s="10" t="s">
        <v>98</v>
      </c>
      <c r="L781" s="15" t="s">
        <v>47</v>
      </c>
    </row>
    <row r="782" spans="1:12" ht="15" customHeight="1">
      <c r="A782" s="14" t="s">
        <v>1497</v>
      </c>
      <c r="B782" s="10" t="s">
        <v>1496</v>
      </c>
      <c r="C782" s="20">
        <v>45767</v>
      </c>
      <c r="D782" s="10" t="s">
        <v>525</v>
      </c>
      <c r="E782" s="10" t="s">
        <v>526</v>
      </c>
      <c r="F782" s="10" t="s">
        <v>150</v>
      </c>
      <c r="G782" s="23">
        <v>4</v>
      </c>
      <c r="H782" s="26">
        <v>263.04000000000002</v>
      </c>
      <c r="I782" s="29">
        <v>0.15</v>
      </c>
      <c r="J782" s="10" t="s">
        <v>45</v>
      </c>
      <c r="K782" s="10"/>
      <c r="L782" s="15" t="s">
        <v>47</v>
      </c>
    </row>
    <row r="783" spans="1:12" ht="15" customHeight="1">
      <c r="A783" s="14" t="s">
        <v>1498</v>
      </c>
      <c r="B783" s="10" t="s">
        <v>1496</v>
      </c>
      <c r="C783" s="20">
        <v>45767</v>
      </c>
      <c r="D783" s="10" t="s">
        <v>525</v>
      </c>
      <c r="E783" s="10" t="s">
        <v>526</v>
      </c>
      <c r="F783" s="10" t="s">
        <v>171</v>
      </c>
      <c r="G783" s="23">
        <v>3</v>
      </c>
      <c r="H783" s="26">
        <v>228.81</v>
      </c>
      <c r="I783" s="29">
        <v>0</v>
      </c>
      <c r="J783" s="10" t="s">
        <v>45</v>
      </c>
      <c r="K783" s="10" t="s">
        <v>51</v>
      </c>
      <c r="L783" s="15" t="s">
        <v>47</v>
      </c>
    </row>
    <row r="784" spans="1:12" ht="15" customHeight="1">
      <c r="A784" s="14" t="s">
        <v>1499</v>
      </c>
      <c r="B784" s="10" t="s">
        <v>1500</v>
      </c>
      <c r="C784" s="20">
        <v>45873</v>
      </c>
      <c r="D784" s="10" t="s">
        <v>1501</v>
      </c>
      <c r="E784" s="10" t="s">
        <v>476</v>
      </c>
      <c r="F784" s="10" t="s">
        <v>309</v>
      </c>
      <c r="G784" s="23">
        <v>4</v>
      </c>
      <c r="H784" s="26">
        <v>56.99</v>
      </c>
      <c r="I784" s="29">
        <v>0.15</v>
      </c>
      <c r="J784" s="10" t="s">
        <v>45</v>
      </c>
      <c r="K784" s="10" t="s">
        <v>46</v>
      </c>
      <c r="L784" s="15" t="s">
        <v>52</v>
      </c>
    </row>
    <row r="785" spans="1:12" ht="15" customHeight="1">
      <c r="A785" s="14" t="s">
        <v>1502</v>
      </c>
      <c r="B785" s="10" t="s">
        <v>1500</v>
      </c>
      <c r="C785" s="20">
        <v>45873</v>
      </c>
      <c r="D785" s="10" t="s">
        <v>475</v>
      </c>
      <c r="E785" s="10" t="s">
        <v>476</v>
      </c>
      <c r="F785" s="10" t="s">
        <v>39</v>
      </c>
      <c r="G785" s="23">
        <v>1</v>
      </c>
      <c r="H785" s="26">
        <v>236.51</v>
      </c>
      <c r="I785" s="29">
        <v>0</v>
      </c>
      <c r="J785" s="10" t="s">
        <v>40</v>
      </c>
      <c r="K785" s="10"/>
      <c r="L785" s="15" t="s">
        <v>67</v>
      </c>
    </row>
    <row r="786" spans="1:12" ht="15" customHeight="1">
      <c r="A786" s="14" t="s">
        <v>1503</v>
      </c>
      <c r="B786" s="10" t="s">
        <v>1504</v>
      </c>
      <c r="C786" s="20">
        <v>45977</v>
      </c>
      <c r="D786" s="10" t="s">
        <v>1505</v>
      </c>
      <c r="E786" s="10" t="s">
        <v>1506</v>
      </c>
      <c r="F786" s="10" t="s">
        <v>130</v>
      </c>
      <c r="G786" s="23">
        <v>4</v>
      </c>
      <c r="H786" s="26">
        <v>265.73</v>
      </c>
      <c r="I786" s="29">
        <v>0.05</v>
      </c>
      <c r="J786" s="10" t="s">
        <v>50</v>
      </c>
      <c r="K786" s="10" t="s">
        <v>41</v>
      </c>
      <c r="L786" s="15" t="s">
        <v>67</v>
      </c>
    </row>
    <row r="787" spans="1:12" ht="15" customHeight="1">
      <c r="A787" s="14" t="s">
        <v>1507</v>
      </c>
      <c r="B787" s="10" t="s">
        <v>1508</v>
      </c>
      <c r="C787" s="20">
        <v>45925</v>
      </c>
      <c r="D787" s="10" t="s">
        <v>1438</v>
      </c>
      <c r="E787" s="10" t="s">
        <v>1439</v>
      </c>
      <c r="F787" s="10" t="s">
        <v>220</v>
      </c>
      <c r="G787" s="23">
        <v>4</v>
      </c>
      <c r="H787" s="26">
        <v>25.01</v>
      </c>
      <c r="I787" s="29">
        <v>0.15</v>
      </c>
      <c r="J787" s="10" t="s">
        <v>66</v>
      </c>
      <c r="K787" s="10" t="s">
        <v>51</v>
      </c>
      <c r="L787" s="15" t="s">
        <v>47</v>
      </c>
    </row>
    <row r="788" spans="1:12" ht="15" customHeight="1">
      <c r="A788" s="14" t="s">
        <v>1509</v>
      </c>
      <c r="B788" s="10" t="s">
        <v>1508</v>
      </c>
      <c r="C788" s="20">
        <v>45925</v>
      </c>
      <c r="D788" s="10" t="s">
        <v>1438</v>
      </c>
      <c r="E788" s="10" t="s">
        <v>1439</v>
      </c>
      <c r="F788" s="10" t="s">
        <v>178</v>
      </c>
      <c r="G788" s="23">
        <v>4</v>
      </c>
      <c r="H788" s="26">
        <v>61.81</v>
      </c>
      <c r="I788" s="29">
        <v>0.05</v>
      </c>
      <c r="J788" s="10" t="s">
        <v>66</v>
      </c>
      <c r="K788" s="10" t="s">
        <v>98</v>
      </c>
      <c r="L788" s="15" t="s">
        <v>101</v>
      </c>
    </row>
    <row r="789" spans="1:12" ht="15" customHeight="1">
      <c r="A789" s="14" t="s">
        <v>1510</v>
      </c>
      <c r="B789" s="10" t="s">
        <v>1508</v>
      </c>
      <c r="C789" s="20">
        <v>45925</v>
      </c>
      <c r="D789" s="10" t="s">
        <v>1438</v>
      </c>
      <c r="E789" s="10" t="s">
        <v>1439</v>
      </c>
      <c r="F789" s="10" t="s">
        <v>270</v>
      </c>
      <c r="G789" s="23">
        <v>1</v>
      </c>
      <c r="H789" s="26">
        <v>214.38</v>
      </c>
      <c r="I789" s="29">
        <v>0.1</v>
      </c>
      <c r="J789" s="10" t="s">
        <v>45</v>
      </c>
      <c r="K789" s="10" t="s">
        <v>51</v>
      </c>
      <c r="L789" s="15" t="s">
        <v>42</v>
      </c>
    </row>
    <row r="790" spans="1:12" ht="15" customHeight="1">
      <c r="A790" s="14" t="s">
        <v>1511</v>
      </c>
      <c r="B790" s="10" t="s">
        <v>1512</v>
      </c>
      <c r="C790" s="20">
        <v>45801</v>
      </c>
      <c r="D790" s="10" t="s">
        <v>1513</v>
      </c>
      <c r="E790" s="10" t="s">
        <v>1514</v>
      </c>
      <c r="F790" s="10" t="s">
        <v>112</v>
      </c>
      <c r="G790" s="23">
        <v>2</v>
      </c>
      <c r="H790" s="26">
        <v>88.61</v>
      </c>
      <c r="I790" s="29">
        <v>0</v>
      </c>
      <c r="J790" s="10" t="s">
        <v>64</v>
      </c>
      <c r="K790" s="10" t="s">
        <v>58</v>
      </c>
      <c r="L790" s="15" t="s">
        <v>47</v>
      </c>
    </row>
    <row r="791" spans="1:12" ht="15" customHeight="1">
      <c r="A791" s="14" t="s">
        <v>1515</v>
      </c>
      <c r="B791" s="10" t="s">
        <v>1512</v>
      </c>
      <c r="C791" s="20">
        <v>45801</v>
      </c>
      <c r="D791" s="10" t="s">
        <v>1513</v>
      </c>
      <c r="E791" s="10" t="s">
        <v>1514</v>
      </c>
      <c r="F791" s="10" t="s">
        <v>121</v>
      </c>
      <c r="G791" s="23">
        <v>2</v>
      </c>
      <c r="H791" s="26">
        <v>287.16000000000003</v>
      </c>
      <c r="I791" s="29">
        <v>0</v>
      </c>
      <c r="J791" s="10" t="s">
        <v>64</v>
      </c>
      <c r="K791" s="10" t="s">
        <v>51</v>
      </c>
      <c r="L791" s="15" t="s">
        <v>101</v>
      </c>
    </row>
    <row r="792" spans="1:12" ht="15" customHeight="1">
      <c r="A792" s="14" t="s">
        <v>1516</v>
      </c>
      <c r="B792" s="10" t="s">
        <v>1512</v>
      </c>
      <c r="C792" s="20">
        <v>45801</v>
      </c>
      <c r="D792" s="10" t="s">
        <v>1513</v>
      </c>
      <c r="E792" s="10" t="s">
        <v>1514</v>
      </c>
      <c r="F792" s="10" t="s">
        <v>147</v>
      </c>
      <c r="G792" s="23">
        <v>3</v>
      </c>
      <c r="H792" s="26">
        <v>102.78</v>
      </c>
      <c r="I792" s="29">
        <v>0</v>
      </c>
      <c r="J792" s="10" t="s">
        <v>70</v>
      </c>
      <c r="K792" s="10" t="s">
        <v>41</v>
      </c>
      <c r="L792" s="15" t="s">
        <v>67</v>
      </c>
    </row>
    <row r="793" spans="1:12" ht="15" customHeight="1">
      <c r="A793" s="14" t="s">
        <v>1517</v>
      </c>
      <c r="B793" s="10" t="s">
        <v>1512</v>
      </c>
      <c r="C793" s="20">
        <v>45801</v>
      </c>
      <c r="D793" s="10" t="s">
        <v>1513</v>
      </c>
      <c r="E793" s="10" t="s">
        <v>1514</v>
      </c>
      <c r="F793" s="10" t="s">
        <v>108</v>
      </c>
      <c r="G793" s="23">
        <v>4</v>
      </c>
      <c r="H793" s="26">
        <v>33.369999999999997</v>
      </c>
      <c r="I793" s="29">
        <v>0.05</v>
      </c>
      <c r="J793" s="10" t="s">
        <v>64</v>
      </c>
      <c r="K793" s="10" t="s">
        <v>98</v>
      </c>
      <c r="L793" s="15" t="s">
        <v>52</v>
      </c>
    </row>
    <row r="794" spans="1:12" ht="15" customHeight="1">
      <c r="A794" s="14" t="s">
        <v>1518</v>
      </c>
      <c r="B794" s="10" t="s">
        <v>1519</v>
      </c>
      <c r="C794" s="20">
        <v>45745.041666666664</v>
      </c>
      <c r="D794" s="10" t="s">
        <v>193</v>
      </c>
      <c r="E794" s="10" t="s">
        <v>194</v>
      </c>
      <c r="F794" s="10" t="s">
        <v>204</v>
      </c>
      <c r="G794" s="23">
        <v>2</v>
      </c>
      <c r="H794" s="26">
        <v>244.25</v>
      </c>
      <c r="I794" s="29">
        <v>0.1</v>
      </c>
      <c r="J794" s="10" t="s">
        <v>70</v>
      </c>
      <c r="K794" s="10"/>
      <c r="L794" s="15" t="s">
        <v>67</v>
      </c>
    </row>
    <row r="795" spans="1:12" ht="15" customHeight="1">
      <c r="A795" s="14" t="s">
        <v>1520</v>
      </c>
      <c r="B795" s="10" t="s">
        <v>1521</v>
      </c>
      <c r="C795" s="20">
        <v>46011</v>
      </c>
      <c r="D795" s="10" t="s">
        <v>572</v>
      </c>
      <c r="E795" s="10" t="s">
        <v>569</v>
      </c>
      <c r="F795" s="10" t="s">
        <v>171</v>
      </c>
      <c r="G795" s="23">
        <v>1</v>
      </c>
      <c r="H795" s="26">
        <v>228.81</v>
      </c>
      <c r="I795" s="29">
        <v>0.1</v>
      </c>
      <c r="J795" s="10" t="s">
        <v>70</v>
      </c>
      <c r="K795" s="10" t="s">
        <v>98</v>
      </c>
      <c r="L795" s="15" t="s">
        <v>47</v>
      </c>
    </row>
    <row r="796" spans="1:12" ht="15" customHeight="1">
      <c r="A796" s="14" t="s">
        <v>1522</v>
      </c>
      <c r="B796" s="10" t="s">
        <v>1521</v>
      </c>
      <c r="C796" s="20">
        <v>46011</v>
      </c>
      <c r="D796" s="10" t="s">
        <v>572</v>
      </c>
      <c r="E796" s="10" t="s">
        <v>569</v>
      </c>
      <c r="F796" s="10" t="s">
        <v>180</v>
      </c>
      <c r="G796" s="23">
        <v>4</v>
      </c>
      <c r="H796" s="26">
        <v>91.75</v>
      </c>
      <c r="I796" s="29">
        <v>0</v>
      </c>
      <c r="J796" s="10" t="s">
        <v>45</v>
      </c>
      <c r="K796" s="10" t="s">
        <v>98</v>
      </c>
      <c r="L796" s="15" t="s">
        <v>52</v>
      </c>
    </row>
    <row r="797" spans="1:12" ht="15" customHeight="1">
      <c r="A797" s="14" t="s">
        <v>1523</v>
      </c>
      <c r="B797" s="10" t="s">
        <v>1521</v>
      </c>
      <c r="C797" s="20">
        <v>46011</v>
      </c>
      <c r="D797" s="10" t="s">
        <v>572</v>
      </c>
      <c r="E797" s="10" t="s">
        <v>569</v>
      </c>
      <c r="F797" s="10" t="s">
        <v>220</v>
      </c>
      <c r="G797" s="23">
        <v>4</v>
      </c>
      <c r="H797" s="26">
        <v>25.01</v>
      </c>
      <c r="I797" s="29">
        <v>0</v>
      </c>
      <c r="J797" s="10" t="s">
        <v>70</v>
      </c>
      <c r="K797" s="10" t="s">
        <v>98</v>
      </c>
      <c r="L797" s="15" t="s">
        <v>42</v>
      </c>
    </row>
    <row r="798" spans="1:12" ht="15" customHeight="1">
      <c r="A798" s="14" t="s">
        <v>1524</v>
      </c>
      <c r="B798" s="10" t="s">
        <v>1521</v>
      </c>
      <c r="C798" s="20">
        <v>46011</v>
      </c>
      <c r="D798" s="10" t="s">
        <v>572</v>
      </c>
      <c r="E798" s="10" t="s">
        <v>569</v>
      </c>
      <c r="F798" s="10" t="s">
        <v>251</v>
      </c>
      <c r="G798" s="23">
        <v>3</v>
      </c>
      <c r="H798" s="26">
        <v>228.91</v>
      </c>
      <c r="I798" s="29">
        <v>0.05</v>
      </c>
      <c r="J798" s="10" t="s">
        <v>45</v>
      </c>
      <c r="K798" s="10" t="s">
        <v>58</v>
      </c>
      <c r="L798" s="15" t="s">
        <v>47</v>
      </c>
    </row>
    <row r="799" spans="1:12" ht="15" customHeight="1">
      <c r="A799" s="14" t="s">
        <v>1525</v>
      </c>
      <c r="B799" s="10" t="s">
        <v>1526</v>
      </c>
      <c r="C799" s="20">
        <v>45783</v>
      </c>
      <c r="D799" s="10" t="s">
        <v>503</v>
      </c>
      <c r="E799" s="10" t="s">
        <v>504</v>
      </c>
      <c r="F799" s="10" t="s">
        <v>110</v>
      </c>
      <c r="G799" s="23">
        <v>1</v>
      </c>
      <c r="H799" s="26">
        <v>133.24</v>
      </c>
      <c r="I799" s="29">
        <v>0.05</v>
      </c>
      <c r="J799" s="10" t="s">
        <v>45</v>
      </c>
      <c r="K799" s="10" t="s">
        <v>98</v>
      </c>
      <c r="L799" s="15" t="s">
        <v>101</v>
      </c>
    </row>
    <row r="800" spans="1:12" ht="15" customHeight="1">
      <c r="A800" s="14" t="s">
        <v>1527</v>
      </c>
      <c r="B800" s="10" t="s">
        <v>1526</v>
      </c>
      <c r="C800" s="20">
        <v>45783</v>
      </c>
      <c r="D800" s="10" t="s">
        <v>503</v>
      </c>
      <c r="E800" s="10" t="s">
        <v>504</v>
      </c>
      <c r="F800" s="10" t="s">
        <v>241</v>
      </c>
      <c r="G800" s="23">
        <v>3</v>
      </c>
      <c r="H800" s="26">
        <v>300.56</v>
      </c>
      <c r="I800" s="29">
        <v>0</v>
      </c>
      <c r="J800" s="10" t="s">
        <v>64</v>
      </c>
      <c r="K800" s="10" t="s">
        <v>41</v>
      </c>
      <c r="L800" s="15" t="s">
        <v>52</v>
      </c>
    </row>
    <row r="801" spans="1:12" ht="15" customHeight="1">
      <c r="A801" s="14" t="s">
        <v>1528</v>
      </c>
      <c r="B801" s="10" t="s">
        <v>1529</v>
      </c>
      <c r="C801" s="20">
        <v>45659</v>
      </c>
      <c r="D801" s="10" t="s">
        <v>733</v>
      </c>
      <c r="E801" s="10" t="s">
        <v>734</v>
      </c>
      <c r="F801" s="10" t="s">
        <v>196</v>
      </c>
      <c r="G801" s="23">
        <v>4</v>
      </c>
      <c r="H801" s="26">
        <v>183.73</v>
      </c>
      <c r="I801" s="29">
        <v>0</v>
      </c>
      <c r="J801" s="10" t="s">
        <v>50</v>
      </c>
      <c r="K801" s="10" t="s">
        <v>41</v>
      </c>
      <c r="L801" s="15" t="s">
        <v>47</v>
      </c>
    </row>
    <row r="802" spans="1:12" ht="15" customHeight="1">
      <c r="A802" s="14" t="s">
        <v>1530</v>
      </c>
      <c r="B802" s="10" t="s">
        <v>1529</v>
      </c>
      <c r="C802" s="20">
        <v>45659</v>
      </c>
      <c r="D802" s="10" t="s">
        <v>733</v>
      </c>
      <c r="E802" s="10" t="s">
        <v>734</v>
      </c>
      <c r="F802" s="10" t="s">
        <v>220</v>
      </c>
      <c r="G802" s="23">
        <v>1</v>
      </c>
      <c r="H802" s="26">
        <v>25.01</v>
      </c>
      <c r="I802" s="29">
        <v>0</v>
      </c>
      <c r="J802" s="10" t="s">
        <v>64</v>
      </c>
      <c r="K802" s="10" t="s">
        <v>41</v>
      </c>
      <c r="L802" s="15" t="s">
        <v>67</v>
      </c>
    </row>
    <row r="803" spans="1:12" ht="15" customHeight="1">
      <c r="A803" s="14" t="s">
        <v>1531</v>
      </c>
      <c r="B803" s="10" t="s">
        <v>1532</v>
      </c>
      <c r="C803" s="20">
        <v>45737.041666666664</v>
      </c>
      <c r="D803" s="10" t="s">
        <v>490</v>
      </c>
      <c r="E803" s="10" t="s">
        <v>491</v>
      </c>
      <c r="F803" s="10" t="s">
        <v>214</v>
      </c>
      <c r="G803" s="23">
        <v>4</v>
      </c>
      <c r="H803" s="26">
        <v>186.92</v>
      </c>
      <c r="I803" s="29">
        <v>0</v>
      </c>
      <c r="J803" s="10" t="s">
        <v>70</v>
      </c>
      <c r="K803" s="10" t="s">
        <v>46</v>
      </c>
      <c r="L803" s="15" t="s">
        <v>47</v>
      </c>
    </row>
    <row r="804" spans="1:12" ht="15" customHeight="1">
      <c r="A804" s="14" t="s">
        <v>1533</v>
      </c>
      <c r="B804" s="10" t="s">
        <v>1532</v>
      </c>
      <c r="C804" s="20">
        <v>45737.041666666664</v>
      </c>
      <c r="D804" s="10" t="s">
        <v>490</v>
      </c>
      <c r="E804" s="10" t="s">
        <v>491</v>
      </c>
      <c r="F804" s="10" t="s">
        <v>150</v>
      </c>
      <c r="G804" s="23">
        <v>3</v>
      </c>
      <c r="H804" s="26">
        <v>263.04000000000002</v>
      </c>
      <c r="I804" s="29">
        <v>0.05</v>
      </c>
      <c r="J804" s="10" t="s">
        <v>64</v>
      </c>
      <c r="K804" s="10"/>
      <c r="L804" s="15" t="s">
        <v>42</v>
      </c>
    </row>
    <row r="805" spans="1:12" ht="15" customHeight="1">
      <c r="A805" s="14" t="s">
        <v>1534</v>
      </c>
      <c r="B805" s="10" t="s">
        <v>1532</v>
      </c>
      <c r="C805" s="20">
        <v>45737.041666666664</v>
      </c>
      <c r="D805" s="10" t="s">
        <v>490</v>
      </c>
      <c r="E805" s="10" t="s">
        <v>491</v>
      </c>
      <c r="F805" s="10" t="s">
        <v>72</v>
      </c>
      <c r="G805" s="23">
        <v>3</v>
      </c>
      <c r="H805" s="26">
        <v>210.2</v>
      </c>
      <c r="I805" s="29">
        <v>0</v>
      </c>
      <c r="J805" s="10" t="s">
        <v>66</v>
      </c>
      <c r="K805" s="10" t="s">
        <v>46</v>
      </c>
      <c r="L805" s="15" t="s">
        <v>47</v>
      </c>
    </row>
    <row r="806" spans="1:12" ht="15" customHeight="1">
      <c r="A806" s="14" t="s">
        <v>1535</v>
      </c>
      <c r="B806" s="10" t="s">
        <v>1536</v>
      </c>
      <c r="C806" s="20">
        <v>45928</v>
      </c>
      <c r="D806" s="10" t="s">
        <v>1537</v>
      </c>
      <c r="E806" s="10" t="s">
        <v>1538</v>
      </c>
      <c r="F806" s="10" t="s">
        <v>495</v>
      </c>
      <c r="G806" s="23">
        <v>2</v>
      </c>
      <c r="H806" s="26">
        <v>207.71</v>
      </c>
      <c r="I806" s="29">
        <v>0</v>
      </c>
      <c r="J806" s="10" t="s">
        <v>40</v>
      </c>
      <c r="K806" s="10" t="s">
        <v>98</v>
      </c>
      <c r="L806" s="15" t="s">
        <v>52</v>
      </c>
    </row>
    <row r="807" spans="1:12" ht="15" customHeight="1">
      <c r="A807" s="14" t="s">
        <v>1539</v>
      </c>
      <c r="B807" s="10" t="s">
        <v>1540</v>
      </c>
      <c r="C807" s="20">
        <v>45994</v>
      </c>
      <c r="D807" s="10" t="s">
        <v>187</v>
      </c>
      <c r="E807" s="10" t="s">
        <v>188</v>
      </c>
      <c r="F807" s="10" t="s">
        <v>784</v>
      </c>
      <c r="G807" s="23">
        <v>3</v>
      </c>
      <c r="H807" s="26">
        <v>96.33</v>
      </c>
      <c r="I807" s="29">
        <v>0</v>
      </c>
      <c r="J807" s="10" t="s">
        <v>70</v>
      </c>
      <c r="K807" s="10" t="s">
        <v>51</v>
      </c>
      <c r="L807" s="15" t="s">
        <v>67</v>
      </c>
    </row>
    <row r="808" spans="1:12" ht="15" customHeight="1">
      <c r="A808" s="14" t="s">
        <v>1541</v>
      </c>
      <c r="B808" s="10" t="s">
        <v>1540</v>
      </c>
      <c r="C808" s="20">
        <v>45994</v>
      </c>
      <c r="D808" s="10" t="s">
        <v>187</v>
      </c>
      <c r="E808" s="10" t="s">
        <v>188</v>
      </c>
      <c r="F808" s="10" t="s">
        <v>49</v>
      </c>
      <c r="G808" s="23">
        <v>1</v>
      </c>
      <c r="H808" s="26">
        <v>300.16000000000003</v>
      </c>
      <c r="I808" s="29">
        <v>0</v>
      </c>
      <c r="J808" s="10" t="s">
        <v>70</v>
      </c>
      <c r="K808" s="10" t="s">
        <v>41</v>
      </c>
      <c r="L808" s="15" t="s">
        <v>67</v>
      </c>
    </row>
    <row r="809" spans="1:12" ht="15" customHeight="1">
      <c r="A809" s="14" t="s">
        <v>1542</v>
      </c>
      <c r="B809" s="10" t="s">
        <v>1543</v>
      </c>
      <c r="C809" s="20">
        <v>45774</v>
      </c>
      <c r="D809" s="10" t="s">
        <v>1544</v>
      </c>
      <c r="E809" s="10" t="s">
        <v>1545</v>
      </c>
      <c r="F809" s="10" t="s">
        <v>128</v>
      </c>
      <c r="G809" s="23">
        <v>3</v>
      </c>
      <c r="H809" s="26">
        <v>25.15</v>
      </c>
      <c r="I809" s="29">
        <v>0.1</v>
      </c>
      <c r="J809" s="10" t="s">
        <v>66</v>
      </c>
      <c r="K809" s="10" t="s">
        <v>98</v>
      </c>
      <c r="L809" s="15" t="s">
        <v>47</v>
      </c>
    </row>
    <row r="810" spans="1:12" ht="15" customHeight="1">
      <c r="A810" s="14" t="s">
        <v>1546</v>
      </c>
      <c r="B810" s="10" t="s">
        <v>1543</v>
      </c>
      <c r="C810" s="20">
        <v>45774</v>
      </c>
      <c r="D810" s="10" t="s">
        <v>1544</v>
      </c>
      <c r="E810" s="10" t="s">
        <v>1545</v>
      </c>
      <c r="F810" s="10" t="s">
        <v>196</v>
      </c>
      <c r="G810" s="23">
        <v>1</v>
      </c>
      <c r="H810" s="26">
        <v>183.73</v>
      </c>
      <c r="I810" s="29">
        <v>0</v>
      </c>
      <c r="J810" s="10" t="s">
        <v>64</v>
      </c>
      <c r="K810" s="10" t="s">
        <v>98</v>
      </c>
      <c r="L810" s="15" t="s">
        <v>42</v>
      </c>
    </row>
    <row r="811" spans="1:12" ht="15" customHeight="1">
      <c r="A811" s="14" t="s">
        <v>1547</v>
      </c>
      <c r="B811" s="10" t="s">
        <v>1543</v>
      </c>
      <c r="C811" s="20">
        <v>45774</v>
      </c>
      <c r="D811" s="10" t="s">
        <v>1544</v>
      </c>
      <c r="E811" s="10" t="s">
        <v>1545</v>
      </c>
      <c r="F811" s="10" t="s">
        <v>428</v>
      </c>
      <c r="G811" s="23">
        <v>1</v>
      </c>
      <c r="H811" s="26">
        <v>110.88</v>
      </c>
      <c r="I811" s="29">
        <v>0</v>
      </c>
      <c r="J811" s="10" t="s">
        <v>64</v>
      </c>
      <c r="K811" s="10" t="s">
        <v>41</v>
      </c>
      <c r="L811" s="15" t="s">
        <v>52</v>
      </c>
    </row>
    <row r="812" spans="1:12" ht="15" customHeight="1">
      <c r="A812" s="14" t="s">
        <v>1548</v>
      </c>
      <c r="B812" s="10" t="s">
        <v>1549</v>
      </c>
      <c r="C812" s="20">
        <v>45931</v>
      </c>
      <c r="D812" s="10" t="s">
        <v>1415</v>
      </c>
      <c r="E812" s="10" t="s">
        <v>1416</v>
      </c>
      <c r="F812" s="10" t="s">
        <v>309</v>
      </c>
      <c r="G812" s="23">
        <v>2</v>
      </c>
      <c r="H812" s="26">
        <v>56.99</v>
      </c>
      <c r="I812" s="29">
        <v>0</v>
      </c>
      <c r="J812" s="10" t="s">
        <v>66</v>
      </c>
      <c r="K812" s="10" t="s">
        <v>58</v>
      </c>
      <c r="L812" s="15" t="s">
        <v>42</v>
      </c>
    </row>
    <row r="813" spans="1:12" ht="15" customHeight="1">
      <c r="A813" s="14" t="s">
        <v>1550</v>
      </c>
      <c r="B813" s="10" t="s">
        <v>1551</v>
      </c>
      <c r="C813" s="20">
        <v>45704</v>
      </c>
      <c r="D813" s="10" t="s">
        <v>207</v>
      </c>
      <c r="E813" s="10" t="s">
        <v>208</v>
      </c>
      <c r="F813" s="10" t="s">
        <v>100</v>
      </c>
      <c r="G813" s="23">
        <v>4</v>
      </c>
      <c r="H813" s="26">
        <v>42.72</v>
      </c>
      <c r="I813" s="29">
        <v>0.15</v>
      </c>
      <c r="J813" s="10" t="s">
        <v>70</v>
      </c>
      <c r="K813" s="10" t="s">
        <v>58</v>
      </c>
      <c r="L813" s="15" t="s">
        <v>47</v>
      </c>
    </row>
    <row r="814" spans="1:12" ht="15" customHeight="1">
      <c r="A814" s="14" t="s">
        <v>1552</v>
      </c>
      <c r="B814" s="10" t="s">
        <v>1551</v>
      </c>
      <c r="C814" s="20">
        <v>45704</v>
      </c>
      <c r="D814" s="10" t="s">
        <v>207</v>
      </c>
      <c r="E814" s="10" t="s">
        <v>208</v>
      </c>
      <c r="F814" s="10" t="s">
        <v>106</v>
      </c>
      <c r="G814" s="23">
        <v>2</v>
      </c>
      <c r="H814" s="26">
        <v>195.38</v>
      </c>
      <c r="I814" s="29">
        <v>0.15</v>
      </c>
      <c r="J814" s="10" t="s">
        <v>50</v>
      </c>
      <c r="K814" s="10"/>
      <c r="L814" s="15" t="s">
        <v>42</v>
      </c>
    </row>
    <row r="815" spans="1:12" ht="15" customHeight="1">
      <c r="A815" s="14" t="s">
        <v>1553</v>
      </c>
      <c r="B815" s="10" t="s">
        <v>1551</v>
      </c>
      <c r="C815" s="20">
        <v>45704</v>
      </c>
      <c r="D815" s="10" t="s">
        <v>207</v>
      </c>
      <c r="E815" s="10" t="s">
        <v>208</v>
      </c>
      <c r="F815" s="10" t="s">
        <v>178</v>
      </c>
      <c r="G815" s="23">
        <v>4</v>
      </c>
      <c r="H815" s="26">
        <v>61.81</v>
      </c>
      <c r="I815" s="29">
        <v>0.05</v>
      </c>
      <c r="J815" s="10" t="s">
        <v>66</v>
      </c>
      <c r="K815" s="10" t="s">
        <v>41</v>
      </c>
      <c r="L815" s="15" t="s">
        <v>101</v>
      </c>
    </row>
    <row r="816" spans="1:12" ht="15" customHeight="1">
      <c r="A816" s="14" t="s">
        <v>1554</v>
      </c>
      <c r="B816" s="10" t="s">
        <v>1555</v>
      </c>
      <c r="C816" s="20">
        <v>45867</v>
      </c>
      <c r="D816" s="10" t="s">
        <v>748</v>
      </c>
      <c r="E816" s="10" t="s">
        <v>749</v>
      </c>
      <c r="F816" s="10" t="s">
        <v>332</v>
      </c>
      <c r="G816" s="23">
        <v>2</v>
      </c>
      <c r="H816" s="26">
        <v>273.89</v>
      </c>
      <c r="I816" s="29">
        <v>0.05</v>
      </c>
      <c r="J816" s="10" t="s">
        <v>66</v>
      </c>
      <c r="K816" s="10"/>
      <c r="L816" s="15" t="s">
        <v>101</v>
      </c>
    </row>
    <row r="817" spans="1:12" ht="15" customHeight="1">
      <c r="A817" s="14" t="s">
        <v>1556</v>
      </c>
      <c r="B817" s="10" t="s">
        <v>1557</v>
      </c>
      <c r="C817" s="20">
        <v>45731.041666666664</v>
      </c>
      <c r="D817" s="10" t="s">
        <v>300</v>
      </c>
      <c r="E817" s="10" t="s">
        <v>301</v>
      </c>
      <c r="F817" s="10" t="s">
        <v>241</v>
      </c>
      <c r="G817" s="23">
        <v>1</v>
      </c>
      <c r="H817" s="26">
        <v>300.56</v>
      </c>
      <c r="I817" s="29">
        <v>0.1</v>
      </c>
      <c r="J817" s="10" t="s">
        <v>64</v>
      </c>
      <c r="K817" s="10"/>
      <c r="L817" s="15" t="s">
        <v>47</v>
      </c>
    </row>
    <row r="818" spans="1:12" ht="15" customHeight="1">
      <c r="A818" s="14" t="s">
        <v>1558</v>
      </c>
      <c r="B818" s="10" t="s">
        <v>1559</v>
      </c>
      <c r="C818" s="20">
        <v>45819</v>
      </c>
      <c r="D818" s="10" t="s">
        <v>748</v>
      </c>
      <c r="E818" s="10" t="s">
        <v>749</v>
      </c>
      <c r="F818" s="10" t="s">
        <v>44</v>
      </c>
      <c r="G818" s="23">
        <v>1</v>
      </c>
      <c r="H818" s="26">
        <v>238.47</v>
      </c>
      <c r="I818" s="29">
        <v>0.15</v>
      </c>
      <c r="J818" s="10" t="s">
        <v>45</v>
      </c>
      <c r="K818" s="10" t="s">
        <v>58</v>
      </c>
      <c r="L818" s="15" t="s">
        <v>67</v>
      </c>
    </row>
    <row r="819" spans="1:12" ht="15" customHeight="1">
      <c r="A819" s="14" t="s">
        <v>1560</v>
      </c>
      <c r="B819" s="10" t="s">
        <v>1559</v>
      </c>
      <c r="C819" s="20">
        <v>45819</v>
      </c>
      <c r="D819" s="10" t="s">
        <v>748</v>
      </c>
      <c r="E819" s="10" t="s">
        <v>749</v>
      </c>
      <c r="F819" s="10" t="s">
        <v>150</v>
      </c>
      <c r="G819" s="23">
        <v>2</v>
      </c>
      <c r="H819" s="26">
        <v>263.04000000000002</v>
      </c>
      <c r="I819" s="29">
        <v>0</v>
      </c>
      <c r="J819" s="10" t="s">
        <v>70</v>
      </c>
      <c r="K819" s="10" t="s">
        <v>58</v>
      </c>
      <c r="L819" s="15" t="s">
        <v>52</v>
      </c>
    </row>
    <row r="820" spans="1:12" ht="15" customHeight="1">
      <c r="A820" s="14" t="s">
        <v>1561</v>
      </c>
      <c r="B820" s="10" t="s">
        <v>1562</v>
      </c>
      <c r="C820" s="20">
        <v>45770</v>
      </c>
      <c r="D820" s="10" t="s">
        <v>1563</v>
      </c>
      <c r="E820" s="10" t="s">
        <v>1564</v>
      </c>
      <c r="F820" s="10" t="s">
        <v>77</v>
      </c>
      <c r="G820" s="23">
        <v>2</v>
      </c>
      <c r="H820" s="26">
        <v>34.909999999999997</v>
      </c>
      <c r="I820" s="29">
        <v>0.15</v>
      </c>
      <c r="J820" s="10" t="s">
        <v>64</v>
      </c>
      <c r="K820" s="10" t="s">
        <v>58</v>
      </c>
      <c r="L820" s="15" t="s">
        <v>42</v>
      </c>
    </row>
    <row r="821" spans="1:12" ht="15" customHeight="1">
      <c r="A821" s="14" t="s">
        <v>1565</v>
      </c>
      <c r="B821" s="10" t="s">
        <v>1562</v>
      </c>
      <c r="C821" s="20">
        <v>45770</v>
      </c>
      <c r="D821" s="10" t="s">
        <v>1563</v>
      </c>
      <c r="E821" s="10" t="s">
        <v>1564</v>
      </c>
      <c r="F821" s="10" t="s">
        <v>117</v>
      </c>
      <c r="G821" s="23">
        <v>4</v>
      </c>
      <c r="H821" s="26">
        <v>251.17</v>
      </c>
      <c r="I821" s="29">
        <v>0.15</v>
      </c>
      <c r="J821" s="10" t="s">
        <v>66</v>
      </c>
      <c r="K821" s="10" t="s">
        <v>41</v>
      </c>
      <c r="L821" s="15" t="s">
        <v>52</v>
      </c>
    </row>
    <row r="822" spans="1:12" ht="15" customHeight="1">
      <c r="A822" s="14" t="s">
        <v>1566</v>
      </c>
      <c r="B822" s="10" t="s">
        <v>1567</v>
      </c>
      <c r="C822" s="20">
        <v>45698</v>
      </c>
      <c r="D822" s="10" t="s">
        <v>163</v>
      </c>
      <c r="E822" s="10" t="s">
        <v>164</v>
      </c>
      <c r="F822" s="10" t="s">
        <v>332</v>
      </c>
      <c r="G822" s="23">
        <v>4</v>
      </c>
      <c r="H822" s="26">
        <v>273.89</v>
      </c>
      <c r="I822" s="29">
        <v>0.15</v>
      </c>
      <c r="J822" s="10" t="s">
        <v>40</v>
      </c>
      <c r="K822" s="10" t="s">
        <v>98</v>
      </c>
      <c r="L822" s="15" t="s">
        <v>67</v>
      </c>
    </row>
    <row r="823" spans="1:12" ht="15" customHeight="1">
      <c r="A823" s="14" t="s">
        <v>1568</v>
      </c>
      <c r="B823" s="10" t="s">
        <v>1567</v>
      </c>
      <c r="C823" s="20">
        <v>45698</v>
      </c>
      <c r="D823" s="10" t="s">
        <v>163</v>
      </c>
      <c r="E823" s="10" t="s">
        <v>164</v>
      </c>
      <c r="F823" s="10" t="s">
        <v>88</v>
      </c>
      <c r="G823" s="23">
        <v>2</v>
      </c>
      <c r="H823" s="26">
        <v>147.46</v>
      </c>
      <c r="I823" s="29">
        <v>0.1</v>
      </c>
      <c r="J823" s="10" t="s">
        <v>66</v>
      </c>
      <c r="K823" s="10" t="s">
        <v>51</v>
      </c>
      <c r="L823" s="15" t="s">
        <v>101</v>
      </c>
    </row>
    <row r="824" spans="1:12" ht="15" customHeight="1">
      <c r="A824" s="14" t="s">
        <v>1569</v>
      </c>
      <c r="B824" s="10" t="s">
        <v>1567</v>
      </c>
      <c r="C824" s="20">
        <v>45698</v>
      </c>
      <c r="D824" s="10" t="s">
        <v>163</v>
      </c>
      <c r="E824" s="10" t="s">
        <v>164</v>
      </c>
      <c r="F824" s="10" t="s">
        <v>178</v>
      </c>
      <c r="G824" s="23">
        <v>2</v>
      </c>
      <c r="H824" s="26">
        <v>61.81</v>
      </c>
      <c r="I824" s="29">
        <v>0.05</v>
      </c>
      <c r="J824" s="10" t="s">
        <v>40</v>
      </c>
      <c r="K824" s="10" t="s">
        <v>46</v>
      </c>
      <c r="L824" s="15" t="s">
        <v>101</v>
      </c>
    </row>
    <row r="825" spans="1:12" ht="15" customHeight="1">
      <c r="A825" s="14" t="s">
        <v>1570</v>
      </c>
      <c r="B825" s="10" t="s">
        <v>1571</v>
      </c>
      <c r="C825" s="20">
        <v>46012</v>
      </c>
      <c r="D825" s="10" t="s">
        <v>365</v>
      </c>
      <c r="E825" s="10" t="s">
        <v>366</v>
      </c>
      <c r="F825" s="10" t="s">
        <v>201</v>
      </c>
      <c r="G825" s="23">
        <v>1</v>
      </c>
      <c r="H825" s="26">
        <v>154.47</v>
      </c>
      <c r="I825" s="29">
        <v>0.05</v>
      </c>
      <c r="J825" s="10" t="s">
        <v>40</v>
      </c>
      <c r="K825" s="10" t="s">
        <v>51</v>
      </c>
      <c r="L825" s="15" t="s">
        <v>67</v>
      </c>
    </row>
    <row r="826" spans="1:12" ht="15" customHeight="1">
      <c r="A826" s="14" t="s">
        <v>1572</v>
      </c>
      <c r="B826" s="10" t="s">
        <v>1571</v>
      </c>
      <c r="C826" s="20">
        <v>46012</v>
      </c>
      <c r="D826" s="10" t="s">
        <v>365</v>
      </c>
      <c r="E826" s="10" t="s">
        <v>366</v>
      </c>
      <c r="F826" s="10" t="s">
        <v>63</v>
      </c>
      <c r="G826" s="23">
        <v>3</v>
      </c>
      <c r="H826" s="26">
        <v>105.38</v>
      </c>
      <c r="I826" s="29">
        <v>0.05</v>
      </c>
      <c r="J826" s="10" t="s">
        <v>50</v>
      </c>
      <c r="K826" s="10" t="s">
        <v>46</v>
      </c>
      <c r="L826" s="15" t="s">
        <v>101</v>
      </c>
    </row>
    <row r="827" spans="1:12" ht="15" customHeight="1">
      <c r="A827" s="14" t="s">
        <v>1573</v>
      </c>
      <c r="B827" s="10" t="s">
        <v>1574</v>
      </c>
      <c r="C827" s="20">
        <v>45878</v>
      </c>
      <c r="D827" s="10" t="s">
        <v>1575</v>
      </c>
      <c r="E827" s="10" t="s">
        <v>1576</v>
      </c>
      <c r="F827" s="10" t="s">
        <v>88</v>
      </c>
      <c r="G827" s="23">
        <v>3</v>
      </c>
      <c r="H827" s="26">
        <v>147.46</v>
      </c>
      <c r="I827" s="29">
        <v>0.15</v>
      </c>
      <c r="J827" s="10" t="s">
        <v>50</v>
      </c>
      <c r="K827" s="10"/>
      <c r="L827" s="15" t="s">
        <v>101</v>
      </c>
    </row>
    <row r="828" spans="1:12" ht="15" customHeight="1">
      <c r="A828" s="14" t="s">
        <v>1577</v>
      </c>
      <c r="B828" s="10" t="s">
        <v>1574</v>
      </c>
      <c r="C828" s="20">
        <v>45878</v>
      </c>
      <c r="D828" s="10" t="s">
        <v>1575</v>
      </c>
      <c r="E828" s="10" t="s">
        <v>1576</v>
      </c>
      <c r="F828" s="10" t="s">
        <v>121</v>
      </c>
      <c r="G828" s="23">
        <v>2</v>
      </c>
      <c r="H828" s="26">
        <v>287.16000000000003</v>
      </c>
      <c r="I828" s="29">
        <v>0.05</v>
      </c>
      <c r="J828" s="10" t="s">
        <v>66</v>
      </c>
      <c r="K828" s="10" t="s">
        <v>46</v>
      </c>
      <c r="L828" s="15" t="s">
        <v>52</v>
      </c>
    </row>
    <row r="829" spans="1:12" ht="15" customHeight="1">
      <c r="A829" s="14" t="s">
        <v>1578</v>
      </c>
      <c r="B829" s="10" t="s">
        <v>1579</v>
      </c>
      <c r="C829" s="20">
        <v>45962</v>
      </c>
      <c r="D829" s="10" t="s">
        <v>163</v>
      </c>
      <c r="E829" s="10" t="s">
        <v>164</v>
      </c>
      <c r="F829" s="10" t="s">
        <v>80</v>
      </c>
      <c r="G829" s="23">
        <v>3</v>
      </c>
      <c r="H829" s="26">
        <v>142.16</v>
      </c>
      <c r="I829" s="29">
        <v>0</v>
      </c>
      <c r="J829" s="10" t="s">
        <v>66</v>
      </c>
      <c r="K829" s="10" t="s">
        <v>41</v>
      </c>
      <c r="L829" s="15" t="s">
        <v>42</v>
      </c>
    </row>
    <row r="830" spans="1:12" ht="15" customHeight="1">
      <c r="A830" s="14" t="s">
        <v>1580</v>
      </c>
      <c r="B830" s="10" t="s">
        <v>1579</v>
      </c>
      <c r="C830" s="20">
        <v>45962</v>
      </c>
      <c r="D830" s="10" t="s">
        <v>163</v>
      </c>
      <c r="E830" s="10" t="s">
        <v>164</v>
      </c>
      <c r="F830" s="10" t="s">
        <v>521</v>
      </c>
      <c r="G830" s="23">
        <v>2</v>
      </c>
      <c r="H830" s="26">
        <v>37.82</v>
      </c>
      <c r="I830" s="29">
        <v>0.15</v>
      </c>
      <c r="J830" s="10" t="s">
        <v>70</v>
      </c>
      <c r="K830" s="10" t="s">
        <v>51</v>
      </c>
      <c r="L830" s="15" t="s">
        <v>47</v>
      </c>
    </row>
    <row r="831" spans="1:12" ht="15" customHeight="1">
      <c r="A831" s="14" t="s">
        <v>1581</v>
      </c>
      <c r="B831" s="10" t="s">
        <v>1579</v>
      </c>
      <c r="C831" s="20">
        <v>45962</v>
      </c>
      <c r="D831" s="10" t="s">
        <v>163</v>
      </c>
      <c r="E831" s="10" t="s">
        <v>164</v>
      </c>
      <c r="F831" s="10" t="s">
        <v>316</v>
      </c>
      <c r="G831" s="23">
        <v>2</v>
      </c>
      <c r="H831" s="26">
        <v>180.37</v>
      </c>
      <c r="I831" s="29">
        <v>0</v>
      </c>
      <c r="J831" s="10" t="s">
        <v>70</v>
      </c>
      <c r="K831" s="10" t="s">
        <v>98</v>
      </c>
      <c r="L831" s="15" t="s">
        <v>52</v>
      </c>
    </row>
    <row r="832" spans="1:12" ht="15" customHeight="1">
      <c r="A832" s="14" t="s">
        <v>1582</v>
      </c>
      <c r="B832" s="10" t="s">
        <v>1583</v>
      </c>
      <c r="C832" s="20">
        <v>45671</v>
      </c>
      <c r="D832" s="10" t="s">
        <v>1584</v>
      </c>
      <c r="E832" s="10" t="s">
        <v>1514</v>
      </c>
      <c r="F832" s="10" t="s">
        <v>251</v>
      </c>
      <c r="G832" s="23">
        <v>3</v>
      </c>
      <c r="H832" s="26">
        <v>228.91</v>
      </c>
      <c r="I832" s="29">
        <v>0</v>
      </c>
      <c r="J832" s="10" t="s">
        <v>66</v>
      </c>
      <c r="K832" s="10" t="s">
        <v>51</v>
      </c>
      <c r="L832" s="15" t="s">
        <v>42</v>
      </c>
    </row>
    <row r="833" spans="1:12" ht="15" customHeight="1">
      <c r="A833" s="14" t="s">
        <v>1585</v>
      </c>
      <c r="B833" s="10" t="s">
        <v>1583</v>
      </c>
      <c r="C833" s="20">
        <v>45671</v>
      </c>
      <c r="D833" s="10" t="s">
        <v>1513</v>
      </c>
      <c r="E833" s="10" t="s">
        <v>1514</v>
      </c>
      <c r="F833" s="10" t="s">
        <v>241</v>
      </c>
      <c r="G833" s="23">
        <v>3</v>
      </c>
      <c r="H833" s="26">
        <v>300.56</v>
      </c>
      <c r="I833" s="29">
        <v>0.15</v>
      </c>
      <c r="J833" s="10" t="s">
        <v>45</v>
      </c>
      <c r="K833" s="10" t="s">
        <v>98</v>
      </c>
      <c r="L833" s="15" t="s">
        <v>47</v>
      </c>
    </row>
    <row r="834" spans="1:12" ht="15" customHeight="1">
      <c r="A834" s="14" t="s">
        <v>1586</v>
      </c>
      <c r="B834" s="10" t="s">
        <v>1583</v>
      </c>
      <c r="C834" s="20">
        <v>45671</v>
      </c>
      <c r="D834" s="10" t="s">
        <v>1513</v>
      </c>
      <c r="E834" s="10" t="s">
        <v>1514</v>
      </c>
      <c r="F834" s="10" t="s">
        <v>270</v>
      </c>
      <c r="G834" s="23">
        <v>3</v>
      </c>
      <c r="H834" s="26">
        <v>214.38</v>
      </c>
      <c r="I834" s="29">
        <v>0.05</v>
      </c>
      <c r="J834" s="10" t="s">
        <v>70</v>
      </c>
      <c r="K834" s="10" t="s">
        <v>41</v>
      </c>
      <c r="L834" s="15" t="s">
        <v>47</v>
      </c>
    </row>
    <row r="835" spans="1:12" ht="15" customHeight="1">
      <c r="A835" s="14" t="s">
        <v>1587</v>
      </c>
      <c r="B835" s="10" t="s">
        <v>1583</v>
      </c>
      <c r="C835" s="20">
        <v>45671</v>
      </c>
      <c r="D835" s="10" t="s">
        <v>1513</v>
      </c>
      <c r="E835" s="10" t="s">
        <v>1514</v>
      </c>
      <c r="F835" s="10" t="s">
        <v>495</v>
      </c>
      <c r="G835" s="23">
        <v>3</v>
      </c>
      <c r="H835" s="26">
        <v>207.71</v>
      </c>
      <c r="I835" s="29">
        <v>0.1</v>
      </c>
      <c r="J835" s="10" t="s">
        <v>64</v>
      </c>
      <c r="K835" s="10" t="s">
        <v>41</v>
      </c>
      <c r="L835" s="15" t="s">
        <v>67</v>
      </c>
    </row>
    <row r="836" spans="1:12" ht="15" customHeight="1">
      <c r="A836" s="14" t="s">
        <v>1588</v>
      </c>
      <c r="B836" s="10" t="s">
        <v>1589</v>
      </c>
      <c r="C836" s="20">
        <v>45701</v>
      </c>
      <c r="D836" s="10" t="s">
        <v>859</v>
      </c>
      <c r="E836" s="10" t="s">
        <v>860</v>
      </c>
      <c r="F836" s="10" t="s">
        <v>150</v>
      </c>
      <c r="G836" s="23">
        <v>1</v>
      </c>
      <c r="H836" s="26">
        <v>263.04000000000002</v>
      </c>
      <c r="I836" s="29">
        <v>0.1</v>
      </c>
      <c r="J836" s="10" t="s">
        <v>70</v>
      </c>
      <c r="K836" s="10" t="s">
        <v>51</v>
      </c>
      <c r="L836" s="15" t="s">
        <v>52</v>
      </c>
    </row>
    <row r="837" spans="1:12" ht="15" customHeight="1">
      <c r="A837" s="14" t="s">
        <v>1590</v>
      </c>
      <c r="B837" s="10" t="s">
        <v>1589</v>
      </c>
      <c r="C837" s="20">
        <v>45701</v>
      </c>
      <c r="D837" s="10" t="s">
        <v>859</v>
      </c>
      <c r="E837" s="10" t="s">
        <v>860</v>
      </c>
      <c r="F837" s="10" t="s">
        <v>428</v>
      </c>
      <c r="G837" s="23">
        <v>2</v>
      </c>
      <c r="H837" s="26">
        <v>110.88</v>
      </c>
      <c r="I837" s="29">
        <v>0.15</v>
      </c>
      <c r="J837" s="10" t="s">
        <v>70</v>
      </c>
      <c r="K837" s="10" t="s">
        <v>46</v>
      </c>
      <c r="L837" s="15" t="s">
        <v>47</v>
      </c>
    </row>
    <row r="838" spans="1:12" ht="15" customHeight="1">
      <c r="A838" s="14" t="s">
        <v>1591</v>
      </c>
      <c r="B838" s="10" t="s">
        <v>1589</v>
      </c>
      <c r="C838" s="20">
        <v>45701</v>
      </c>
      <c r="D838" s="10" t="s">
        <v>859</v>
      </c>
      <c r="E838" s="10" t="s">
        <v>860</v>
      </c>
      <c r="F838" s="10" t="s">
        <v>495</v>
      </c>
      <c r="G838" s="23">
        <v>3</v>
      </c>
      <c r="H838" s="26">
        <v>207.71</v>
      </c>
      <c r="I838" s="29">
        <v>0</v>
      </c>
      <c r="J838" s="10" t="s">
        <v>66</v>
      </c>
      <c r="K838" s="10" t="s">
        <v>98</v>
      </c>
      <c r="L838" s="15" t="s">
        <v>42</v>
      </c>
    </row>
    <row r="839" spans="1:12" ht="15" customHeight="1">
      <c r="A839" s="14" t="s">
        <v>1592</v>
      </c>
      <c r="B839" s="10" t="s">
        <v>1593</v>
      </c>
      <c r="C839" s="20">
        <v>45747.041666666664</v>
      </c>
      <c r="D839" s="10" t="s">
        <v>1594</v>
      </c>
      <c r="E839" s="10" t="s">
        <v>1595</v>
      </c>
      <c r="F839" s="10" t="s">
        <v>49</v>
      </c>
      <c r="G839" s="23">
        <v>2</v>
      </c>
      <c r="H839" s="26">
        <v>300.16000000000003</v>
      </c>
      <c r="I839" s="29">
        <v>0.05</v>
      </c>
      <c r="J839" s="10" t="s">
        <v>70</v>
      </c>
      <c r="K839" s="10" t="s">
        <v>41</v>
      </c>
      <c r="L839" s="15" t="s">
        <v>67</v>
      </c>
    </row>
    <row r="840" spans="1:12" ht="15" customHeight="1">
      <c r="A840" s="14" t="s">
        <v>1596</v>
      </c>
      <c r="B840" s="10" t="s">
        <v>1593</v>
      </c>
      <c r="C840" s="20">
        <v>45747.041666666664</v>
      </c>
      <c r="D840" s="10" t="s">
        <v>1594</v>
      </c>
      <c r="E840" s="10" t="s">
        <v>1595</v>
      </c>
      <c r="F840" s="10" t="s">
        <v>279</v>
      </c>
      <c r="G840" s="23">
        <v>2</v>
      </c>
      <c r="H840" s="26">
        <v>52.79</v>
      </c>
      <c r="I840" s="29">
        <v>0.05</v>
      </c>
      <c r="J840" s="10" t="s">
        <v>40</v>
      </c>
      <c r="K840" s="10" t="s">
        <v>46</v>
      </c>
      <c r="L840" s="15" t="s">
        <v>47</v>
      </c>
    </row>
    <row r="841" spans="1:12" ht="15" customHeight="1">
      <c r="A841" s="14" t="s">
        <v>1597</v>
      </c>
      <c r="B841" s="10" t="s">
        <v>1593</v>
      </c>
      <c r="C841" s="20">
        <v>45747.041666666664</v>
      </c>
      <c r="D841" s="10" t="s">
        <v>1594</v>
      </c>
      <c r="E841" s="10" t="s">
        <v>1595</v>
      </c>
      <c r="F841" s="10" t="s">
        <v>100</v>
      </c>
      <c r="G841" s="23">
        <v>1</v>
      </c>
      <c r="H841" s="26">
        <v>42.72</v>
      </c>
      <c r="I841" s="29">
        <v>0</v>
      </c>
      <c r="J841" s="10" t="s">
        <v>40</v>
      </c>
      <c r="K841" s="10" t="s">
        <v>46</v>
      </c>
      <c r="L841" s="15" t="s">
        <v>42</v>
      </c>
    </row>
    <row r="842" spans="1:12" ht="15" customHeight="1">
      <c r="A842" s="14" t="s">
        <v>1598</v>
      </c>
      <c r="B842" s="10" t="s">
        <v>1599</v>
      </c>
      <c r="C842" s="20">
        <v>45840</v>
      </c>
      <c r="D842" s="10" t="s">
        <v>947</v>
      </c>
      <c r="E842" s="10" t="s">
        <v>948</v>
      </c>
      <c r="F842" s="10" t="s">
        <v>468</v>
      </c>
      <c r="G842" s="23">
        <v>3</v>
      </c>
      <c r="H842" s="26">
        <v>160</v>
      </c>
      <c r="I842" s="29">
        <v>0</v>
      </c>
      <c r="J842" s="10" t="s">
        <v>70</v>
      </c>
      <c r="K842" s="10" t="s">
        <v>58</v>
      </c>
      <c r="L842" s="15" t="s">
        <v>101</v>
      </c>
    </row>
    <row r="843" spans="1:12" ht="15" customHeight="1">
      <c r="A843" s="14" t="s">
        <v>1600</v>
      </c>
      <c r="B843" s="10" t="s">
        <v>1599</v>
      </c>
      <c r="C843" s="20">
        <v>45840</v>
      </c>
      <c r="D843" s="10" t="s">
        <v>947</v>
      </c>
      <c r="E843" s="10" t="s">
        <v>948</v>
      </c>
      <c r="F843" s="10" t="s">
        <v>309</v>
      </c>
      <c r="G843" s="23">
        <v>4</v>
      </c>
      <c r="H843" s="26">
        <v>56.99</v>
      </c>
      <c r="I843" s="29">
        <v>0.15</v>
      </c>
      <c r="J843" s="10" t="s">
        <v>45</v>
      </c>
      <c r="K843" s="10" t="s">
        <v>51</v>
      </c>
      <c r="L843" s="15" t="s">
        <v>101</v>
      </c>
    </row>
    <row r="844" spans="1:12" ht="15" customHeight="1">
      <c r="A844" s="14" t="s">
        <v>1601</v>
      </c>
      <c r="B844" s="10" t="s">
        <v>1602</v>
      </c>
      <c r="C844" s="20">
        <v>45878</v>
      </c>
      <c r="D844" s="10" t="s">
        <v>672</v>
      </c>
      <c r="E844" s="10" t="s">
        <v>673</v>
      </c>
      <c r="F844" s="10" t="s">
        <v>332</v>
      </c>
      <c r="G844" s="23">
        <v>3</v>
      </c>
      <c r="H844" s="26">
        <v>273.89</v>
      </c>
      <c r="I844" s="29">
        <v>0</v>
      </c>
      <c r="J844" s="10" t="s">
        <v>50</v>
      </c>
      <c r="K844" s="10" t="s">
        <v>51</v>
      </c>
      <c r="L844" s="15" t="s">
        <v>52</v>
      </c>
    </row>
    <row r="845" spans="1:12" ht="15" customHeight="1">
      <c r="A845" s="14" t="s">
        <v>1603</v>
      </c>
      <c r="B845" s="10" t="s">
        <v>1604</v>
      </c>
      <c r="C845" s="20">
        <v>45766</v>
      </c>
      <c r="D845" s="10" t="s">
        <v>1605</v>
      </c>
      <c r="E845" s="10" t="s">
        <v>1606</v>
      </c>
      <c r="F845" s="10" t="s">
        <v>136</v>
      </c>
      <c r="G845" s="23">
        <v>2</v>
      </c>
      <c r="H845" s="26">
        <v>141.46</v>
      </c>
      <c r="I845" s="29">
        <v>0</v>
      </c>
      <c r="J845" s="10" t="s">
        <v>66</v>
      </c>
      <c r="K845" s="10" t="s">
        <v>41</v>
      </c>
      <c r="L845" s="15" t="s">
        <v>42</v>
      </c>
    </row>
    <row r="846" spans="1:12" ht="15" customHeight="1">
      <c r="A846" s="14" t="s">
        <v>1607</v>
      </c>
      <c r="B846" s="10" t="s">
        <v>1604</v>
      </c>
      <c r="C846" s="20">
        <v>45766</v>
      </c>
      <c r="D846" s="10" t="s">
        <v>1605</v>
      </c>
      <c r="E846" s="10" t="s">
        <v>1606</v>
      </c>
      <c r="F846" s="10" t="s">
        <v>150</v>
      </c>
      <c r="G846" s="23">
        <v>4</v>
      </c>
      <c r="H846" s="26">
        <v>263.04000000000002</v>
      </c>
      <c r="I846" s="29">
        <v>0.1</v>
      </c>
      <c r="J846" s="10" t="s">
        <v>50</v>
      </c>
      <c r="K846" s="10" t="s">
        <v>58</v>
      </c>
      <c r="L846" s="15" t="s">
        <v>42</v>
      </c>
    </row>
    <row r="847" spans="1:12" ht="15" customHeight="1">
      <c r="A847" s="14" t="s">
        <v>1608</v>
      </c>
      <c r="B847" s="10" t="s">
        <v>1609</v>
      </c>
      <c r="C847" s="20">
        <v>45801</v>
      </c>
      <c r="D847" s="10" t="s">
        <v>697</v>
      </c>
      <c r="E847" s="10" t="s">
        <v>695</v>
      </c>
      <c r="F847" s="10" t="s">
        <v>468</v>
      </c>
      <c r="G847" s="23">
        <v>1</v>
      </c>
      <c r="H847" s="26">
        <v>160</v>
      </c>
      <c r="I847" s="29">
        <v>0</v>
      </c>
      <c r="J847" s="10" t="s">
        <v>66</v>
      </c>
      <c r="K847" s="10" t="s">
        <v>51</v>
      </c>
      <c r="L847" s="15" t="s">
        <v>47</v>
      </c>
    </row>
    <row r="848" spans="1:12" ht="15" customHeight="1">
      <c r="A848" s="14" t="s">
        <v>1610</v>
      </c>
      <c r="B848" s="10" t="s">
        <v>1609</v>
      </c>
      <c r="C848" s="20">
        <v>45801</v>
      </c>
      <c r="D848" s="10" t="s">
        <v>697</v>
      </c>
      <c r="E848" s="10" t="s">
        <v>695</v>
      </c>
      <c r="F848" s="10" t="s">
        <v>241</v>
      </c>
      <c r="G848" s="23">
        <v>1</v>
      </c>
      <c r="H848" s="26">
        <v>300.56</v>
      </c>
      <c r="I848" s="29">
        <v>0.05</v>
      </c>
      <c r="J848" s="10" t="s">
        <v>45</v>
      </c>
      <c r="K848" s="10" t="s">
        <v>46</v>
      </c>
      <c r="L848" s="15" t="s">
        <v>42</v>
      </c>
    </row>
    <row r="849" spans="1:12" ht="15" customHeight="1">
      <c r="A849" s="14" t="s">
        <v>1611</v>
      </c>
      <c r="B849" s="10" t="s">
        <v>1612</v>
      </c>
      <c r="C849" s="20">
        <v>45895</v>
      </c>
      <c r="D849" s="10" t="s">
        <v>927</v>
      </c>
      <c r="E849" s="10" t="s">
        <v>928</v>
      </c>
      <c r="F849" s="10" t="s">
        <v>468</v>
      </c>
      <c r="G849" s="23">
        <v>4</v>
      </c>
      <c r="H849" s="26">
        <v>160</v>
      </c>
      <c r="I849" s="29">
        <v>0</v>
      </c>
      <c r="J849" s="10" t="s">
        <v>45</v>
      </c>
      <c r="K849" s="10"/>
      <c r="L849" s="15" t="s">
        <v>47</v>
      </c>
    </row>
    <row r="850" spans="1:12" ht="15" customHeight="1">
      <c r="A850" s="14" t="s">
        <v>1613</v>
      </c>
      <c r="B850" s="10" t="s">
        <v>1612</v>
      </c>
      <c r="C850" s="20">
        <v>45895</v>
      </c>
      <c r="D850" s="10" t="s">
        <v>927</v>
      </c>
      <c r="E850" s="10" t="s">
        <v>928</v>
      </c>
      <c r="F850" s="10" t="s">
        <v>316</v>
      </c>
      <c r="G850" s="23">
        <v>1</v>
      </c>
      <c r="H850" s="26">
        <v>180.37</v>
      </c>
      <c r="I850" s="29">
        <v>0.15</v>
      </c>
      <c r="J850" s="10" t="s">
        <v>45</v>
      </c>
      <c r="K850" s="10" t="s">
        <v>98</v>
      </c>
      <c r="L850" s="15" t="s">
        <v>52</v>
      </c>
    </row>
    <row r="851" spans="1:12" ht="15" customHeight="1">
      <c r="A851" s="14" t="s">
        <v>1614</v>
      </c>
      <c r="B851" s="10" t="s">
        <v>1612</v>
      </c>
      <c r="C851" s="20">
        <v>45895</v>
      </c>
      <c r="D851" s="10" t="s">
        <v>927</v>
      </c>
      <c r="E851" s="10" t="s">
        <v>928</v>
      </c>
      <c r="F851" s="10" t="s">
        <v>49</v>
      </c>
      <c r="G851" s="23">
        <v>3</v>
      </c>
      <c r="H851" s="26">
        <v>300.16000000000003</v>
      </c>
      <c r="I851" s="29">
        <v>0.1</v>
      </c>
      <c r="J851" s="10" t="s">
        <v>40</v>
      </c>
      <c r="K851" s="10" t="s">
        <v>46</v>
      </c>
      <c r="L851" s="15" t="s">
        <v>67</v>
      </c>
    </row>
    <row r="852" spans="1:12" ht="15" customHeight="1">
      <c r="A852" s="14" t="s">
        <v>1615</v>
      </c>
      <c r="B852" s="10" t="s">
        <v>1612</v>
      </c>
      <c r="C852" s="20">
        <v>45895</v>
      </c>
      <c r="D852" s="10" t="s">
        <v>927</v>
      </c>
      <c r="E852" s="10" t="s">
        <v>928</v>
      </c>
      <c r="F852" s="10" t="s">
        <v>150</v>
      </c>
      <c r="G852" s="23">
        <v>3</v>
      </c>
      <c r="H852" s="26">
        <v>263.04000000000002</v>
      </c>
      <c r="I852" s="29">
        <v>0.15</v>
      </c>
      <c r="J852" s="10" t="s">
        <v>66</v>
      </c>
      <c r="K852" s="10" t="s">
        <v>51</v>
      </c>
      <c r="L852" s="15" t="s">
        <v>67</v>
      </c>
    </row>
    <row r="853" spans="1:12" ht="15" customHeight="1">
      <c r="A853" s="14" t="s">
        <v>1616</v>
      </c>
      <c r="B853" s="10" t="s">
        <v>1617</v>
      </c>
      <c r="C853" s="20">
        <v>45691</v>
      </c>
      <c r="D853" s="10" t="s">
        <v>645</v>
      </c>
      <c r="E853" s="10" t="s">
        <v>646</v>
      </c>
      <c r="F853" s="10" t="s">
        <v>456</v>
      </c>
      <c r="G853" s="23">
        <v>2</v>
      </c>
      <c r="H853" s="26">
        <v>275.76</v>
      </c>
      <c r="I853" s="29">
        <v>0.05</v>
      </c>
      <c r="J853" s="10" t="s">
        <v>64</v>
      </c>
      <c r="K853" s="10" t="s">
        <v>46</v>
      </c>
      <c r="L853" s="15" t="s">
        <v>42</v>
      </c>
    </row>
    <row r="854" spans="1:12" ht="15" customHeight="1">
      <c r="A854" s="14" t="s">
        <v>1618</v>
      </c>
      <c r="B854" s="10" t="s">
        <v>1617</v>
      </c>
      <c r="C854" s="20">
        <v>45691</v>
      </c>
      <c r="D854" s="10" t="s">
        <v>645</v>
      </c>
      <c r="E854" s="10" t="s">
        <v>646</v>
      </c>
      <c r="F854" s="10" t="s">
        <v>93</v>
      </c>
      <c r="G854" s="23">
        <v>3</v>
      </c>
      <c r="H854" s="26">
        <v>208.89</v>
      </c>
      <c r="I854" s="29">
        <v>0.1</v>
      </c>
      <c r="J854" s="10" t="s">
        <v>40</v>
      </c>
      <c r="K854" s="10" t="s">
        <v>58</v>
      </c>
      <c r="L854" s="15" t="s">
        <v>101</v>
      </c>
    </row>
    <row r="855" spans="1:12" ht="15" customHeight="1">
      <c r="A855" s="14" t="s">
        <v>1619</v>
      </c>
      <c r="B855" s="10" t="s">
        <v>1617</v>
      </c>
      <c r="C855" s="20">
        <v>45691</v>
      </c>
      <c r="D855" s="10" t="s">
        <v>645</v>
      </c>
      <c r="E855" s="10" t="s">
        <v>646</v>
      </c>
      <c r="F855" s="10" t="s">
        <v>276</v>
      </c>
      <c r="G855" s="23">
        <v>1</v>
      </c>
      <c r="H855" s="26">
        <v>182.94</v>
      </c>
      <c r="I855" s="29">
        <v>0.05</v>
      </c>
      <c r="J855" s="10" t="s">
        <v>50</v>
      </c>
      <c r="K855" s="10" t="s">
        <v>46</v>
      </c>
      <c r="L855" s="15" t="s">
        <v>101</v>
      </c>
    </row>
    <row r="856" spans="1:12" ht="15" customHeight="1">
      <c r="A856" s="14" t="s">
        <v>1620</v>
      </c>
      <c r="B856" s="10" t="s">
        <v>1617</v>
      </c>
      <c r="C856" s="20">
        <v>45691</v>
      </c>
      <c r="D856" s="10" t="s">
        <v>645</v>
      </c>
      <c r="E856" s="10" t="s">
        <v>646</v>
      </c>
      <c r="F856" s="10" t="s">
        <v>108</v>
      </c>
      <c r="G856" s="23">
        <v>1</v>
      </c>
      <c r="H856" s="26">
        <v>33.369999999999997</v>
      </c>
      <c r="I856" s="29">
        <v>0.05</v>
      </c>
      <c r="J856" s="10" t="s">
        <v>64</v>
      </c>
      <c r="K856" s="10" t="s">
        <v>46</v>
      </c>
      <c r="L856" s="15" t="s">
        <v>67</v>
      </c>
    </row>
    <row r="857" spans="1:12" ht="15" customHeight="1">
      <c r="A857" s="14" t="s">
        <v>1621</v>
      </c>
      <c r="B857" s="10" t="s">
        <v>1622</v>
      </c>
      <c r="C857" s="20">
        <v>45816</v>
      </c>
      <c r="D857" s="10" t="s">
        <v>218</v>
      </c>
      <c r="E857" s="10" t="s">
        <v>219</v>
      </c>
      <c r="F857" s="10" t="s">
        <v>130</v>
      </c>
      <c r="G857" s="23">
        <v>3</v>
      </c>
      <c r="H857" s="26">
        <v>265.73</v>
      </c>
      <c r="I857" s="29">
        <v>0.05</v>
      </c>
      <c r="J857" s="10" t="s">
        <v>40</v>
      </c>
      <c r="K857" s="10" t="s">
        <v>46</v>
      </c>
      <c r="L857" s="15" t="s">
        <v>101</v>
      </c>
    </row>
    <row r="858" spans="1:12" ht="15" customHeight="1">
      <c r="A858" s="14" t="s">
        <v>1623</v>
      </c>
      <c r="B858" s="10" t="s">
        <v>1622</v>
      </c>
      <c r="C858" s="20">
        <v>45816</v>
      </c>
      <c r="D858" s="10" t="s">
        <v>218</v>
      </c>
      <c r="E858" s="10" t="s">
        <v>219</v>
      </c>
      <c r="F858" s="10" t="s">
        <v>238</v>
      </c>
      <c r="G858" s="23">
        <v>2</v>
      </c>
      <c r="H858" s="26">
        <v>82.77</v>
      </c>
      <c r="I858" s="29">
        <v>0.05</v>
      </c>
      <c r="J858" s="10" t="s">
        <v>64</v>
      </c>
      <c r="K858" s="10" t="s">
        <v>51</v>
      </c>
      <c r="L858" s="15" t="s">
        <v>47</v>
      </c>
    </row>
    <row r="859" spans="1:12" ht="15" customHeight="1">
      <c r="A859" s="14" t="s">
        <v>1624</v>
      </c>
      <c r="B859" s="10" t="s">
        <v>1622</v>
      </c>
      <c r="C859" s="20">
        <v>45816</v>
      </c>
      <c r="D859" s="10" t="s">
        <v>218</v>
      </c>
      <c r="E859" s="10" t="s">
        <v>219</v>
      </c>
      <c r="F859" s="10" t="s">
        <v>521</v>
      </c>
      <c r="G859" s="23">
        <v>3</v>
      </c>
      <c r="H859" s="26">
        <v>37.82</v>
      </c>
      <c r="I859" s="29">
        <v>0.1</v>
      </c>
      <c r="J859" s="10" t="s">
        <v>40</v>
      </c>
      <c r="K859" s="10" t="s">
        <v>98</v>
      </c>
      <c r="L859" s="15" t="s">
        <v>67</v>
      </c>
    </row>
    <row r="860" spans="1:12" ht="15" customHeight="1">
      <c r="A860" s="14" t="s">
        <v>1625</v>
      </c>
      <c r="B860" s="10" t="s">
        <v>1622</v>
      </c>
      <c r="C860" s="20">
        <v>45816</v>
      </c>
      <c r="D860" s="10" t="s">
        <v>218</v>
      </c>
      <c r="E860" s="10" t="s">
        <v>219</v>
      </c>
      <c r="F860" s="10" t="s">
        <v>63</v>
      </c>
      <c r="G860" s="23">
        <v>4</v>
      </c>
      <c r="H860" s="26">
        <v>105.38</v>
      </c>
      <c r="I860" s="29">
        <v>0</v>
      </c>
      <c r="J860" s="10" t="s">
        <v>50</v>
      </c>
      <c r="K860" s="10" t="s">
        <v>98</v>
      </c>
      <c r="L860" s="15" t="s">
        <v>67</v>
      </c>
    </row>
    <row r="861" spans="1:12" ht="15" customHeight="1">
      <c r="A861" s="14" t="s">
        <v>1626</v>
      </c>
      <c r="B861" s="10" t="s">
        <v>1627</v>
      </c>
      <c r="C861" s="20">
        <v>45915</v>
      </c>
      <c r="D861" s="10" t="s">
        <v>517</v>
      </c>
      <c r="E861" s="10" t="s">
        <v>518</v>
      </c>
      <c r="F861" s="10" t="s">
        <v>108</v>
      </c>
      <c r="G861" s="23">
        <v>2</v>
      </c>
      <c r="H861" s="26">
        <v>33.369999999999997</v>
      </c>
      <c r="I861" s="29">
        <v>0.15</v>
      </c>
      <c r="J861" s="10" t="s">
        <v>50</v>
      </c>
      <c r="K861" s="10" t="s">
        <v>98</v>
      </c>
      <c r="L861" s="15" t="s">
        <v>52</v>
      </c>
    </row>
    <row r="862" spans="1:12" ht="15" customHeight="1">
      <c r="A862" s="14" t="s">
        <v>1628</v>
      </c>
      <c r="B862" s="10" t="s">
        <v>1629</v>
      </c>
      <c r="C862" s="20">
        <v>45713.041666666664</v>
      </c>
      <c r="D862" s="10" t="s">
        <v>684</v>
      </c>
      <c r="E862" s="10" t="s">
        <v>685</v>
      </c>
      <c r="F862" s="10" t="s">
        <v>108</v>
      </c>
      <c r="G862" s="23">
        <v>4</v>
      </c>
      <c r="H862" s="26">
        <v>33.369999999999997</v>
      </c>
      <c r="I862" s="29">
        <v>0.05</v>
      </c>
      <c r="J862" s="10" t="s">
        <v>40</v>
      </c>
      <c r="K862" s="10"/>
      <c r="L862" s="15" t="s">
        <v>52</v>
      </c>
    </row>
    <row r="863" spans="1:12" ht="15" customHeight="1">
      <c r="A863" s="14" t="s">
        <v>1630</v>
      </c>
      <c r="B863" s="10" t="s">
        <v>1631</v>
      </c>
      <c r="C863" s="20">
        <v>45826</v>
      </c>
      <c r="D863" s="10" t="s">
        <v>568</v>
      </c>
      <c r="E863" s="10" t="s">
        <v>569</v>
      </c>
      <c r="F863" s="10" t="s">
        <v>251</v>
      </c>
      <c r="G863" s="23">
        <v>3</v>
      </c>
      <c r="H863" s="26">
        <v>228.91</v>
      </c>
      <c r="I863" s="29">
        <v>0</v>
      </c>
      <c r="J863" s="10" t="s">
        <v>66</v>
      </c>
      <c r="K863" s="10" t="s">
        <v>51</v>
      </c>
      <c r="L863" s="15" t="s">
        <v>67</v>
      </c>
    </row>
    <row r="864" spans="1:12" ht="15" customHeight="1">
      <c r="A864" s="14" t="s">
        <v>1632</v>
      </c>
      <c r="B864" s="10" t="s">
        <v>1631</v>
      </c>
      <c r="C864" s="20">
        <v>45826</v>
      </c>
      <c r="D864" s="10" t="s">
        <v>568</v>
      </c>
      <c r="E864" s="10" t="s">
        <v>569</v>
      </c>
      <c r="F864" s="10" t="s">
        <v>108</v>
      </c>
      <c r="G864" s="23">
        <v>4</v>
      </c>
      <c r="H864" s="26">
        <v>33.369999999999997</v>
      </c>
      <c r="I864" s="29">
        <v>0</v>
      </c>
      <c r="J864" s="10" t="s">
        <v>66</v>
      </c>
      <c r="K864" s="10"/>
      <c r="L864" s="15" t="s">
        <v>52</v>
      </c>
    </row>
    <row r="865" spans="1:12" ht="15" customHeight="1">
      <c r="A865" s="14" t="s">
        <v>1633</v>
      </c>
      <c r="B865" s="10" t="s">
        <v>1631</v>
      </c>
      <c r="C865" s="20">
        <v>45826</v>
      </c>
      <c r="D865" s="10" t="s">
        <v>568</v>
      </c>
      <c r="E865" s="10" t="s">
        <v>569</v>
      </c>
      <c r="F865" s="10" t="s">
        <v>196</v>
      </c>
      <c r="G865" s="23">
        <v>2</v>
      </c>
      <c r="H865" s="26">
        <v>183.73</v>
      </c>
      <c r="I865" s="29">
        <v>0</v>
      </c>
      <c r="J865" s="10" t="s">
        <v>45</v>
      </c>
      <c r="K865" s="10" t="s">
        <v>46</v>
      </c>
      <c r="L865" s="15" t="s">
        <v>52</v>
      </c>
    </row>
    <row r="866" spans="1:12" ht="15" customHeight="1">
      <c r="A866" s="14" t="s">
        <v>1634</v>
      </c>
      <c r="B866" s="10" t="s">
        <v>1631</v>
      </c>
      <c r="C866" s="20">
        <v>45826</v>
      </c>
      <c r="D866" s="10" t="s">
        <v>1635</v>
      </c>
      <c r="E866" s="10" t="s">
        <v>569</v>
      </c>
      <c r="F866" s="10" t="s">
        <v>180</v>
      </c>
      <c r="G866" s="23">
        <v>3</v>
      </c>
      <c r="H866" s="26">
        <v>91.75</v>
      </c>
      <c r="I866" s="29">
        <v>0</v>
      </c>
      <c r="J866" s="10" t="s">
        <v>50</v>
      </c>
      <c r="K866" s="10" t="s">
        <v>46</v>
      </c>
      <c r="L866" s="15" t="s">
        <v>47</v>
      </c>
    </row>
    <row r="867" spans="1:12" ht="15" customHeight="1">
      <c r="A867" s="14" t="s">
        <v>1636</v>
      </c>
      <c r="B867" s="10" t="s">
        <v>1637</v>
      </c>
      <c r="C867" s="20">
        <v>45925</v>
      </c>
      <c r="D867" s="10" t="s">
        <v>609</v>
      </c>
      <c r="E867" s="10" t="s">
        <v>610</v>
      </c>
      <c r="F867" s="10" t="s">
        <v>196</v>
      </c>
      <c r="G867" s="23">
        <v>1</v>
      </c>
      <c r="H867" s="26">
        <v>183.73</v>
      </c>
      <c r="I867" s="29">
        <v>0.05</v>
      </c>
      <c r="J867" s="10" t="s">
        <v>40</v>
      </c>
      <c r="K867" s="10" t="s">
        <v>41</v>
      </c>
      <c r="L867" s="15" t="s">
        <v>67</v>
      </c>
    </row>
    <row r="868" spans="1:12" ht="15" customHeight="1">
      <c r="A868" s="14" t="s">
        <v>1638</v>
      </c>
      <c r="B868" s="10" t="s">
        <v>1637</v>
      </c>
      <c r="C868" s="20">
        <v>45925</v>
      </c>
      <c r="D868" s="10" t="s">
        <v>609</v>
      </c>
      <c r="E868" s="10" t="s">
        <v>610</v>
      </c>
      <c r="F868" s="10" t="s">
        <v>196</v>
      </c>
      <c r="G868" s="23">
        <v>1</v>
      </c>
      <c r="H868" s="26">
        <v>183.73</v>
      </c>
      <c r="I868" s="29">
        <v>0.15</v>
      </c>
      <c r="J868" s="10" t="s">
        <v>66</v>
      </c>
      <c r="K868" s="10" t="s">
        <v>98</v>
      </c>
      <c r="L868" s="15" t="s">
        <v>101</v>
      </c>
    </row>
    <row r="869" spans="1:12" ht="15" customHeight="1">
      <c r="A869" s="14" t="s">
        <v>1639</v>
      </c>
      <c r="B869" s="10" t="s">
        <v>1640</v>
      </c>
      <c r="C869" s="20">
        <v>45660</v>
      </c>
      <c r="D869" s="10" t="s">
        <v>307</v>
      </c>
      <c r="E869" s="10" t="s">
        <v>308</v>
      </c>
      <c r="F869" s="10" t="s">
        <v>251</v>
      </c>
      <c r="G869" s="23">
        <v>2</v>
      </c>
      <c r="H869" s="26">
        <v>228.91</v>
      </c>
      <c r="I869" s="29">
        <v>0.05</v>
      </c>
      <c r="J869" s="10" t="s">
        <v>40</v>
      </c>
      <c r="K869" s="10" t="s">
        <v>41</v>
      </c>
      <c r="L869" s="15" t="s">
        <v>42</v>
      </c>
    </row>
    <row r="870" spans="1:12" ht="15" customHeight="1">
      <c r="A870" s="14" t="s">
        <v>1641</v>
      </c>
      <c r="B870" s="10" t="s">
        <v>1642</v>
      </c>
      <c r="C870" s="20">
        <v>45775</v>
      </c>
      <c r="D870" s="10" t="s">
        <v>432</v>
      </c>
      <c r="E870" s="10" t="s">
        <v>433</v>
      </c>
      <c r="F870" s="10" t="s">
        <v>279</v>
      </c>
      <c r="G870" s="23">
        <v>1</v>
      </c>
      <c r="H870" s="26">
        <v>52.79</v>
      </c>
      <c r="I870" s="29">
        <v>0</v>
      </c>
      <c r="J870" s="10" t="s">
        <v>50</v>
      </c>
      <c r="K870" s="10" t="s">
        <v>51</v>
      </c>
      <c r="L870" s="15" t="s">
        <v>52</v>
      </c>
    </row>
    <row r="871" spans="1:12" ht="15" customHeight="1">
      <c r="A871" s="14" t="s">
        <v>1643</v>
      </c>
      <c r="B871" s="10" t="s">
        <v>1642</v>
      </c>
      <c r="C871" s="20">
        <v>45775</v>
      </c>
      <c r="D871" s="10" t="s">
        <v>432</v>
      </c>
      <c r="E871" s="10" t="s">
        <v>433</v>
      </c>
      <c r="F871" s="10" t="s">
        <v>106</v>
      </c>
      <c r="G871" s="23">
        <v>1</v>
      </c>
      <c r="H871" s="26">
        <v>195.38</v>
      </c>
      <c r="I871" s="29">
        <v>0.15</v>
      </c>
      <c r="J871" s="10" t="s">
        <v>45</v>
      </c>
      <c r="K871" s="10" t="s">
        <v>98</v>
      </c>
      <c r="L871" s="15" t="s">
        <v>42</v>
      </c>
    </row>
    <row r="872" spans="1:12" ht="15" customHeight="1">
      <c r="A872" s="14" t="s">
        <v>1644</v>
      </c>
      <c r="B872" s="10" t="s">
        <v>1642</v>
      </c>
      <c r="C872" s="20">
        <v>45775</v>
      </c>
      <c r="D872" s="10" t="s">
        <v>432</v>
      </c>
      <c r="E872" s="10" t="s">
        <v>433</v>
      </c>
      <c r="F872" s="10" t="s">
        <v>220</v>
      </c>
      <c r="G872" s="23">
        <v>3</v>
      </c>
      <c r="H872" s="26">
        <v>25.01</v>
      </c>
      <c r="I872" s="29">
        <v>0</v>
      </c>
      <c r="J872" s="10" t="s">
        <v>70</v>
      </c>
      <c r="K872" s="10" t="s">
        <v>41</v>
      </c>
      <c r="L872" s="15" t="s">
        <v>47</v>
      </c>
    </row>
    <row r="873" spans="1:12" ht="15" customHeight="1">
      <c r="A873" s="14" t="s">
        <v>1645</v>
      </c>
      <c r="B873" s="10" t="s">
        <v>1646</v>
      </c>
      <c r="C873" s="20">
        <v>45866</v>
      </c>
      <c r="D873" s="10" t="s">
        <v>880</v>
      </c>
      <c r="E873" s="10" t="s">
        <v>881</v>
      </c>
      <c r="F873" s="10" t="s">
        <v>100</v>
      </c>
      <c r="G873" s="23">
        <v>4</v>
      </c>
      <c r="H873" s="26">
        <v>42.72</v>
      </c>
      <c r="I873" s="29">
        <v>0.15</v>
      </c>
      <c r="J873" s="10" t="s">
        <v>64</v>
      </c>
      <c r="K873" s="10" t="s">
        <v>51</v>
      </c>
      <c r="L873" s="15" t="s">
        <v>47</v>
      </c>
    </row>
    <row r="874" spans="1:12" ht="15" customHeight="1">
      <c r="A874" s="14" t="s">
        <v>1647</v>
      </c>
      <c r="B874" s="10" t="s">
        <v>1646</v>
      </c>
      <c r="C874" s="20">
        <v>45866</v>
      </c>
      <c r="D874" s="10" t="s">
        <v>880</v>
      </c>
      <c r="E874" s="10" t="s">
        <v>881</v>
      </c>
      <c r="F874" s="10" t="s">
        <v>316</v>
      </c>
      <c r="G874" s="23">
        <v>4</v>
      </c>
      <c r="H874" s="26">
        <v>180.37</v>
      </c>
      <c r="I874" s="29">
        <v>0.05</v>
      </c>
      <c r="J874" s="10" t="s">
        <v>70</v>
      </c>
      <c r="K874" s="10"/>
      <c r="L874" s="15" t="s">
        <v>47</v>
      </c>
    </row>
    <row r="875" spans="1:12" ht="15" customHeight="1">
      <c r="A875" s="14" t="s">
        <v>1648</v>
      </c>
      <c r="B875" s="10" t="s">
        <v>1646</v>
      </c>
      <c r="C875" s="20">
        <v>45866</v>
      </c>
      <c r="D875" s="10" t="s">
        <v>880</v>
      </c>
      <c r="E875" s="10" t="s">
        <v>881</v>
      </c>
      <c r="F875" s="10" t="s">
        <v>495</v>
      </c>
      <c r="G875" s="23">
        <v>2</v>
      </c>
      <c r="H875" s="26">
        <v>207.71</v>
      </c>
      <c r="I875" s="29">
        <v>0.1</v>
      </c>
      <c r="J875" s="10" t="s">
        <v>40</v>
      </c>
      <c r="K875" s="10" t="s">
        <v>51</v>
      </c>
      <c r="L875" s="15" t="s">
        <v>101</v>
      </c>
    </row>
    <row r="876" spans="1:12" ht="15" customHeight="1">
      <c r="A876" s="14" t="s">
        <v>1649</v>
      </c>
      <c r="B876" s="10" t="s">
        <v>1646</v>
      </c>
      <c r="C876" s="20">
        <v>45866</v>
      </c>
      <c r="D876" s="10" t="s">
        <v>1650</v>
      </c>
      <c r="E876" s="10" t="s">
        <v>881</v>
      </c>
      <c r="F876" s="10" t="s">
        <v>110</v>
      </c>
      <c r="G876" s="23">
        <v>1</v>
      </c>
      <c r="H876" s="26">
        <v>133.24</v>
      </c>
      <c r="I876" s="29">
        <v>0</v>
      </c>
      <c r="J876" s="10" t="s">
        <v>45</v>
      </c>
      <c r="K876" s="10"/>
      <c r="L876" s="15" t="s">
        <v>52</v>
      </c>
    </row>
    <row r="877" spans="1:12" ht="15" customHeight="1">
      <c r="A877" s="14" t="s">
        <v>1651</v>
      </c>
      <c r="B877" s="10" t="s">
        <v>1652</v>
      </c>
      <c r="C877" s="20">
        <v>45826</v>
      </c>
      <c r="D877" s="10" t="s">
        <v>1653</v>
      </c>
      <c r="E877" s="10" t="s">
        <v>1654</v>
      </c>
      <c r="F877" s="10" t="s">
        <v>93</v>
      </c>
      <c r="G877" s="23">
        <v>3</v>
      </c>
      <c r="H877" s="26">
        <v>208.89</v>
      </c>
      <c r="I877" s="29">
        <v>0.15</v>
      </c>
      <c r="J877" s="10" t="s">
        <v>64</v>
      </c>
      <c r="K877" s="10" t="s">
        <v>51</v>
      </c>
      <c r="L877" s="15" t="s">
        <v>47</v>
      </c>
    </row>
    <row r="878" spans="1:12" ht="15" customHeight="1">
      <c r="A878" s="14" t="s">
        <v>1655</v>
      </c>
      <c r="B878" s="10" t="s">
        <v>1652</v>
      </c>
      <c r="C878" s="20">
        <v>45826</v>
      </c>
      <c r="D878" s="10" t="s">
        <v>1653</v>
      </c>
      <c r="E878" s="10" t="s">
        <v>1654</v>
      </c>
      <c r="F878" s="10" t="s">
        <v>119</v>
      </c>
      <c r="G878" s="23">
        <v>4</v>
      </c>
      <c r="H878" s="26">
        <v>103.3</v>
      </c>
      <c r="I878" s="29">
        <v>0.1</v>
      </c>
      <c r="J878" s="10" t="s">
        <v>50</v>
      </c>
      <c r="K878" s="10" t="s">
        <v>98</v>
      </c>
      <c r="L878" s="15" t="s">
        <v>67</v>
      </c>
    </row>
    <row r="879" spans="1:12" ht="15" customHeight="1">
      <c r="A879" s="14" t="s">
        <v>1656</v>
      </c>
      <c r="B879" s="10" t="s">
        <v>1652</v>
      </c>
      <c r="C879" s="20">
        <v>45826</v>
      </c>
      <c r="D879" s="10" t="s">
        <v>1653</v>
      </c>
      <c r="E879" s="10" t="s">
        <v>1654</v>
      </c>
      <c r="F879" s="10" t="s">
        <v>332</v>
      </c>
      <c r="G879" s="23">
        <v>2</v>
      </c>
      <c r="H879" s="26">
        <v>273.89</v>
      </c>
      <c r="I879" s="29">
        <v>0.15</v>
      </c>
      <c r="J879" s="10" t="s">
        <v>64</v>
      </c>
      <c r="K879" s="10" t="s">
        <v>46</v>
      </c>
      <c r="L879" s="15" t="s">
        <v>52</v>
      </c>
    </row>
    <row r="880" spans="1:12" ht="15" customHeight="1">
      <c r="A880" s="14" t="s">
        <v>1657</v>
      </c>
      <c r="B880" s="10" t="s">
        <v>1658</v>
      </c>
      <c r="C880" s="20">
        <v>45742.041666666664</v>
      </c>
      <c r="D880" s="10" t="s">
        <v>1490</v>
      </c>
      <c r="E880" s="10" t="s">
        <v>1491</v>
      </c>
      <c r="F880" s="10" t="s">
        <v>428</v>
      </c>
      <c r="G880" s="23">
        <v>1</v>
      </c>
      <c r="H880" s="26">
        <v>110.88</v>
      </c>
      <c r="I880" s="29">
        <v>0</v>
      </c>
      <c r="J880" s="10" t="s">
        <v>50</v>
      </c>
      <c r="K880" s="10" t="s">
        <v>58</v>
      </c>
      <c r="L880" s="15" t="s">
        <v>47</v>
      </c>
    </row>
    <row r="881" spans="1:12" ht="15" customHeight="1">
      <c r="A881" s="14" t="s">
        <v>1659</v>
      </c>
      <c r="B881" s="10" t="s">
        <v>1658</v>
      </c>
      <c r="C881" s="20">
        <v>45742.041666666664</v>
      </c>
      <c r="D881" s="10" t="s">
        <v>1490</v>
      </c>
      <c r="E881" s="10" t="s">
        <v>1491</v>
      </c>
      <c r="F881" s="10" t="s">
        <v>784</v>
      </c>
      <c r="G881" s="23">
        <v>2</v>
      </c>
      <c r="H881" s="26">
        <v>96.33</v>
      </c>
      <c r="I881" s="29">
        <v>0</v>
      </c>
      <c r="J881" s="10" t="s">
        <v>45</v>
      </c>
      <c r="K881" s="10" t="s">
        <v>98</v>
      </c>
      <c r="L881" s="15" t="s">
        <v>47</v>
      </c>
    </row>
    <row r="882" spans="1:12" ht="15" customHeight="1">
      <c r="A882" s="14" t="s">
        <v>1660</v>
      </c>
      <c r="B882" s="10" t="s">
        <v>1661</v>
      </c>
      <c r="C882" s="20">
        <v>45885</v>
      </c>
      <c r="D882" s="10" t="s">
        <v>168</v>
      </c>
      <c r="E882" s="10" t="s">
        <v>169</v>
      </c>
      <c r="F882" s="10" t="s">
        <v>214</v>
      </c>
      <c r="G882" s="23">
        <v>2</v>
      </c>
      <c r="H882" s="26">
        <v>186.92</v>
      </c>
      <c r="I882" s="29">
        <v>0</v>
      </c>
      <c r="J882" s="10" t="s">
        <v>45</v>
      </c>
      <c r="K882" s="10" t="s">
        <v>51</v>
      </c>
      <c r="L882" s="15" t="s">
        <v>101</v>
      </c>
    </row>
    <row r="883" spans="1:12" ht="15" customHeight="1">
      <c r="A883" s="14" t="s">
        <v>1662</v>
      </c>
      <c r="B883" s="10" t="s">
        <v>1661</v>
      </c>
      <c r="C883" s="20">
        <v>45885</v>
      </c>
      <c r="D883" s="10" t="s">
        <v>168</v>
      </c>
      <c r="E883" s="10" t="s">
        <v>169</v>
      </c>
      <c r="F883" s="10" t="s">
        <v>220</v>
      </c>
      <c r="G883" s="23">
        <v>1</v>
      </c>
      <c r="H883" s="26">
        <v>25.01</v>
      </c>
      <c r="I883" s="29">
        <v>0.15</v>
      </c>
      <c r="J883" s="10" t="s">
        <v>50</v>
      </c>
      <c r="K883" s="10" t="s">
        <v>51</v>
      </c>
      <c r="L883" s="15" t="s">
        <v>42</v>
      </c>
    </row>
    <row r="884" spans="1:12" ht="15" customHeight="1">
      <c r="A884" s="14" t="s">
        <v>1663</v>
      </c>
      <c r="B884" s="10" t="s">
        <v>1661</v>
      </c>
      <c r="C884" s="20">
        <v>45885</v>
      </c>
      <c r="D884" s="10" t="s">
        <v>168</v>
      </c>
      <c r="E884" s="10" t="s">
        <v>169</v>
      </c>
      <c r="F884" s="10" t="s">
        <v>49</v>
      </c>
      <c r="G884" s="23">
        <v>4</v>
      </c>
      <c r="H884" s="26">
        <v>300.16000000000003</v>
      </c>
      <c r="I884" s="29">
        <v>0</v>
      </c>
      <c r="J884" s="10" t="s">
        <v>64</v>
      </c>
      <c r="K884" s="10" t="s">
        <v>41</v>
      </c>
      <c r="L884" s="15" t="s">
        <v>47</v>
      </c>
    </row>
    <row r="885" spans="1:12" ht="15" customHeight="1">
      <c r="A885" s="14" t="s">
        <v>1664</v>
      </c>
      <c r="B885" s="10" t="s">
        <v>1665</v>
      </c>
      <c r="C885" s="20">
        <v>45719.041666666664</v>
      </c>
      <c r="D885" s="10" t="s">
        <v>859</v>
      </c>
      <c r="E885" s="10" t="s">
        <v>860</v>
      </c>
      <c r="F885" s="10" t="s">
        <v>44</v>
      </c>
      <c r="G885" s="23">
        <v>1</v>
      </c>
      <c r="H885" s="26">
        <v>238.47</v>
      </c>
      <c r="I885" s="29">
        <v>0.1</v>
      </c>
      <c r="J885" s="10" t="s">
        <v>45</v>
      </c>
      <c r="K885" s="10"/>
      <c r="L885" s="15" t="s">
        <v>42</v>
      </c>
    </row>
    <row r="886" spans="1:12" ht="15" customHeight="1">
      <c r="A886" s="14" t="s">
        <v>1666</v>
      </c>
      <c r="B886" s="10" t="s">
        <v>1665</v>
      </c>
      <c r="C886" s="20">
        <v>45719.041666666664</v>
      </c>
      <c r="D886" s="10" t="s">
        <v>859</v>
      </c>
      <c r="E886" s="10" t="s">
        <v>860</v>
      </c>
      <c r="F886" s="10" t="s">
        <v>214</v>
      </c>
      <c r="G886" s="23">
        <v>3</v>
      </c>
      <c r="H886" s="26">
        <v>186.92</v>
      </c>
      <c r="I886" s="29">
        <v>0</v>
      </c>
      <c r="J886" s="10" t="s">
        <v>50</v>
      </c>
      <c r="K886" s="10" t="s">
        <v>58</v>
      </c>
      <c r="L886" s="15" t="s">
        <v>67</v>
      </c>
    </row>
    <row r="887" spans="1:12" ht="15" customHeight="1">
      <c r="A887" s="14" t="s">
        <v>1667</v>
      </c>
      <c r="B887" s="10" t="s">
        <v>1665</v>
      </c>
      <c r="C887" s="20">
        <v>45719.041666666664</v>
      </c>
      <c r="D887" s="10" t="s">
        <v>859</v>
      </c>
      <c r="E887" s="10" t="s">
        <v>860</v>
      </c>
      <c r="F887" s="10" t="s">
        <v>136</v>
      </c>
      <c r="G887" s="23">
        <v>4</v>
      </c>
      <c r="H887" s="26">
        <v>141.46</v>
      </c>
      <c r="I887" s="29">
        <v>0.1</v>
      </c>
      <c r="J887" s="10" t="s">
        <v>50</v>
      </c>
      <c r="K887" s="10" t="s">
        <v>58</v>
      </c>
      <c r="L887" s="15" t="s">
        <v>42</v>
      </c>
    </row>
    <row r="888" spans="1:12" ht="15" customHeight="1">
      <c r="A888" s="14" t="s">
        <v>1668</v>
      </c>
      <c r="B888" s="10" t="s">
        <v>1665</v>
      </c>
      <c r="C888" s="20">
        <v>45719.041666666664</v>
      </c>
      <c r="D888" s="10" t="s">
        <v>859</v>
      </c>
      <c r="E888" s="10" t="s">
        <v>860</v>
      </c>
      <c r="F888" s="10" t="s">
        <v>119</v>
      </c>
      <c r="G888" s="23">
        <v>3</v>
      </c>
      <c r="H888" s="26">
        <v>103.3</v>
      </c>
      <c r="I888" s="29">
        <v>0</v>
      </c>
      <c r="J888" s="10" t="s">
        <v>66</v>
      </c>
      <c r="K888" s="10"/>
      <c r="L888" s="15" t="s">
        <v>52</v>
      </c>
    </row>
    <row r="889" spans="1:12" ht="15" customHeight="1">
      <c r="A889" s="14" t="s">
        <v>84</v>
      </c>
      <c r="B889" s="10" t="s">
        <v>85</v>
      </c>
      <c r="C889" s="20">
        <v>45659</v>
      </c>
      <c r="D889" s="10" t="s">
        <v>86</v>
      </c>
      <c r="E889" s="10" t="s">
        <v>87</v>
      </c>
      <c r="F889" s="10" t="s">
        <v>88</v>
      </c>
      <c r="G889" s="23">
        <v>2</v>
      </c>
      <c r="H889" s="26">
        <v>147.46</v>
      </c>
      <c r="I889" s="29">
        <v>0</v>
      </c>
      <c r="J889" s="10" t="s">
        <v>40</v>
      </c>
      <c r="K889" s="10" t="s">
        <v>41</v>
      </c>
      <c r="L889" s="15" t="s">
        <v>47</v>
      </c>
    </row>
    <row r="890" spans="1:12" ht="15" customHeight="1">
      <c r="A890" s="14" t="s">
        <v>312</v>
      </c>
      <c r="B890" s="10" t="s">
        <v>313</v>
      </c>
      <c r="C890" s="20">
        <v>45673</v>
      </c>
      <c r="D890" s="10" t="s">
        <v>314</v>
      </c>
      <c r="E890" s="10" t="s">
        <v>250</v>
      </c>
      <c r="F890" s="10" t="s">
        <v>119</v>
      </c>
      <c r="G890" s="23">
        <v>4</v>
      </c>
      <c r="H890" s="26">
        <v>103.3</v>
      </c>
      <c r="I890" s="29">
        <v>0.05</v>
      </c>
      <c r="J890" s="10" t="s">
        <v>66</v>
      </c>
      <c r="K890" s="10" t="s">
        <v>46</v>
      </c>
      <c r="L890" s="15" t="s">
        <v>47</v>
      </c>
    </row>
    <row r="891" spans="1:12" ht="15" customHeight="1">
      <c r="A891" s="14" t="s">
        <v>477</v>
      </c>
      <c r="B891" s="10" t="s">
        <v>474</v>
      </c>
      <c r="C891" s="20">
        <v>45953</v>
      </c>
      <c r="D891" s="10" t="s">
        <v>475</v>
      </c>
      <c r="E891" s="10" t="s">
        <v>476</v>
      </c>
      <c r="F891" s="10" t="s">
        <v>276</v>
      </c>
      <c r="G891" s="23">
        <v>1</v>
      </c>
      <c r="H891" s="26">
        <v>182.94</v>
      </c>
      <c r="I891" s="29">
        <v>0</v>
      </c>
      <c r="J891" s="10" t="s">
        <v>45</v>
      </c>
      <c r="K891" s="10"/>
      <c r="L891" s="15" t="s">
        <v>42</v>
      </c>
    </row>
    <row r="892" spans="1:12" ht="15" customHeight="1">
      <c r="A892" s="14" t="s">
        <v>591</v>
      </c>
      <c r="B892" s="10" t="s">
        <v>592</v>
      </c>
      <c r="C892" s="20">
        <v>45795</v>
      </c>
      <c r="D892" s="10" t="s">
        <v>593</v>
      </c>
      <c r="E892" s="10" t="s">
        <v>594</v>
      </c>
      <c r="F892" s="10" t="s">
        <v>39</v>
      </c>
      <c r="G892" s="23">
        <v>2</v>
      </c>
      <c r="H892" s="26">
        <v>236.51</v>
      </c>
      <c r="I892" s="29">
        <v>0</v>
      </c>
      <c r="J892" s="10" t="s">
        <v>40</v>
      </c>
      <c r="K892" s="10" t="s">
        <v>58</v>
      </c>
      <c r="L892" s="15" t="s">
        <v>101</v>
      </c>
    </row>
    <row r="893" spans="1:12" ht="15" customHeight="1">
      <c r="A893" s="14" t="s">
        <v>912</v>
      </c>
      <c r="B893" s="10" t="s">
        <v>913</v>
      </c>
      <c r="C893" s="20">
        <v>45800</v>
      </c>
      <c r="D893" s="10" t="s">
        <v>680</v>
      </c>
      <c r="E893" s="10" t="s">
        <v>681</v>
      </c>
      <c r="F893" s="10" t="s">
        <v>214</v>
      </c>
      <c r="G893" s="23">
        <v>4</v>
      </c>
      <c r="H893" s="26">
        <v>186.92</v>
      </c>
      <c r="I893" s="29">
        <v>0.1</v>
      </c>
      <c r="J893" s="10" t="s">
        <v>40</v>
      </c>
      <c r="K893" s="10" t="s">
        <v>58</v>
      </c>
      <c r="L893" s="15" t="s">
        <v>42</v>
      </c>
    </row>
    <row r="894" spans="1:12" ht="15" customHeight="1">
      <c r="A894" s="14" t="s">
        <v>1148</v>
      </c>
      <c r="B894" s="10" t="s">
        <v>1149</v>
      </c>
      <c r="C894" s="20">
        <v>45746.041666666664</v>
      </c>
      <c r="D894" s="10" t="s">
        <v>927</v>
      </c>
      <c r="E894" s="10" t="s">
        <v>928</v>
      </c>
      <c r="F894" s="10" t="s">
        <v>332</v>
      </c>
      <c r="G894" s="23">
        <v>3</v>
      </c>
      <c r="H894" s="26">
        <v>273.89</v>
      </c>
      <c r="I894" s="29">
        <v>0</v>
      </c>
      <c r="J894" s="10" t="s">
        <v>40</v>
      </c>
      <c r="K894" s="10" t="s">
        <v>46</v>
      </c>
      <c r="L894" s="15" t="s">
        <v>52</v>
      </c>
    </row>
    <row r="895" spans="1:12" ht="15" customHeight="1">
      <c r="A895" s="14" t="s">
        <v>1256</v>
      </c>
      <c r="B895" s="10" t="s">
        <v>1253</v>
      </c>
      <c r="C895" s="20">
        <v>45972</v>
      </c>
      <c r="D895" s="10" t="s">
        <v>1254</v>
      </c>
      <c r="E895" s="10" t="s">
        <v>1255</v>
      </c>
      <c r="F895" s="10" t="s">
        <v>316</v>
      </c>
      <c r="G895" s="23">
        <v>3</v>
      </c>
      <c r="H895" s="26">
        <v>180.37</v>
      </c>
      <c r="I895" s="29">
        <v>0</v>
      </c>
      <c r="J895" s="10" t="s">
        <v>50</v>
      </c>
      <c r="K895" s="10" t="s">
        <v>46</v>
      </c>
      <c r="L895" s="15" t="s">
        <v>47</v>
      </c>
    </row>
    <row r="896" spans="1:12" ht="15" customHeight="1">
      <c r="A896" s="16" t="s">
        <v>1375</v>
      </c>
      <c r="B896" s="17" t="s">
        <v>1374</v>
      </c>
      <c r="C896" s="21">
        <v>45852</v>
      </c>
      <c r="D896" s="17" t="s">
        <v>910</v>
      </c>
      <c r="E896" s="17" t="s">
        <v>911</v>
      </c>
      <c r="F896" s="17" t="s">
        <v>196</v>
      </c>
      <c r="G896" s="24">
        <v>4</v>
      </c>
      <c r="H896" s="27">
        <v>183.73</v>
      </c>
      <c r="I896" s="30">
        <v>0.05</v>
      </c>
      <c r="J896" s="17" t="s">
        <v>50</v>
      </c>
      <c r="K896" s="17"/>
      <c r="L896" s="18" t="s">
        <v>101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F2F8"/>
  </sheetPr>
  <dimension ref="A1:AH896"/>
  <sheetViews>
    <sheetView showGridLines="0" workbookViewId="0">
      <pane ySplit="5" topLeftCell="A6" activePane="bottomLeft" state="frozen"/>
      <selection pane="bottomLeft" activeCell="AG8" sqref="AG8"/>
    </sheetView>
  </sheetViews>
  <sheetFormatPr baseColWidth="10" defaultColWidth="8.796875" defaultRowHeight="13.8"/>
  <cols>
    <col min="1" max="1" width="26" customWidth="1"/>
    <col min="2" max="2" width="12" bestFit="1" customWidth="1"/>
    <col min="3" max="3" width="14" bestFit="1" customWidth="1"/>
    <col min="4" max="4" width="15.796875" customWidth="1"/>
    <col min="5" max="5" width="33" bestFit="1" customWidth="1"/>
    <col min="6" max="8" width="33" customWidth="1"/>
    <col min="9" max="9" width="15.796875" bestFit="1" customWidth="1"/>
    <col min="10" max="10" width="13.69921875" bestFit="1" customWidth="1"/>
    <col min="11" max="11" width="11.59765625" bestFit="1" customWidth="1"/>
    <col min="12" max="12" width="10" customWidth="1"/>
    <col min="13" max="13" width="12.19921875" customWidth="1"/>
    <col min="14" max="14" width="17.09765625" customWidth="1"/>
    <col min="15" max="15" width="20.796875" bestFit="1" customWidth="1"/>
    <col min="16" max="16" width="18.8984375" customWidth="1"/>
    <col min="17" max="17" width="22.796875" bestFit="1" customWidth="1"/>
    <col min="18" max="18" width="12.8984375" customWidth="1"/>
    <col min="19" max="19" width="9.09765625" bestFit="1" customWidth="1"/>
    <col min="20" max="20" width="21.5" bestFit="1" customWidth="1"/>
    <col min="21" max="21" width="11.3984375" bestFit="1" customWidth="1"/>
    <col min="22" max="22" width="10.8984375" bestFit="1" customWidth="1"/>
    <col min="23" max="23" width="13.8984375" bestFit="1" customWidth="1"/>
    <col min="24" max="24" width="18.59765625" bestFit="1" customWidth="1"/>
    <col min="25" max="25" width="12.296875" bestFit="1" customWidth="1"/>
    <col min="26" max="26" width="12.19921875" bestFit="1" customWidth="1"/>
    <col min="27" max="27" width="8.5" bestFit="1" customWidth="1"/>
    <col min="28" max="28" width="14.69921875" bestFit="1" customWidth="1"/>
    <col min="29" max="29" width="15.69921875" bestFit="1" customWidth="1"/>
    <col min="30" max="30" width="16.3984375" bestFit="1" customWidth="1"/>
    <col min="31" max="31" width="13.796875" style="49" bestFit="1" customWidth="1"/>
    <col min="32" max="32" width="15.69921875" bestFit="1" customWidth="1"/>
    <col min="33" max="33" width="16.796875" bestFit="1" customWidth="1"/>
    <col min="34" max="34" width="15.296875" bestFit="1" customWidth="1"/>
  </cols>
  <sheetData>
    <row r="1" spans="1:34" ht="18" customHeight="1">
      <c r="A1" s="6" t="s">
        <v>21</v>
      </c>
    </row>
    <row r="2" spans="1:34" ht="15" customHeight="1">
      <c r="A2" s="7" t="s">
        <v>22</v>
      </c>
    </row>
    <row r="3" spans="1:34" ht="1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40"/>
    </row>
    <row r="5" spans="1:34">
      <c r="A5" s="9" t="s">
        <v>23</v>
      </c>
      <c r="B5" s="9" t="s">
        <v>24</v>
      </c>
      <c r="C5" s="9" t="s">
        <v>25</v>
      </c>
      <c r="D5" s="9" t="s">
        <v>26</v>
      </c>
      <c r="E5" s="9" t="s">
        <v>27</v>
      </c>
      <c r="F5" s="9" t="s">
        <v>1737</v>
      </c>
      <c r="G5" s="9" t="s">
        <v>2124</v>
      </c>
      <c r="H5" s="9" t="s">
        <v>1740</v>
      </c>
      <c r="I5" s="9" t="s">
        <v>2125</v>
      </c>
      <c r="J5" s="9" t="s">
        <v>28</v>
      </c>
      <c r="K5" s="9" t="s">
        <v>29</v>
      </c>
      <c r="L5" s="9" t="s">
        <v>30</v>
      </c>
      <c r="M5" s="9" t="s">
        <v>31</v>
      </c>
      <c r="N5" s="9" t="s">
        <v>32</v>
      </c>
      <c r="O5" s="9" t="s">
        <v>2120</v>
      </c>
      <c r="P5" s="9" t="s">
        <v>33</v>
      </c>
      <c r="Q5" s="9" t="s">
        <v>2121</v>
      </c>
      <c r="R5" s="9" t="s">
        <v>34</v>
      </c>
      <c r="S5" t="s">
        <v>1739</v>
      </c>
      <c r="T5" t="s">
        <v>2156</v>
      </c>
      <c r="U5" t="s">
        <v>1673</v>
      </c>
      <c r="V5" t="s">
        <v>1672</v>
      </c>
      <c r="W5" t="s">
        <v>2162</v>
      </c>
      <c r="X5" t="s">
        <v>2163</v>
      </c>
      <c r="Y5" s="45" t="s">
        <v>2167</v>
      </c>
      <c r="Z5" t="s">
        <v>2164</v>
      </c>
      <c r="AA5" t="s">
        <v>2165</v>
      </c>
      <c r="AB5" t="s">
        <v>2166</v>
      </c>
      <c r="AC5" t="s">
        <v>2169</v>
      </c>
      <c r="AD5" t="s">
        <v>2168</v>
      </c>
      <c r="AE5" s="49" t="s">
        <v>1896</v>
      </c>
      <c r="AF5" t="s">
        <v>1898</v>
      </c>
      <c r="AG5" t="s">
        <v>1886</v>
      </c>
      <c r="AH5" t="s">
        <v>1883</v>
      </c>
    </row>
    <row r="6" spans="1:34" ht="15" customHeight="1">
      <c r="A6" s="11" t="s">
        <v>35</v>
      </c>
      <c r="B6" s="12" t="s">
        <v>36</v>
      </c>
      <c r="C6" s="19">
        <v>46012</v>
      </c>
      <c r="D6" s="12" t="s">
        <v>37</v>
      </c>
      <c r="E6" s="12" t="s">
        <v>38</v>
      </c>
      <c r="F6" s="12" t="str">
        <f>TRIM(LEFT(OrdersRawTable9[[#This Row],[Customer_Info]],FIND(",",OrdersRawTable9[[#This Row],[Customer_Info]])-1))</f>
        <v>Amina Khan</v>
      </c>
      <c r="G6" s="12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6" s="12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6" s="12">
        <f>LEN(OrdersRawTable9[[#This Row],[Customer_Info]])-LEN(SUBSTITUTE(OrdersRawTable9[[#This Row],[Customer_Info]],",",""))</f>
        <v>2</v>
      </c>
      <c r="J6" s="12" t="s">
        <v>39</v>
      </c>
      <c r="K6" s="22">
        <v>1</v>
      </c>
      <c r="L6" s="25">
        <v>236.51</v>
      </c>
      <c r="M6" s="28">
        <v>0.15</v>
      </c>
      <c r="N6" s="12" t="s">
        <v>40</v>
      </c>
      <c r="O6" s="12" t="str">
        <f>IF(TRIM(OrdersRawTable9[[#This Row],[Sales_Channel_Raw]])="Market place","Marketplace",TRIM(OrdersRawTable9[[#This Row],[Sales_Channel_Raw]]))</f>
        <v>Online</v>
      </c>
      <c r="P6" s="12" t="s">
        <v>41</v>
      </c>
      <c r="Q6" s="12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6" s="13" t="s">
        <v>42</v>
      </c>
      <c r="S6" t="str">
        <f>VLOOKUP(OrdersRawTable9[[#This Row],[Customer_ID_Raw]],CustomersTable11[],4,FALSE)</f>
        <v>Quebec</v>
      </c>
      <c r="T6" t="str">
        <f>VLOOKUP(OrdersRawTable9[[#This Row],[Customer_ID_Raw]],CustomersTable11[],5,FALSE)</f>
        <v>Consumer</v>
      </c>
      <c r="U6" s="45">
        <f>VLOOKUP(OrdersRawTable9[[#This Row],[Product_ID]],ProductsTable10[],4,FALSE)</f>
        <v>142.84</v>
      </c>
      <c r="V6" t="str">
        <f>VLOOKUP(OrdersRawTable9[[#This Row],[Product_ID]],ProductsTable10[],3,FALSE)</f>
        <v>Fitness</v>
      </c>
      <c r="W6" s="45">
        <f>OrdersRawTable9[[#This Row],[Unit_Price]]*OrdersRawTable9[[#This Row],[Quantity]]</f>
        <v>236.51</v>
      </c>
      <c r="X6" s="47">
        <f>OrdersRawTable9[[#This Row],[Gross_Sales]]*OrdersRawTable9[[#This Row],[Discount_Pct]]</f>
        <v>35.476499999999994</v>
      </c>
      <c r="Y6" s="45">
        <f>OrdersRawTable9[[#This Row],[Gross_Sales]]-OrdersRawTable9[[#This Row],[Discount_Amount]]</f>
        <v>201.0335</v>
      </c>
      <c r="Z6" s="45">
        <f>OrdersRawTable9[[#This Row],[Unit_Cost]]*OrdersRawTable9[[#This Row],[Quantity]]</f>
        <v>142.84</v>
      </c>
      <c r="AA6" s="45">
        <f>OrdersRawTable9[[#This Row],[Net_Sales]]-OrdersRawTable9[[#This Row],[Total_Cost]]</f>
        <v>58.1935</v>
      </c>
      <c r="AB6" s="48">
        <f>IF(OrdersRawTable9[[#This Row],[Net_Sales]]=0,0,OrdersRawTable9[[#This Row],[Profit]]/OrdersRawTable9[[#This Row],[Net_Sales]])</f>
        <v>0.28947165522164214</v>
      </c>
      <c r="AC6" s="45" t="str">
        <f>IF(COUNTIF(ReturnsRawTable[Order_Line_ID],OrdersRawTable9[[#This Row],[Order_Line_ID]])&gt;0,"Yes","No")</f>
        <v>No</v>
      </c>
      <c r="AD6" s="45" t="str">
        <f>IFERROR(VLOOKUP(OrdersRawTable9[[#This Row],[Order_Line_ID]],ReturnsRawTable[[#All],[Order_Line_ID]:[Return_Reason_Raw]],3,FALSE),"")</f>
        <v/>
      </c>
      <c r="AE6" s="49" t="str">
        <f>IFERROR(VLOOKUP(OrdersRawTable9[[#This Row],[Order_Line_ID]],ReturnsRawTable[[#All],[Order_Line_ID]:[Return_Date]],2,FALSE),"")</f>
        <v/>
      </c>
      <c r="AF6" s="45" t="str">
        <f>IFERROR(VLOOKUP(OrdersRawTable9[[#This Row],[Order_Line_ID]],ReturnsRawTable[[Order_Line_ID]:[Refund_Status]],4,FALSE),"")</f>
        <v/>
      </c>
      <c r="AG6" s="45" t="str">
        <f>VLOOKUP(OrdersRawTable9[[#This Row],[Order_ID]],ShipmentsTable[],6,FALSE)</f>
        <v>On time</v>
      </c>
      <c r="AH6" s="49">
        <f>VLOOKUP(OrdersRawTable9[[#This Row],[Order_ID]],ShipmentsTable[],3,FALSE)</f>
        <v>46015</v>
      </c>
    </row>
    <row r="7" spans="1:34" ht="15" customHeight="1">
      <c r="A7" s="14" t="s">
        <v>43</v>
      </c>
      <c r="B7" s="10" t="s">
        <v>36</v>
      </c>
      <c r="C7" s="20">
        <v>46012</v>
      </c>
      <c r="D7" s="10" t="s">
        <v>37</v>
      </c>
      <c r="E7" s="10" t="s">
        <v>38</v>
      </c>
      <c r="F7" s="10" t="str">
        <f>TRIM(LEFT(OrdersRawTable9[[#This Row],[Customer_Info]],FIND(",",OrdersRawTable9[[#This Row],[Customer_Info]])-1))</f>
        <v>Amina Khan</v>
      </c>
      <c r="G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7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" s="10">
        <f>LEN(OrdersRawTable9[[#This Row],[Customer_Info]])-LEN(SUBSTITUTE(OrdersRawTable9[[#This Row],[Customer_Info]],",",""))</f>
        <v>2</v>
      </c>
      <c r="J7" s="10" t="s">
        <v>44</v>
      </c>
      <c r="K7" s="23">
        <v>2</v>
      </c>
      <c r="L7" s="26">
        <v>238.47</v>
      </c>
      <c r="M7" s="29">
        <v>0.1</v>
      </c>
      <c r="N7" s="10" t="s">
        <v>45</v>
      </c>
      <c r="O7" s="10" t="str">
        <f>IF(TRIM(OrdersRawTable9[[#This Row],[Sales_Channel_Raw]])="Market place","Marketplace",TRIM(OrdersRawTable9[[#This Row],[Sales_Channel_Raw]]))</f>
        <v>Retail Store</v>
      </c>
      <c r="P7" s="10" t="s">
        <v>46</v>
      </c>
      <c r="Q7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7" s="15" t="s">
        <v>47</v>
      </c>
      <c r="S7" t="str">
        <f>VLOOKUP(OrdersRawTable9[[#This Row],[Customer_ID_Raw]],CustomersTable11[],4,FALSE)</f>
        <v>Quebec</v>
      </c>
      <c r="T7" t="str">
        <f>VLOOKUP(OrdersRawTable9[[#This Row],[Customer_ID_Raw]],CustomersTable11[],5,FALSE)</f>
        <v>Consumer</v>
      </c>
      <c r="U7" s="45">
        <f>VLOOKUP(OrdersRawTable9[[#This Row],[Product_ID]],ProductsTable10[],4,FALSE)</f>
        <v>127.65</v>
      </c>
      <c r="V7" t="str">
        <f>VLOOKUP(OrdersRawTable9[[#This Row],[Product_ID]],ProductsTable10[],3,FALSE)</f>
        <v>Accessories</v>
      </c>
      <c r="W7" s="45">
        <f>OrdersRawTable9[[#This Row],[Unit_Price]]*OrdersRawTable9[[#This Row],[Quantity]]</f>
        <v>476.94</v>
      </c>
      <c r="X7" s="47">
        <f>OrdersRawTable9[[#This Row],[Gross_Sales]]*OrdersRawTable9[[#This Row],[Discount_Pct]]</f>
        <v>47.694000000000003</v>
      </c>
      <c r="Y7" s="47">
        <f>OrdersRawTable9[[#This Row],[Gross_Sales]]-OrdersRawTable9[[#This Row],[Discount_Amount]]</f>
        <v>429.24599999999998</v>
      </c>
      <c r="Z7" s="45">
        <f>OrdersRawTable9[[#This Row],[Unit_Cost]]*OrdersRawTable9[[#This Row],[Quantity]]</f>
        <v>255.3</v>
      </c>
      <c r="AA7" s="45">
        <f>OrdersRawTable9[[#This Row],[Net_Sales]]-OrdersRawTable9[[#This Row],[Total_Cost]]</f>
        <v>173.94599999999997</v>
      </c>
      <c r="AB7" s="48">
        <f>IF(OrdersRawTable9[[#This Row],[Net_Sales]]=0,0,OrdersRawTable9[[#This Row],[Profit]]/OrdersRawTable9[[#This Row],[Net_Sales]])</f>
        <v>0.40523615828685644</v>
      </c>
      <c r="AC7" s="45" t="str">
        <f>IF(COUNTIF(ReturnsRawTable[Order_Line_ID],OrdersRawTable9[[#This Row],[Order_Line_ID]])&gt;0,"Yes","No")</f>
        <v>No</v>
      </c>
      <c r="AD7" s="45" t="str">
        <f>IFERROR(VLOOKUP(OrdersRawTable9[[#This Row],[Order_Line_ID]],ReturnsRawTable[[#All],[Order_Line_ID]:[Return_Reason_Raw]],3,FALSE),"")</f>
        <v/>
      </c>
      <c r="AE7" s="49" t="str">
        <f>IFERROR(VLOOKUP(OrdersRawTable9[[#This Row],[Order_Line_ID]],ReturnsRawTable[[#All],[Order_Line_ID]:[Return_Date]],2,FALSE),"")</f>
        <v/>
      </c>
      <c r="AF7" s="45" t="str">
        <f>IFERROR(VLOOKUP(OrdersRawTable9[[#This Row],[Order_Line_ID]],ReturnsRawTable[[Order_Line_ID]:[Refund_Status]],4,FALSE),"")</f>
        <v/>
      </c>
      <c r="AG7" s="45" t="str">
        <f>VLOOKUP(OrdersRawTable9[[#This Row],[Order_ID]],ShipmentsTable[],6,FALSE)</f>
        <v>On time</v>
      </c>
      <c r="AH7" s="49">
        <f>VLOOKUP(OrdersRawTable9[[#This Row],[Order_ID]],ShipmentsTable[],3,FALSE)</f>
        <v>46015</v>
      </c>
    </row>
    <row r="8" spans="1:34" ht="15" customHeight="1">
      <c r="A8" s="14" t="s">
        <v>48</v>
      </c>
      <c r="B8" s="10" t="s">
        <v>36</v>
      </c>
      <c r="C8" s="20">
        <v>46012</v>
      </c>
      <c r="D8" s="10" t="s">
        <v>37</v>
      </c>
      <c r="E8" s="10" t="s">
        <v>38</v>
      </c>
      <c r="F8" s="10" t="str">
        <f>TRIM(LEFT(OrdersRawTable9[[#This Row],[Customer_Info]],FIND(",",OrdersRawTable9[[#This Row],[Customer_Info]])-1))</f>
        <v>Amina Khan</v>
      </c>
      <c r="G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8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8" s="10">
        <f>LEN(OrdersRawTable9[[#This Row],[Customer_Info]])-LEN(SUBSTITUTE(OrdersRawTable9[[#This Row],[Customer_Info]],",",""))</f>
        <v>2</v>
      </c>
      <c r="J8" s="10" t="s">
        <v>49</v>
      </c>
      <c r="K8" s="23">
        <v>3</v>
      </c>
      <c r="L8" s="26">
        <v>300.16000000000003</v>
      </c>
      <c r="M8" s="29">
        <v>0</v>
      </c>
      <c r="N8" s="10" t="s">
        <v>50</v>
      </c>
      <c r="O8" s="10" t="str">
        <f>IF(TRIM(OrdersRawTable9[[#This Row],[Sales_Channel_Raw]])="Market place","Marketplace",TRIM(OrdersRawTable9[[#This Row],[Sales_Channel_Raw]]))</f>
        <v>Marketplace</v>
      </c>
      <c r="P8" s="10" t="s">
        <v>51</v>
      </c>
      <c r="Q8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8" s="15" t="s">
        <v>52</v>
      </c>
      <c r="S8" t="str">
        <f>VLOOKUP(OrdersRawTable9[[#This Row],[Customer_ID_Raw]],CustomersTable11[],4,FALSE)</f>
        <v>Quebec</v>
      </c>
      <c r="T8" t="str">
        <f>VLOOKUP(OrdersRawTable9[[#This Row],[Customer_ID_Raw]],CustomersTable11[],5,FALSE)</f>
        <v>Consumer</v>
      </c>
      <c r="U8" s="45">
        <f>VLOOKUP(OrdersRawTable9[[#This Row],[Product_ID]],ProductsTable10[],4,FALSE)</f>
        <v>158.46</v>
      </c>
      <c r="V8" t="str">
        <f>VLOOKUP(OrdersRawTable9[[#This Row],[Product_ID]],ProductsTable10[],3,FALSE)</f>
        <v>Office</v>
      </c>
      <c r="W8" s="45">
        <f>OrdersRawTable9[[#This Row],[Unit_Price]]*OrdersRawTable9[[#This Row],[Quantity]]</f>
        <v>900.48</v>
      </c>
      <c r="X8" s="47">
        <f>OrdersRawTable9[[#This Row],[Gross_Sales]]*OrdersRawTable9[[#This Row],[Discount_Pct]]</f>
        <v>0</v>
      </c>
      <c r="Y8" s="45">
        <f>OrdersRawTable9[[#This Row],[Gross_Sales]]-OrdersRawTable9[[#This Row],[Discount_Amount]]</f>
        <v>900.48</v>
      </c>
      <c r="Z8" s="45">
        <f>OrdersRawTable9[[#This Row],[Unit_Cost]]*OrdersRawTable9[[#This Row],[Quantity]]</f>
        <v>475.38</v>
      </c>
      <c r="AA8" s="45">
        <f>OrdersRawTable9[[#This Row],[Net_Sales]]-OrdersRawTable9[[#This Row],[Total_Cost]]</f>
        <v>425.1</v>
      </c>
      <c r="AB8" s="48">
        <f>IF(OrdersRawTable9[[#This Row],[Net_Sales]]=0,0,OrdersRawTable9[[#This Row],[Profit]]/OrdersRawTable9[[#This Row],[Net_Sales]])</f>
        <v>0.47208155650319833</v>
      </c>
      <c r="AC8" s="45" t="str">
        <f>IF(COUNTIF(ReturnsRawTable[Order_Line_ID],OrdersRawTable9[[#This Row],[Order_Line_ID]])&gt;0,"Yes","No")</f>
        <v>No</v>
      </c>
      <c r="AD8" s="45" t="str">
        <f>IFERROR(VLOOKUP(OrdersRawTable9[[#This Row],[Order_Line_ID]],ReturnsRawTable[[#All],[Order_Line_ID]:[Return_Reason_Raw]],3,FALSE),"")</f>
        <v/>
      </c>
      <c r="AE8" s="49" t="str">
        <f>IFERROR(VLOOKUP(OrdersRawTable9[[#This Row],[Order_Line_ID]],ReturnsRawTable[[#All],[Order_Line_ID]:[Return_Date]],2,FALSE),"")</f>
        <v/>
      </c>
      <c r="AF8" s="45" t="str">
        <f>IFERROR(VLOOKUP(OrdersRawTable9[[#This Row],[Order_Line_ID]],ReturnsRawTable[[Order_Line_ID]:[Refund_Status]],4,FALSE),"")</f>
        <v/>
      </c>
      <c r="AG8" s="45" t="str">
        <f>VLOOKUP(OrdersRawTable9[[#This Row],[Order_ID]],ShipmentsTable[],6,FALSE)</f>
        <v>On time</v>
      </c>
      <c r="AH8" s="49">
        <f>VLOOKUP(OrdersRawTable9[[#This Row],[Order_ID]],ShipmentsTable[],3,FALSE)</f>
        <v>46015</v>
      </c>
    </row>
    <row r="9" spans="1:34" ht="15" customHeight="1">
      <c r="A9" s="14" t="s">
        <v>53</v>
      </c>
      <c r="B9" s="10" t="s">
        <v>54</v>
      </c>
      <c r="C9" s="20">
        <v>45841</v>
      </c>
      <c r="D9" s="10" t="s">
        <v>55</v>
      </c>
      <c r="E9" s="10" t="s">
        <v>56</v>
      </c>
      <c r="F9" s="10" t="str">
        <f>TRIM(LEFT(OrdersRawTable9[[#This Row],[Customer_Info]],FIND(",",OrdersRawTable9[[#This Row],[Customer_Info]])-1))</f>
        <v>Omar Gagnon</v>
      </c>
      <c r="G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9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9" s="10">
        <f>LEN(OrdersRawTable9[[#This Row],[Customer_Info]])-LEN(SUBSTITUTE(OrdersRawTable9[[#This Row],[Customer_Info]],",",""))</f>
        <v>2</v>
      </c>
      <c r="J9" s="10" t="s">
        <v>57</v>
      </c>
      <c r="K9" s="23">
        <v>2</v>
      </c>
      <c r="L9" s="26">
        <v>208.81</v>
      </c>
      <c r="M9" s="29">
        <v>0.15</v>
      </c>
      <c r="N9" s="10" t="s">
        <v>50</v>
      </c>
      <c r="O9" s="10" t="str">
        <f>IF(TRIM(OrdersRawTable9[[#This Row],[Sales_Channel_Raw]])="Market place","Marketplace",TRIM(OrdersRawTable9[[#This Row],[Sales_Channel_Raw]]))</f>
        <v>Marketplace</v>
      </c>
      <c r="P9" s="10" t="s">
        <v>58</v>
      </c>
      <c r="Q9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9" s="15" t="s">
        <v>42</v>
      </c>
      <c r="S9" t="str">
        <f>VLOOKUP(OrdersRawTable9[[#This Row],[Customer_ID_Raw]],CustomersTable11[],4,FALSE)</f>
        <v>Alberta</v>
      </c>
      <c r="T9" t="str">
        <f>VLOOKUP(OrdersRawTable9[[#This Row],[Customer_ID_Raw]],CustomersTable11[],5,FALSE)</f>
        <v>Consumer</v>
      </c>
      <c r="U9" s="45">
        <f>VLOOKUP(OrdersRawTable9[[#This Row],[Product_ID]],ProductsTable10[],4,FALSE)</f>
        <v>139.04</v>
      </c>
      <c r="V9" t="str">
        <f>VLOOKUP(OrdersRawTable9[[#This Row],[Product_ID]],ProductsTable10[],3,FALSE)</f>
        <v>Fitness</v>
      </c>
      <c r="W9" s="45">
        <f>OrdersRawTable9[[#This Row],[Unit_Price]]*OrdersRawTable9[[#This Row],[Quantity]]</f>
        <v>417.62</v>
      </c>
      <c r="X9" s="47">
        <f>OrdersRawTable9[[#This Row],[Gross_Sales]]*OrdersRawTable9[[#This Row],[Discount_Pct]]</f>
        <v>62.643000000000001</v>
      </c>
      <c r="Y9" s="45">
        <f>OrdersRawTable9[[#This Row],[Gross_Sales]]-OrdersRawTable9[[#This Row],[Discount_Amount]]</f>
        <v>354.97699999999998</v>
      </c>
      <c r="Z9" s="45">
        <f>OrdersRawTable9[[#This Row],[Unit_Cost]]*OrdersRawTable9[[#This Row],[Quantity]]</f>
        <v>278.08</v>
      </c>
      <c r="AA9" s="45">
        <f>OrdersRawTable9[[#This Row],[Net_Sales]]-OrdersRawTable9[[#This Row],[Total_Cost]]</f>
        <v>76.896999999999991</v>
      </c>
      <c r="AB9" s="48">
        <f>IF(OrdersRawTable9[[#This Row],[Net_Sales]]=0,0,OrdersRawTable9[[#This Row],[Profit]]/OrdersRawTable9[[#This Row],[Net_Sales]])</f>
        <v>0.2166253024843863</v>
      </c>
      <c r="AC9" s="45" t="str">
        <f>IF(COUNTIF(ReturnsRawTable[Order_Line_ID],OrdersRawTable9[[#This Row],[Order_Line_ID]])&gt;0,"Yes","No")</f>
        <v>No</v>
      </c>
      <c r="AD9" s="45" t="str">
        <f>IFERROR(VLOOKUP(OrdersRawTable9[[#This Row],[Order_Line_ID]],ReturnsRawTable[[#All],[Order_Line_ID]:[Return_Reason_Raw]],3,FALSE),"")</f>
        <v/>
      </c>
      <c r="AE9" s="49" t="str">
        <f>IFERROR(VLOOKUP(OrdersRawTable9[[#This Row],[Order_Line_ID]],ReturnsRawTable[[#All],[Order_Line_ID]:[Return_Date]],2,FALSE),"")</f>
        <v/>
      </c>
      <c r="AF9" s="45" t="str">
        <f>IFERROR(VLOOKUP(OrdersRawTable9[[#This Row],[Order_Line_ID]],ReturnsRawTable[[Order_Line_ID]:[Refund_Status]],4,FALSE),"")</f>
        <v/>
      </c>
      <c r="AG9" s="45" t="str">
        <f>VLOOKUP(OrdersRawTable9[[#This Row],[Order_ID]],ShipmentsTable[],6,FALSE)</f>
        <v>On time</v>
      </c>
      <c r="AH9" s="49">
        <f>VLOOKUP(OrdersRawTable9[[#This Row],[Order_ID]],ShipmentsTable[],3,FALSE)</f>
        <v>45844</v>
      </c>
    </row>
    <row r="10" spans="1:34" ht="15" customHeight="1">
      <c r="A10" s="14" t="s">
        <v>59</v>
      </c>
      <c r="B10" s="10" t="s">
        <v>60</v>
      </c>
      <c r="C10" s="20">
        <v>45697</v>
      </c>
      <c r="D10" s="10" t="s">
        <v>61</v>
      </c>
      <c r="E10" s="10" t="s">
        <v>62</v>
      </c>
      <c r="F10" s="10" t="str">
        <f>TRIM(LEFT(OrdersRawTable9[[#This Row],[Customer_Info]],FIND(",",OrdersRawTable9[[#This Row],[Customer_Info]])-1))</f>
        <v>Liam Brown</v>
      </c>
      <c r="G1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10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10" s="10">
        <f>LEN(OrdersRawTable9[[#This Row],[Customer_Info]])-LEN(SUBSTITUTE(OrdersRawTable9[[#This Row],[Customer_Info]],",",""))</f>
        <v>2</v>
      </c>
      <c r="J10" s="10" t="s">
        <v>63</v>
      </c>
      <c r="K10" s="23">
        <v>1</v>
      </c>
      <c r="L10" s="26">
        <v>105.38</v>
      </c>
      <c r="M10" s="29">
        <v>0</v>
      </c>
      <c r="N10" s="10" t="s">
        <v>64</v>
      </c>
      <c r="O10" s="10" t="str">
        <f>IF(TRIM(OrdersRawTable9[[#This Row],[Sales_Channel_Raw]])="Market place","Marketplace",TRIM(OrdersRawTable9[[#This Row],[Sales_Channel_Raw]]))</f>
        <v>Retail Store</v>
      </c>
      <c r="P10" s="10" t="s">
        <v>46</v>
      </c>
      <c r="Q10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10" s="15" t="s">
        <v>42</v>
      </c>
      <c r="S10" t="str">
        <f>VLOOKUP(OrdersRawTable9[[#This Row],[Customer_ID_Raw]],CustomersTable11[],4,FALSE)</f>
        <v>Alberta</v>
      </c>
      <c r="T10" t="str">
        <f>VLOOKUP(OrdersRawTable9[[#This Row],[Customer_ID_Raw]],CustomersTable11[],5,FALSE)</f>
        <v>Small Business</v>
      </c>
      <c r="U10" s="45">
        <f>VLOOKUP(OrdersRawTable9[[#This Row],[Product_ID]],ProductsTable10[],4,FALSE)</f>
        <v>67.290000000000006</v>
      </c>
      <c r="V10" t="str">
        <f>VLOOKUP(OrdersRawTable9[[#This Row],[Product_ID]],ProductsTable10[],3,FALSE)</f>
        <v>Electronics</v>
      </c>
      <c r="W10" s="45">
        <f>OrdersRawTable9[[#This Row],[Unit_Price]]*OrdersRawTable9[[#This Row],[Quantity]]</f>
        <v>105.38</v>
      </c>
      <c r="X10" s="47">
        <f>OrdersRawTable9[[#This Row],[Gross_Sales]]*OrdersRawTable9[[#This Row],[Discount_Pct]]</f>
        <v>0</v>
      </c>
      <c r="Y10" s="45">
        <f>OrdersRawTable9[[#This Row],[Gross_Sales]]-OrdersRawTable9[[#This Row],[Discount_Amount]]</f>
        <v>105.38</v>
      </c>
      <c r="Z10" s="45">
        <f>OrdersRawTable9[[#This Row],[Unit_Cost]]*OrdersRawTable9[[#This Row],[Quantity]]</f>
        <v>67.290000000000006</v>
      </c>
      <c r="AA10" s="45">
        <f>OrdersRawTable9[[#This Row],[Net_Sales]]-OrdersRawTable9[[#This Row],[Total_Cost]]</f>
        <v>38.089999999999989</v>
      </c>
      <c r="AB10" s="48">
        <f>IF(OrdersRawTable9[[#This Row],[Net_Sales]]=0,0,OrdersRawTable9[[#This Row],[Profit]]/OrdersRawTable9[[#This Row],[Net_Sales]])</f>
        <v>0.36145378629721003</v>
      </c>
      <c r="AC10" s="45" t="str">
        <f>IF(COUNTIF(ReturnsRawTable[Order_Line_ID],OrdersRawTable9[[#This Row],[Order_Line_ID]])&gt;0,"Yes","No")</f>
        <v>Yes</v>
      </c>
      <c r="AD10" s="45" t="str">
        <f>IFERROR(VLOOKUP(OrdersRawTable9[[#This Row],[Order_Line_ID]],ReturnsRawTable[[#All],[Order_Line_ID]:[Return_Reason_Raw]],3,FALSE),"")</f>
        <v>Wrong Item</v>
      </c>
      <c r="AE10" s="49">
        <f>IFERROR(VLOOKUP(OrdersRawTable9[[#This Row],[Order_Line_ID]],ReturnsRawTable[[#All],[Order_Line_ID]:[Return_Date]],2,FALSE),"")</f>
        <v>45717.041666666664</v>
      </c>
      <c r="AF10" s="45" t="str">
        <f>IFERROR(VLOOKUP(OrdersRawTable9[[#This Row],[Order_Line_ID]],ReturnsRawTable[[Order_Line_ID]:[Refund_Status]],4,FALSE),"")</f>
        <v>Refunded</v>
      </c>
      <c r="AG10" s="45" t="str">
        <f>VLOOKUP(OrdersRawTable9[[#This Row],[Order_ID]],ShipmentsTable[],6,FALSE)</f>
        <v>Late</v>
      </c>
      <c r="AH10" s="49">
        <f>VLOOKUP(OrdersRawTable9[[#This Row],[Order_ID]],ShipmentsTable[],3,FALSE)</f>
        <v>45704</v>
      </c>
    </row>
    <row r="11" spans="1:34" ht="15" customHeight="1">
      <c r="A11" s="14" t="s">
        <v>65</v>
      </c>
      <c r="B11" s="10" t="s">
        <v>60</v>
      </c>
      <c r="C11" s="20">
        <v>45697</v>
      </c>
      <c r="D11" s="10" t="s">
        <v>61</v>
      </c>
      <c r="E11" s="10" t="s">
        <v>62</v>
      </c>
      <c r="F11" s="10" t="str">
        <f>TRIM(LEFT(OrdersRawTable9[[#This Row],[Customer_Info]],FIND(",",OrdersRawTable9[[#This Row],[Customer_Info]])-1))</f>
        <v>Liam Brown</v>
      </c>
      <c r="G1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11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11" s="10">
        <f>LEN(OrdersRawTable9[[#This Row],[Customer_Info]])-LEN(SUBSTITUTE(OrdersRawTable9[[#This Row],[Customer_Info]],",",""))</f>
        <v>2</v>
      </c>
      <c r="J11" s="10" t="s">
        <v>39</v>
      </c>
      <c r="K11" s="23">
        <v>1</v>
      </c>
      <c r="L11" s="26">
        <v>236.51</v>
      </c>
      <c r="M11" s="29">
        <v>0.1</v>
      </c>
      <c r="N11" s="10" t="s">
        <v>66</v>
      </c>
      <c r="O11" s="10" t="str">
        <f>IF(TRIM(OrdersRawTable9[[#This Row],[Sales_Channel_Raw]])="Market place","Marketplace",TRIM(OrdersRawTable9[[#This Row],[Sales_Channel_Raw]]))</f>
        <v>Marketplace</v>
      </c>
      <c r="P11" s="10"/>
      <c r="Q11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11" s="15" t="s">
        <v>67</v>
      </c>
      <c r="S11" t="str">
        <f>VLOOKUP(OrdersRawTable9[[#This Row],[Customer_ID_Raw]],CustomersTable11[],4,FALSE)</f>
        <v>Alberta</v>
      </c>
      <c r="T11" t="str">
        <f>VLOOKUP(OrdersRawTable9[[#This Row],[Customer_ID_Raw]],CustomersTable11[],5,FALSE)</f>
        <v>Small Business</v>
      </c>
      <c r="U11" s="45">
        <f>VLOOKUP(OrdersRawTable9[[#This Row],[Product_ID]],ProductsTable10[],4,FALSE)</f>
        <v>142.84</v>
      </c>
      <c r="V11" t="str">
        <f>VLOOKUP(OrdersRawTable9[[#This Row],[Product_ID]],ProductsTable10[],3,FALSE)</f>
        <v>Fitness</v>
      </c>
      <c r="W11" s="45">
        <f>OrdersRawTable9[[#This Row],[Unit_Price]]*OrdersRawTable9[[#This Row],[Quantity]]</f>
        <v>236.51</v>
      </c>
      <c r="X11" s="47">
        <f>OrdersRawTable9[[#This Row],[Gross_Sales]]*OrdersRawTable9[[#This Row],[Discount_Pct]]</f>
        <v>23.651</v>
      </c>
      <c r="Y11" s="45">
        <f>OrdersRawTable9[[#This Row],[Gross_Sales]]-OrdersRawTable9[[#This Row],[Discount_Amount]]</f>
        <v>212.85899999999998</v>
      </c>
      <c r="Z11" s="45">
        <f>OrdersRawTable9[[#This Row],[Unit_Cost]]*OrdersRawTable9[[#This Row],[Quantity]]</f>
        <v>142.84</v>
      </c>
      <c r="AA11" s="45">
        <f>OrdersRawTable9[[#This Row],[Net_Sales]]-OrdersRawTable9[[#This Row],[Total_Cost]]</f>
        <v>70.018999999999977</v>
      </c>
      <c r="AB11" s="48">
        <f>IF(OrdersRawTable9[[#This Row],[Net_Sales]]=0,0,OrdersRawTable9[[#This Row],[Profit]]/OrdersRawTable9[[#This Row],[Net_Sales]])</f>
        <v>0.32894545215377308</v>
      </c>
      <c r="AC11" s="45" t="str">
        <f>IF(COUNTIF(ReturnsRawTable[Order_Line_ID],OrdersRawTable9[[#This Row],[Order_Line_ID]])&gt;0,"Yes","No")</f>
        <v>Yes</v>
      </c>
      <c r="AD11" s="45" t="str">
        <f>IFERROR(VLOOKUP(OrdersRawTable9[[#This Row],[Order_Line_ID]],ReturnsRawTable[[#All],[Order_Line_ID]:[Return_Reason_Raw]],3,FALSE),"")</f>
        <v>Damaged</v>
      </c>
      <c r="AE11" s="49">
        <f>IFERROR(VLOOKUP(OrdersRawTable9[[#This Row],[Order_Line_ID]],ReturnsRawTable[[#All],[Order_Line_ID]:[Return_Date]],2,FALSE),"")</f>
        <v>45720.041666666664</v>
      </c>
      <c r="AF11" s="45" t="str">
        <f>IFERROR(VLOOKUP(OrdersRawTable9[[#This Row],[Order_Line_ID]],ReturnsRawTable[[Order_Line_ID]:[Refund_Status]],4,FALSE),"")</f>
        <v>Refunded</v>
      </c>
      <c r="AG11" s="45" t="str">
        <f>VLOOKUP(OrdersRawTable9[[#This Row],[Order_ID]],ShipmentsTable[],6,FALSE)</f>
        <v>Late</v>
      </c>
      <c r="AH11" s="49">
        <f>VLOOKUP(OrdersRawTable9[[#This Row],[Order_ID]],ShipmentsTable[],3,FALSE)</f>
        <v>45704</v>
      </c>
    </row>
    <row r="12" spans="1:34" ht="15" customHeight="1">
      <c r="A12" s="14" t="s">
        <v>68</v>
      </c>
      <c r="B12" s="10" t="s">
        <v>60</v>
      </c>
      <c r="C12" s="20">
        <v>45697</v>
      </c>
      <c r="D12" s="10" t="s">
        <v>61</v>
      </c>
      <c r="E12" s="10" t="s">
        <v>62</v>
      </c>
      <c r="F12" s="10" t="str">
        <f>TRIM(LEFT(OrdersRawTable9[[#This Row],[Customer_Info]],FIND(",",OrdersRawTable9[[#This Row],[Customer_Info]])-1))</f>
        <v>Liam Brown</v>
      </c>
      <c r="G1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12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12" s="10">
        <f>LEN(OrdersRawTable9[[#This Row],[Customer_Info]])-LEN(SUBSTITUTE(OrdersRawTable9[[#This Row],[Customer_Info]],",",""))</f>
        <v>2</v>
      </c>
      <c r="J12" s="10" t="s">
        <v>69</v>
      </c>
      <c r="K12" s="23">
        <v>1</v>
      </c>
      <c r="L12" s="26">
        <v>75.75</v>
      </c>
      <c r="M12" s="29">
        <v>0.05</v>
      </c>
      <c r="N12" s="10" t="s">
        <v>70</v>
      </c>
      <c r="O12" s="10" t="str">
        <f>IF(TRIM(OrdersRawTable9[[#This Row],[Sales_Channel_Raw]])="Market place","Marketplace",TRIM(OrdersRawTable9[[#This Row],[Sales_Channel_Raw]]))</f>
        <v>online</v>
      </c>
      <c r="P12" s="10"/>
      <c r="Q12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12" s="15" t="s">
        <v>47</v>
      </c>
      <c r="S12" t="str">
        <f>VLOOKUP(OrdersRawTable9[[#This Row],[Customer_ID_Raw]],CustomersTable11[],4,FALSE)</f>
        <v>Alberta</v>
      </c>
      <c r="T12" t="str">
        <f>VLOOKUP(OrdersRawTable9[[#This Row],[Customer_ID_Raw]],CustomersTable11[],5,FALSE)</f>
        <v>Small Business</v>
      </c>
      <c r="U12" s="45">
        <f>VLOOKUP(OrdersRawTable9[[#This Row],[Product_ID]],ProductsTable10[],4,FALSE)</f>
        <v>42.37</v>
      </c>
      <c r="V12" t="str">
        <f>VLOOKUP(OrdersRawTable9[[#This Row],[Product_ID]],ProductsTable10[],3,FALSE)</f>
        <v>Office</v>
      </c>
      <c r="W12" s="45">
        <f>OrdersRawTable9[[#This Row],[Unit_Price]]*OrdersRawTable9[[#This Row],[Quantity]]</f>
        <v>75.75</v>
      </c>
      <c r="X12" s="47">
        <f>OrdersRawTable9[[#This Row],[Gross_Sales]]*OrdersRawTable9[[#This Row],[Discount_Pct]]</f>
        <v>3.7875000000000001</v>
      </c>
      <c r="Y12" s="45">
        <f>OrdersRawTable9[[#This Row],[Gross_Sales]]-OrdersRawTable9[[#This Row],[Discount_Amount]]</f>
        <v>71.962500000000006</v>
      </c>
      <c r="Z12" s="45">
        <f>OrdersRawTable9[[#This Row],[Unit_Cost]]*OrdersRawTable9[[#This Row],[Quantity]]</f>
        <v>42.37</v>
      </c>
      <c r="AA12" s="45">
        <f>OrdersRawTable9[[#This Row],[Net_Sales]]-OrdersRawTable9[[#This Row],[Total_Cost]]</f>
        <v>29.592500000000008</v>
      </c>
      <c r="AB12" s="48">
        <f>IF(OrdersRawTable9[[#This Row],[Net_Sales]]=0,0,OrdersRawTable9[[#This Row],[Profit]]/OrdersRawTable9[[#This Row],[Net_Sales]])</f>
        <v>0.41122112211221129</v>
      </c>
      <c r="AC12" s="45" t="str">
        <f>IF(COUNTIF(ReturnsRawTable[Order_Line_ID],OrdersRawTable9[[#This Row],[Order_Line_ID]])&gt;0,"Yes","No")</f>
        <v>No</v>
      </c>
      <c r="AD12" s="45" t="str">
        <f>IFERROR(VLOOKUP(OrdersRawTable9[[#This Row],[Order_Line_ID]],ReturnsRawTable[[#All],[Order_Line_ID]:[Return_Reason_Raw]],3,FALSE),"")</f>
        <v/>
      </c>
      <c r="AE12" s="49" t="str">
        <f>IFERROR(VLOOKUP(OrdersRawTable9[[#This Row],[Order_Line_ID]],ReturnsRawTable[[#All],[Order_Line_ID]:[Return_Date]],2,FALSE),"")</f>
        <v/>
      </c>
      <c r="AF12" s="45" t="str">
        <f>IFERROR(VLOOKUP(OrdersRawTable9[[#This Row],[Order_Line_ID]],ReturnsRawTable[[Order_Line_ID]:[Refund_Status]],4,FALSE),"")</f>
        <v/>
      </c>
      <c r="AG12" s="45" t="str">
        <f>VLOOKUP(OrdersRawTable9[[#This Row],[Order_ID]],ShipmentsTable[],6,FALSE)</f>
        <v>Late</v>
      </c>
      <c r="AH12" s="49">
        <f>VLOOKUP(OrdersRawTable9[[#This Row],[Order_ID]],ShipmentsTable[],3,FALSE)</f>
        <v>45704</v>
      </c>
    </row>
    <row r="13" spans="1:34" ht="15" customHeight="1">
      <c r="A13" s="14" t="s">
        <v>71</v>
      </c>
      <c r="B13" s="10" t="s">
        <v>60</v>
      </c>
      <c r="C13" s="20">
        <v>45697</v>
      </c>
      <c r="D13" s="10" t="s">
        <v>61</v>
      </c>
      <c r="E13" s="10" t="s">
        <v>62</v>
      </c>
      <c r="F13" s="10" t="str">
        <f>TRIM(LEFT(OrdersRawTable9[[#This Row],[Customer_Info]],FIND(",",OrdersRawTable9[[#This Row],[Customer_Info]])-1))</f>
        <v>Liam Brown</v>
      </c>
      <c r="G1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13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13" s="10">
        <f>LEN(OrdersRawTable9[[#This Row],[Customer_Info]])-LEN(SUBSTITUTE(OrdersRawTable9[[#This Row],[Customer_Info]],",",""))</f>
        <v>2</v>
      </c>
      <c r="J13" s="10" t="s">
        <v>72</v>
      </c>
      <c r="K13" s="23">
        <v>2</v>
      </c>
      <c r="L13" s="26">
        <v>210.2</v>
      </c>
      <c r="M13" s="29">
        <v>0.1</v>
      </c>
      <c r="N13" s="10" t="s">
        <v>64</v>
      </c>
      <c r="O13" s="10" t="str">
        <f>IF(TRIM(OrdersRawTable9[[#This Row],[Sales_Channel_Raw]])="Market place","Marketplace",TRIM(OrdersRawTable9[[#This Row],[Sales_Channel_Raw]]))</f>
        <v>Retail Store</v>
      </c>
      <c r="P13" s="10" t="s">
        <v>51</v>
      </c>
      <c r="Q13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13" s="15" t="s">
        <v>52</v>
      </c>
      <c r="S13" t="str">
        <f>VLOOKUP(OrdersRawTable9[[#This Row],[Customer_ID_Raw]],CustomersTable11[],4,FALSE)</f>
        <v>Alberta</v>
      </c>
      <c r="T13" t="str">
        <f>VLOOKUP(OrdersRawTable9[[#This Row],[Customer_ID_Raw]],CustomersTable11[],5,FALSE)</f>
        <v>Small Business</v>
      </c>
      <c r="U13" s="45">
        <f>VLOOKUP(OrdersRawTable9[[#This Row],[Product_ID]],ProductsTable10[],4,FALSE)</f>
        <v>136.25</v>
      </c>
      <c r="V13" t="str">
        <f>VLOOKUP(OrdersRawTable9[[#This Row],[Product_ID]],ProductsTable10[],3,FALSE)</f>
        <v>Fitness</v>
      </c>
      <c r="W13" s="45">
        <f>OrdersRawTable9[[#This Row],[Unit_Price]]*OrdersRawTable9[[#This Row],[Quantity]]</f>
        <v>420.4</v>
      </c>
      <c r="X13" s="47">
        <f>OrdersRawTable9[[#This Row],[Gross_Sales]]*OrdersRawTable9[[#This Row],[Discount_Pct]]</f>
        <v>42.04</v>
      </c>
      <c r="Y13" s="45">
        <f>OrdersRawTable9[[#This Row],[Gross_Sales]]-OrdersRawTable9[[#This Row],[Discount_Amount]]</f>
        <v>378.35999999999996</v>
      </c>
      <c r="Z13" s="45">
        <f>OrdersRawTable9[[#This Row],[Unit_Cost]]*OrdersRawTable9[[#This Row],[Quantity]]</f>
        <v>272.5</v>
      </c>
      <c r="AA13" s="45">
        <f>OrdersRawTable9[[#This Row],[Net_Sales]]-OrdersRawTable9[[#This Row],[Total_Cost]]</f>
        <v>105.85999999999996</v>
      </c>
      <c r="AB13" s="48">
        <f>IF(OrdersRawTable9[[#This Row],[Net_Sales]]=0,0,OrdersRawTable9[[#This Row],[Profit]]/OrdersRawTable9[[#This Row],[Net_Sales]])</f>
        <v>0.27978644677027159</v>
      </c>
      <c r="AC13" s="45" t="str">
        <f>IF(COUNTIF(ReturnsRawTable[Order_Line_ID],OrdersRawTable9[[#This Row],[Order_Line_ID]])&gt;0,"Yes","No")</f>
        <v>Yes</v>
      </c>
      <c r="AD13" s="45" t="str">
        <f>IFERROR(VLOOKUP(OrdersRawTable9[[#This Row],[Order_Line_ID]],ReturnsRawTable[[#All],[Order_Line_ID]:[Return_Reason_Raw]],3,FALSE),"")</f>
        <v>Damaged</v>
      </c>
      <c r="AE13" s="49">
        <f>IFERROR(VLOOKUP(OrdersRawTable9[[#This Row],[Order_Line_ID]],ReturnsRawTable[[#All],[Order_Line_ID]:[Return_Date]],2,FALSE),"")</f>
        <v>45711</v>
      </c>
      <c r="AF13" s="45" t="str">
        <f>IFERROR(VLOOKUP(OrdersRawTable9[[#This Row],[Order_Line_ID]],ReturnsRawTable[[Order_Line_ID]:[Refund_Status]],4,FALSE),"")</f>
        <v>Refunded</v>
      </c>
      <c r="AG13" s="45" t="str">
        <f>VLOOKUP(OrdersRawTable9[[#This Row],[Order_ID]],ShipmentsTable[],6,FALSE)</f>
        <v>Late</v>
      </c>
      <c r="AH13" s="49">
        <f>VLOOKUP(OrdersRawTable9[[#This Row],[Order_ID]],ShipmentsTable[],3,FALSE)</f>
        <v>45704</v>
      </c>
    </row>
    <row r="14" spans="1:34" ht="15" customHeight="1">
      <c r="A14" s="14" t="s">
        <v>73</v>
      </c>
      <c r="B14" s="10" t="s">
        <v>74</v>
      </c>
      <c r="C14" s="20">
        <v>45787</v>
      </c>
      <c r="D14" s="10" t="s">
        <v>75</v>
      </c>
      <c r="E14" s="10" t="s">
        <v>76</v>
      </c>
      <c r="F14" s="10" t="str">
        <f>TRIM(LEFT(OrdersRawTable9[[#This Row],[Customer_Info]],FIND(",",OrdersRawTable9[[#This Row],[Customer_Info]])-1))</f>
        <v>Yara Tremblay</v>
      </c>
      <c r="G1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14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14" s="10">
        <f>LEN(OrdersRawTable9[[#This Row],[Customer_Info]])-LEN(SUBSTITUTE(OrdersRawTable9[[#This Row],[Customer_Info]],",",""))</f>
        <v>2</v>
      </c>
      <c r="J14" s="10" t="s">
        <v>77</v>
      </c>
      <c r="K14" s="23">
        <v>2</v>
      </c>
      <c r="L14" s="26">
        <v>34.909999999999997</v>
      </c>
      <c r="M14" s="29">
        <v>0.15</v>
      </c>
      <c r="N14" s="10" t="s">
        <v>40</v>
      </c>
      <c r="O14" s="10" t="str">
        <f>IF(TRIM(OrdersRawTable9[[#This Row],[Sales_Channel_Raw]])="Market place","Marketplace",TRIM(OrdersRawTable9[[#This Row],[Sales_Channel_Raw]]))</f>
        <v>Online</v>
      </c>
      <c r="P14" s="10" t="s">
        <v>46</v>
      </c>
      <c r="Q14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14" s="15" t="s">
        <v>42</v>
      </c>
      <c r="S14" t="str">
        <f>VLOOKUP(OrdersRawTable9[[#This Row],[Customer_ID_Raw]],CustomersTable11[],4,FALSE)</f>
        <v>Alberta</v>
      </c>
      <c r="T14" t="str">
        <f>VLOOKUP(OrdersRawTable9[[#This Row],[Customer_ID_Raw]],CustomersTable11[],5,FALSE)</f>
        <v>Corporate</v>
      </c>
      <c r="U14" s="45">
        <f>VLOOKUP(OrdersRawTable9[[#This Row],[Product_ID]],ProductsTable10[],4,FALSE)</f>
        <v>19.670000000000002</v>
      </c>
      <c r="V14" t="str">
        <f>VLOOKUP(OrdersRawTable9[[#This Row],[Product_ID]],ProductsTable10[],3,FALSE)</f>
        <v>Accessories</v>
      </c>
      <c r="W14" s="45">
        <f>OrdersRawTable9[[#This Row],[Unit_Price]]*OrdersRawTable9[[#This Row],[Quantity]]</f>
        <v>69.819999999999993</v>
      </c>
      <c r="X14" s="47">
        <f>OrdersRawTable9[[#This Row],[Gross_Sales]]*OrdersRawTable9[[#This Row],[Discount_Pct]]</f>
        <v>10.472999999999999</v>
      </c>
      <c r="Y14" s="45">
        <f>OrdersRawTable9[[#This Row],[Gross_Sales]]-OrdersRawTable9[[#This Row],[Discount_Amount]]</f>
        <v>59.346999999999994</v>
      </c>
      <c r="Z14" s="45">
        <f>OrdersRawTable9[[#This Row],[Unit_Cost]]*OrdersRawTable9[[#This Row],[Quantity]]</f>
        <v>39.340000000000003</v>
      </c>
      <c r="AA14" s="45">
        <f>OrdersRawTable9[[#This Row],[Net_Sales]]-OrdersRawTable9[[#This Row],[Total_Cost]]</f>
        <v>20.006999999999991</v>
      </c>
      <c r="AB14" s="48">
        <f>IF(OrdersRawTable9[[#This Row],[Net_Sales]]=0,0,OrdersRawTable9[[#This Row],[Profit]]/OrdersRawTable9[[#This Row],[Net_Sales]])</f>
        <v>0.33711897821288345</v>
      </c>
      <c r="AC14" s="45" t="str">
        <f>IF(COUNTIF(ReturnsRawTable[Order_Line_ID],OrdersRawTable9[[#This Row],[Order_Line_ID]])&gt;0,"Yes","No")</f>
        <v>No</v>
      </c>
      <c r="AD14" s="45" t="str">
        <f>IFERROR(VLOOKUP(OrdersRawTable9[[#This Row],[Order_Line_ID]],ReturnsRawTable[[#All],[Order_Line_ID]:[Return_Reason_Raw]],3,FALSE),"")</f>
        <v/>
      </c>
      <c r="AE14" s="49" t="str">
        <f>IFERROR(VLOOKUP(OrdersRawTable9[[#This Row],[Order_Line_ID]],ReturnsRawTable[[#All],[Order_Line_ID]:[Return_Date]],2,FALSE),"")</f>
        <v/>
      </c>
      <c r="AF14" s="45" t="str">
        <f>IFERROR(VLOOKUP(OrdersRawTable9[[#This Row],[Order_Line_ID]],ReturnsRawTable[[Order_Line_ID]:[Refund_Status]],4,FALSE),"")</f>
        <v/>
      </c>
      <c r="AG14" s="45" t="str">
        <f>VLOOKUP(OrdersRawTable9[[#This Row],[Order_ID]],ShipmentsTable[],6,FALSE)</f>
        <v>Late</v>
      </c>
      <c r="AH14" s="49">
        <f>VLOOKUP(OrdersRawTable9[[#This Row],[Order_ID]],ShipmentsTable[],3,FALSE)</f>
        <v>45793</v>
      </c>
    </row>
    <row r="15" spans="1:34" ht="15" customHeight="1">
      <c r="A15" s="14" t="s">
        <v>78</v>
      </c>
      <c r="B15" s="10" t="s">
        <v>74</v>
      </c>
      <c r="C15" s="20">
        <v>45787</v>
      </c>
      <c r="D15" s="10" t="s">
        <v>79</v>
      </c>
      <c r="E15" s="10" t="s">
        <v>76</v>
      </c>
      <c r="F15" s="10" t="str">
        <f>TRIM(LEFT(OrdersRawTable9[[#This Row],[Customer_Info]],FIND(",",OrdersRawTable9[[#This Row],[Customer_Info]])-1))</f>
        <v>Yara Tremblay</v>
      </c>
      <c r="G1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15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15" s="10">
        <f>LEN(OrdersRawTable9[[#This Row],[Customer_Info]])-LEN(SUBSTITUTE(OrdersRawTable9[[#This Row],[Customer_Info]],",",""))</f>
        <v>2</v>
      </c>
      <c r="J15" s="10" t="s">
        <v>80</v>
      </c>
      <c r="K15" s="23">
        <v>3</v>
      </c>
      <c r="L15" s="26">
        <v>142.16</v>
      </c>
      <c r="M15" s="29">
        <v>0.05</v>
      </c>
      <c r="N15" s="10" t="s">
        <v>50</v>
      </c>
      <c r="O15" s="10" t="str">
        <f>IF(TRIM(OrdersRawTable9[[#This Row],[Sales_Channel_Raw]])="Market place","Marketplace",TRIM(OrdersRawTable9[[#This Row],[Sales_Channel_Raw]]))</f>
        <v>Marketplace</v>
      </c>
      <c r="P15" s="10" t="s">
        <v>41</v>
      </c>
      <c r="Q15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15" s="15" t="s">
        <v>42</v>
      </c>
      <c r="S15" t="str">
        <f>VLOOKUP(OrdersRawTable9[[#This Row],[Customer_ID_Raw]],CustomersTable11[],4,FALSE)</f>
        <v>Alberta</v>
      </c>
      <c r="T15" t="str">
        <f>VLOOKUP(OrdersRawTable9[[#This Row],[Customer_ID_Raw]],CustomersTable11[],5,FALSE)</f>
        <v>Corporate</v>
      </c>
      <c r="U15" s="45">
        <f>VLOOKUP(OrdersRawTable9[[#This Row],[Product_ID]],ProductsTable10[],4,FALSE)</f>
        <v>85.34</v>
      </c>
      <c r="V15" t="str">
        <f>VLOOKUP(OrdersRawTable9[[#This Row],[Product_ID]],ProductsTable10[],3,FALSE)</f>
        <v>Home</v>
      </c>
      <c r="W15" s="45">
        <f>OrdersRawTable9[[#This Row],[Unit_Price]]*OrdersRawTable9[[#This Row],[Quantity]]</f>
        <v>426.48</v>
      </c>
      <c r="X15" s="47">
        <f>OrdersRawTable9[[#This Row],[Gross_Sales]]*OrdersRawTable9[[#This Row],[Discount_Pct]]</f>
        <v>21.324000000000002</v>
      </c>
      <c r="Y15" s="45">
        <f>OrdersRawTable9[[#This Row],[Gross_Sales]]-OrdersRawTable9[[#This Row],[Discount_Amount]]</f>
        <v>405.15600000000001</v>
      </c>
      <c r="Z15" s="45">
        <f>OrdersRawTable9[[#This Row],[Unit_Cost]]*OrdersRawTable9[[#This Row],[Quantity]]</f>
        <v>256.02</v>
      </c>
      <c r="AA15" s="45">
        <f>OrdersRawTable9[[#This Row],[Net_Sales]]-OrdersRawTable9[[#This Row],[Total_Cost]]</f>
        <v>149.13600000000002</v>
      </c>
      <c r="AB15" s="48">
        <f>IF(OrdersRawTable9[[#This Row],[Net_Sales]]=0,0,OrdersRawTable9[[#This Row],[Profit]]/OrdersRawTable9[[#This Row],[Net_Sales]])</f>
        <v>0.36809525219915296</v>
      </c>
      <c r="AC15" s="45" t="str">
        <f>IF(COUNTIF(ReturnsRawTable[Order_Line_ID],OrdersRawTable9[[#This Row],[Order_Line_ID]])&gt;0,"Yes","No")</f>
        <v>No</v>
      </c>
      <c r="AD15" s="45" t="str">
        <f>IFERROR(VLOOKUP(OrdersRawTable9[[#This Row],[Order_Line_ID]],ReturnsRawTable[[#All],[Order_Line_ID]:[Return_Reason_Raw]],3,FALSE),"")</f>
        <v/>
      </c>
      <c r="AE15" s="49" t="str">
        <f>IFERROR(VLOOKUP(OrdersRawTable9[[#This Row],[Order_Line_ID]],ReturnsRawTable[[#All],[Order_Line_ID]:[Return_Date]],2,FALSE),"")</f>
        <v/>
      </c>
      <c r="AF15" s="45" t="str">
        <f>IFERROR(VLOOKUP(OrdersRawTable9[[#This Row],[Order_Line_ID]],ReturnsRawTable[[Order_Line_ID]:[Refund_Status]],4,FALSE),"")</f>
        <v/>
      </c>
      <c r="AG15" s="45" t="str">
        <f>VLOOKUP(OrdersRawTable9[[#This Row],[Order_ID]],ShipmentsTable[],6,FALSE)</f>
        <v>Late</v>
      </c>
      <c r="AH15" s="49">
        <f>VLOOKUP(OrdersRawTable9[[#This Row],[Order_ID]],ShipmentsTable[],3,FALSE)</f>
        <v>45793</v>
      </c>
    </row>
    <row r="16" spans="1:34" ht="15" customHeight="1">
      <c r="A16" s="14" t="s">
        <v>81</v>
      </c>
      <c r="B16" s="10" t="s">
        <v>74</v>
      </c>
      <c r="C16" s="20">
        <v>45787</v>
      </c>
      <c r="D16" s="10" t="s">
        <v>75</v>
      </c>
      <c r="E16" s="10" t="s">
        <v>76</v>
      </c>
      <c r="F16" s="10" t="str">
        <f>TRIM(LEFT(OrdersRawTable9[[#This Row],[Customer_Info]],FIND(",",OrdersRawTable9[[#This Row],[Customer_Info]])-1))</f>
        <v>Yara Tremblay</v>
      </c>
      <c r="G1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16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16" s="10">
        <f>LEN(OrdersRawTable9[[#This Row],[Customer_Info]])-LEN(SUBSTITUTE(OrdersRawTable9[[#This Row],[Customer_Info]],",",""))</f>
        <v>2</v>
      </c>
      <c r="J16" s="10" t="s">
        <v>72</v>
      </c>
      <c r="K16" s="23">
        <v>4</v>
      </c>
      <c r="L16" s="26">
        <v>210.2</v>
      </c>
      <c r="M16" s="29">
        <v>0.05</v>
      </c>
      <c r="N16" s="10" t="s">
        <v>50</v>
      </c>
      <c r="O16" s="10" t="str">
        <f>IF(TRIM(OrdersRawTable9[[#This Row],[Sales_Channel_Raw]])="Market place","Marketplace",TRIM(OrdersRawTable9[[#This Row],[Sales_Channel_Raw]]))</f>
        <v>Marketplace</v>
      </c>
      <c r="P16" s="10" t="s">
        <v>41</v>
      </c>
      <c r="Q16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16" s="15" t="s">
        <v>47</v>
      </c>
      <c r="S16" t="str">
        <f>VLOOKUP(OrdersRawTable9[[#This Row],[Customer_ID_Raw]],CustomersTable11[],4,FALSE)</f>
        <v>Alberta</v>
      </c>
      <c r="T16" t="str">
        <f>VLOOKUP(OrdersRawTable9[[#This Row],[Customer_ID_Raw]],CustomersTable11[],5,FALSE)</f>
        <v>Corporate</v>
      </c>
      <c r="U16" s="45">
        <f>VLOOKUP(OrdersRawTable9[[#This Row],[Product_ID]],ProductsTable10[],4,FALSE)</f>
        <v>136.25</v>
      </c>
      <c r="V16" t="str">
        <f>VLOOKUP(OrdersRawTable9[[#This Row],[Product_ID]],ProductsTable10[],3,FALSE)</f>
        <v>Fitness</v>
      </c>
      <c r="W16" s="45">
        <f>OrdersRawTable9[[#This Row],[Unit_Price]]*OrdersRawTable9[[#This Row],[Quantity]]</f>
        <v>840.8</v>
      </c>
      <c r="X16" s="47">
        <f>OrdersRawTable9[[#This Row],[Gross_Sales]]*OrdersRawTable9[[#This Row],[Discount_Pct]]</f>
        <v>42.04</v>
      </c>
      <c r="Y16" s="45">
        <f>OrdersRawTable9[[#This Row],[Gross_Sales]]-OrdersRawTable9[[#This Row],[Discount_Amount]]</f>
        <v>798.76</v>
      </c>
      <c r="Z16" s="45">
        <f>OrdersRawTable9[[#This Row],[Unit_Cost]]*OrdersRawTable9[[#This Row],[Quantity]]</f>
        <v>545</v>
      </c>
      <c r="AA16" s="45">
        <f>OrdersRawTable9[[#This Row],[Net_Sales]]-OrdersRawTable9[[#This Row],[Total_Cost]]</f>
        <v>253.76</v>
      </c>
      <c r="AB16" s="48">
        <f>IF(OrdersRawTable9[[#This Row],[Net_Sales]]=0,0,OrdersRawTable9[[#This Row],[Profit]]/OrdersRawTable9[[#This Row],[Net_Sales]])</f>
        <v>0.31769242325604685</v>
      </c>
      <c r="AC16" s="45" t="str">
        <f>IF(COUNTIF(ReturnsRawTable[Order_Line_ID],OrdersRawTable9[[#This Row],[Order_Line_ID]])&gt;0,"Yes","No")</f>
        <v>No</v>
      </c>
      <c r="AD16" s="45" t="str">
        <f>IFERROR(VLOOKUP(OrdersRawTable9[[#This Row],[Order_Line_ID]],ReturnsRawTable[[#All],[Order_Line_ID]:[Return_Reason_Raw]],3,FALSE),"")</f>
        <v/>
      </c>
      <c r="AE16" s="49" t="str">
        <f>IFERROR(VLOOKUP(OrdersRawTable9[[#This Row],[Order_Line_ID]],ReturnsRawTable[[#All],[Order_Line_ID]:[Return_Date]],2,FALSE),"")</f>
        <v/>
      </c>
      <c r="AF16" s="45" t="str">
        <f>IFERROR(VLOOKUP(OrdersRawTable9[[#This Row],[Order_Line_ID]],ReturnsRawTable[[Order_Line_ID]:[Refund_Status]],4,FALSE),"")</f>
        <v/>
      </c>
      <c r="AG16" s="45" t="str">
        <f>VLOOKUP(OrdersRawTable9[[#This Row],[Order_ID]],ShipmentsTable[],6,FALSE)</f>
        <v>Late</v>
      </c>
      <c r="AH16" s="49">
        <f>VLOOKUP(OrdersRawTable9[[#This Row],[Order_ID]],ShipmentsTable[],3,FALSE)</f>
        <v>45793</v>
      </c>
    </row>
    <row r="17" spans="1:34" ht="15" customHeight="1">
      <c r="A17" s="14" t="s">
        <v>82</v>
      </c>
      <c r="B17" s="10" t="s">
        <v>74</v>
      </c>
      <c r="C17" s="20">
        <v>45787</v>
      </c>
      <c r="D17" s="10" t="s">
        <v>79</v>
      </c>
      <c r="E17" s="10" t="s">
        <v>76</v>
      </c>
      <c r="F17" s="10" t="str">
        <f>TRIM(LEFT(OrdersRawTable9[[#This Row],[Customer_Info]],FIND(",",OrdersRawTable9[[#This Row],[Customer_Info]])-1))</f>
        <v>Yara Tremblay</v>
      </c>
      <c r="G1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17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17" s="10">
        <f>LEN(OrdersRawTable9[[#This Row],[Customer_Info]])-LEN(SUBSTITUTE(OrdersRawTable9[[#This Row],[Customer_Info]],",",""))</f>
        <v>2</v>
      </c>
      <c r="J17" s="10" t="s">
        <v>83</v>
      </c>
      <c r="K17" s="23">
        <v>2</v>
      </c>
      <c r="L17" s="26">
        <v>115.28</v>
      </c>
      <c r="M17" s="29">
        <v>0.1</v>
      </c>
      <c r="N17" s="10" t="s">
        <v>40</v>
      </c>
      <c r="O17" s="10" t="str">
        <f>IF(TRIM(OrdersRawTable9[[#This Row],[Sales_Channel_Raw]])="Market place","Marketplace",TRIM(OrdersRawTable9[[#This Row],[Sales_Channel_Raw]]))</f>
        <v>Online</v>
      </c>
      <c r="P17" s="10"/>
      <c r="Q17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17" s="15" t="s">
        <v>42</v>
      </c>
      <c r="S17" t="str">
        <f>VLOOKUP(OrdersRawTable9[[#This Row],[Customer_ID_Raw]],CustomersTable11[],4,FALSE)</f>
        <v>Alberta</v>
      </c>
      <c r="T17" t="str">
        <f>VLOOKUP(OrdersRawTable9[[#This Row],[Customer_ID_Raw]],CustomersTable11[],5,FALSE)</f>
        <v>Corporate</v>
      </c>
      <c r="U17" s="45">
        <f>VLOOKUP(OrdersRawTable9[[#This Row],[Product_ID]],ProductsTable10[],4,FALSE)</f>
        <v>61.65</v>
      </c>
      <c r="V17" t="str">
        <f>VLOOKUP(OrdersRawTable9[[#This Row],[Product_ID]],ProductsTable10[],3,FALSE)</f>
        <v>Office</v>
      </c>
      <c r="W17" s="45">
        <f>OrdersRawTable9[[#This Row],[Unit_Price]]*OrdersRawTable9[[#This Row],[Quantity]]</f>
        <v>230.56</v>
      </c>
      <c r="X17" s="47">
        <f>OrdersRawTable9[[#This Row],[Gross_Sales]]*OrdersRawTable9[[#This Row],[Discount_Pct]]</f>
        <v>23.056000000000001</v>
      </c>
      <c r="Y17" s="45">
        <f>OrdersRawTable9[[#This Row],[Gross_Sales]]-OrdersRawTable9[[#This Row],[Discount_Amount]]</f>
        <v>207.50399999999999</v>
      </c>
      <c r="Z17" s="45">
        <f>OrdersRawTable9[[#This Row],[Unit_Cost]]*OrdersRawTable9[[#This Row],[Quantity]]</f>
        <v>123.3</v>
      </c>
      <c r="AA17" s="45">
        <f>OrdersRawTable9[[#This Row],[Net_Sales]]-OrdersRawTable9[[#This Row],[Total_Cost]]</f>
        <v>84.203999999999994</v>
      </c>
      <c r="AB17" s="48">
        <f>IF(OrdersRawTable9[[#This Row],[Net_Sales]]=0,0,OrdersRawTable9[[#This Row],[Profit]]/OrdersRawTable9[[#This Row],[Net_Sales]])</f>
        <v>0.40579458709229699</v>
      </c>
      <c r="AC17" s="45" t="str">
        <f>IF(COUNTIF(ReturnsRawTable[Order_Line_ID],OrdersRawTable9[[#This Row],[Order_Line_ID]])&gt;0,"Yes","No")</f>
        <v>No</v>
      </c>
      <c r="AD17" s="45" t="str">
        <f>IFERROR(VLOOKUP(OrdersRawTable9[[#This Row],[Order_Line_ID]],ReturnsRawTable[[#All],[Order_Line_ID]:[Return_Reason_Raw]],3,FALSE),"")</f>
        <v/>
      </c>
      <c r="AE17" s="49" t="str">
        <f>IFERROR(VLOOKUP(OrdersRawTable9[[#This Row],[Order_Line_ID]],ReturnsRawTable[[#All],[Order_Line_ID]:[Return_Date]],2,FALSE),"")</f>
        <v/>
      </c>
      <c r="AF17" s="45" t="str">
        <f>IFERROR(VLOOKUP(OrdersRawTable9[[#This Row],[Order_Line_ID]],ReturnsRawTable[[Order_Line_ID]:[Refund_Status]],4,FALSE),"")</f>
        <v/>
      </c>
      <c r="AG17" s="45" t="str">
        <f>VLOOKUP(OrdersRawTable9[[#This Row],[Order_ID]],ShipmentsTable[],6,FALSE)</f>
        <v>Late</v>
      </c>
      <c r="AH17" s="49">
        <f>VLOOKUP(OrdersRawTable9[[#This Row],[Order_ID]],ShipmentsTable[],3,FALSE)</f>
        <v>45793</v>
      </c>
    </row>
    <row r="18" spans="1:34" ht="15" customHeight="1">
      <c r="A18" s="14" t="s">
        <v>84</v>
      </c>
      <c r="B18" s="10" t="s">
        <v>85</v>
      </c>
      <c r="C18" s="20">
        <v>45659</v>
      </c>
      <c r="D18" s="10" t="s">
        <v>86</v>
      </c>
      <c r="E18" s="10" t="s">
        <v>87</v>
      </c>
      <c r="F18" s="10" t="str">
        <f>TRIM(LEFT(OrdersRawTable9[[#This Row],[Customer_Info]],FIND(",",OrdersRawTable9[[#This Row],[Customer_Info]])-1))</f>
        <v>Maya Dubois</v>
      </c>
      <c r="G1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Regina</v>
      </c>
      <c r="H18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18" s="10">
        <f>LEN(OrdersRawTable9[[#This Row],[Customer_Info]])-LEN(SUBSTITUTE(OrdersRawTable9[[#This Row],[Customer_Info]],",",""))</f>
        <v>2</v>
      </c>
      <c r="J18" s="10" t="s">
        <v>88</v>
      </c>
      <c r="K18" s="23">
        <v>2</v>
      </c>
      <c r="L18" s="26">
        <v>147.46</v>
      </c>
      <c r="M18" s="29">
        <v>0</v>
      </c>
      <c r="N18" s="10" t="s">
        <v>40</v>
      </c>
      <c r="O18" s="10" t="str">
        <f>IF(TRIM(OrdersRawTable9[[#This Row],[Sales_Channel_Raw]])="Market place","Marketplace",TRIM(OrdersRawTable9[[#This Row],[Sales_Channel_Raw]]))</f>
        <v>Online</v>
      </c>
      <c r="P18" s="10" t="s">
        <v>41</v>
      </c>
      <c r="Q18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18" s="15" t="s">
        <v>47</v>
      </c>
      <c r="S18" t="str">
        <f>VLOOKUP(OrdersRawTable9[[#This Row],[Customer_ID_Raw]],CustomersTable11[],4,FALSE)</f>
        <v>Saskatchewan</v>
      </c>
      <c r="T18" t="str">
        <f>VLOOKUP(OrdersRawTable9[[#This Row],[Customer_ID_Raw]],CustomersTable11[],5,FALSE)</f>
        <v>Corporate</v>
      </c>
      <c r="U18" s="45">
        <f>VLOOKUP(OrdersRawTable9[[#This Row],[Product_ID]],ProductsTable10[],4,FALSE)</f>
        <v>100.95</v>
      </c>
      <c r="V18" t="str">
        <f>VLOOKUP(OrdersRawTable9[[#This Row],[Product_ID]],ProductsTable10[],3,FALSE)</f>
        <v>Electronics</v>
      </c>
      <c r="W18" s="45">
        <f>OrdersRawTable9[[#This Row],[Unit_Price]]*OrdersRawTable9[[#This Row],[Quantity]]</f>
        <v>294.92</v>
      </c>
      <c r="X18" s="47">
        <f>OrdersRawTable9[[#This Row],[Gross_Sales]]*OrdersRawTable9[[#This Row],[Discount_Pct]]</f>
        <v>0</v>
      </c>
      <c r="Y18" s="45">
        <f>OrdersRawTable9[[#This Row],[Gross_Sales]]-OrdersRawTable9[[#This Row],[Discount_Amount]]</f>
        <v>294.92</v>
      </c>
      <c r="Z18" s="45">
        <f>OrdersRawTable9[[#This Row],[Unit_Cost]]*OrdersRawTable9[[#This Row],[Quantity]]</f>
        <v>201.9</v>
      </c>
      <c r="AA18" s="45">
        <f>OrdersRawTable9[[#This Row],[Net_Sales]]-OrdersRawTable9[[#This Row],[Total_Cost]]</f>
        <v>93.02000000000001</v>
      </c>
      <c r="AB18" s="48">
        <f>IF(OrdersRawTable9[[#This Row],[Net_Sales]]=0,0,OrdersRawTable9[[#This Row],[Profit]]/OrdersRawTable9[[#This Row],[Net_Sales]])</f>
        <v>0.31540756815407572</v>
      </c>
      <c r="AC18" s="45" t="str">
        <f>IF(COUNTIF(ReturnsRawTable[Order_Line_ID],OrdersRawTable9[[#This Row],[Order_Line_ID]])&gt;0,"Yes","No")</f>
        <v>No</v>
      </c>
      <c r="AD18" s="45" t="str">
        <f>IFERROR(VLOOKUP(OrdersRawTable9[[#This Row],[Order_Line_ID]],ReturnsRawTable[[#All],[Order_Line_ID]:[Return_Reason_Raw]],3,FALSE),"")</f>
        <v/>
      </c>
      <c r="AE18" s="49" t="str">
        <f>IFERROR(VLOOKUP(OrdersRawTable9[[#This Row],[Order_Line_ID]],ReturnsRawTable[[#All],[Order_Line_ID]:[Return_Date]],2,FALSE),"")</f>
        <v/>
      </c>
      <c r="AF18" s="45" t="str">
        <f>IFERROR(VLOOKUP(OrdersRawTable9[[#This Row],[Order_Line_ID]],ReturnsRawTable[[Order_Line_ID]:[Refund_Status]],4,FALSE),"")</f>
        <v/>
      </c>
      <c r="AG18" s="45" t="str">
        <f>VLOOKUP(OrdersRawTable9[[#This Row],[Order_ID]],ShipmentsTable[],6,FALSE)</f>
        <v>Late</v>
      </c>
      <c r="AH18" s="49">
        <f>VLOOKUP(OrdersRawTable9[[#This Row],[Order_ID]],ShipmentsTable[],3,FALSE)</f>
        <v>45669</v>
      </c>
    </row>
    <row r="19" spans="1:34" ht="15" customHeight="1">
      <c r="A19" s="14" t="s">
        <v>89</v>
      </c>
      <c r="B19" s="10" t="s">
        <v>90</v>
      </c>
      <c r="C19" s="20">
        <v>45996</v>
      </c>
      <c r="D19" s="10" t="s">
        <v>91</v>
      </c>
      <c r="E19" s="10" t="s">
        <v>92</v>
      </c>
      <c r="F19" s="10" t="str">
        <f>TRIM(LEFT(OrdersRawTable9[[#This Row],[Customer_Info]],FIND(",",OrdersRawTable9[[#This Row],[Customer_Info]])-1))</f>
        <v>Daniel Johnson</v>
      </c>
      <c r="G1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19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19" s="10">
        <f>LEN(OrdersRawTable9[[#This Row],[Customer_Info]])-LEN(SUBSTITUTE(OrdersRawTable9[[#This Row],[Customer_Info]],",",""))</f>
        <v>2</v>
      </c>
      <c r="J19" s="10" t="s">
        <v>93</v>
      </c>
      <c r="K19" s="23">
        <v>3</v>
      </c>
      <c r="L19" s="26">
        <v>208.89</v>
      </c>
      <c r="M19" s="29">
        <v>0.15</v>
      </c>
      <c r="N19" s="10" t="s">
        <v>45</v>
      </c>
      <c r="O19" s="10" t="str">
        <f>IF(TRIM(OrdersRawTable9[[#This Row],[Sales_Channel_Raw]])="Market place","Marketplace",TRIM(OrdersRawTable9[[#This Row],[Sales_Channel_Raw]]))</f>
        <v>Retail Store</v>
      </c>
      <c r="P19" s="10" t="s">
        <v>58</v>
      </c>
      <c r="Q19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19" s="15" t="s">
        <v>42</v>
      </c>
      <c r="S19" t="str">
        <f>VLOOKUP(OrdersRawTable9[[#This Row],[Customer_ID_Raw]],CustomersTable11[],4,FALSE)</f>
        <v>Ontario</v>
      </c>
      <c r="T19" t="str">
        <f>VLOOKUP(OrdersRawTable9[[#This Row],[Customer_ID_Raw]],CustomersTable11[],5,FALSE)</f>
        <v>Small Business</v>
      </c>
      <c r="U19" s="45">
        <f>VLOOKUP(OrdersRawTable9[[#This Row],[Product_ID]],ProductsTable10[],4,FALSE)</f>
        <v>133.05000000000001</v>
      </c>
      <c r="V19" t="str">
        <f>VLOOKUP(OrdersRawTable9[[#This Row],[Product_ID]],ProductsTable10[],3,FALSE)</f>
        <v>Accessories</v>
      </c>
      <c r="W19" s="45">
        <f>OrdersRawTable9[[#This Row],[Unit_Price]]*OrdersRawTable9[[#This Row],[Quantity]]</f>
        <v>626.66999999999996</v>
      </c>
      <c r="X19" s="47">
        <f>OrdersRawTable9[[#This Row],[Gross_Sales]]*OrdersRawTable9[[#This Row],[Discount_Pct]]</f>
        <v>94.000499999999988</v>
      </c>
      <c r="Y19" s="45">
        <f>OrdersRawTable9[[#This Row],[Gross_Sales]]-OrdersRawTable9[[#This Row],[Discount_Amount]]</f>
        <v>532.66949999999997</v>
      </c>
      <c r="Z19" s="45">
        <f>OrdersRawTable9[[#This Row],[Unit_Cost]]*OrdersRawTable9[[#This Row],[Quantity]]</f>
        <v>399.15000000000003</v>
      </c>
      <c r="AA19" s="45">
        <f>OrdersRawTable9[[#This Row],[Net_Sales]]-OrdersRawTable9[[#This Row],[Total_Cost]]</f>
        <v>133.51949999999994</v>
      </c>
      <c r="AB19" s="48">
        <f>IF(OrdersRawTable9[[#This Row],[Net_Sales]]=0,0,OrdersRawTable9[[#This Row],[Profit]]/OrdersRawTable9[[#This Row],[Net_Sales]])</f>
        <v>0.25066105718461434</v>
      </c>
      <c r="AC19" s="45" t="str">
        <f>IF(COUNTIF(ReturnsRawTable[Order_Line_ID],OrdersRawTable9[[#This Row],[Order_Line_ID]])&gt;0,"Yes","No")</f>
        <v>No</v>
      </c>
      <c r="AD19" s="45" t="str">
        <f>IFERROR(VLOOKUP(OrdersRawTable9[[#This Row],[Order_Line_ID]],ReturnsRawTable[[#All],[Order_Line_ID]:[Return_Reason_Raw]],3,FALSE),"")</f>
        <v/>
      </c>
      <c r="AE19" s="49" t="str">
        <f>IFERROR(VLOOKUP(OrdersRawTable9[[#This Row],[Order_Line_ID]],ReturnsRawTable[[#All],[Order_Line_ID]:[Return_Date]],2,FALSE),"")</f>
        <v/>
      </c>
      <c r="AF19" s="45" t="str">
        <f>IFERROR(VLOOKUP(OrdersRawTable9[[#This Row],[Order_Line_ID]],ReturnsRawTable[[Order_Line_ID]:[Refund_Status]],4,FALSE),"")</f>
        <v/>
      </c>
      <c r="AG19" s="45" t="str">
        <f>VLOOKUP(OrdersRawTable9[[#This Row],[Order_ID]],ShipmentsTable[],6,FALSE)</f>
        <v>Late</v>
      </c>
      <c r="AH19" s="49">
        <f>VLOOKUP(OrdersRawTable9[[#This Row],[Order_ID]],ShipmentsTable[],3,FALSE)</f>
        <v>46002</v>
      </c>
    </row>
    <row r="20" spans="1:34" ht="15" customHeight="1">
      <c r="A20" s="14" t="s">
        <v>94</v>
      </c>
      <c r="B20" s="10" t="s">
        <v>95</v>
      </c>
      <c r="C20" s="20">
        <v>45764</v>
      </c>
      <c r="D20" s="10" t="s">
        <v>96</v>
      </c>
      <c r="E20" s="10" t="s">
        <v>97</v>
      </c>
      <c r="F20" s="10" t="str">
        <f>TRIM(LEFT(OrdersRawTable9[[#This Row],[Customer_Info]],FIND(",",OrdersRawTable9[[#This Row],[Customer_Info]])-1))</f>
        <v>Ethan Dubois</v>
      </c>
      <c r="G2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20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20" s="10">
        <f>LEN(OrdersRawTable9[[#This Row],[Customer_Info]])-LEN(SUBSTITUTE(OrdersRawTable9[[#This Row],[Customer_Info]],",",""))</f>
        <v>2</v>
      </c>
      <c r="J20" s="10" t="s">
        <v>63</v>
      </c>
      <c r="K20" s="23">
        <v>3</v>
      </c>
      <c r="L20" s="26">
        <v>105.38</v>
      </c>
      <c r="M20" s="29">
        <v>0.05</v>
      </c>
      <c r="N20" s="10" t="s">
        <v>66</v>
      </c>
      <c r="O20" s="10" t="str">
        <f>IF(TRIM(OrdersRawTable9[[#This Row],[Sales_Channel_Raw]])="Market place","Marketplace",TRIM(OrdersRawTable9[[#This Row],[Sales_Channel_Raw]]))</f>
        <v>Marketplace</v>
      </c>
      <c r="P20" s="10" t="s">
        <v>98</v>
      </c>
      <c r="Q20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20" s="15" t="s">
        <v>42</v>
      </c>
      <c r="S20" t="str">
        <f>VLOOKUP(OrdersRawTable9[[#This Row],[Customer_ID_Raw]],CustomersTable11[],4,FALSE)</f>
        <v>Alberta</v>
      </c>
      <c r="T20" t="str">
        <f>VLOOKUP(OrdersRawTable9[[#This Row],[Customer_ID_Raw]],CustomersTable11[],5,FALSE)</f>
        <v>Consumer</v>
      </c>
      <c r="U20" s="45">
        <f>VLOOKUP(OrdersRawTable9[[#This Row],[Product_ID]],ProductsTable10[],4,FALSE)</f>
        <v>67.290000000000006</v>
      </c>
      <c r="V20" t="str">
        <f>VLOOKUP(OrdersRawTable9[[#This Row],[Product_ID]],ProductsTable10[],3,FALSE)</f>
        <v>Electronics</v>
      </c>
      <c r="W20" s="45">
        <f>OrdersRawTable9[[#This Row],[Unit_Price]]*OrdersRawTable9[[#This Row],[Quantity]]</f>
        <v>316.14</v>
      </c>
      <c r="X20" s="47">
        <f>OrdersRawTable9[[#This Row],[Gross_Sales]]*OrdersRawTable9[[#This Row],[Discount_Pct]]</f>
        <v>15.807</v>
      </c>
      <c r="Y20" s="45">
        <f>OrdersRawTable9[[#This Row],[Gross_Sales]]-OrdersRawTable9[[#This Row],[Discount_Amount]]</f>
        <v>300.33299999999997</v>
      </c>
      <c r="Z20" s="45">
        <f>OrdersRawTable9[[#This Row],[Unit_Cost]]*OrdersRawTable9[[#This Row],[Quantity]]</f>
        <v>201.87</v>
      </c>
      <c r="AA20" s="45">
        <f>OrdersRawTable9[[#This Row],[Net_Sales]]-OrdersRawTable9[[#This Row],[Total_Cost]]</f>
        <v>98.462999999999965</v>
      </c>
      <c r="AB20" s="48">
        <f>IF(OrdersRawTable9[[#This Row],[Net_Sales]]=0,0,OrdersRawTable9[[#This Row],[Profit]]/OrdersRawTable9[[#This Row],[Net_Sales]])</f>
        <v>0.32784609083916844</v>
      </c>
      <c r="AC20" s="45" t="str">
        <f>IF(COUNTIF(ReturnsRawTable[Order_Line_ID],OrdersRawTable9[[#This Row],[Order_Line_ID]])&gt;0,"Yes","No")</f>
        <v>No</v>
      </c>
      <c r="AD20" s="45" t="str">
        <f>IFERROR(VLOOKUP(OrdersRawTable9[[#This Row],[Order_Line_ID]],ReturnsRawTable[[#All],[Order_Line_ID]:[Return_Reason_Raw]],3,FALSE),"")</f>
        <v/>
      </c>
      <c r="AE20" s="49" t="str">
        <f>IFERROR(VLOOKUP(OrdersRawTable9[[#This Row],[Order_Line_ID]],ReturnsRawTable[[#All],[Order_Line_ID]:[Return_Date]],2,FALSE),"")</f>
        <v/>
      </c>
      <c r="AF20" s="45" t="str">
        <f>IFERROR(VLOOKUP(OrdersRawTable9[[#This Row],[Order_Line_ID]],ReturnsRawTable[[Order_Line_ID]:[Refund_Status]],4,FALSE),"")</f>
        <v/>
      </c>
      <c r="AG20" s="45" t="str">
        <f>VLOOKUP(OrdersRawTable9[[#This Row],[Order_ID]],ShipmentsTable[],6,FALSE)</f>
        <v>On time</v>
      </c>
      <c r="AH20" s="49">
        <f>VLOOKUP(OrdersRawTable9[[#This Row],[Order_ID]],ShipmentsTable[],3,FALSE)</f>
        <v>45768</v>
      </c>
    </row>
    <row r="21" spans="1:34" ht="15" customHeight="1">
      <c r="A21" s="14" t="s">
        <v>99</v>
      </c>
      <c r="B21" s="10" t="s">
        <v>95</v>
      </c>
      <c r="C21" s="20">
        <v>45764</v>
      </c>
      <c r="D21" s="10" t="s">
        <v>96</v>
      </c>
      <c r="E21" s="10" t="s">
        <v>97</v>
      </c>
      <c r="F21" s="10" t="str">
        <f>TRIM(LEFT(OrdersRawTable9[[#This Row],[Customer_Info]],FIND(",",OrdersRawTable9[[#This Row],[Customer_Info]])-1))</f>
        <v>Ethan Dubois</v>
      </c>
      <c r="G2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21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21" s="10">
        <f>LEN(OrdersRawTable9[[#This Row],[Customer_Info]])-LEN(SUBSTITUTE(OrdersRawTable9[[#This Row],[Customer_Info]],",",""))</f>
        <v>2</v>
      </c>
      <c r="J21" s="10" t="s">
        <v>100</v>
      </c>
      <c r="K21" s="23">
        <v>1</v>
      </c>
      <c r="L21" s="26">
        <v>42.72</v>
      </c>
      <c r="M21" s="29">
        <v>0</v>
      </c>
      <c r="N21" s="10" t="s">
        <v>66</v>
      </c>
      <c r="O21" s="10" t="str">
        <f>IF(TRIM(OrdersRawTable9[[#This Row],[Sales_Channel_Raw]])="Market place","Marketplace",TRIM(OrdersRawTable9[[#This Row],[Sales_Channel_Raw]]))</f>
        <v>Marketplace</v>
      </c>
      <c r="P21" s="10" t="s">
        <v>51</v>
      </c>
      <c r="Q21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21" s="15" t="s">
        <v>101</v>
      </c>
      <c r="S21" t="str">
        <f>VLOOKUP(OrdersRawTable9[[#This Row],[Customer_ID_Raw]],CustomersTable11[],4,FALSE)</f>
        <v>Alberta</v>
      </c>
      <c r="T21" t="str">
        <f>VLOOKUP(OrdersRawTable9[[#This Row],[Customer_ID_Raw]],CustomersTable11[],5,FALSE)</f>
        <v>Consumer</v>
      </c>
      <c r="U21" s="45">
        <f>VLOOKUP(OrdersRawTable9[[#This Row],[Product_ID]],ProductsTable10[],4,FALSE)</f>
        <v>24.46</v>
      </c>
      <c r="V21" t="str">
        <f>VLOOKUP(OrdersRawTable9[[#This Row],[Product_ID]],ProductsTable10[],3,FALSE)</f>
        <v>Electronics</v>
      </c>
      <c r="W21" s="45">
        <f>OrdersRawTable9[[#This Row],[Unit_Price]]*OrdersRawTable9[[#This Row],[Quantity]]</f>
        <v>42.72</v>
      </c>
      <c r="X21" s="47">
        <f>OrdersRawTable9[[#This Row],[Gross_Sales]]*OrdersRawTable9[[#This Row],[Discount_Pct]]</f>
        <v>0</v>
      </c>
      <c r="Y21" s="45">
        <f>OrdersRawTable9[[#This Row],[Gross_Sales]]-OrdersRawTable9[[#This Row],[Discount_Amount]]</f>
        <v>42.72</v>
      </c>
      <c r="Z21" s="45">
        <f>OrdersRawTable9[[#This Row],[Unit_Cost]]*OrdersRawTable9[[#This Row],[Quantity]]</f>
        <v>24.46</v>
      </c>
      <c r="AA21" s="45">
        <f>OrdersRawTable9[[#This Row],[Net_Sales]]-OrdersRawTable9[[#This Row],[Total_Cost]]</f>
        <v>18.259999999999998</v>
      </c>
      <c r="AB21" s="48">
        <f>IF(OrdersRawTable9[[#This Row],[Net_Sales]]=0,0,OrdersRawTable9[[#This Row],[Profit]]/OrdersRawTable9[[#This Row],[Net_Sales]])</f>
        <v>0.42743445692883891</v>
      </c>
      <c r="AC21" s="45" t="str">
        <f>IF(COUNTIF(ReturnsRawTable[Order_Line_ID],OrdersRawTable9[[#This Row],[Order_Line_ID]])&gt;0,"Yes","No")</f>
        <v>No</v>
      </c>
      <c r="AD21" s="45" t="str">
        <f>IFERROR(VLOOKUP(OrdersRawTable9[[#This Row],[Order_Line_ID]],ReturnsRawTable[[#All],[Order_Line_ID]:[Return_Reason_Raw]],3,FALSE),"")</f>
        <v/>
      </c>
      <c r="AE21" s="49" t="str">
        <f>IFERROR(VLOOKUP(OrdersRawTable9[[#This Row],[Order_Line_ID]],ReturnsRawTable[[#All],[Order_Line_ID]:[Return_Date]],2,FALSE),"")</f>
        <v/>
      </c>
      <c r="AF21" s="45" t="str">
        <f>IFERROR(VLOOKUP(OrdersRawTable9[[#This Row],[Order_Line_ID]],ReturnsRawTable[[Order_Line_ID]:[Refund_Status]],4,FALSE),"")</f>
        <v/>
      </c>
      <c r="AG21" s="45" t="str">
        <f>VLOOKUP(OrdersRawTable9[[#This Row],[Order_ID]],ShipmentsTable[],6,FALSE)</f>
        <v>On time</v>
      </c>
      <c r="AH21" s="49">
        <f>VLOOKUP(OrdersRawTable9[[#This Row],[Order_ID]],ShipmentsTable[],3,FALSE)</f>
        <v>45768</v>
      </c>
    </row>
    <row r="22" spans="1:34" ht="15" customHeight="1">
      <c r="A22" s="14" t="s">
        <v>102</v>
      </c>
      <c r="B22" s="10" t="s">
        <v>103</v>
      </c>
      <c r="C22" s="20">
        <v>45673</v>
      </c>
      <c r="D22" s="10" t="s">
        <v>104</v>
      </c>
      <c r="E22" s="10" t="s">
        <v>105</v>
      </c>
      <c r="F22" s="10" t="str">
        <f>TRIM(LEFT(OrdersRawTable9[[#This Row],[Customer_Info]],FIND(",",OrdersRawTable9[[#This Row],[Customer_Info]])-1))</f>
        <v>Liam Khan</v>
      </c>
      <c r="G2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22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2" s="10">
        <f>LEN(OrdersRawTable9[[#This Row],[Customer_Info]])-LEN(SUBSTITUTE(OrdersRawTable9[[#This Row],[Customer_Info]],",",""))</f>
        <v>2</v>
      </c>
      <c r="J22" s="10" t="s">
        <v>106</v>
      </c>
      <c r="K22" s="23">
        <v>3</v>
      </c>
      <c r="L22" s="26">
        <v>195.38</v>
      </c>
      <c r="M22" s="29">
        <v>0.15</v>
      </c>
      <c r="N22" s="10" t="s">
        <v>40</v>
      </c>
      <c r="O22" s="10" t="str">
        <f>IF(TRIM(OrdersRawTable9[[#This Row],[Sales_Channel_Raw]])="Market place","Marketplace",TRIM(OrdersRawTable9[[#This Row],[Sales_Channel_Raw]]))</f>
        <v>Online</v>
      </c>
      <c r="P22" s="10" t="s">
        <v>41</v>
      </c>
      <c r="Q22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22" s="15" t="s">
        <v>47</v>
      </c>
      <c r="S22" t="str">
        <f>VLOOKUP(OrdersRawTable9[[#This Row],[Customer_ID_Raw]],CustomersTable11[],4,FALSE)</f>
        <v>Ontario</v>
      </c>
      <c r="T22" t="str">
        <f>VLOOKUP(OrdersRawTable9[[#This Row],[Customer_ID_Raw]],CustomersTable11[],5,FALSE)</f>
        <v>Small Business</v>
      </c>
      <c r="U22" s="45">
        <f>VLOOKUP(OrdersRawTable9[[#This Row],[Product_ID]],ProductsTable10[],4,FALSE)</f>
        <v>114.29</v>
      </c>
      <c r="V22" t="str">
        <f>VLOOKUP(OrdersRawTable9[[#This Row],[Product_ID]],ProductsTable10[],3,FALSE)</f>
        <v>Electronics</v>
      </c>
      <c r="W22" s="45">
        <f>OrdersRawTable9[[#This Row],[Unit_Price]]*OrdersRawTable9[[#This Row],[Quantity]]</f>
        <v>586.14</v>
      </c>
      <c r="X22" s="47">
        <f>OrdersRawTable9[[#This Row],[Gross_Sales]]*OrdersRawTable9[[#This Row],[Discount_Pct]]</f>
        <v>87.920999999999992</v>
      </c>
      <c r="Y22" s="45">
        <f>OrdersRawTable9[[#This Row],[Gross_Sales]]-OrdersRawTable9[[#This Row],[Discount_Amount]]</f>
        <v>498.21899999999999</v>
      </c>
      <c r="Z22" s="45">
        <f>OrdersRawTable9[[#This Row],[Unit_Cost]]*OrdersRawTable9[[#This Row],[Quantity]]</f>
        <v>342.87</v>
      </c>
      <c r="AA22" s="45">
        <f>OrdersRawTable9[[#This Row],[Net_Sales]]-OrdersRawTable9[[#This Row],[Total_Cost]]</f>
        <v>155.34899999999999</v>
      </c>
      <c r="AB22" s="48">
        <f>IF(OrdersRawTable9[[#This Row],[Net_Sales]]=0,0,OrdersRawTable9[[#This Row],[Profit]]/OrdersRawTable9[[#This Row],[Net_Sales]])</f>
        <v>0.31180866245566707</v>
      </c>
      <c r="AC22" s="45" t="str">
        <f>IF(COUNTIF(ReturnsRawTable[Order_Line_ID],OrdersRawTable9[[#This Row],[Order_Line_ID]])&gt;0,"Yes","No")</f>
        <v>No</v>
      </c>
      <c r="AD22" s="45" t="str">
        <f>IFERROR(VLOOKUP(OrdersRawTable9[[#This Row],[Order_Line_ID]],ReturnsRawTable[[#All],[Order_Line_ID]:[Return_Reason_Raw]],3,FALSE),"")</f>
        <v/>
      </c>
      <c r="AE22" s="49" t="str">
        <f>IFERROR(VLOOKUP(OrdersRawTable9[[#This Row],[Order_Line_ID]],ReturnsRawTable[[#All],[Order_Line_ID]:[Return_Date]],2,FALSE),"")</f>
        <v/>
      </c>
      <c r="AF22" s="45" t="str">
        <f>IFERROR(VLOOKUP(OrdersRawTable9[[#This Row],[Order_Line_ID]],ReturnsRawTable[[Order_Line_ID]:[Refund_Status]],4,FALSE),"")</f>
        <v/>
      </c>
      <c r="AG22" s="45" t="str">
        <f>VLOOKUP(OrdersRawTable9[[#This Row],[Order_ID]],ShipmentsTable[],6,FALSE)</f>
        <v>Late</v>
      </c>
      <c r="AH22" s="49">
        <f>VLOOKUP(OrdersRawTable9[[#This Row],[Order_ID]],ShipmentsTable[],3,FALSE)</f>
        <v>45681</v>
      </c>
    </row>
    <row r="23" spans="1:34" ht="15" customHeight="1">
      <c r="A23" s="14" t="s">
        <v>107</v>
      </c>
      <c r="B23" s="10" t="s">
        <v>103</v>
      </c>
      <c r="C23" s="20">
        <v>45673</v>
      </c>
      <c r="D23" s="10" t="s">
        <v>104</v>
      </c>
      <c r="E23" s="10" t="s">
        <v>105</v>
      </c>
      <c r="F23" s="10" t="str">
        <f>TRIM(LEFT(OrdersRawTable9[[#This Row],[Customer_Info]],FIND(",",OrdersRawTable9[[#This Row],[Customer_Info]])-1))</f>
        <v>Liam Khan</v>
      </c>
      <c r="G2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23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3" s="10">
        <f>LEN(OrdersRawTable9[[#This Row],[Customer_Info]])-LEN(SUBSTITUTE(OrdersRawTable9[[#This Row],[Customer_Info]],",",""))</f>
        <v>2</v>
      </c>
      <c r="J23" s="10" t="s">
        <v>108</v>
      </c>
      <c r="K23" s="23">
        <v>3</v>
      </c>
      <c r="L23" s="26">
        <v>33.369999999999997</v>
      </c>
      <c r="M23" s="29">
        <v>0.15</v>
      </c>
      <c r="N23" s="10" t="s">
        <v>40</v>
      </c>
      <c r="O23" s="10" t="str">
        <f>IF(TRIM(OrdersRawTable9[[#This Row],[Sales_Channel_Raw]])="Market place","Marketplace",TRIM(OrdersRawTable9[[#This Row],[Sales_Channel_Raw]]))</f>
        <v>Online</v>
      </c>
      <c r="P23" s="10" t="s">
        <v>51</v>
      </c>
      <c r="Q23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23" s="15" t="s">
        <v>52</v>
      </c>
      <c r="S23" t="str">
        <f>VLOOKUP(OrdersRawTable9[[#This Row],[Customer_ID_Raw]],CustomersTable11[],4,FALSE)</f>
        <v>Ontario</v>
      </c>
      <c r="T23" t="str">
        <f>VLOOKUP(OrdersRawTable9[[#This Row],[Customer_ID_Raw]],CustomersTable11[],5,FALSE)</f>
        <v>Small Business</v>
      </c>
      <c r="U23" s="45">
        <f>VLOOKUP(OrdersRawTable9[[#This Row],[Product_ID]],ProductsTable10[],4,FALSE)</f>
        <v>18.670000000000002</v>
      </c>
      <c r="V23" t="str">
        <f>VLOOKUP(OrdersRawTable9[[#This Row],[Product_ID]],ProductsTable10[],3,FALSE)</f>
        <v>Fitness</v>
      </c>
      <c r="W23" s="45">
        <f>OrdersRawTable9[[#This Row],[Unit_Price]]*OrdersRawTable9[[#This Row],[Quantity]]</f>
        <v>100.10999999999999</v>
      </c>
      <c r="X23" s="47">
        <f>OrdersRawTable9[[#This Row],[Gross_Sales]]*OrdersRawTable9[[#This Row],[Discount_Pct]]</f>
        <v>15.016499999999997</v>
      </c>
      <c r="Y23" s="45">
        <f>OrdersRawTable9[[#This Row],[Gross_Sales]]-OrdersRawTable9[[#This Row],[Discount_Amount]]</f>
        <v>85.093499999999992</v>
      </c>
      <c r="Z23" s="45">
        <f>OrdersRawTable9[[#This Row],[Unit_Cost]]*OrdersRawTable9[[#This Row],[Quantity]]</f>
        <v>56.010000000000005</v>
      </c>
      <c r="AA23" s="45">
        <f>OrdersRawTable9[[#This Row],[Net_Sales]]-OrdersRawTable9[[#This Row],[Total_Cost]]</f>
        <v>29.083499999999987</v>
      </c>
      <c r="AB23" s="48">
        <f>IF(OrdersRawTable9[[#This Row],[Net_Sales]]=0,0,OrdersRawTable9[[#This Row],[Profit]]/OrdersRawTable9[[#This Row],[Net_Sales]])</f>
        <v>0.34178286238079275</v>
      </c>
      <c r="AC23" s="45" t="str">
        <f>IF(COUNTIF(ReturnsRawTable[Order_Line_ID],OrdersRawTable9[[#This Row],[Order_Line_ID]])&gt;0,"Yes","No")</f>
        <v>No</v>
      </c>
      <c r="AD23" s="45" t="str">
        <f>IFERROR(VLOOKUP(OrdersRawTable9[[#This Row],[Order_Line_ID]],ReturnsRawTable[[#All],[Order_Line_ID]:[Return_Reason_Raw]],3,FALSE),"")</f>
        <v/>
      </c>
      <c r="AE23" s="49" t="str">
        <f>IFERROR(VLOOKUP(OrdersRawTable9[[#This Row],[Order_Line_ID]],ReturnsRawTable[[#All],[Order_Line_ID]:[Return_Date]],2,FALSE),"")</f>
        <v/>
      </c>
      <c r="AF23" s="45" t="str">
        <f>IFERROR(VLOOKUP(OrdersRawTable9[[#This Row],[Order_Line_ID]],ReturnsRawTable[[Order_Line_ID]:[Refund_Status]],4,FALSE),"")</f>
        <v/>
      </c>
      <c r="AG23" s="45" t="str">
        <f>VLOOKUP(OrdersRawTable9[[#This Row],[Order_ID]],ShipmentsTable[],6,FALSE)</f>
        <v>Late</v>
      </c>
      <c r="AH23" s="49">
        <f>VLOOKUP(OrdersRawTable9[[#This Row],[Order_ID]],ShipmentsTable[],3,FALSE)</f>
        <v>45681</v>
      </c>
    </row>
    <row r="24" spans="1:34" ht="15" customHeight="1">
      <c r="A24" s="14" t="s">
        <v>109</v>
      </c>
      <c r="B24" s="10" t="s">
        <v>103</v>
      </c>
      <c r="C24" s="20">
        <v>45673</v>
      </c>
      <c r="D24" s="10" t="s">
        <v>104</v>
      </c>
      <c r="E24" s="10" t="s">
        <v>105</v>
      </c>
      <c r="F24" s="10" t="str">
        <f>TRIM(LEFT(OrdersRawTable9[[#This Row],[Customer_Info]],FIND(",",OrdersRawTable9[[#This Row],[Customer_Info]])-1))</f>
        <v>Liam Khan</v>
      </c>
      <c r="G2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24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4" s="10">
        <f>LEN(OrdersRawTable9[[#This Row],[Customer_Info]])-LEN(SUBSTITUTE(OrdersRawTable9[[#This Row],[Customer_Info]],",",""))</f>
        <v>2</v>
      </c>
      <c r="J24" s="10" t="s">
        <v>110</v>
      </c>
      <c r="K24" s="23">
        <v>3</v>
      </c>
      <c r="L24" s="26">
        <v>133.24</v>
      </c>
      <c r="M24" s="29">
        <v>0.15</v>
      </c>
      <c r="N24" s="10" t="s">
        <v>70</v>
      </c>
      <c r="O24" s="10" t="str">
        <f>IF(TRIM(OrdersRawTable9[[#This Row],[Sales_Channel_Raw]])="Market place","Marketplace",TRIM(OrdersRawTable9[[#This Row],[Sales_Channel_Raw]]))</f>
        <v>online</v>
      </c>
      <c r="P24" s="10" t="s">
        <v>46</v>
      </c>
      <c r="Q24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24" s="15" t="s">
        <v>101</v>
      </c>
      <c r="S24" t="str">
        <f>VLOOKUP(OrdersRawTable9[[#This Row],[Customer_ID_Raw]],CustomersTable11[],4,FALSE)</f>
        <v>Ontario</v>
      </c>
      <c r="T24" t="str">
        <f>VLOOKUP(OrdersRawTable9[[#This Row],[Customer_ID_Raw]],CustomersTable11[],5,FALSE)</f>
        <v>Small Business</v>
      </c>
      <c r="U24" s="45">
        <f>VLOOKUP(OrdersRawTable9[[#This Row],[Product_ID]],ProductsTable10[],4,FALSE)</f>
        <v>77.540000000000006</v>
      </c>
      <c r="V24" t="str">
        <f>VLOOKUP(OrdersRawTable9[[#This Row],[Product_ID]],ProductsTable10[],3,FALSE)</f>
        <v>Electronics</v>
      </c>
      <c r="W24" s="45">
        <f>OrdersRawTable9[[#This Row],[Unit_Price]]*OrdersRawTable9[[#This Row],[Quantity]]</f>
        <v>399.72</v>
      </c>
      <c r="X24" s="47">
        <f>OrdersRawTable9[[#This Row],[Gross_Sales]]*OrdersRawTable9[[#This Row],[Discount_Pct]]</f>
        <v>59.957999999999998</v>
      </c>
      <c r="Y24" s="45">
        <f>OrdersRawTable9[[#This Row],[Gross_Sales]]-OrdersRawTable9[[#This Row],[Discount_Amount]]</f>
        <v>339.76200000000006</v>
      </c>
      <c r="Z24" s="45">
        <f>OrdersRawTable9[[#This Row],[Unit_Cost]]*OrdersRawTable9[[#This Row],[Quantity]]</f>
        <v>232.62</v>
      </c>
      <c r="AA24" s="45">
        <f>OrdersRawTable9[[#This Row],[Net_Sales]]-OrdersRawTable9[[#This Row],[Total_Cost]]</f>
        <v>107.14200000000005</v>
      </c>
      <c r="AB24" s="48">
        <f>IF(OrdersRawTable9[[#This Row],[Net_Sales]]=0,0,OrdersRawTable9[[#This Row],[Profit]]/OrdersRawTable9[[#This Row],[Net_Sales]])</f>
        <v>0.31534427040104551</v>
      </c>
      <c r="AC24" s="45" t="str">
        <f>IF(COUNTIF(ReturnsRawTable[Order_Line_ID],OrdersRawTable9[[#This Row],[Order_Line_ID]])&gt;0,"Yes","No")</f>
        <v>No</v>
      </c>
      <c r="AD24" s="45" t="str">
        <f>IFERROR(VLOOKUP(OrdersRawTable9[[#This Row],[Order_Line_ID]],ReturnsRawTable[[#All],[Order_Line_ID]:[Return_Reason_Raw]],3,FALSE),"")</f>
        <v/>
      </c>
      <c r="AE24" s="49" t="str">
        <f>IFERROR(VLOOKUP(OrdersRawTable9[[#This Row],[Order_Line_ID]],ReturnsRawTable[[#All],[Order_Line_ID]:[Return_Date]],2,FALSE),"")</f>
        <v/>
      </c>
      <c r="AF24" s="45" t="str">
        <f>IFERROR(VLOOKUP(OrdersRawTable9[[#This Row],[Order_Line_ID]],ReturnsRawTable[[Order_Line_ID]:[Refund_Status]],4,FALSE),"")</f>
        <v/>
      </c>
      <c r="AG24" s="45" t="str">
        <f>VLOOKUP(OrdersRawTable9[[#This Row],[Order_ID]],ShipmentsTable[],6,FALSE)</f>
        <v>Late</v>
      </c>
      <c r="AH24" s="49">
        <f>VLOOKUP(OrdersRawTable9[[#This Row],[Order_ID]],ShipmentsTable[],3,FALSE)</f>
        <v>45681</v>
      </c>
    </row>
    <row r="25" spans="1:34" ht="15" customHeight="1">
      <c r="A25" s="14" t="s">
        <v>111</v>
      </c>
      <c r="B25" s="10" t="s">
        <v>103</v>
      </c>
      <c r="C25" s="20">
        <v>45673</v>
      </c>
      <c r="D25" s="10" t="s">
        <v>104</v>
      </c>
      <c r="E25" s="10" t="s">
        <v>105</v>
      </c>
      <c r="F25" s="10" t="str">
        <f>TRIM(LEFT(OrdersRawTable9[[#This Row],[Customer_Info]],FIND(",",OrdersRawTable9[[#This Row],[Customer_Info]])-1))</f>
        <v>Liam Khan</v>
      </c>
      <c r="G2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25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5" s="10">
        <f>LEN(OrdersRawTable9[[#This Row],[Customer_Info]])-LEN(SUBSTITUTE(OrdersRawTable9[[#This Row],[Customer_Info]],",",""))</f>
        <v>2</v>
      </c>
      <c r="J25" s="10" t="s">
        <v>112</v>
      </c>
      <c r="K25" s="23">
        <v>3</v>
      </c>
      <c r="L25" s="26">
        <v>88.61</v>
      </c>
      <c r="M25" s="29">
        <v>0.05</v>
      </c>
      <c r="N25" s="10" t="s">
        <v>40</v>
      </c>
      <c r="O25" s="10" t="str">
        <f>IF(TRIM(OrdersRawTable9[[#This Row],[Sales_Channel_Raw]])="Market place","Marketplace",TRIM(OrdersRawTable9[[#This Row],[Sales_Channel_Raw]]))</f>
        <v>Online</v>
      </c>
      <c r="P25" s="10" t="s">
        <v>51</v>
      </c>
      <c r="Q25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25" s="15" t="s">
        <v>101</v>
      </c>
      <c r="S25" t="str">
        <f>VLOOKUP(OrdersRawTable9[[#This Row],[Customer_ID_Raw]],CustomersTable11[],4,FALSE)</f>
        <v>Ontario</v>
      </c>
      <c r="T25" t="str">
        <f>VLOOKUP(OrdersRawTable9[[#This Row],[Customer_ID_Raw]],CustomersTable11[],5,FALSE)</f>
        <v>Small Business</v>
      </c>
      <c r="U25" s="45">
        <f>VLOOKUP(OrdersRawTable9[[#This Row],[Product_ID]],ProductsTable10[],4,FALSE)</f>
        <v>49.75</v>
      </c>
      <c r="V25" t="str">
        <f>VLOOKUP(OrdersRawTable9[[#This Row],[Product_ID]],ProductsTable10[],3,FALSE)</f>
        <v>Electronics</v>
      </c>
      <c r="W25" s="45">
        <f>OrdersRawTable9[[#This Row],[Unit_Price]]*OrdersRawTable9[[#This Row],[Quantity]]</f>
        <v>265.83</v>
      </c>
      <c r="X25" s="47">
        <f>OrdersRawTable9[[#This Row],[Gross_Sales]]*OrdersRawTable9[[#This Row],[Discount_Pct]]</f>
        <v>13.291499999999999</v>
      </c>
      <c r="Y25" s="45">
        <f>OrdersRawTable9[[#This Row],[Gross_Sales]]-OrdersRawTable9[[#This Row],[Discount_Amount]]</f>
        <v>252.5385</v>
      </c>
      <c r="Z25" s="45">
        <f>OrdersRawTable9[[#This Row],[Unit_Cost]]*OrdersRawTable9[[#This Row],[Quantity]]</f>
        <v>149.25</v>
      </c>
      <c r="AA25" s="45">
        <f>OrdersRawTable9[[#This Row],[Net_Sales]]-OrdersRawTable9[[#This Row],[Total_Cost]]</f>
        <v>103.2885</v>
      </c>
      <c r="AB25" s="48">
        <f>IF(OrdersRawTable9[[#This Row],[Net_Sales]]=0,0,OrdersRawTable9[[#This Row],[Profit]]/OrdersRawTable9[[#This Row],[Net_Sales]])</f>
        <v>0.40900100380734028</v>
      </c>
      <c r="AC25" s="45" t="str">
        <f>IF(COUNTIF(ReturnsRawTable[Order_Line_ID],OrdersRawTable9[[#This Row],[Order_Line_ID]])&gt;0,"Yes","No")</f>
        <v>No</v>
      </c>
      <c r="AD25" s="45" t="str">
        <f>IFERROR(VLOOKUP(OrdersRawTable9[[#This Row],[Order_Line_ID]],ReturnsRawTable[[#All],[Order_Line_ID]:[Return_Reason_Raw]],3,FALSE),"")</f>
        <v/>
      </c>
      <c r="AE25" s="49" t="str">
        <f>IFERROR(VLOOKUP(OrdersRawTable9[[#This Row],[Order_Line_ID]],ReturnsRawTable[[#All],[Order_Line_ID]:[Return_Date]],2,FALSE),"")</f>
        <v/>
      </c>
      <c r="AF25" s="45" t="str">
        <f>IFERROR(VLOOKUP(OrdersRawTable9[[#This Row],[Order_Line_ID]],ReturnsRawTable[[Order_Line_ID]:[Refund_Status]],4,FALSE),"")</f>
        <v/>
      </c>
      <c r="AG25" s="45" t="str">
        <f>VLOOKUP(OrdersRawTable9[[#This Row],[Order_ID]],ShipmentsTable[],6,FALSE)</f>
        <v>Late</v>
      </c>
      <c r="AH25" s="49">
        <f>VLOOKUP(OrdersRawTable9[[#This Row],[Order_ID]],ShipmentsTable[],3,FALSE)</f>
        <v>45681</v>
      </c>
    </row>
    <row r="26" spans="1:34" ht="15" customHeight="1">
      <c r="A26" s="14" t="s">
        <v>113</v>
      </c>
      <c r="B26" s="10" t="s">
        <v>114</v>
      </c>
      <c r="C26" s="20">
        <v>45681</v>
      </c>
      <c r="D26" s="10" t="s">
        <v>115</v>
      </c>
      <c r="E26" s="10" t="s">
        <v>116</v>
      </c>
      <c r="F26" s="10" t="str">
        <f>TRIM(LEFT(OrdersRawTable9[[#This Row],[Customer_Info]],FIND(",",OrdersRawTable9[[#This Row],[Customer_Info]])-1))</f>
        <v>Ethan Martin</v>
      </c>
      <c r="G2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26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26" s="10">
        <f>LEN(OrdersRawTable9[[#This Row],[Customer_Info]])-LEN(SUBSTITUTE(OrdersRawTable9[[#This Row],[Customer_Info]],",",""))</f>
        <v>2</v>
      </c>
      <c r="J26" s="10" t="s">
        <v>117</v>
      </c>
      <c r="K26" s="23">
        <v>4</v>
      </c>
      <c r="L26" s="26">
        <v>251.17</v>
      </c>
      <c r="M26" s="29">
        <v>0.05</v>
      </c>
      <c r="N26" s="10" t="s">
        <v>66</v>
      </c>
      <c r="O26" s="10" t="str">
        <f>IF(TRIM(OrdersRawTable9[[#This Row],[Sales_Channel_Raw]])="Market place","Marketplace",TRIM(OrdersRawTable9[[#This Row],[Sales_Channel_Raw]]))</f>
        <v>Marketplace</v>
      </c>
      <c r="P26" s="10" t="s">
        <v>58</v>
      </c>
      <c r="Q26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26" s="15" t="s">
        <v>42</v>
      </c>
      <c r="S26" t="str">
        <f>VLOOKUP(OrdersRawTable9[[#This Row],[Customer_ID_Raw]],CustomersTable11[],4,FALSE)</f>
        <v>Ontario</v>
      </c>
      <c r="T26" t="str">
        <f>VLOOKUP(OrdersRawTable9[[#This Row],[Customer_ID_Raw]],CustomersTable11[],5,FALSE)</f>
        <v>Consumer</v>
      </c>
      <c r="U26" s="45">
        <f>VLOOKUP(OrdersRawTable9[[#This Row],[Product_ID]],ProductsTable10[],4,FALSE)</f>
        <v>151.59</v>
      </c>
      <c r="V26" t="str">
        <f>VLOOKUP(OrdersRawTable9[[#This Row],[Product_ID]],ProductsTable10[],3,FALSE)</f>
        <v>Fitness</v>
      </c>
      <c r="W26" s="45">
        <f>OrdersRawTable9[[#This Row],[Unit_Price]]*OrdersRawTable9[[#This Row],[Quantity]]</f>
        <v>1004.68</v>
      </c>
      <c r="X26" s="47">
        <f>OrdersRawTable9[[#This Row],[Gross_Sales]]*OrdersRawTable9[[#This Row],[Discount_Pct]]</f>
        <v>50.234000000000002</v>
      </c>
      <c r="Y26" s="45">
        <f>OrdersRawTable9[[#This Row],[Gross_Sales]]-OrdersRawTable9[[#This Row],[Discount_Amount]]</f>
        <v>954.44599999999991</v>
      </c>
      <c r="Z26" s="45">
        <f>OrdersRawTable9[[#This Row],[Unit_Cost]]*OrdersRawTable9[[#This Row],[Quantity]]</f>
        <v>606.36</v>
      </c>
      <c r="AA26" s="45">
        <f>OrdersRawTable9[[#This Row],[Net_Sales]]-OrdersRawTable9[[#This Row],[Total_Cost]]</f>
        <v>348.0859999999999</v>
      </c>
      <c r="AB26" s="48">
        <f>IF(OrdersRawTable9[[#This Row],[Net_Sales]]=0,0,OrdersRawTable9[[#This Row],[Profit]]/OrdersRawTable9[[#This Row],[Net_Sales]])</f>
        <v>0.36469952202639011</v>
      </c>
      <c r="AC26" s="45" t="str">
        <f>IF(COUNTIF(ReturnsRawTable[Order_Line_ID],OrdersRawTable9[[#This Row],[Order_Line_ID]])&gt;0,"Yes","No")</f>
        <v>No</v>
      </c>
      <c r="AD26" s="45" t="str">
        <f>IFERROR(VLOOKUP(OrdersRawTable9[[#This Row],[Order_Line_ID]],ReturnsRawTable[[#All],[Order_Line_ID]:[Return_Reason_Raw]],3,FALSE),"")</f>
        <v/>
      </c>
      <c r="AE26" s="49" t="str">
        <f>IFERROR(VLOOKUP(OrdersRawTable9[[#This Row],[Order_Line_ID]],ReturnsRawTable[[#All],[Order_Line_ID]:[Return_Date]],2,FALSE),"")</f>
        <v/>
      </c>
      <c r="AF26" s="45" t="str">
        <f>IFERROR(VLOOKUP(OrdersRawTable9[[#This Row],[Order_Line_ID]],ReturnsRawTable[[Order_Line_ID]:[Refund_Status]],4,FALSE),"")</f>
        <v/>
      </c>
      <c r="AG26" s="45" t="str">
        <f>VLOOKUP(OrdersRawTable9[[#This Row],[Order_ID]],ShipmentsTable[],6,FALSE)</f>
        <v>Late</v>
      </c>
      <c r="AH26" s="49">
        <f>VLOOKUP(OrdersRawTable9[[#This Row],[Order_ID]],ShipmentsTable[],3,FALSE)</f>
        <v>45688</v>
      </c>
    </row>
    <row r="27" spans="1:34" ht="15" customHeight="1">
      <c r="A27" s="14" t="s">
        <v>118</v>
      </c>
      <c r="B27" s="10" t="s">
        <v>114</v>
      </c>
      <c r="C27" s="20">
        <v>45681</v>
      </c>
      <c r="D27" s="10" t="s">
        <v>115</v>
      </c>
      <c r="E27" s="10" t="s">
        <v>116</v>
      </c>
      <c r="F27" s="10" t="str">
        <f>TRIM(LEFT(OrdersRawTable9[[#This Row],[Customer_Info]],FIND(",",OrdersRawTable9[[#This Row],[Customer_Info]])-1))</f>
        <v>Ethan Martin</v>
      </c>
      <c r="G2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27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27" s="10">
        <f>LEN(OrdersRawTable9[[#This Row],[Customer_Info]])-LEN(SUBSTITUTE(OrdersRawTable9[[#This Row],[Customer_Info]],",",""))</f>
        <v>2</v>
      </c>
      <c r="J27" s="10" t="s">
        <v>119</v>
      </c>
      <c r="K27" s="23">
        <v>4</v>
      </c>
      <c r="L27" s="26">
        <v>103.3</v>
      </c>
      <c r="M27" s="29">
        <v>0.1</v>
      </c>
      <c r="N27" s="10" t="s">
        <v>45</v>
      </c>
      <c r="O27" s="10" t="str">
        <f>IF(TRIM(OrdersRawTable9[[#This Row],[Sales_Channel_Raw]])="Market place","Marketplace",TRIM(OrdersRawTable9[[#This Row],[Sales_Channel_Raw]]))</f>
        <v>Retail Store</v>
      </c>
      <c r="P27" s="10"/>
      <c r="Q27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27" s="15" t="s">
        <v>47</v>
      </c>
      <c r="S27" t="str">
        <f>VLOOKUP(OrdersRawTable9[[#This Row],[Customer_ID_Raw]],CustomersTable11[],4,FALSE)</f>
        <v>Ontario</v>
      </c>
      <c r="T27" t="str">
        <f>VLOOKUP(OrdersRawTable9[[#This Row],[Customer_ID_Raw]],CustomersTable11[],5,FALSE)</f>
        <v>Consumer</v>
      </c>
      <c r="U27" s="45">
        <f>VLOOKUP(OrdersRawTable9[[#This Row],[Product_ID]],ProductsTable10[],4,FALSE)</f>
        <v>70.180000000000007</v>
      </c>
      <c r="V27" t="str">
        <f>VLOOKUP(OrdersRawTable9[[#This Row],[Product_ID]],ProductsTable10[],3,FALSE)</f>
        <v>Home</v>
      </c>
      <c r="W27" s="45">
        <f>OrdersRawTable9[[#This Row],[Unit_Price]]*OrdersRawTable9[[#This Row],[Quantity]]</f>
        <v>413.2</v>
      </c>
      <c r="X27" s="47">
        <f>OrdersRawTable9[[#This Row],[Gross_Sales]]*OrdersRawTable9[[#This Row],[Discount_Pct]]</f>
        <v>41.32</v>
      </c>
      <c r="Y27" s="45">
        <f>OrdersRawTable9[[#This Row],[Gross_Sales]]-OrdersRawTable9[[#This Row],[Discount_Amount]]</f>
        <v>371.88</v>
      </c>
      <c r="Z27" s="45">
        <f>OrdersRawTable9[[#This Row],[Unit_Cost]]*OrdersRawTable9[[#This Row],[Quantity]]</f>
        <v>280.72000000000003</v>
      </c>
      <c r="AA27" s="45">
        <f>OrdersRawTable9[[#This Row],[Net_Sales]]-OrdersRawTable9[[#This Row],[Total_Cost]]</f>
        <v>91.159999999999968</v>
      </c>
      <c r="AB27" s="48">
        <f>IF(OrdersRawTable9[[#This Row],[Net_Sales]]=0,0,OrdersRawTable9[[#This Row],[Profit]]/OrdersRawTable9[[#This Row],[Net_Sales]])</f>
        <v>0.24513283855006984</v>
      </c>
      <c r="AC27" s="45" t="str">
        <f>IF(COUNTIF(ReturnsRawTable[Order_Line_ID],OrdersRawTable9[[#This Row],[Order_Line_ID]])&gt;0,"Yes","No")</f>
        <v>No</v>
      </c>
      <c r="AD27" s="45" t="str">
        <f>IFERROR(VLOOKUP(OrdersRawTable9[[#This Row],[Order_Line_ID]],ReturnsRawTable[[#All],[Order_Line_ID]:[Return_Reason_Raw]],3,FALSE),"")</f>
        <v/>
      </c>
      <c r="AE27" s="49" t="str">
        <f>IFERROR(VLOOKUP(OrdersRawTable9[[#This Row],[Order_Line_ID]],ReturnsRawTable[[#All],[Order_Line_ID]:[Return_Date]],2,FALSE),"")</f>
        <v/>
      </c>
      <c r="AF27" s="45" t="str">
        <f>IFERROR(VLOOKUP(OrdersRawTable9[[#This Row],[Order_Line_ID]],ReturnsRawTable[[Order_Line_ID]:[Refund_Status]],4,FALSE),"")</f>
        <v/>
      </c>
      <c r="AG27" s="45" t="str">
        <f>VLOOKUP(OrdersRawTable9[[#This Row],[Order_ID]],ShipmentsTable[],6,FALSE)</f>
        <v>Late</v>
      </c>
      <c r="AH27" s="49">
        <f>VLOOKUP(OrdersRawTable9[[#This Row],[Order_ID]],ShipmentsTable[],3,FALSE)</f>
        <v>45688</v>
      </c>
    </row>
    <row r="28" spans="1:34" ht="15" customHeight="1">
      <c r="A28" s="14" t="s">
        <v>120</v>
      </c>
      <c r="B28" s="10" t="s">
        <v>114</v>
      </c>
      <c r="C28" s="20">
        <v>45681</v>
      </c>
      <c r="D28" s="10" t="s">
        <v>115</v>
      </c>
      <c r="E28" s="10" t="s">
        <v>116</v>
      </c>
      <c r="F28" s="10" t="str">
        <f>TRIM(LEFT(OrdersRawTable9[[#This Row],[Customer_Info]],FIND(",",OrdersRawTable9[[#This Row],[Customer_Info]])-1))</f>
        <v>Ethan Martin</v>
      </c>
      <c r="G2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28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28" s="10">
        <f>LEN(OrdersRawTable9[[#This Row],[Customer_Info]])-LEN(SUBSTITUTE(OrdersRawTable9[[#This Row],[Customer_Info]],",",""))</f>
        <v>2</v>
      </c>
      <c r="J28" s="10" t="s">
        <v>121</v>
      </c>
      <c r="K28" s="23">
        <v>2</v>
      </c>
      <c r="L28" s="26">
        <v>287.16000000000003</v>
      </c>
      <c r="M28" s="29">
        <v>0</v>
      </c>
      <c r="N28" s="10" t="s">
        <v>70</v>
      </c>
      <c r="O28" s="10" t="str">
        <f>IF(TRIM(OrdersRawTable9[[#This Row],[Sales_Channel_Raw]])="Market place","Marketplace",TRIM(OrdersRawTable9[[#This Row],[Sales_Channel_Raw]]))</f>
        <v>online</v>
      </c>
      <c r="P28" s="10"/>
      <c r="Q28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28" s="15" t="s">
        <v>42</v>
      </c>
      <c r="S28" t="str">
        <f>VLOOKUP(OrdersRawTable9[[#This Row],[Customer_ID_Raw]],CustomersTable11[],4,FALSE)</f>
        <v>Ontario</v>
      </c>
      <c r="T28" t="str">
        <f>VLOOKUP(OrdersRawTable9[[#This Row],[Customer_ID_Raw]],CustomersTable11[],5,FALSE)</f>
        <v>Consumer</v>
      </c>
      <c r="U28" s="45">
        <f>VLOOKUP(OrdersRawTable9[[#This Row],[Product_ID]],ProductsTable10[],4,FALSE)</f>
        <v>148.21</v>
      </c>
      <c r="V28" t="str">
        <f>VLOOKUP(OrdersRawTable9[[#This Row],[Product_ID]],ProductsTable10[],3,FALSE)</f>
        <v>Accessories</v>
      </c>
      <c r="W28" s="45">
        <f>OrdersRawTable9[[#This Row],[Unit_Price]]*OrdersRawTable9[[#This Row],[Quantity]]</f>
        <v>574.32000000000005</v>
      </c>
      <c r="X28" s="47">
        <f>OrdersRawTable9[[#This Row],[Gross_Sales]]*OrdersRawTable9[[#This Row],[Discount_Pct]]</f>
        <v>0</v>
      </c>
      <c r="Y28" s="45">
        <f>OrdersRawTable9[[#This Row],[Gross_Sales]]-OrdersRawTable9[[#This Row],[Discount_Amount]]</f>
        <v>574.32000000000005</v>
      </c>
      <c r="Z28" s="45">
        <f>OrdersRawTable9[[#This Row],[Unit_Cost]]*OrdersRawTable9[[#This Row],[Quantity]]</f>
        <v>296.42</v>
      </c>
      <c r="AA28" s="45">
        <f>OrdersRawTable9[[#This Row],[Net_Sales]]-OrdersRawTable9[[#This Row],[Total_Cost]]</f>
        <v>277.90000000000003</v>
      </c>
      <c r="AB28" s="48">
        <f>IF(OrdersRawTable9[[#This Row],[Net_Sales]]=0,0,OrdersRawTable9[[#This Row],[Profit]]/OrdersRawTable9[[#This Row],[Net_Sales]])</f>
        <v>0.48387658448251847</v>
      </c>
      <c r="AC28" s="45" t="str">
        <f>IF(COUNTIF(ReturnsRawTable[Order_Line_ID],OrdersRawTable9[[#This Row],[Order_Line_ID]])&gt;0,"Yes","No")</f>
        <v>No</v>
      </c>
      <c r="AD28" s="45" t="str">
        <f>IFERROR(VLOOKUP(OrdersRawTable9[[#This Row],[Order_Line_ID]],ReturnsRawTable[[#All],[Order_Line_ID]:[Return_Reason_Raw]],3,FALSE),"")</f>
        <v/>
      </c>
      <c r="AE28" s="49" t="str">
        <f>IFERROR(VLOOKUP(OrdersRawTable9[[#This Row],[Order_Line_ID]],ReturnsRawTable[[#All],[Order_Line_ID]:[Return_Date]],2,FALSE),"")</f>
        <v/>
      </c>
      <c r="AF28" s="45" t="str">
        <f>IFERROR(VLOOKUP(OrdersRawTable9[[#This Row],[Order_Line_ID]],ReturnsRawTable[[Order_Line_ID]:[Refund_Status]],4,FALSE),"")</f>
        <v/>
      </c>
      <c r="AG28" s="45" t="str">
        <f>VLOOKUP(OrdersRawTable9[[#This Row],[Order_ID]],ShipmentsTable[],6,FALSE)</f>
        <v>Late</v>
      </c>
      <c r="AH28" s="49">
        <f>VLOOKUP(OrdersRawTable9[[#This Row],[Order_ID]],ShipmentsTable[],3,FALSE)</f>
        <v>45688</v>
      </c>
    </row>
    <row r="29" spans="1:34" ht="15" customHeight="1">
      <c r="A29" s="14" t="s">
        <v>122</v>
      </c>
      <c r="B29" s="10" t="s">
        <v>114</v>
      </c>
      <c r="C29" s="20">
        <v>45681</v>
      </c>
      <c r="D29" s="10" t="s">
        <v>115</v>
      </c>
      <c r="E29" s="10" t="s">
        <v>116</v>
      </c>
      <c r="F29" s="10" t="str">
        <f>TRIM(LEFT(OrdersRawTable9[[#This Row],[Customer_Info]],FIND(",",OrdersRawTable9[[#This Row],[Customer_Info]])-1))</f>
        <v>Ethan Martin</v>
      </c>
      <c r="G2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29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29" s="10">
        <f>LEN(OrdersRawTable9[[#This Row],[Customer_Info]])-LEN(SUBSTITUTE(OrdersRawTable9[[#This Row],[Customer_Info]],",",""))</f>
        <v>2</v>
      </c>
      <c r="J29" s="10" t="s">
        <v>57</v>
      </c>
      <c r="K29" s="23">
        <v>2</v>
      </c>
      <c r="L29" s="26">
        <v>208.81</v>
      </c>
      <c r="M29" s="29">
        <v>0</v>
      </c>
      <c r="N29" s="10" t="s">
        <v>45</v>
      </c>
      <c r="O29" s="10" t="str">
        <f>IF(TRIM(OrdersRawTable9[[#This Row],[Sales_Channel_Raw]])="Market place","Marketplace",TRIM(OrdersRawTable9[[#This Row],[Sales_Channel_Raw]]))</f>
        <v>Retail Store</v>
      </c>
      <c r="P29" s="10" t="s">
        <v>41</v>
      </c>
      <c r="Q29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29" s="15" t="s">
        <v>47</v>
      </c>
      <c r="S29" t="str">
        <f>VLOOKUP(OrdersRawTable9[[#This Row],[Customer_ID_Raw]],CustomersTable11[],4,FALSE)</f>
        <v>Ontario</v>
      </c>
      <c r="T29" t="str">
        <f>VLOOKUP(OrdersRawTable9[[#This Row],[Customer_ID_Raw]],CustomersTable11[],5,FALSE)</f>
        <v>Consumer</v>
      </c>
      <c r="U29" s="45">
        <f>VLOOKUP(OrdersRawTable9[[#This Row],[Product_ID]],ProductsTable10[],4,FALSE)</f>
        <v>139.04</v>
      </c>
      <c r="V29" t="str">
        <f>VLOOKUP(OrdersRawTable9[[#This Row],[Product_ID]],ProductsTable10[],3,FALSE)</f>
        <v>Fitness</v>
      </c>
      <c r="W29" s="45">
        <f>OrdersRawTable9[[#This Row],[Unit_Price]]*OrdersRawTable9[[#This Row],[Quantity]]</f>
        <v>417.62</v>
      </c>
      <c r="X29" s="47">
        <f>OrdersRawTable9[[#This Row],[Gross_Sales]]*OrdersRawTable9[[#This Row],[Discount_Pct]]</f>
        <v>0</v>
      </c>
      <c r="Y29" s="45">
        <f>OrdersRawTable9[[#This Row],[Gross_Sales]]-OrdersRawTable9[[#This Row],[Discount_Amount]]</f>
        <v>417.62</v>
      </c>
      <c r="Z29" s="45">
        <f>OrdersRawTable9[[#This Row],[Unit_Cost]]*OrdersRawTable9[[#This Row],[Quantity]]</f>
        <v>278.08</v>
      </c>
      <c r="AA29" s="45">
        <f>OrdersRawTable9[[#This Row],[Net_Sales]]-OrdersRawTable9[[#This Row],[Total_Cost]]</f>
        <v>139.54000000000002</v>
      </c>
      <c r="AB29" s="48">
        <f>IF(OrdersRawTable9[[#This Row],[Net_Sales]]=0,0,OrdersRawTable9[[#This Row],[Profit]]/OrdersRawTable9[[#This Row],[Net_Sales]])</f>
        <v>0.3341315071117284</v>
      </c>
      <c r="AC29" s="45" t="str">
        <f>IF(COUNTIF(ReturnsRawTable[Order_Line_ID],OrdersRawTable9[[#This Row],[Order_Line_ID]])&gt;0,"Yes","No")</f>
        <v>No</v>
      </c>
      <c r="AD29" s="45" t="str">
        <f>IFERROR(VLOOKUP(OrdersRawTable9[[#This Row],[Order_Line_ID]],ReturnsRawTable[[#All],[Order_Line_ID]:[Return_Reason_Raw]],3,FALSE),"")</f>
        <v/>
      </c>
      <c r="AE29" s="49" t="str">
        <f>IFERROR(VLOOKUP(OrdersRawTable9[[#This Row],[Order_Line_ID]],ReturnsRawTable[[#All],[Order_Line_ID]:[Return_Date]],2,FALSE),"")</f>
        <v/>
      </c>
      <c r="AF29" s="45" t="str">
        <f>IFERROR(VLOOKUP(OrdersRawTable9[[#This Row],[Order_Line_ID]],ReturnsRawTable[[Order_Line_ID]:[Refund_Status]],4,FALSE),"")</f>
        <v/>
      </c>
      <c r="AG29" s="45" t="str">
        <f>VLOOKUP(OrdersRawTable9[[#This Row],[Order_ID]],ShipmentsTable[],6,FALSE)</f>
        <v>Late</v>
      </c>
      <c r="AH29" s="49">
        <f>VLOOKUP(OrdersRawTable9[[#This Row],[Order_ID]],ShipmentsTable[],3,FALSE)</f>
        <v>45688</v>
      </c>
    </row>
    <row r="30" spans="1:34" ht="15" customHeight="1">
      <c r="A30" s="14" t="s">
        <v>123</v>
      </c>
      <c r="B30" s="10" t="s">
        <v>124</v>
      </c>
      <c r="C30" s="20">
        <v>45801</v>
      </c>
      <c r="D30" s="10" t="s">
        <v>125</v>
      </c>
      <c r="E30" s="10" t="s">
        <v>126</v>
      </c>
      <c r="F30" s="10" t="str">
        <f>TRIM(LEFT(OrdersRawTable9[[#This Row],[Customer_Info]],FIND(",",OrdersRawTable9[[#This Row],[Customer_Info]])-1))</f>
        <v>Daniel Brown</v>
      </c>
      <c r="G3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30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30" s="10">
        <f>LEN(OrdersRawTable9[[#This Row],[Customer_Info]])-LEN(SUBSTITUTE(OrdersRawTable9[[#This Row],[Customer_Info]],",",""))</f>
        <v>2</v>
      </c>
      <c r="J30" s="10" t="s">
        <v>77</v>
      </c>
      <c r="K30" s="23">
        <v>3</v>
      </c>
      <c r="L30" s="26">
        <v>34.909999999999997</v>
      </c>
      <c r="M30" s="29">
        <v>0.1</v>
      </c>
      <c r="N30" s="10" t="s">
        <v>45</v>
      </c>
      <c r="O30" s="10" t="str">
        <f>IF(TRIM(OrdersRawTable9[[#This Row],[Sales_Channel_Raw]])="Market place","Marketplace",TRIM(OrdersRawTable9[[#This Row],[Sales_Channel_Raw]]))</f>
        <v>Retail Store</v>
      </c>
      <c r="P30" s="10" t="s">
        <v>41</v>
      </c>
      <c r="Q30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0" s="15" t="s">
        <v>42</v>
      </c>
      <c r="S30" t="str">
        <f>VLOOKUP(OrdersRawTable9[[#This Row],[Customer_ID_Raw]],CustomersTable11[],4,FALSE)</f>
        <v>Ontario</v>
      </c>
      <c r="T30" t="str">
        <f>VLOOKUP(OrdersRawTable9[[#This Row],[Customer_ID_Raw]],CustomersTable11[],5,FALSE)</f>
        <v>Small Business</v>
      </c>
      <c r="U30" s="45">
        <f>VLOOKUP(OrdersRawTable9[[#This Row],[Product_ID]],ProductsTable10[],4,FALSE)</f>
        <v>19.670000000000002</v>
      </c>
      <c r="V30" t="str">
        <f>VLOOKUP(OrdersRawTable9[[#This Row],[Product_ID]],ProductsTable10[],3,FALSE)</f>
        <v>Accessories</v>
      </c>
      <c r="W30" s="45">
        <f>OrdersRawTable9[[#This Row],[Unit_Price]]*OrdersRawTable9[[#This Row],[Quantity]]</f>
        <v>104.72999999999999</v>
      </c>
      <c r="X30" s="47">
        <f>OrdersRawTable9[[#This Row],[Gross_Sales]]*OrdersRawTable9[[#This Row],[Discount_Pct]]</f>
        <v>10.472999999999999</v>
      </c>
      <c r="Y30" s="45">
        <f>OrdersRawTable9[[#This Row],[Gross_Sales]]-OrdersRawTable9[[#This Row],[Discount_Amount]]</f>
        <v>94.256999999999991</v>
      </c>
      <c r="Z30" s="45">
        <f>OrdersRawTable9[[#This Row],[Unit_Cost]]*OrdersRawTable9[[#This Row],[Quantity]]</f>
        <v>59.010000000000005</v>
      </c>
      <c r="AA30" s="45">
        <f>OrdersRawTable9[[#This Row],[Net_Sales]]-OrdersRawTable9[[#This Row],[Total_Cost]]</f>
        <v>35.246999999999986</v>
      </c>
      <c r="AB30" s="48">
        <f>IF(OrdersRawTable9[[#This Row],[Net_Sales]]=0,0,OrdersRawTable9[[#This Row],[Profit]]/OrdersRawTable9[[#This Row],[Net_Sales]])</f>
        <v>0.37394570164550101</v>
      </c>
      <c r="AC30" s="45" t="str">
        <f>IF(COUNTIF(ReturnsRawTable[Order_Line_ID],OrdersRawTable9[[#This Row],[Order_Line_ID]])&gt;0,"Yes","No")</f>
        <v>No</v>
      </c>
      <c r="AD30" s="45" t="str">
        <f>IFERROR(VLOOKUP(OrdersRawTable9[[#This Row],[Order_Line_ID]],ReturnsRawTable[[#All],[Order_Line_ID]:[Return_Reason_Raw]],3,FALSE),"")</f>
        <v/>
      </c>
      <c r="AE30" s="49" t="str">
        <f>IFERROR(VLOOKUP(OrdersRawTable9[[#This Row],[Order_Line_ID]],ReturnsRawTable[[#All],[Order_Line_ID]:[Return_Date]],2,FALSE),"")</f>
        <v/>
      </c>
      <c r="AF30" s="45" t="str">
        <f>IFERROR(VLOOKUP(OrdersRawTable9[[#This Row],[Order_Line_ID]],ReturnsRawTable[[Order_Line_ID]:[Refund_Status]],4,FALSE),"")</f>
        <v/>
      </c>
      <c r="AG30" s="45" t="str">
        <f>VLOOKUP(OrdersRawTable9[[#This Row],[Order_ID]],ShipmentsTable[],6,FALSE)</f>
        <v>Late</v>
      </c>
      <c r="AH30" s="49">
        <f>VLOOKUP(OrdersRawTable9[[#This Row],[Order_ID]],ShipmentsTable[],3,FALSE)</f>
        <v>45810</v>
      </c>
    </row>
    <row r="31" spans="1:34" ht="15" customHeight="1">
      <c r="A31" s="14" t="s">
        <v>127</v>
      </c>
      <c r="B31" s="10" t="s">
        <v>124</v>
      </c>
      <c r="C31" s="20">
        <v>45801</v>
      </c>
      <c r="D31" s="10" t="s">
        <v>125</v>
      </c>
      <c r="E31" s="10" t="s">
        <v>126</v>
      </c>
      <c r="F31" s="10" t="str">
        <f>TRIM(LEFT(OrdersRawTable9[[#This Row],[Customer_Info]],FIND(",",OrdersRawTable9[[#This Row],[Customer_Info]])-1))</f>
        <v>Daniel Brown</v>
      </c>
      <c r="G3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31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31" s="10">
        <f>LEN(OrdersRawTable9[[#This Row],[Customer_Info]])-LEN(SUBSTITUTE(OrdersRawTable9[[#This Row],[Customer_Info]],",",""))</f>
        <v>2</v>
      </c>
      <c r="J31" s="10" t="s">
        <v>128</v>
      </c>
      <c r="K31" s="23">
        <v>3</v>
      </c>
      <c r="L31" s="26">
        <v>25.15</v>
      </c>
      <c r="M31" s="29">
        <v>0</v>
      </c>
      <c r="N31" s="10" t="s">
        <v>45</v>
      </c>
      <c r="O31" s="10" t="str">
        <f>IF(TRIM(OrdersRawTable9[[#This Row],[Sales_Channel_Raw]])="Market place","Marketplace",TRIM(OrdersRawTable9[[#This Row],[Sales_Channel_Raw]]))</f>
        <v>Retail Store</v>
      </c>
      <c r="P31" s="10" t="s">
        <v>46</v>
      </c>
      <c r="Q31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1" s="15" t="s">
        <v>67</v>
      </c>
      <c r="S31" t="str">
        <f>VLOOKUP(OrdersRawTable9[[#This Row],[Customer_ID_Raw]],CustomersTable11[],4,FALSE)</f>
        <v>Ontario</v>
      </c>
      <c r="T31" t="str">
        <f>VLOOKUP(OrdersRawTable9[[#This Row],[Customer_ID_Raw]],CustomersTable11[],5,FALSE)</f>
        <v>Small Business</v>
      </c>
      <c r="U31" s="45">
        <f>VLOOKUP(OrdersRawTable9[[#This Row],[Product_ID]],ProductsTable10[],4,FALSE)</f>
        <v>14.24</v>
      </c>
      <c r="V31" t="str">
        <f>VLOOKUP(OrdersRawTable9[[#This Row],[Product_ID]],ProductsTable10[],3,FALSE)</f>
        <v>Electronics</v>
      </c>
      <c r="W31" s="45">
        <f>OrdersRawTable9[[#This Row],[Unit_Price]]*OrdersRawTable9[[#This Row],[Quantity]]</f>
        <v>75.449999999999989</v>
      </c>
      <c r="X31" s="47">
        <f>OrdersRawTable9[[#This Row],[Gross_Sales]]*OrdersRawTable9[[#This Row],[Discount_Pct]]</f>
        <v>0</v>
      </c>
      <c r="Y31" s="45">
        <f>OrdersRawTable9[[#This Row],[Gross_Sales]]-OrdersRawTable9[[#This Row],[Discount_Amount]]</f>
        <v>75.449999999999989</v>
      </c>
      <c r="Z31" s="45">
        <f>OrdersRawTable9[[#This Row],[Unit_Cost]]*OrdersRawTable9[[#This Row],[Quantity]]</f>
        <v>42.72</v>
      </c>
      <c r="AA31" s="45">
        <f>OrdersRawTable9[[#This Row],[Net_Sales]]-OrdersRawTable9[[#This Row],[Total_Cost]]</f>
        <v>32.72999999999999</v>
      </c>
      <c r="AB31" s="48">
        <f>IF(OrdersRawTable9[[#This Row],[Net_Sales]]=0,0,OrdersRawTable9[[#This Row],[Profit]]/OrdersRawTable9[[#This Row],[Net_Sales]])</f>
        <v>0.43379721669980115</v>
      </c>
      <c r="AC31" s="45" t="str">
        <f>IF(COUNTIF(ReturnsRawTable[Order_Line_ID],OrdersRawTable9[[#This Row],[Order_Line_ID]])&gt;0,"Yes","No")</f>
        <v>No</v>
      </c>
      <c r="AD31" s="45" t="str">
        <f>IFERROR(VLOOKUP(OrdersRawTable9[[#This Row],[Order_Line_ID]],ReturnsRawTable[[#All],[Order_Line_ID]:[Return_Reason_Raw]],3,FALSE),"")</f>
        <v/>
      </c>
      <c r="AE31" s="49" t="str">
        <f>IFERROR(VLOOKUP(OrdersRawTable9[[#This Row],[Order_Line_ID]],ReturnsRawTable[[#All],[Order_Line_ID]:[Return_Date]],2,FALSE),"")</f>
        <v/>
      </c>
      <c r="AF31" s="45" t="str">
        <f>IFERROR(VLOOKUP(OrdersRawTable9[[#This Row],[Order_Line_ID]],ReturnsRawTable[[Order_Line_ID]:[Refund_Status]],4,FALSE),"")</f>
        <v/>
      </c>
      <c r="AG31" s="45" t="str">
        <f>VLOOKUP(OrdersRawTable9[[#This Row],[Order_ID]],ShipmentsTable[],6,FALSE)</f>
        <v>Late</v>
      </c>
      <c r="AH31" s="49">
        <f>VLOOKUP(OrdersRawTable9[[#This Row],[Order_ID]],ShipmentsTable[],3,FALSE)</f>
        <v>45810</v>
      </c>
    </row>
    <row r="32" spans="1:34" ht="15" customHeight="1">
      <c r="A32" s="14" t="s">
        <v>129</v>
      </c>
      <c r="B32" s="10" t="s">
        <v>124</v>
      </c>
      <c r="C32" s="20">
        <v>45801</v>
      </c>
      <c r="D32" s="10" t="s">
        <v>125</v>
      </c>
      <c r="E32" s="10" t="s">
        <v>126</v>
      </c>
      <c r="F32" s="10" t="str">
        <f>TRIM(LEFT(OrdersRawTable9[[#This Row],[Customer_Info]],FIND(",",OrdersRawTable9[[#This Row],[Customer_Info]])-1))</f>
        <v>Daniel Brown</v>
      </c>
      <c r="G3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32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32" s="10">
        <f>LEN(OrdersRawTable9[[#This Row],[Customer_Info]])-LEN(SUBSTITUTE(OrdersRawTable9[[#This Row],[Customer_Info]],",",""))</f>
        <v>2</v>
      </c>
      <c r="J32" s="10" t="s">
        <v>130</v>
      </c>
      <c r="K32" s="23">
        <v>4</v>
      </c>
      <c r="L32" s="26">
        <v>265.73</v>
      </c>
      <c r="M32" s="29">
        <v>0</v>
      </c>
      <c r="N32" s="10" t="s">
        <v>66</v>
      </c>
      <c r="O32" s="10" t="str">
        <f>IF(TRIM(OrdersRawTable9[[#This Row],[Sales_Channel_Raw]])="Market place","Marketplace",TRIM(OrdersRawTable9[[#This Row],[Sales_Channel_Raw]]))</f>
        <v>Marketplace</v>
      </c>
      <c r="P32" s="10" t="s">
        <v>51</v>
      </c>
      <c r="Q32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32" s="15" t="s">
        <v>101</v>
      </c>
      <c r="S32" t="str">
        <f>VLOOKUP(OrdersRawTable9[[#This Row],[Customer_ID_Raw]],CustomersTable11[],4,FALSE)</f>
        <v>Ontario</v>
      </c>
      <c r="T32" t="str">
        <f>VLOOKUP(OrdersRawTable9[[#This Row],[Customer_ID_Raw]],CustomersTable11[],5,FALSE)</f>
        <v>Small Business</v>
      </c>
      <c r="U32" s="45">
        <f>VLOOKUP(OrdersRawTable9[[#This Row],[Product_ID]],ProductsTable10[],4,FALSE)</f>
        <v>154.16999999999999</v>
      </c>
      <c r="V32" t="str">
        <f>VLOOKUP(OrdersRawTable9[[#This Row],[Product_ID]],ProductsTable10[],3,FALSE)</f>
        <v>Electronics</v>
      </c>
      <c r="W32" s="45">
        <f>OrdersRawTable9[[#This Row],[Unit_Price]]*OrdersRawTable9[[#This Row],[Quantity]]</f>
        <v>1062.92</v>
      </c>
      <c r="X32" s="47">
        <f>OrdersRawTable9[[#This Row],[Gross_Sales]]*OrdersRawTable9[[#This Row],[Discount_Pct]]</f>
        <v>0</v>
      </c>
      <c r="Y32" s="45">
        <f>OrdersRawTable9[[#This Row],[Gross_Sales]]-OrdersRawTable9[[#This Row],[Discount_Amount]]</f>
        <v>1062.92</v>
      </c>
      <c r="Z32" s="45">
        <f>OrdersRawTable9[[#This Row],[Unit_Cost]]*OrdersRawTable9[[#This Row],[Quantity]]</f>
        <v>616.67999999999995</v>
      </c>
      <c r="AA32" s="45">
        <f>OrdersRawTable9[[#This Row],[Net_Sales]]-OrdersRawTable9[[#This Row],[Total_Cost]]</f>
        <v>446.24000000000012</v>
      </c>
      <c r="AB32" s="48">
        <f>IF(OrdersRawTable9[[#This Row],[Net_Sales]]=0,0,OrdersRawTable9[[#This Row],[Profit]]/OrdersRawTable9[[#This Row],[Net_Sales]])</f>
        <v>0.41982463402701997</v>
      </c>
      <c r="AC32" s="45" t="str">
        <f>IF(COUNTIF(ReturnsRawTable[Order_Line_ID],OrdersRawTable9[[#This Row],[Order_Line_ID]])&gt;0,"Yes","No")</f>
        <v>No</v>
      </c>
      <c r="AD32" s="45" t="str">
        <f>IFERROR(VLOOKUP(OrdersRawTable9[[#This Row],[Order_Line_ID]],ReturnsRawTable[[#All],[Order_Line_ID]:[Return_Reason_Raw]],3,FALSE),"")</f>
        <v/>
      </c>
      <c r="AE32" s="49" t="str">
        <f>IFERROR(VLOOKUP(OrdersRawTable9[[#This Row],[Order_Line_ID]],ReturnsRawTable[[#All],[Order_Line_ID]:[Return_Date]],2,FALSE),"")</f>
        <v/>
      </c>
      <c r="AF32" s="45" t="str">
        <f>IFERROR(VLOOKUP(OrdersRawTable9[[#This Row],[Order_Line_ID]],ReturnsRawTable[[Order_Line_ID]:[Refund_Status]],4,FALSE),"")</f>
        <v/>
      </c>
      <c r="AG32" s="45" t="str">
        <f>VLOOKUP(OrdersRawTable9[[#This Row],[Order_ID]],ShipmentsTable[],6,FALSE)</f>
        <v>Late</v>
      </c>
      <c r="AH32" s="49">
        <f>VLOOKUP(OrdersRawTable9[[#This Row],[Order_ID]],ShipmentsTable[],3,FALSE)</f>
        <v>45810</v>
      </c>
    </row>
    <row r="33" spans="1:34" ht="15" customHeight="1">
      <c r="A33" s="14" t="s">
        <v>131</v>
      </c>
      <c r="B33" s="10" t="s">
        <v>124</v>
      </c>
      <c r="C33" s="20">
        <v>45801</v>
      </c>
      <c r="D33" s="10" t="s">
        <v>125</v>
      </c>
      <c r="E33" s="10" t="s">
        <v>126</v>
      </c>
      <c r="F33" s="10" t="str">
        <f>TRIM(LEFT(OrdersRawTable9[[#This Row],[Customer_Info]],FIND(",",OrdersRawTable9[[#This Row],[Customer_Info]])-1))</f>
        <v>Daniel Brown</v>
      </c>
      <c r="G3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33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33" s="10">
        <f>LEN(OrdersRawTable9[[#This Row],[Customer_Info]])-LEN(SUBSTITUTE(OrdersRawTable9[[#This Row],[Customer_Info]],",",""))</f>
        <v>2</v>
      </c>
      <c r="J33" s="10" t="s">
        <v>93</v>
      </c>
      <c r="K33" s="23">
        <v>2</v>
      </c>
      <c r="L33" s="26">
        <v>208.89</v>
      </c>
      <c r="M33" s="29">
        <v>0</v>
      </c>
      <c r="N33" s="10" t="s">
        <v>70</v>
      </c>
      <c r="O33" s="10" t="str">
        <f>IF(TRIM(OrdersRawTable9[[#This Row],[Sales_Channel_Raw]])="Market place","Marketplace",TRIM(OrdersRawTable9[[#This Row],[Sales_Channel_Raw]]))</f>
        <v>online</v>
      </c>
      <c r="P33" s="10"/>
      <c r="Q33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33" s="15" t="s">
        <v>47</v>
      </c>
      <c r="S33" t="str">
        <f>VLOOKUP(OrdersRawTable9[[#This Row],[Customer_ID_Raw]],CustomersTable11[],4,FALSE)</f>
        <v>Ontario</v>
      </c>
      <c r="T33" t="str">
        <f>VLOOKUP(OrdersRawTable9[[#This Row],[Customer_ID_Raw]],CustomersTable11[],5,FALSE)</f>
        <v>Small Business</v>
      </c>
      <c r="U33" s="45">
        <f>VLOOKUP(OrdersRawTable9[[#This Row],[Product_ID]],ProductsTable10[],4,FALSE)</f>
        <v>133.05000000000001</v>
      </c>
      <c r="V33" t="str">
        <f>VLOOKUP(OrdersRawTable9[[#This Row],[Product_ID]],ProductsTable10[],3,FALSE)</f>
        <v>Accessories</v>
      </c>
      <c r="W33" s="45">
        <f>OrdersRawTable9[[#This Row],[Unit_Price]]*OrdersRawTable9[[#This Row],[Quantity]]</f>
        <v>417.78</v>
      </c>
      <c r="X33" s="47">
        <f>OrdersRawTable9[[#This Row],[Gross_Sales]]*OrdersRawTable9[[#This Row],[Discount_Pct]]</f>
        <v>0</v>
      </c>
      <c r="Y33" s="45">
        <f>OrdersRawTable9[[#This Row],[Gross_Sales]]-OrdersRawTable9[[#This Row],[Discount_Amount]]</f>
        <v>417.78</v>
      </c>
      <c r="Z33" s="45">
        <f>OrdersRawTable9[[#This Row],[Unit_Cost]]*OrdersRawTable9[[#This Row],[Quantity]]</f>
        <v>266.10000000000002</v>
      </c>
      <c r="AA33" s="45">
        <f>OrdersRawTable9[[#This Row],[Net_Sales]]-OrdersRawTable9[[#This Row],[Total_Cost]]</f>
        <v>151.67999999999995</v>
      </c>
      <c r="AB33" s="48">
        <f>IF(OrdersRawTable9[[#This Row],[Net_Sales]]=0,0,OrdersRawTable9[[#This Row],[Profit]]/OrdersRawTable9[[#This Row],[Net_Sales]])</f>
        <v>0.36306189860692223</v>
      </c>
      <c r="AC33" s="45" t="str">
        <f>IF(COUNTIF(ReturnsRawTable[Order_Line_ID],OrdersRawTable9[[#This Row],[Order_Line_ID]])&gt;0,"Yes","No")</f>
        <v>No</v>
      </c>
      <c r="AD33" s="45" t="str">
        <f>IFERROR(VLOOKUP(OrdersRawTable9[[#This Row],[Order_Line_ID]],ReturnsRawTable[[#All],[Order_Line_ID]:[Return_Reason_Raw]],3,FALSE),"")</f>
        <v/>
      </c>
      <c r="AE33" s="49" t="str">
        <f>IFERROR(VLOOKUP(OrdersRawTable9[[#This Row],[Order_Line_ID]],ReturnsRawTable[[#All],[Order_Line_ID]:[Return_Date]],2,FALSE),"")</f>
        <v/>
      </c>
      <c r="AF33" s="45" t="str">
        <f>IFERROR(VLOOKUP(OrdersRawTable9[[#This Row],[Order_Line_ID]],ReturnsRawTable[[Order_Line_ID]:[Refund_Status]],4,FALSE),"")</f>
        <v/>
      </c>
      <c r="AG33" s="45" t="str">
        <f>VLOOKUP(OrdersRawTable9[[#This Row],[Order_ID]],ShipmentsTable[],6,FALSE)</f>
        <v>Late</v>
      </c>
      <c r="AH33" s="49">
        <f>VLOOKUP(OrdersRawTable9[[#This Row],[Order_ID]],ShipmentsTable[],3,FALSE)</f>
        <v>45810</v>
      </c>
    </row>
    <row r="34" spans="1:34" ht="15" customHeight="1">
      <c r="A34" s="14" t="s">
        <v>132</v>
      </c>
      <c r="B34" s="10" t="s">
        <v>133</v>
      </c>
      <c r="C34" s="20">
        <v>45974</v>
      </c>
      <c r="D34" s="10" t="s">
        <v>134</v>
      </c>
      <c r="E34" s="10" t="s">
        <v>135</v>
      </c>
      <c r="F34" s="10" t="str">
        <f>TRIM(LEFT(OrdersRawTable9[[#This Row],[Customer_Info]],FIND(",",OrdersRawTable9[[#This Row],[Customer_Info]])-1))</f>
        <v>Emma Tremblay</v>
      </c>
      <c r="G3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34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34" s="10">
        <f>LEN(OrdersRawTable9[[#This Row],[Customer_Info]])-LEN(SUBSTITUTE(OrdersRawTable9[[#This Row],[Customer_Info]],",",""))</f>
        <v>2</v>
      </c>
      <c r="J34" s="10" t="s">
        <v>136</v>
      </c>
      <c r="K34" s="23">
        <v>1</v>
      </c>
      <c r="L34" s="26">
        <v>141.46</v>
      </c>
      <c r="M34" s="29">
        <v>0</v>
      </c>
      <c r="N34" s="10" t="s">
        <v>64</v>
      </c>
      <c r="O34" s="10" t="str">
        <f>IF(TRIM(OrdersRawTable9[[#This Row],[Sales_Channel_Raw]])="Market place","Marketplace",TRIM(OrdersRawTable9[[#This Row],[Sales_Channel_Raw]]))</f>
        <v>Retail Store</v>
      </c>
      <c r="P34" s="10" t="s">
        <v>58</v>
      </c>
      <c r="Q34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34" s="15" t="s">
        <v>67</v>
      </c>
      <c r="S34" t="str">
        <f>VLOOKUP(OrdersRawTable9[[#This Row],[Customer_ID_Raw]],CustomersTable11[],4,FALSE)</f>
        <v>Alberta</v>
      </c>
      <c r="T34" t="str">
        <f>VLOOKUP(OrdersRawTable9[[#This Row],[Customer_ID_Raw]],CustomersTable11[],5,FALSE)</f>
        <v>Consumer</v>
      </c>
      <c r="U34" s="45">
        <f>VLOOKUP(OrdersRawTable9[[#This Row],[Product_ID]],ProductsTable10[],4,FALSE)</f>
        <v>78.650000000000006</v>
      </c>
      <c r="V34" t="str">
        <f>VLOOKUP(OrdersRawTable9[[#This Row],[Product_ID]],ProductsTable10[],3,FALSE)</f>
        <v>Fitness</v>
      </c>
      <c r="W34" s="45">
        <f>OrdersRawTable9[[#This Row],[Unit_Price]]*OrdersRawTable9[[#This Row],[Quantity]]</f>
        <v>141.46</v>
      </c>
      <c r="X34" s="47">
        <f>OrdersRawTable9[[#This Row],[Gross_Sales]]*OrdersRawTable9[[#This Row],[Discount_Pct]]</f>
        <v>0</v>
      </c>
      <c r="Y34" s="45">
        <f>OrdersRawTable9[[#This Row],[Gross_Sales]]-OrdersRawTable9[[#This Row],[Discount_Amount]]</f>
        <v>141.46</v>
      </c>
      <c r="Z34" s="45">
        <f>OrdersRawTable9[[#This Row],[Unit_Cost]]*OrdersRawTable9[[#This Row],[Quantity]]</f>
        <v>78.650000000000006</v>
      </c>
      <c r="AA34" s="45">
        <f>OrdersRawTable9[[#This Row],[Net_Sales]]-OrdersRawTable9[[#This Row],[Total_Cost]]</f>
        <v>62.81</v>
      </c>
      <c r="AB34" s="48">
        <f>IF(OrdersRawTable9[[#This Row],[Net_Sales]]=0,0,OrdersRawTable9[[#This Row],[Profit]]/OrdersRawTable9[[#This Row],[Net_Sales]])</f>
        <v>0.44401244167962672</v>
      </c>
      <c r="AC34" s="45" t="str">
        <f>IF(COUNTIF(ReturnsRawTable[Order_Line_ID],OrdersRawTable9[[#This Row],[Order_Line_ID]])&gt;0,"Yes","No")</f>
        <v>No</v>
      </c>
      <c r="AD34" s="45" t="str">
        <f>IFERROR(VLOOKUP(OrdersRawTable9[[#This Row],[Order_Line_ID]],ReturnsRawTable[[#All],[Order_Line_ID]:[Return_Reason_Raw]],3,FALSE),"")</f>
        <v/>
      </c>
      <c r="AE34" s="49" t="str">
        <f>IFERROR(VLOOKUP(OrdersRawTable9[[#This Row],[Order_Line_ID]],ReturnsRawTable[[#All],[Order_Line_ID]:[Return_Date]],2,FALSE),"")</f>
        <v/>
      </c>
      <c r="AF34" s="45" t="str">
        <f>IFERROR(VLOOKUP(OrdersRawTable9[[#This Row],[Order_Line_ID]],ReturnsRawTable[[Order_Line_ID]:[Refund_Status]],4,FALSE),"")</f>
        <v/>
      </c>
      <c r="AG34" s="45" t="str">
        <f>VLOOKUP(OrdersRawTable9[[#This Row],[Order_ID]],ShipmentsTable[],6,FALSE)</f>
        <v>Late</v>
      </c>
      <c r="AH34" s="49">
        <f>VLOOKUP(OrdersRawTable9[[#This Row],[Order_ID]],ShipmentsTable[],3,FALSE)</f>
        <v>45979</v>
      </c>
    </row>
    <row r="35" spans="1:34" ht="15" customHeight="1">
      <c r="A35" s="14" t="s">
        <v>137</v>
      </c>
      <c r="B35" s="10" t="s">
        <v>138</v>
      </c>
      <c r="C35" s="20">
        <v>45717.041666666664</v>
      </c>
      <c r="D35" s="10" t="s">
        <v>139</v>
      </c>
      <c r="E35" s="10" t="s">
        <v>140</v>
      </c>
      <c r="F35" s="10" t="str">
        <f>TRIM(LEFT(OrdersRawTable9[[#This Row],[Customer_Info]],FIND(",",OrdersRawTable9[[#This Row],[Customer_Info]])-1))</f>
        <v>Emma Gagnon</v>
      </c>
      <c r="G3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35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35" s="10">
        <f>LEN(OrdersRawTable9[[#This Row],[Customer_Info]])-LEN(SUBSTITUTE(OrdersRawTable9[[#This Row],[Customer_Info]],",",""))</f>
        <v>2</v>
      </c>
      <c r="J35" s="10" t="s">
        <v>88</v>
      </c>
      <c r="K35" s="23">
        <v>2</v>
      </c>
      <c r="L35" s="26">
        <v>147.46</v>
      </c>
      <c r="M35" s="29">
        <v>0</v>
      </c>
      <c r="N35" s="10" t="s">
        <v>64</v>
      </c>
      <c r="O35" s="10" t="str">
        <f>IF(TRIM(OrdersRawTable9[[#This Row],[Sales_Channel_Raw]])="Market place","Marketplace",TRIM(OrdersRawTable9[[#This Row],[Sales_Channel_Raw]]))</f>
        <v>Retail Store</v>
      </c>
      <c r="P35" s="10" t="s">
        <v>58</v>
      </c>
      <c r="Q35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35" s="15" t="s">
        <v>101</v>
      </c>
      <c r="S35" t="str">
        <f>VLOOKUP(OrdersRawTable9[[#This Row],[Customer_ID_Raw]],CustomersTable11[],4,FALSE)</f>
        <v>Alberta</v>
      </c>
      <c r="T35" t="str">
        <f>VLOOKUP(OrdersRawTable9[[#This Row],[Customer_ID_Raw]],CustomersTable11[],5,FALSE)</f>
        <v>Small Business</v>
      </c>
      <c r="U35" s="45">
        <f>VLOOKUP(OrdersRawTable9[[#This Row],[Product_ID]],ProductsTable10[],4,FALSE)</f>
        <v>100.95</v>
      </c>
      <c r="V35" t="str">
        <f>VLOOKUP(OrdersRawTable9[[#This Row],[Product_ID]],ProductsTable10[],3,FALSE)</f>
        <v>Electronics</v>
      </c>
      <c r="W35" s="45">
        <f>OrdersRawTable9[[#This Row],[Unit_Price]]*OrdersRawTable9[[#This Row],[Quantity]]</f>
        <v>294.92</v>
      </c>
      <c r="X35" s="47">
        <f>OrdersRawTable9[[#This Row],[Gross_Sales]]*OrdersRawTable9[[#This Row],[Discount_Pct]]</f>
        <v>0</v>
      </c>
      <c r="Y35" s="45">
        <f>OrdersRawTable9[[#This Row],[Gross_Sales]]-OrdersRawTable9[[#This Row],[Discount_Amount]]</f>
        <v>294.92</v>
      </c>
      <c r="Z35" s="45">
        <f>OrdersRawTable9[[#This Row],[Unit_Cost]]*OrdersRawTable9[[#This Row],[Quantity]]</f>
        <v>201.9</v>
      </c>
      <c r="AA35" s="45">
        <f>OrdersRawTable9[[#This Row],[Net_Sales]]-OrdersRawTable9[[#This Row],[Total_Cost]]</f>
        <v>93.02000000000001</v>
      </c>
      <c r="AB35" s="48">
        <f>IF(OrdersRawTable9[[#This Row],[Net_Sales]]=0,0,OrdersRawTable9[[#This Row],[Profit]]/OrdersRawTable9[[#This Row],[Net_Sales]])</f>
        <v>0.31540756815407572</v>
      </c>
      <c r="AC35" s="45" t="str">
        <f>IF(COUNTIF(ReturnsRawTable[Order_Line_ID],OrdersRawTable9[[#This Row],[Order_Line_ID]])&gt;0,"Yes","No")</f>
        <v>No</v>
      </c>
      <c r="AD35" s="45" t="str">
        <f>IFERROR(VLOOKUP(OrdersRawTable9[[#This Row],[Order_Line_ID]],ReturnsRawTable[[#All],[Order_Line_ID]:[Return_Reason_Raw]],3,FALSE),"")</f>
        <v/>
      </c>
      <c r="AE35" s="49" t="str">
        <f>IFERROR(VLOOKUP(OrdersRawTable9[[#This Row],[Order_Line_ID]],ReturnsRawTable[[#All],[Order_Line_ID]:[Return_Date]],2,FALSE),"")</f>
        <v/>
      </c>
      <c r="AF35" s="45" t="str">
        <f>IFERROR(VLOOKUP(OrdersRawTable9[[#This Row],[Order_Line_ID]],ReturnsRawTable[[Order_Line_ID]:[Refund_Status]],4,FALSE),"")</f>
        <v/>
      </c>
      <c r="AG35" s="45" t="str">
        <f>VLOOKUP(OrdersRawTable9[[#This Row],[Order_ID]],ShipmentsTable[],6,FALSE)</f>
        <v>On time</v>
      </c>
      <c r="AH35" s="49">
        <f>VLOOKUP(OrdersRawTable9[[#This Row],[Order_ID]],ShipmentsTable[],3,FALSE)</f>
        <v>45718.041666666664</v>
      </c>
    </row>
    <row r="36" spans="1:34" ht="15" customHeight="1">
      <c r="A36" s="14" t="s">
        <v>141</v>
      </c>
      <c r="B36" s="10" t="s">
        <v>138</v>
      </c>
      <c r="C36" s="20">
        <v>45717.041666666664</v>
      </c>
      <c r="D36" s="10" t="s">
        <v>139</v>
      </c>
      <c r="E36" s="10" t="s">
        <v>140</v>
      </c>
      <c r="F36" s="10" t="str">
        <f>TRIM(LEFT(OrdersRawTable9[[#This Row],[Customer_Info]],FIND(",",OrdersRawTable9[[#This Row],[Customer_Info]])-1))</f>
        <v>Emma Gagnon</v>
      </c>
      <c r="G3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36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36" s="10">
        <f>LEN(OrdersRawTable9[[#This Row],[Customer_Info]])-LEN(SUBSTITUTE(OrdersRawTable9[[#This Row],[Customer_Info]],",",""))</f>
        <v>2</v>
      </c>
      <c r="J36" s="10" t="s">
        <v>128</v>
      </c>
      <c r="K36" s="23">
        <v>1</v>
      </c>
      <c r="L36" s="26">
        <v>25.15</v>
      </c>
      <c r="M36" s="29">
        <v>0.05</v>
      </c>
      <c r="N36" s="10" t="s">
        <v>64</v>
      </c>
      <c r="O36" s="10" t="str">
        <f>IF(TRIM(OrdersRawTable9[[#This Row],[Sales_Channel_Raw]])="Market place","Marketplace",TRIM(OrdersRawTable9[[#This Row],[Sales_Channel_Raw]]))</f>
        <v>Retail Store</v>
      </c>
      <c r="P36" s="10"/>
      <c r="Q36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36" s="15" t="s">
        <v>42</v>
      </c>
      <c r="S36" t="str">
        <f>VLOOKUP(OrdersRawTable9[[#This Row],[Customer_ID_Raw]],CustomersTable11[],4,FALSE)</f>
        <v>Alberta</v>
      </c>
      <c r="T36" t="str">
        <f>VLOOKUP(OrdersRawTable9[[#This Row],[Customer_ID_Raw]],CustomersTable11[],5,FALSE)</f>
        <v>Small Business</v>
      </c>
      <c r="U36" s="45">
        <f>VLOOKUP(OrdersRawTable9[[#This Row],[Product_ID]],ProductsTable10[],4,FALSE)</f>
        <v>14.24</v>
      </c>
      <c r="V36" t="str">
        <f>VLOOKUP(OrdersRawTable9[[#This Row],[Product_ID]],ProductsTable10[],3,FALSE)</f>
        <v>Electronics</v>
      </c>
      <c r="W36" s="45">
        <f>OrdersRawTable9[[#This Row],[Unit_Price]]*OrdersRawTable9[[#This Row],[Quantity]]</f>
        <v>25.15</v>
      </c>
      <c r="X36" s="47">
        <f>OrdersRawTable9[[#This Row],[Gross_Sales]]*OrdersRawTable9[[#This Row],[Discount_Pct]]</f>
        <v>1.2575000000000001</v>
      </c>
      <c r="Y36" s="45">
        <f>OrdersRawTable9[[#This Row],[Gross_Sales]]-OrdersRawTable9[[#This Row],[Discount_Amount]]</f>
        <v>23.892499999999998</v>
      </c>
      <c r="Z36" s="45">
        <f>OrdersRawTable9[[#This Row],[Unit_Cost]]*OrdersRawTable9[[#This Row],[Quantity]]</f>
        <v>14.24</v>
      </c>
      <c r="AA36" s="45">
        <f>OrdersRawTable9[[#This Row],[Net_Sales]]-OrdersRawTable9[[#This Row],[Total_Cost]]</f>
        <v>9.6524999999999981</v>
      </c>
      <c r="AB36" s="48">
        <f>IF(OrdersRawTable9[[#This Row],[Net_Sales]]=0,0,OrdersRawTable9[[#This Row],[Profit]]/OrdersRawTable9[[#This Row],[Net_Sales]])</f>
        <v>0.403997070210317</v>
      </c>
      <c r="AC36" s="45" t="str">
        <f>IF(COUNTIF(ReturnsRawTable[Order_Line_ID],OrdersRawTable9[[#This Row],[Order_Line_ID]])&gt;0,"Yes","No")</f>
        <v>No</v>
      </c>
      <c r="AD36" s="45" t="str">
        <f>IFERROR(VLOOKUP(OrdersRawTable9[[#This Row],[Order_Line_ID]],ReturnsRawTable[[#All],[Order_Line_ID]:[Return_Reason_Raw]],3,FALSE),"")</f>
        <v/>
      </c>
      <c r="AE36" s="49" t="str">
        <f>IFERROR(VLOOKUP(OrdersRawTable9[[#This Row],[Order_Line_ID]],ReturnsRawTable[[#All],[Order_Line_ID]:[Return_Date]],2,FALSE),"")</f>
        <v/>
      </c>
      <c r="AF36" s="45" t="str">
        <f>IFERROR(VLOOKUP(OrdersRawTable9[[#This Row],[Order_Line_ID]],ReturnsRawTable[[Order_Line_ID]:[Refund_Status]],4,FALSE),"")</f>
        <v/>
      </c>
      <c r="AG36" s="45" t="str">
        <f>VLOOKUP(OrdersRawTable9[[#This Row],[Order_ID]],ShipmentsTable[],6,FALSE)</f>
        <v>On time</v>
      </c>
      <c r="AH36" s="49">
        <f>VLOOKUP(OrdersRawTable9[[#This Row],[Order_ID]],ShipmentsTable[],3,FALSE)</f>
        <v>45718.041666666664</v>
      </c>
    </row>
    <row r="37" spans="1:34" ht="15" customHeight="1">
      <c r="A37" s="14" t="s">
        <v>142</v>
      </c>
      <c r="B37" s="10" t="s">
        <v>143</v>
      </c>
      <c r="C37" s="20">
        <v>46010</v>
      </c>
      <c r="D37" s="10" t="s">
        <v>144</v>
      </c>
      <c r="E37" s="10" t="s">
        <v>116</v>
      </c>
      <c r="F37" s="10" t="str">
        <f>TRIM(LEFT(OrdersRawTable9[[#This Row],[Customer_Info]],FIND(",",OrdersRawTable9[[#This Row],[Customer_Info]])-1))</f>
        <v>Ethan Martin</v>
      </c>
      <c r="G3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37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37" s="10">
        <f>LEN(OrdersRawTable9[[#This Row],[Customer_Info]])-LEN(SUBSTITUTE(OrdersRawTable9[[#This Row],[Customer_Info]],",",""))</f>
        <v>2</v>
      </c>
      <c r="J37" s="10" t="s">
        <v>44</v>
      </c>
      <c r="K37" s="23">
        <v>1</v>
      </c>
      <c r="L37" s="26">
        <v>238.47</v>
      </c>
      <c r="M37" s="29">
        <v>0.05</v>
      </c>
      <c r="N37" s="10" t="s">
        <v>66</v>
      </c>
      <c r="O37" s="10" t="str">
        <f>IF(TRIM(OrdersRawTable9[[#This Row],[Sales_Channel_Raw]])="Market place","Marketplace",TRIM(OrdersRawTable9[[#This Row],[Sales_Channel_Raw]]))</f>
        <v>Marketplace</v>
      </c>
      <c r="P37" s="10" t="s">
        <v>41</v>
      </c>
      <c r="Q37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7" s="15" t="s">
        <v>67</v>
      </c>
      <c r="S37" t="str">
        <f>VLOOKUP(OrdersRawTable9[[#This Row],[Customer_ID_Raw]],CustomersTable11[],4,FALSE)</f>
        <v>Ontario</v>
      </c>
      <c r="T37" t="str">
        <f>VLOOKUP(OrdersRawTable9[[#This Row],[Customer_ID_Raw]],CustomersTable11[],5,FALSE)</f>
        <v>Consumer</v>
      </c>
      <c r="U37" s="45">
        <f>VLOOKUP(OrdersRawTable9[[#This Row],[Product_ID]],ProductsTable10[],4,FALSE)</f>
        <v>127.65</v>
      </c>
      <c r="V37" t="str">
        <f>VLOOKUP(OrdersRawTable9[[#This Row],[Product_ID]],ProductsTable10[],3,FALSE)</f>
        <v>Accessories</v>
      </c>
      <c r="W37" s="45">
        <f>OrdersRawTable9[[#This Row],[Unit_Price]]*OrdersRawTable9[[#This Row],[Quantity]]</f>
        <v>238.47</v>
      </c>
      <c r="X37" s="47">
        <f>OrdersRawTable9[[#This Row],[Gross_Sales]]*OrdersRawTable9[[#This Row],[Discount_Pct]]</f>
        <v>11.923500000000001</v>
      </c>
      <c r="Y37" s="45">
        <f>OrdersRawTable9[[#This Row],[Gross_Sales]]-OrdersRawTable9[[#This Row],[Discount_Amount]]</f>
        <v>226.54650000000001</v>
      </c>
      <c r="Z37" s="45">
        <f>OrdersRawTable9[[#This Row],[Unit_Cost]]*OrdersRawTable9[[#This Row],[Quantity]]</f>
        <v>127.65</v>
      </c>
      <c r="AA37" s="45">
        <f>OrdersRawTable9[[#This Row],[Net_Sales]]-OrdersRawTable9[[#This Row],[Total_Cost]]</f>
        <v>98.896500000000003</v>
      </c>
      <c r="AB37" s="48">
        <f>IF(OrdersRawTable9[[#This Row],[Net_Sales]]=0,0,OrdersRawTable9[[#This Row],[Profit]]/OrdersRawTable9[[#This Row],[Net_Sales]])</f>
        <v>0.43653951837702193</v>
      </c>
      <c r="AC37" s="45" t="str">
        <f>IF(COUNTIF(ReturnsRawTable[Order_Line_ID],OrdersRawTable9[[#This Row],[Order_Line_ID]])&gt;0,"Yes","No")</f>
        <v>No</v>
      </c>
      <c r="AD37" s="45" t="str">
        <f>IFERROR(VLOOKUP(OrdersRawTable9[[#This Row],[Order_Line_ID]],ReturnsRawTable[[#All],[Order_Line_ID]:[Return_Reason_Raw]],3,FALSE),"")</f>
        <v/>
      </c>
      <c r="AE37" s="49" t="str">
        <f>IFERROR(VLOOKUP(OrdersRawTable9[[#This Row],[Order_Line_ID]],ReturnsRawTable[[#All],[Order_Line_ID]:[Return_Date]],2,FALSE),"")</f>
        <v/>
      </c>
      <c r="AF37" s="45" t="str">
        <f>IFERROR(VLOOKUP(OrdersRawTable9[[#This Row],[Order_Line_ID]],ReturnsRawTable[[Order_Line_ID]:[Refund_Status]],4,FALSE),"")</f>
        <v/>
      </c>
      <c r="AG37" s="45" t="str">
        <f>VLOOKUP(OrdersRawTable9[[#This Row],[Order_ID]],ShipmentsTable[],6,FALSE)</f>
        <v>On time</v>
      </c>
      <c r="AH37" s="49">
        <f>VLOOKUP(OrdersRawTable9[[#This Row],[Order_ID]],ShipmentsTable[],3,FALSE)</f>
        <v>46011</v>
      </c>
    </row>
    <row r="38" spans="1:34" ht="15" customHeight="1">
      <c r="A38" s="14" t="s">
        <v>145</v>
      </c>
      <c r="B38" s="10" t="s">
        <v>146</v>
      </c>
      <c r="C38" s="20">
        <v>45834</v>
      </c>
      <c r="D38" s="10" t="s">
        <v>75</v>
      </c>
      <c r="E38" s="10" t="s">
        <v>76</v>
      </c>
      <c r="F38" s="10" t="str">
        <f>TRIM(LEFT(OrdersRawTable9[[#This Row],[Customer_Info]],FIND(",",OrdersRawTable9[[#This Row],[Customer_Info]])-1))</f>
        <v>Yara Tremblay</v>
      </c>
      <c r="G3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38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38" s="10">
        <f>LEN(OrdersRawTable9[[#This Row],[Customer_Info]])-LEN(SUBSTITUTE(OrdersRawTable9[[#This Row],[Customer_Info]],",",""))</f>
        <v>2</v>
      </c>
      <c r="J38" s="10" t="s">
        <v>147</v>
      </c>
      <c r="K38" s="23">
        <v>2</v>
      </c>
      <c r="L38" s="26">
        <v>102.78</v>
      </c>
      <c r="M38" s="29">
        <v>0.05</v>
      </c>
      <c r="N38" s="10" t="s">
        <v>45</v>
      </c>
      <c r="O38" s="10" t="str">
        <f>IF(TRIM(OrdersRawTable9[[#This Row],[Sales_Channel_Raw]])="Market place","Marketplace",TRIM(OrdersRawTable9[[#This Row],[Sales_Channel_Raw]]))</f>
        <v>Retail Store</v>
      </c>
      <c r="P38" s="10" t="s">
        <v>41</v>
      </c>
      <c r="Q38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8" s="15" t="s">
        <v>67</v>
      </c>
      <c r="S38" t="str">
        <f>VLOOKUP(OrdersRawTable9[[#This Row],[Customer_ID_Raw]],CustomersTable11[],4,FALSE)</f>
        <v>Alberta</v>
      </c>
      <c r="T38" t="str">
        <f>VLOOKUP(OrdersRawTable9[[#This Row],[Customer_ID_Raw]],CustomersTable11[],5,FALSE)</f>
        <v>Corporate</v>
      </c>
      <c r="U38" s="45">
        <f>VLOOKUP(OrdersRawTable9[[#This Row],[Product_ID]],ProductsTable10[],4,FALSE)</f>
        <v>62.65</v>
      </c>
      <c r="V38" t="str">
        <f>VLOOKUP(OrdersRawTable9[[#This Row],[Product_ID]],ProductsTable10[],3,FALSE)</f>
        <v>Accessories</v>
      </c>
      <c r="W38" s="45">
        <f>OrdersRawTable9[[#This Row],[Unit_Price]]*OrdersRawTable9[[#This Row],[Quantity]]</f>
        <v>205.56</v>
      </c>
      <c r="X38" s="47">
        <f>OrdersRawTable9[[#This Row],[Gross_Sales]]*OrdersRawTable9[[#This Row],[Discount_Pct]]</f>
        <v>10.278</v>
      </c>
      <c r="Y38" s="45">
        <f>OrdersRawTable9[[#This Row],[Gross_Sales]]-OrdersRawTable9[[#This Row],[Discount_Amount]]</f>
        <v>195.28200000000001</v>
      </c>
      <c r="Z38" s="45">
        <f>OrdersRawTable9[[#This Row],[Unit_Cost]]*OrdersRawTable9[[#This Row],[Quantity]]</f>
        <v>125.3</v>
      </c>
      <c r="AA38" s="45">
        <f>OrdersRawTable9[[#This Row],[Net_Sales]]-OrdersRawTable9[[#This Row],[Total_Cost]]</f>
        <v>69.982000000000014</v>
      </c>
      <c r="AB38" s="48">
        <f>IF(OrdersRawTable9[[#This Row],[Net_Sales]]=0,0,OrdersRawTable9[[#This Row],[Profit]]/OrdersRawTable9[[#This Row],[Net_Sales]])</f>
        <v>0.35836380209133462</v>
      </c>
      <c r="AC38" s="45" t="str">
        <f>IF(COUNTIF(ReturnsRawTable[Order_Line_ID],OrdersRawTable9[[#This Row],[Order_Line_ID]])&gt;0,"Yes","No")</f>
        <v>No</v>
      </c>
      <c r="AD38" s="45" t="str">
        <f>IFERROR(VLOOKUP(OrdersRawTable9[[#This Row],[Order_Line_ID]],ReturnsRawTable[[#All],[Order_Line_ID]:[Return_Reason_Raw]],3,FALSE),"")</f>
        <v/>
      </c>
      <c r="AE38" s="49" t="str">
        <f>IFERROR(VLOOKUP(OrdersRawTable9[[#This Row],[Order_Line_ID]],ReturnsRawTable[[#All],[Order_Line_ID]:[Return_Date]],2,FALSE),"")</f>
        <v/>
      </c>
      <c r="AF38" s="45" t="str">
        <f>IFERROR(VLOOKUP(OrdersRawTable9[[#This Row],[Order_Line_ID]],ReturnsRawTable[[Order_Line_ID]:[Refund_Status]],4,FALSE),"")</f>
        <v/>
      </c>
      <c r="AG38" s="45" t="str">
        <f>VLOOKUP(OrdersRawTable9[[#This Row],[Order_ID]],ShipmentsTable[],6,FALSE)</f>
        <v>Late</v>
      </c>
      <c r="AH38" s="49">
        <f>VLOOKUP(OrdersRawTable9[[#This Row],[Order_ID]],ShipmentsTable[],3,FALSE)</f>
        <v>45844</v>
      </c>
    </row>
    <row r="39" spans="1:34" ht="15" customHeight="1">
      <c r="A39" s="14" t="s">
        <v>148</v>
      </c>
      <c r="B39" s="10" t="s">
        <v>146</v>
      </c>
      <c r="C39" s="20">
        <v>45834</v>
      </c>
      <c r="D39" s="10" t="s">
        <v>75</v>
      </c>
      <c r="E39" s="10" t="s">
        <v>76</v>
      </c>
      <c r="F39" s="10" t="str">
        <f>TRIM(LEFT(OrdersRawTable9[[#This Row],[Customer_Info]],FIND(",",OrdersRawTable9[[#This Row],[Customer_Info]])-1))</f>
        <v>Yara Tremblay</v>
      </c>
      <c r="G3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39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39" s="10">
        <f>LEN(OrdersRawTable9[[#This Row],[Customer_Info]])-LEN(SUBSTITUTE(OrdersRawTable9[[#This Row],[Customer_Info]],",",""))</f>
        <v>2</v>
      </c>
      <c r="J39" s="10" t="s">
        <v>57</v>
      </c>
      <c r="K39" s="23">
        <v>2</v>
      </c>
      <c r="L39" s="26">
        <v>208.81</v>
      </c>
      <c r="M39" s="29">
        <v>0.05</v>
      </c>
      <c r="N39" s="10" t="s">
        <v>70</v>
      </c>
      <c r="O39" s="10" t="str">
        <f>IF(TRIM(OrdersRawTable9[[#This Row],[Sales_Channel_Raw]])="Market place","Marketplace",TRIM(OrdersRawTable9[[#This Row],[Sales_Channel_Raw]]))</f>
        <v>online</v>
      </c>
      <c r="P39" s="10" t="s">
        <v>41</v>
      </c>
      <c r="Q39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9" s="15" t="s">
        <v>47</v>
      </c>
      <c r="S39" t="str">
        <f>VLOOKUP(OrdersRawTable9[[#This Row],[Customer_ID_Raw]],CustomersTable11[],4,FALSE)</f>
        <v>Alberta</v>
      </c>
      <c r="T39" t="str">
        <f>VLOOKUP(OrdersRawTable9[[#This Row],[Customer_ID_Raw]],CustomersTable11[],5,FALSE)</f>
        <v>Corporate</v>
      </c>
      <c r="U39" s="45">
        <f>VLOOKUP(OrdersRawTable9[[#This Row],[Product_ID]],ProductsTable10[],4,FALSE)</f>
        <v>139.04</v>
      </c>
      <c r="V39" t="str">
        <f>VLOOKUP(OrdersRawTable9[[#This Row],[Product_ID]],ProductsTable10[],3,FALSE)</f>
        <v>Fitness</v>
      </c>
      <c r="W39" s="45">
        <f>OrdersRawTable9[[#This Row],[Unit_Price]]*OrdersRawTable9[[#This Row],[Quantity]]</f>
        <v>417.62</v>
      </c>
      <c r="X39" s="47">
        <f>OrdersRawTable9[[#This Row],[Gross_Sales]]*OrdersRawTable9[[#This Row],[Discount_Pct]]</f>
        <v>20.881</v>
      </c>
      <c r="Y39" s="45">
        <f>OrdersRawTable9[[#This Row],[Gross_Sales]]-OrdersRawTable9[[#This Row],[Discount_Amount]]</f>
        <v>396.73900000000003</v>
      </c>
      <c r="Z39" s="45">
        <f>OrdersRawTable9[[#This Row],[Unit_Cost]]*OrdersRawTable9[[#This Row],[Quantity]]</f>
        <v>278.08</v>
      </c>
      <c r="AA39" s="45">
        <f>OrdersRawTable9[[#This Row],[Net_Sales]]-OrdersRawTable9[[#This Row],[Total_Cost]]</f>
        <v>118.65900000000005</v>
      </c>
      <c r="AB39" s="48">
        <f>IF(OrdersRawTable9[[#This Row],[Net_Sales]]=0,0,OrdersRawTable9[[#This Row],[Profit]]/OrdersRawTable9[[#This Row],[Net_Sales]])</f>
        <v>0.29908579695971416</v>
      </c>
      <c r="AC39" s="45" t="str">
        <f>IF(COUNTIF(ReturnsRawTable[Order_Line_ID],OrdersRawTable9[[#This Row],[Order_Line_ID]])&gt;0,"Yes","No")</f>
        <v>No</v>
      </c>
      <c r="AD39" s="45" t="str">
        <f>IFERROR(VLOOKUP(OrdersRawTable9[[#This Row],[Order_Line_ID]],ReturnsRawTable[[#All],[Order_Line_ID]:[Return_Reason_Raw]],3,FALSE),"")</f>
        <v/>
      </c>
      <c r="AE39" s="49" t="str">
        <f>IFERROR(VLOOKUP(OrdersRawTable9[[#This Row],[Order_Line_ID]],ReturnsRawTable[[#All],[Order_Line_ID]:[Return_Date]],2,FALSE),"")</f>
        <v/>
      </c>
      <c r="AF39" s="45" t="str">
        <f>IFERROR(VLOOKUP(OrdersRawTable9[[#This Row],[Order_Line_ID]],ReturnsRawTable[[Order_Line_ID]:[Refund_Status]],4,FALSE),"")</f>
        <v/>
      </c>
      <c r="AG39" s="45" t="str">
        <f>VLOOKUP(OrdersRawTable9[[#This Row],[Order_ID]],ShipmentsTable[],6,FALSE)</f>
        <v>Late</v>
      </c>
      <c r="AH39" s="49">
        <f>VLOOKUP(OrdersRawTable9[[#This Row],[Order_ID]],ShipmentsTable[],3,FALSE)</f>
        <v>45844</v>
      </c>
    </row>
    <row r="40" spans="1:34" ht="15" customHeight="1">
      <c r="A40" s="14" t="s">
        <v>149</v>
      </c>
      <c r="B40" s="10" t="s">
        <v>146</v>
      </c>
      <c r="C40" s="20">
        <v>45834</v>
      </c>
      <c r="D40" s="10" t="s">
        <v>75</v>
      </c>
      <c r="E40" s="10" t="s">
        <v>76</v>
      </c>
      <c r="F40" s="10" t="str">
        <f>TRIM(LEFT(OrdersRawTable9[[#This Row],[Customer_Info]],FIND(",",OrdersRawTable9[[#This Row],[Customer_Info]])-1))</f>
        <v>Yara Tremblay</v>
      </c>
      <c r="G4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40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40" s="10">
        <f>LEN(OrdersRawTable9[[#This Row],[Customer_Info]])-LEN(SUBSTITUTE(OrdersRawTable9[[#This Row],[Customer_Info]],",",""))</f>
        <v>2</v>
      </c>
      <c r="J40" s="10" t="s">
        <v>150</v>
      </c>
      <c r="K40" s="23">
        <v>4</v>
      </c>
      <c r="L40" s="26">
        <v>263.04000000000002</v>
      </c>
      <c r="M40" s="29">
        <v>0.15</v>
      </c>
      <c r="N40" s="10" t="s">
        <v>40</v>
      </c>
      <c r="O40" s="10" t="str">
        <f>IF(TRIM(OrdersRawTable9[[#This Row],[Sales_Channel_Raw]])="Market place","Marketplace",TRIM(OrdersRawTable9[[#This Row],[Sales_Channel_Raw]]))</f>
        <v>Online</v>
      </c>
      <c r="P40" s="10" t="s">
        <v>98</v>
      </c>
      <c r="Q40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40" s="15" t="s">
        <v>42</v>
      </c>
      <c r="S40" t="str">
        <f>VLOOKUP(OrdersRawTable9[[#This Row],[Customer_ID_Raw]],CustomersTable11[],4,FALSE)</f>
        <v>Alberta</v>
      </c>
      <c r="T40" t="str">
        <f>VLOOKUP(OrdersRawTable9[[#This Row],[Customer_ID_Raw]],CustomersTable11[],5,FALSE)</f>
        <v>Corporate</v>
      </c>
      <c r="U40" s="45">
        <f>VLOOKUP(OrdersRawTable9[[#This Row],[Product_ID]],ProductsTable10[],4,FALSE)</f>
        <v>161.84</v>
      </c>
      <c r="V40" t="str">
        <f>VLOOKUP(OrdersRawTable9[[#This Row],[Product_ID]],ProductsTable10[],3,FALSE)</f>
        <v>Office</v>
      </c>
      <c r="W40" s="45">
        <f>OrdersRawTable9[[#This Row],[Unit_Price]]*OrdersRawTable9[[#This Row],[Quantity]]</f>
        <v>1052.1600000000001</v>
      </c>
      <c r="X40" s="47">
        <f>OrdersRawTable9[[#This Row],[Gross_Sales]]*OrdersRawTable9[[#This Row],[Discount_Pct]]</f>
        <v>157.82400000000001</v>
      </c>
      <c r="Y40" s="45">
        <f>OrdersRawTable9[[#This Row],[Gross_Sales]]-OrdersRawTable9[[#This Row],[Discount_Amount]]</f>
        <v>894.33600000000001</v>
      </c>
      <c r="Z40" s="45">
        <f>OrdersRawTable9[[#This Row],[Unit_Cost]]*OrdersRawTable9[[#This Row],[Quantity]]</f>
        <v>647.36</v>
      </c>
      <c r="AA40" s="45">
        <f>OrdersRawTable9[[#This Row],[Net_Sales]]-OrdersRawTable9[[#This Row],[Total_Cost]]</f>
        <v>246.976</v>
      </c>
      <c r="AB40" s="48">
        <f>IF(OrdersRawTable9[[#This Row],[Net_Sales]]=0,0,OrdersRawTable9[[#This Row],[Profit]]/OrdersRawTable9[[#This Row],[Net_Sales]])</f>
        <v>0.27615571776155717</v>
      </c>
      <c r="AC40" s="45" t="str">
        <f>IF(COUNTIF(ReturnsRawTable[Order_Line_ID],OrdersRawTable9[[#This Row],[Order_Line_ID]])&gt;0,"Yes","No")</f>
        <v>No</v>
      </c>
      <c r="AD40" s="45" t="str">
        <f>IFERROR(VLOOKUP(OrdersRawTable9[[#This Row],[Order_Line_ID]],ReturnsRawTable[[#All],[Order_Line_ID]:[Return_Reason_Raw]],3,FALSE),"")</f>
        <v/>
      </c>
      <c r="AE40" s="49" t="str">
        <f>IFERROR(VLOOKUP(OrdersRawTable9[[#This Row],[Order_Line_ID]],ReturnsRawTable[[#All],[Order_Line_ID]:[Return_Date]],2,FALSE),"")</f>
        <v/>
      </c>
      <c r="AF40" s="45" t="str">
        <f>IFERROR(VLOOKUP(OrdersRawTable9[[#This Row],[Order_Line_ID]],ReturnsRawTable[[Order_Line_ID]:[Refund_Status]],4,FALSE),"")</f>
        <v/>
      </c>
      <c r="AG40" s="45" t="str">
        <f>VLOOKUP(OrdersRawTable9[[#This Row],[Order_ID]],ShipmentsTable[],6,FALSE)</f>
        <v>Late</v>
      </c>
      <c r="AH40" s="49">
        <f>VLOOKUP(OrdersRawTable9[[#This Row],[Order_ID]],ShipmentsTable[],3,FALSE)</f>
        <v>45844</v>
      </c>
    </row>
    <row r="41" spans="1:34" ht="15" customHeight="1">
      <c r="A41" s="14" t="s">
        <v>151</v>
      </c>
      <c r="B41" s="10" t="s">
        <v>146</v>
      </c>
      <c r="C41" s="20">
        <v>45834</v>
      </c>
      <c r="D41" s="10" t="s">
        <v>75</v>
      </c>
      <c r="E41" s="10" t="s">
        <v>76</v>
      </c>
      <c r="F41" s="10" t="str">
        <f>TRIM(LEFT(OrdersRawTable9[[#This Row],[Customer_Info]],FIND(",",OrdersRawTable9[[#This Row],[Customer_Info]])-1))</f>
        <v>Yara Tremblay</v>
      </c>
      <c r="G4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41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41" s="10">
        <f>LEN(OrdersRawTable9[[#This Row],[Customer_Info]])-LEN(SUBSTITUTE(OrdersRawTable9[[#This Row],[Customer_Info]],",",""))</f>
        <v>2</v>
      </c>
      <c r="J41" s="10" t="s">
        <v>152</v>
      </c>
      <c r="K41" s="23">
        <v>1</v>
      </c>
      <c r="L41" s="26">
        <v>234.37</v>
      </c>
      <c r="M41" s="29">
        <v>0</v>
      </c>
      <c r="N41" s="10" t="s">
        <v>64</v>
      </c>
      <c r="O41" s="10" t="str">
        <f>IF(TRIM(OrdersRawTable9[[#This Row],[Sales_Channel_Raw]])="Market place","Marketplace",TRIM(OrdersRawTable9[[#This Row],[Sales_Channel_Raw]]))</f>
        <v>Retail Store</v>
      </c>
      <c r="P41" s="10" t="s">
        <v>58</v>
      </c>
      <c r="Q41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41" s="15" t="s">
        <v>52</v>
      </c>
      <c r="S41" t="str">
        <f>VLOOKUP(OrdersRawTable9[[#This Row],[Customer_ID_Raw]],CustomersTable11[],4,FALSE)</f>
        <v>Alberta</v>
      </c>
      <c r="T41" t="str">
        <f>VLOOKUP(OrdersRawTable9[[#This Row],[Customer_ID_Raw]],CustomersTable11[],5,FALSE)</f>
        <v>Corporate</v>
      </c>
      <c r="U41" s="45">
        <f>VLOOKUP(OrdersRawTable9[[#This Row],[Product_ID]],ProductsTable10[],4,FALSE)</f>
        <v>129.41999999999999</v>
      </c>
      <c r="V41" t="str">
        <f>VLOOKUP(OrdersRawTable9[[#This Row],[Product_ID]],ProductsTable10[],3,FALSE)</f>
        <v>Home</v>
      </c>
      <c r="W41" s="45">
        <f>OrdersRawTable9[[#This Row],[Unit_Price]]*OrdersRawTable9[[#This Row],[Quantity]]</f>
        <v>234.37</v>
      </c>
      <c r="X41" s="47">
        <f>OrdersRawTable9[[#This Row],[Gross_Sales]]*OrdersRawTable9[[#This Row],[Discount_Pct]]</f>
        <v>0</v>
      </c>
      <c r="Y41" s="45">
        <f>OrdersRawTable9[[#This Row],[Gross_Sales]]-OrdersRawTable9[[#This Row],[Discount_Amount]]</f>
        <v>234.37</v>
      </c>
      <c r="Z41" s="45">
        <f>OrdersRawTable9[[#This Row],[Unit_Cost]]*OrdersRawTable9[[#This Row],[Quantity]]</f>
        <v>129.41999999999999</v>
      </c>
      <c r="AA41" s="45">
        <f>OrdersRawTable9[[#This Row],[Net_Sales]]-OrdersRawTable9[[#This Row],[Total_Cost]]</f>
        <v>104.95000000000002</v>
      </c>
      <c r="AB41" s="48">
        <f>IF(OrdersRawTable9[[#This Row],[Net_Sales]]=0,0,OrdersRawTable9[[#This Row],[Profit]]/OrdersRawTable9[[#This Row],[Net_Sales]])</f>
        <v>0.44779621965268601</v>
      </c>
      <c r="AC41" s="45" t="str">
        <f>IF(COUNTIF(ReturnsRawTable[Order_Line_ID],OrdersRawTable9[[#This Row],[Order_Line_ID]])&gt;0,"Yes","No")</f>
        <v>No</v>
      </c>
      <c r="AD41" s="45" t="str">
        <f>IFERROR(VLOOKUP(OrdersRawTable9[[#This Row],[Order_Line_ID]],ReturnsRawTable[[#All],[Order_Line_ID]:[Return_Reason_Raw]],3,FALSE),"")</f>
        <v/>
      </c>
      <c r="AE41" s="49" t="str">
        <f>IFERROR(VLOOKUP(OrdersRawTable9[[#This Row],[Order_Line_ID]],ReturnsRawTable[[#All],[Order_Line_ID]:[Return_Date]],2,FALSE),"")</f>
        <v/>
      </c>
      <c r="AF41" s="45" t="str">
        <f>IFERROR(VLOOKUP(OrdersRawTable9[[#This Row],[Order_Line_ID]],ReturnsRawTable[[Order_Line_ID]:[Refund_Status]],4,FALSE),"")</f>
        <v/>
      </c>
      <c r="AG41" s="45" t="str">
        <f>VLOOKUP(OrdersRawTable9[[#This Row],[Order_ID]],ShipmentsTable[],6,FALSE)</f>
        <v>Late</v>
      </c>
      <c r="AH41" s="49">
        <f>VLOOKUP(OrdersRawTable9[[#This Row],[Order_ID]],ShipmentsTable[],3,FALSE)</f>
        <v>45844</v>
      </c>
    </row>
    <row r="42" spans="1:34" ht="15" customHeight="1">
      <c r="A42" s="14" t="s">
        <v>153</v>
      </c>
      <c r="B42" s="10" t="s">
        <v>154</v>
      </c>
      <c r="C42" s="20">
        <v>45901</v>
      </c>
      <c r="D42" s="10" t="s">
        <v>155</v>
      </c>
      <c r="E42" s="10" t="s">
        <v>156</v>
      </c>
      <c r="F42" s="10" t="str">
        <f>TRIM(LEFT(OrdersRawTable9[[#This Row],[Customer_Info]],FIND(",",OrdersRawTable9[[#This Row],[Customer_Info]])-1))</f>
        <v>Sofia Martin</v>
      </c>
      <c r="G4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42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42" s="10">
        <f>LEN(OrdersRawTable9[[#This Row],[Customer_Info]])-LEN(SUBSTITUTE(OrdersRawTable9[[#This Row],[Customer_Info]],",",""))</f>
        <v>2</v>
      </c>
      <c r="J42" s="10" t="s">
        <v>130</v>
      </c>
      <c r="K42" s="23">
        <v>4</v>
      </c>
      <c r="L42" s="26">
        <v>265.73</v>
      </c>
      <c r="M42" s="29">
        <v>0.15</v>
      </c>
      <c r="N42" s="10" t="s">
        <v>70</v>
      </c>
      <c r="O42" s="10" t="str">
        <f>IF(TRIM(OrdersRawTable9[[#This Row],[Sales_Channel_Raw]])="Market place","Marketplace",TRIM(OrdersRawTable9[[#This Row],[Sales_Channel_Raw]]))</f>
        <v>online</v>
      </c>
      <c r="P42" s="10" t="s">
        <v>46</v>
      </c>
      <c r="Q42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42" s="15" t="s">
        <v>101</v>
      </c>
      <c r="S42" t="str">
        <f>VLOOKUP(OrdersRawTable9[[#This Row],[Customer_ID_Raw]],CustomersTable11[],4,FALSE)</f>
        <v>Ontario</v>
      </c>
      <c r="T42" t="str">
        <f>VLOOKUP(OrdersRawTable9[[#This Row],[Customer_ID_Raw]],CustomersTable11[],5,FALSE)</f>
        <v>Consumer</v>
      </c>
      <c r="U42" s="45">
        <f>VLOOKUP(OrdersRawTable9[[#This Row],[Product_ID]],ProductsTable10[],4,FALSE)</f>
        <v>154.16999999999999</v>
      </c>
      <c r="V42" t="str">
        <f>VLOOKUP(OrdersRawTable9[[#This Row],[Product_ID]],ProductsTable10[],3,FALSE)</f>
        <v>Electronics</v>
      </c>
      <c r="W42" s="45">
        <f>OrdersRawTable9[[#This Row],[Unit_Price]]*OrdersRawTable9[[#This Row],[Quantity]]</f>
        <v>1062.92</v>
      </c>
      <c r="X42" s="47">
        <f>OrdersRawTable9[[#This Row],[Gross_Sales]]*OrdersRawTable9[[#This Row],[Discount_Pct]]</f>
        <v>159.43800000000002</v>
      </c>
      <c r="Y42" s="45">
        <f>OrdersRawTable9[[#This Row],[Gross_Sales]]-OrdersRawTable9[[#This Row],[Discount_Amount]]</f>
        <v>903.48200000000008</v>
      </c>
      <c r="Z42" s="45">
        <f>OrdersRawTable9[[#This Row],[Unit_Cost]]*OrdersRawTable9[[#This Row],[Quantity]]</f>
        <v>616.67999999999995</v>
      </c>
      <c r="AA42" s="45">
        <f>OrdersRawTable9[[#This Row],[Net_Sales]]-OrdersRawTable9[[#This Row],[Total_Cost]]</f>
        <v>286.80200000000013</v>
      </c>
      <c r="AB42" s="48">
        <f>IF(OrdersRawTable9[[#This Row],[Net_Sales]]=0,0,OrdersRawTable9[[#This Row],[Profit]]/OrdersRawTable9[[#This Row],[Net_Sales]])</f>
        <v>0.31744074591414118</v>
      </c>
      <c r="AC42" s="45" t="str">
        <f>IF(COUNTIF(ReturnsRawTable[Order_Line_ID],OrdersRawTable9[[#This Row],[Order_Line_ID]])&gt;0,"Yes","No")</f>
        <v>No</v>
      </c>
      <c r="AD42" s="45" t="str">
        <f>IFERROR(VLOOKUP(OrdersRawTable9[[#This Row],[Order_Line_ID]],ReturnsRawTable[[#All],[Order_Line_ID]:[Return_Reason_Raw]],3,FALSE),"")</f>
        <v/>
      </c>
      <c r="AE42" s="49" t="str">
        <f>IFERROR(VLOOKUP(OrdersRawTable9[[#This Row],[Order_Line_ID]],ReturnsRawTable[[#All],[Order_Line_ID]:[Return_Date]],2,FALSE),"")</f>
        <v/>
      </c>
      <c r="AF42" s="45" t="str">
        <f>IFERROR(VLOOKUP(OrdersRawTable9[[#This Row],[Order_Line_ID]],ReturnsRawTable[[Order_Line_ID]:[Refund_Status]],4,FALSE),"")</f>
        <v/>
      </c>
      <c r="AG42" s="45" t="str">
        <f>VLOOKUP(OrdersRawTable9[[#This Row],[Order_ID]],ShipmentsTable[],6,FALSE)</f>
        <v>On time</v>
      </c>
      <c r="AH42" s="49">
        <f>VLOOKUP(OrdersRawTable9[[#This Row],[Order_ID]],ShipmentsTable[],3,FALSE)</f>
        <v>45906</v>
      </c>
    </row>
    <row r="43" spans="1:34" ht="15" customHeight="1">
      <c r="A43" s="14" t="s">
        <v>157</v>
      </c>
      <c r="B43" s="10" t="s">
        <v>158</v>
      </c>
      <c r="C43" s="20">
        <v>45886</v>
      </c>
      <c r="D43" s="10" t="s">
        <v>159</v>
      </c>
      <c r="E43" s="10" t="s">
        <v>160</v>
      </c>
      <c r="F43" s="10" t="str">
        <f>TRIM(LEFT(OrdersRawTable9[[#This Row],[Customer_Info]],FIND(",",OrdersRawTable9[[#This Row],[Customer_Info]])-1))</f>
        <v>Omar Brown</v>
      </c>
      <c r="G4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43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43" s="10">
        <f>LEN(OrdersRawTable9[[#This Row],[Customer_Info]])-LEN(SUBSTITUTE(OrdersRawTable9[[#This Row],[Customer_Info]],",",""))</f>
        <v>2</v>
      </c>
      <c r="J43" s="10" t="s">
        <v>44</v>
      </c>
      <c r="K43" s="23">
        <v>3</v>
      </c>
      <c r="L43" s="26">
        <v>238.47</v>
      </c>
      <c r="M43" s="29">
        <v>0.15</v>
      </c>
      <c r="N43" s="10" t="s">
        <v>66</v>
      </c>
      <c r="O43" s="10" t="str">
        <f>IF(TRIM(OrdersRawTable9[[#This Row],[Sales_Channel_Raw]])="Market place","Marketplace",TRIM(OrdersRawTable9[[#This Row],[Sales_Channel_Raw]]))</f>
        <v>Marketplace</v>
      </c>
      <c r="P43" s="10"/>
      <c r="Q43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43" s="15" t="s">
        <v>42</v>
      </c>
      <c r="S43" t="str">
        <f>VLOOKUP(OrdersRawTable9[[#This Row],[Customer_ID_Raw]],CustomersTable11[],4,FALSE)</f>
        <v>Nova Scotia</v>
      </c>
      <c r="T43" t="str">
        <f>VLOOKUP(OrdersRawTable9[[#This Row],[Customer_ID_Raw]],CustomersTable11[],5,FALSE)</f>
        <v>Consumer</v>
      </c>
      <c r="U43" s="45">
        <f>VLOOKUP(OrdersRawTable9[[#This Row],[Product_ID]],ProductsTable10[],4,FALSE)</f>
        <v>127.65</v>
      </c>
      <c r="V43" t="str">
        <f>VLOOKUP(OrdersRawTable9[[#This Row],[Product_ID]],ProductsTable10[],3,FALSE)</f>
        <v>Accessories</v>
      </c>
      <c r="W43" s="45">
        <f>OrdersRawTable9[[#This Row],[Unit_Price]]*OrdersRawTable9[[#This Row],[Quantity]]</f>
        <v>715.41</v>
      </c>
      <c r="X43" s="47">
        <f>OrdersRawTable9[[#This Row],[Gross_Sales]]*OrdersRawTable9[[#This Row],[Discount_Pct]]</f>
        <v>107.3115</v>
      </c>
      <c r="Y43" s="45">
        <f>OrdersRawTable9[[#This Row],[Gross_Sales]]-OrdersRawTable9[[#This Row],[Discount_Amount]]</f>
        <v>608.09849999999994</v>
      </c>
      <c r="Z43" s="45">
        <f>OrdersRawTable9[[#This Row],[Unit_Cost]]*OrdersRawTable9[[#This Row],[Quantity]]</f>
        <v>382.95000000000005</v>
      </c>
      <c r="AA43" s="45">
        <f>OrdersRawTable9[[#This Row],[Net_Sales]]-OrdersRawTable9[[#This Row],[Total_Cost]]</f>
        <v>225.1484999999999</v>
      </c>
      <c r="AB43" s="48">
        <f>IF(OrdersRawTable9[[#This Row],[Net_Sales]]=0,0,OrdersRawTable9[[#This Row],[Profit]]/OrdersRawTable9[[#This Row],[Net_Sales]])</f>
        <v>0.37025004995078908</v>
      </c>
      <c r="AC43" s="45" t="str">
        <f>IF(COUNTIF(ReturnsRawTable[Order_Line_ID],OrdersRawTable9[[#This Row],[Order_Line_ID]])&gt;0,"Yes","No")</f>
        <v>No</v>
      </c>
      <c r="AD43" s="45" t="str">
        <f>IFERROR(VLOOKUP(OrdersRawTable9[[#This Row],[Order_Line_ID]],ReturnsRawTable[[#All],[Order_Line_ID]:[Return_Reason_Raw]],3,FALSE),"")</f>
        <v/>
      </c>
      <c r="AE43" s="49" t="str">
        <f>IFERROR(VLOOKUP(OrdersRawTable9[[#This Row],[Order_Line_ID]],ReturnsRawTable[[#All],[Order_Line_ID]:[Return_Date]],2,FALSE),"")</f>
        <v/>
      </c>
      <c r="AF43" s="45" t="str">
        <f>IFERROR(VLOOKUP(OrdersRawTable9[[#This Row],[Order_Line_ID]],ReturnsRawTable[[Order_Line_ID]:[Refund_Status]],4,FALSE),"")</f>
        <v/>
      </c>
      <c r="AG43" s="45" t="str">
        <f>VLOOKUP(OrdersRawTable9[[#This Row],[Order_ID]],ShipmentsTable[],6,FALSE)</f>
        <v>On time</v>
      </c>
      <c r="AH43" s="49">
        <f>VLOOKUP(OrdersRawTable9[[#This Row],[Order_ID]],ShipmentsTable[],3,FALSE)</f>
        <v>45889</v>
      </c>
    </row>
    <row r="44" spans="1:34" ht="15" customHeight="1">
      <c r="A44" s="14" t="s">
        <v>161</v>
      </c>
      <c r="B44" s="10" t="s">
        <v>162</v>
      </c>
      <c r="C44" s="20">
        <v>45987</v>
      </c>
      <c r="D44" s="10" t="s">
        <v>163</v>
      </c>
      <c r="E44" s="10" t="s">
        <v>164</v>
      </c>
      <c r="F44" s="10" t="str">
        <f>TRIM(LEFT(OrdersRawTable9[[#This Row],[Customer_Info]],FIND(",",OrdersRawTable9[[#This Row],[Customer_Info]])-1))</f>
        <v>Yara Ali</v>
      </c>
      <c r="G4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44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44" s="10">
        <f>LEN(OrdersRawTable9[[#This Row],[Customer_Info]])-LEN(SUBSTITUTE(OrdersRawTable9[[#This Row],[Customer_Info]],",",""))</f>
        <v>2</v>
      </c>
      <c r="J44" s="10" t="s">
        <v>72</v>
      </c>
      <c r="K44" s="23">
        <v>4</v>
      </c>
      <c r="L44" s="26">
        <v>210.2</v>
      </c>
      <c r="M44" s="29">
        <v>0</v>
      </c>
      <c r="N44" s="10" t="s">
        <v>66</v>
      </c>
      <c r="O44" s="10" t="str">
        <f>IF(TRIM(OrdersRawTable9[[#This Row],[Sales_Channel_Raw]])="Market place","Marketplace",TRIM(OrdersRawTable9[[#This Row],[Sales_Channel_Raw]]))</f>
        <v>Marketplace</v>
      </c>
      <c r="P44" s="10" t="s">
        <v>58</v>
      </c>
      <c r="Q44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44" s="15" t="s">
        <v>47</v>
      </c>
      <c r="S44" t="str">
        <f>VLOOKUP(OrdersRawTable9[[#This Row],[Customer_ID_Raw]],CustomersTable11[],4,FALSE)</f>
        <v>Ontario</v>
      </c>
      <c r="T44" t="str">
        <f>VLOOKUP(OrdersRawTable9[[#This Row],[Customer_ID_Raw]],CustomersTable11[],5,FALSE)</f>
        <v>Small Business</v>
      </c>
      <c r="U44" s="45">
        <f>VLOOKUP(OrdersRawTable9[[#This Row],[Product_ID]],ProductsTable10[],4,FALSE)</f>
        <v>136.25</v>
      </c>
      <c r="V44" t="str">
        <f>VLOOKUP(OrdersRawTable9[[#This Row],[Product_ID]],ProductsTable10[],3,FALSE)</f>
        <v>Fitness</v>
      </c>
      <c r="W44" s="45">
        <f>OrdersRawTable9[[#This Row],[Unit_Price]]*OrdersRawTable9[[#This Row],[Quantity]]</f>
        <v>840.8</v>
      </c>
      <c r="X44" s="47">
        <f>OrdersRawTable9[[#This Row],[Gross_Sales]]*OrdersRawTable9[[#This Row],[Discount_Pct]]</f>
        <v>0</v>
      </c>
      <c r="Y44" s="45">
        <f>OrdersRawTable9[[#This Row],[Gross_Sales]]-OrdersRawTable9[[#This Row],[Discount_Amount]]</f>
        <v>840.8</v>
      </c>
      <c r="Z44" s="45">
        <f>OrdersRawTable9[[#This Row],[Unit_Cost]]*OrdersRawTable9[[#This Row],[Quantity]]</f>
        <v>545</v>
      </c>
      <c r="AA44" s="45">
        <f>OrdersRawTable9[[#This Row],[Net_Sales]]-OrdersRawTable9[[#This Row],[Total_Cost]]</f>
        <v>295.79999999999995</v>
      </c>
      <c r="AB44" s="48">
        <f>IF(OrdersRawTable9[[#This Row],[Net_Sales]]=0,0,OrdersRawTable9[[#This Row],[Profit]]/OrdersRawTable9[[#This Row],[Net_Sales]])</f>
        <v>0.35180780209324447</v>
      </c>
      <c r="AC44" s="45" t="str">
        <f>IF(COUNTIF(ReturnsRawTable[Order_Line_ID],OrdersRawTable9[[#This Row],[Order_Line_ID]])&gt;0,"Yes","No")</f>
        <v>Yes</v>
      </c>
      <c r="AD44" s="45" t="str">
        <f>IFERROR(VLOOKUP(OrdersRawTable9[[#This Row],[Order_Line_ID]],ReturnsRawTable[[#All],[Order_Line_ID]:[Return_Reason_Raw]],3,FALSE),"")</f>
        <v>Wrong Item</v>
      </c>
      <c r="AE44" s="49">
        <f>IFERROR(VLOOKUP(OrdersRawTable9[[#This Row],[Order_Line_ID]],ReturnsRawTable[[#All],[Order_Line_ID]:[Return_Date]],2,FALSE),"")</f>
        <v>46017</v>
      </c>
      <c r="AF44" s="45" t="str">
        <f>IFERROR(VLOOKUP(OrdersRawTable9[[#This Row],[Order_Line_ID]],ReturnsRawTable[[Order_Line_ID]:[Refund_Status]],4,FALSE),"")</f>
        <v>Refunded</v>
      </c>
      <c r="AG44" s="45" t="str">
        <f>VLOOKUP(OrdersRawTable9[[#This Row],[Order_ID]],ShipmentsTable[],6,FALSE)</f>
        <v>Late</v>
      </c>
      <c r="AH44" s="49">
        <f>VLOOKUP(OrdersRawTable9[[#This Row],[Order_ID]],ShipmentsTable[],3,FALSE)</f>
        <v>45997</v>
      </c>
    </row>
    <row r="45" spans="1:34" ht="15" customHeight="1">
      <c r="A45" s="14" t="s">
        <v>165</v>
      </c>
      <c r="B45" s="10" t="s">
        <v>162</v>
      </c>
      <c r="C45" s="20">
        <v>45987</v>
      </c>
      <c r="D45" s="10" t="s">
        <v>163</v>
      </c>
      <c r="E45" s="10" t="s">
        <v>164</v>
      </c>
      <c r="F45" s="10" t="str">
        <f>TRIM(LEFT(OrdersRawTable9[[#This Row],[Customer_Info]],FIND(",",OrdersRawTable9[[#This Row],[Customer_Info]])-1))</f>
        <v>Yara Ali</v>
      </c>
      <c r="G4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45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45" s="10">
        <f>LEN(OrdersRawTable9[[#This Row],[Customer_Info]])-LEN(SUBSTITUTE(OrdersRawTable9[[#This Row],[Customer_Info]],",",""))</f>
        <v>2</v>
      </c>
      <c r="J45" s="10" t="s">
        <v>69</v>
      </c>
      <c r="K45" s="23">
        <v>4</v>
      </c>
      <c r="L45" s="26">
        <v>75.75</v>
      </c>
      <c r="M45" s="29">
        <v>0.05</v>
      </c>
      <c r="N45" s="10" t="s">
        <v>40</v>
      </c>
      <c r="O45" s="10" t="str">
        <f>IF(TRIM(OrdersRawTable9[[#This Row],[Sales_Channel_Raw]])="Market place","Marketplace",TRIM(OrdersRawTable9[[#This Row],[Sales_Channel_Raw]]))</f>
        <v>Online</v>
      </c>
      <c r="P45" s="10" t="s">
        <v>41</v>
      </c>
      <c r="Q45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45" s="15" t="s">
        <v>42</v>
      </c>
      <c r="S45" t="str">
        <f>VLOOKUP(OrdersRawTable9[[#This Row],[Customer_ID_Raw]],CustomersTable11[],4,FALSE)</f>
        <v>Ontario</v>
      </c>
      <c r="T45" t="str">
        <f>VLOOKUP(OrdersRawTable9[[#This Row],[Customer_ID_Raw]],CustomersTable11[],5,FALSE)</f>
        <v>Small Business</v>
      </c>
      <c r="U45" s="45">
        <f>VLOOKUP(OrdersRawTable9[[#This Row],[Product_ID]],ProductsTable10[],4,FALSE)</f>
        <v>42.37</v>
      </c>
      <c r="V45" t="str">
        <f>VLOOKUP(OrdersRawTable9[[#This Row],[Product_ID]],ProductsTable10[],3,FALSE)</f>
        <v>Office</v>
      </c>
      <c r="W45" s="45">
        <f>OrdersRawTable9[[#This Row],[Unit_Price]]*OrdersRawTable9[[#This Row],[Quantity]]</f>
        <v>303</v>
      </c>
      <c r="X45" s="47">
        <f>OrdersRawTable9[[#This Row],[Gross_Sales]]*OrdersRawTable9[[#This Row],[Discount_Pct]]</f>
        <v>15.15</v>
      </c>
      <c r="Y45" s="45">
        <f>OrdersRawTable9[[#This Row],[Gross_Sales]]-OrdersRawTable9[[#This Row],[Discount_Amount]]</f>
        <v>287.85000000000002</v>
      </c>
      <c r="Z45" s="45">
        <f>OrdersRawTable9[[#This Row],[Unit_Cost]]*OrdersRawTable9[[#This Row],[Quantity]]</f>
        <v>169.48</v>
      </c>
      <c r="AA45" s="45">
        <f>OrdersRawTable9[[#This Row],[Net_Sales]]-OrdersRawTable9[[#This Row],[Total_Cost]]</f>
        <v>118.37000000000003</v>
      </c>
      <c r="AB45" s="48">
        <f>IF(OrdersRawTable9[[#This Row],[Net_Sales]]=0,0,OrdersRawTable9[[#This Row],[Profit]]/OrdersRawTable9[[#This Row],[Net_Sales]])</f>
        <v>0.41122112211221129</v>
      </c>
      <c r="AC45" s="45" t="str">
        <f>IF(COUNTIF(ReturnsRawTable[Order_Line_ID],OrdersRawTable9[[#This Row],[Order_Line_ID]])&gt;0,"Yes","No")</f>
        <v>No</v>
      </c>
      <c r="AD45" s="45" t="str">
        <f>IFERROR(VLOOKUP(OrdersRawTable9[[#This Row],[Order_Line_ID]],ReturnsRawTable[[#All],[Order_Line_ID]:[Return_Reason_Raw]],3,FALSE),"")</f>
        <v/>
      </c>
      <c r="AE45" s="49" t="str">
        <f>IFERROR(VLOOKUP(OrdersRawTable9[[#This Row],[Order_Line_ID]],ReturnsRawTable[[#All],[Order_Line_ID]:[Return_Date]],2,FALSE),"")</f>
        <v/>
      </c>
      <c r="AF45" s="45" t="str">
        <f>IFERROR(VLOOKUP(OrdersRawTable9[[#This Row],[Order_Line_ID]],ReturnsRawTable[[Order_Line_ID]:[Refund_Status]],4,FALSE),"")</f>
        <v/>
      </c>
      <c r="AG45" s="45" t="str">
        <f>VLOOKUP(OrdersRawTable9[[#This Row],[Order_ID]],ShipmentsTable[],6,FALSE)</f>
        <v>Late</v>
      </c>
      <c r="AH45" s="49">
        <f>VLOOKUP(OrdersRawTable9[[#This Row],[Order_ID]],ShipmentsTable[],3,FALSE)</f>
        <v>45997</v>
      </c>
    </row>
    <row r="46" spans="1:34" ht="15" customHeight="1">
      <c r="A46" s="14" t="s">
        <v>166</v>
      </c>
      <c r="B46" s="10" t="s">
        <v>167</v>
      </c>
      <c r="C46" s="20">
        <v>45962</v>
      </c>
      <c r="D46" s="10" t="s">
        <v>168</v>
      </c>
      <c r="E46" s="10" t="s">
        <v>169</v>
      </c>
      <c r="F46" s="10" t="str">
        <f>TRIM(LEFT(OrdersRawTable9[[#This Row],[Customer_Info]],FIND(",",OrdersRawTable9[[#This Row],[Customer_Info]])-1))</f>
        <v>Adam Brown</v>
      </c>
      <c r="G4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46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46" s="10">
        <f>LEN(OrdersRawTable9[[#This Row],[Customer_Info]])-LEN(SUBSTITUTE(OrdersRawTable9[[#This Row],[Customer_Info]],",",""))</f>
        <v>2</v>
      </c>
      <c r="J46" s="10" t="s">
        <v>110</v>
      </c>
      <c r="K46" s="23">
        <v>1</v>
      </c>
      <c r="L46" s="26">
        <v>133.24</v>
      </c>
      <c r="M46" s="29">
        <v>0.15</v>
      </c>
      <c r="N46" s="10" t="s">
        <v>70</v>
      </c>
      <c r="O46" s="10" t="str">
        <f>IF(TRIM(OrdersRawTable9[[#This Row],[Sales_Channel_Raw]])="Market place","Marketplace",TRIM(OrdersRawTable9[[#This Row],[Sales_Channel_Raw]]))</f>
        <v>online</v>
      </c>
      <c r="P46" s="10"/>
      <c r="Q46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46" s="15" t="s">
        <v>47</v>
      </c>
      <c r="S46" t="str">
        <f>VLOOKUP(OrdersRawTable9[[#This Row],[Customer_ID_Raw]],CustomersTable11[],4,FALSE)</f>
        <v>Alberta</v>
      </c>
      <c r="T46" t="str">
        <f>VLOOKUP(OrdersRawTable9[[#This Row],[Customer_ID_Raw]],CustomersTable11[],5,FALSE)</f>
        <v>Small Business</v>
      </c>
      <c r="U46" s="45">
        <f>VLOOKUP(OrdersRawTable9[[#This Row],[Product_ID]],ProductsTable10[],4,FALSE)</f>
        <v>77.540000000000006</v>
      </c>
      <c r="V46" t="str">
        <f>VLOOKUP(OrdersRawTable9[[#This Row],[Product_ID]],ProductsTable10[],3,FALSE)</f>
        <v>Electronics</v>
      </c>
      <c r="W46" s="45">
        <f>OrdersRawTable9[[#This Row],[Unit_Price]]*OrdersRawTable9[[#This Row],[Quantity]]</f>
        <v>133.24</v>
      </c>
      <c r="X46" s="47">
        <f>OrdersRawTable9[[#This Row],[Gross_Sales]]*OrdersRawTable9[[#This Row],[Discount_Pct]]</f>
        <v>19.986000000000001</v>
      </c>
      <c r="Y46" s="45">
        <f>OrdersRawTable9[[#This Row],[Gross_Sales]]-OrdersRawTable9[[#This Row],[Discount_Amount]]</f>
        <v>113.254</v>
      </c>
      <c r="Z46" s="45">
        <f>OrdersRawTable9[[#This Row],[Unit_Cost]]*OrdersRawTable9[[#This Row],[Quantity]]</f>
        <v>77.540000000000006</v>
      </c>
      <c r="AA46" s="45">
        <f>OrdersRawTable9[[#This Row],[Net_Sales]]-OrdersRawTable9[[#This Row],[Total_Cost]]</f>
        <v>35.713999999999999</v>
      </c>
      <c r="AB46" s="48">
        <f>IF(OrdersRawTable9[[#This Row],[Net_Sales]]=0,0,OrdersRawTable9[[#This Row],[Profit]]/OrdersRawTable9[[#This Row],[Net_Sales]])</f>
        <v>0.3153442704010454</v>
      </c>
      <c r="AC46" s="45" t="str">
        <f>IF(COUNTIF(ReturnsRawTable[Order_Line_ID],OrdersRawTable9[[#This Row],[Order_Line_ID]])&gt;0,"Yes","No")</f>
        <v>Yes</v>
      </c>
      <c r="AD46" s="45" t="str">
        <f>IFERROR(VLOOKUP(OrdersRawTable9[[#This Row],[Order_Line_ID]],ReturnsRawTable[[#All],[Order_Line_ID]:[Return_Reason_Raw]],3,FALSE),"")</f>
        <v>Wrong Item</v>
      </c>
      <c r="AE46" s="49">
        <f>IFERROR(VLOOKUP(OrdersRawTable9[[#This Row],[Order_Line_ID]],ReturnsRawTable[[#All],[Order_Line_ID]:[Return_Date]],2,FALSE),"")</f>
        <v>45972</v>
      </c>
      <c r="AF46" s="45" t="str">
        <f>IFERROR(VLOOKUP(OrdersRawTable9[[#This Row],[Order_Line_ID]],ReturnsRawTable[[Order_Line_ID]:[Refund_Status]],4,FALSE),"")</f>
        <v>Pending</v>
      </c>
      <c r="AG46" s="45" t="str">
        <f>VLOOKUP(OrdersRawTable9[[#This Row],[Order_ID]],ShipmentsTable[],6,FALSE)</f>
        <v>Late</v>
      </c>
      <c r="AH46" s="49">
        <f>VLOOKUP(OrdersRawTable9[[#This Row],[Order_ID]],ShipmentsTable[],3,FALSE)</f>
        <v>45971</v>
      </c>
    </row>
    <row r="47" spans="1:34" ht="15" customHeight="1">
      <c r="A47" s="14" t="s">
        <v>170</v>
      </c>
      <c r="B47" s="10" t="s">
        <v>167</v>
      </c>
      <c r="C47" s="20">
        <v>45962</v>
      </c>
      <c r="D47" s="10" t="s">
        <v>168</v>
      </c>
      <c r="E47" s="10" t="s">
        <v>169</v>
      </c>
      <c r="F47" s="10" t="str">
        <f>TRIM(LEFT(OrdersRawTable9[[#This Row],[Customer_Info]],FIND(",",OrdersRawTable9[[#This Row],[Customer_Info]])-1))</f>
        <v>Adam Brown</v>
      </c>
      <c r="G4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47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47" s="10">
        <f>LEN(OrdersRawTable9[[#This Row],[Customer_Info]])-LEN(SUBSTITUTE(OrdersRawTable9[[#This Row],[Customer_Info]],",",""))</f>
        <v>2</v>
      </c>
      <c r="J47" s="10" t="s">
        <v>171</v>
      </c>
      <c r="K47" s="23">
        <v>4</v>
      </c>
      <c r="L47" s="26">
        <v>228.81</v>
      </c>
      <c r="M47" s="29">
        <v>0.15</v>
      </c>
      <c r="N47" s="10" t="s">
        <v>45</v>
      </c>
      <c r="O47" s="10" t="str">
        <f>IF(TRIM(OrdersRawTable9[[#This Row],[Sales_Channel_Raw]])="Market place","Marketplace",TRIM(OrdersRawTable9[[#This Row],[Sales_Channel_Raw]]))</f>
        <v>Retail Store</v>
      </c>
      <c r="P47" s="10" t="s">
        <v>41</v>
      </c>
      <c r="Q47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47" s="15" t="s">
        <v>52</v>
      </c>
      <c r="S47" t="str">
        <f>VLOOKUP(OrdersRawTable9[[#This Row],[Customer_ID_Raw]],CustomersTable11[],4,FALSE)</f>
        <v>Alberta</v>
      </c>
      <c r="T47" t="str">
        <f>VLOOKUP(OrdersRawTable9[[#This Row],[Customer_ID_Raw]],CustomersTable11[],5,FALSE)</f>
        <v>Small Business</v>
      </c>
      <c r="U47" s="45">
        <f>VLOOKUP(OrdersRawTable9[[#This Row],[Product_ID]],ProductsTable10[],4,FALSE)</f>
        <v>130.9</v>
      </c>
      <c r="V47" t="str">
        <f>VLOOKUP(OrdersRawTable9[[#This Row],[Product_ID]],ProductsTable10[],3,FALSE)</f>
        <v>Accessories</v>
      </c>
      <c r="W47" s="45">
        <f>OrdersRawTable9[[#This Row],[Unit_Price]]*OrdersRawTable9[[#This Row],[Quantity]]</f>
        <v>915.24</v>
      </c>
      <c r="X47" s="47">
        <f>OrdersRawTable9[[#This Row],[Gross_Sales]]*OrdersRawTable9[[#This Row],[Discount_Pct]]</f>
        <v>137.286</v>
      </c>
      <c r="Y47" s="45">
        <f>OrdersRawTable9[[#This Row],[Gross_Sales]]-OrdersRawTable9[[#This Row],[Discount_Amount]]</f>
        <v>777.95399999999995</v>
      </c>
      <c r="Z47" s="45">
        <f>OrdersRawTable9[[#This Row],[Unit_Cost]]*OrdersRawTable9[[#This Row],[Quantity]]</f>
        <v>523.6</v>
      </c>
      <c r="AA47" s="45">
        <f>OrdersRawTable9[[#This Row],[Net_Sales]]-OrdersRawTable9[[#This Row],[Total_Cost]]</f>
        <v>254.35399999999993</v>
      </c>
      <c r="AB47" s="48">
        <f>IF(OrdersRawTable9[[#This Row],[Net_Sales]]=0,0,OrdersRawTable9[[#This Row],[Profit]]/OrdersRawTable9[[#This Row],[Net_Sales]])</f>
        <v>0.32695249333508142</v>
      </c>
      <c r="AC47" s="45" t="str">
        <f>IF(COUNTIF(ReturnsRawTable[Order_Line_ID],OrdersRawTable9[[#This Row],[Order_Line_ID]])&gt;0,"Yes","No")</f>
        <v>No</v>
      </c>
      <c r="AD47" s="45" t="str">
        <f>IFERROR(VLOOKUP(OrdersRawTable9[[#This Row],[Order_Line_ID]],ReturnsRawTable[[#All],[Order_Line_ID]:[Return_Reason_Raw]],3,FALSE),"")</f>
        <v/>
      </c>
      <c r="AE47" s="49" t="str">
        <f>IFERROR(VLOOKUP(OrdersRawTable9[[#This Row],[Order_Line_ID]],ReturnsRawTable[[#All],[Order_Line_ID]:[Return_Date]],2,FALSE),"")</f>
        <v/>
      </c>
      <c r="AF47" s="45" t="str">
        <f>IFERROR(VLOOKUP(OrdersRawTable9[[#This Row],[Order_Line_ID]],ReturnsRawTable[[Order_Line_ID]:[Refund_Status]],4,FALSE),"")</f>
        <v/>
      </c>
      <c r="AG47" s="45" t="str">
        <f>VLOOKUP(OrdersRawTable9[[#This Row],[Order_ID]],ShipmentsTable[],6,FALSE)</f>
        <v>Late</v>
      </c>
      <c r="AH47" s="49">
        <f>VLOOKUP(OrdersRawTable9[[#This Row],[Order_ID]],ShipmentsTable[],3,FALSE)</f>
        <v>45971</v>
      </c>
    </row>
    <row r="48" spans="1:34" ht="15" customHeight="1">
      <c r="A48" s="14" t="s">
        <v>172</v>
      </c>
      <c r="B48" s="10" t="s">
        <v>167</v>
      </c>
      <c r="C48" s="20">
        <v>45962</v>
      </c>
      <c r="D48" s="10" t="s">
        <v>168</v>
      </c>
      <c r="E48" s="10" t="s">
        <v>169</v>
      </c>
      <c r="F48" s="10" t="str">
        <f>TRIM(LEFT(OrdersRawTable9[[#This Row],[Customer_Info]],FIND(",",OrdersRawTable9[[#This Row],[Customer_Info]])-1))</f>
        <v>Adam Brown</v>
      </c>
      <c r="G4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48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48" s="10">
        <f>LEN(OrdersRawTable9[[#This Row],[Customer_Info]])-LEN(SUBSTITUTE(OrdersRawTable9[[#This Row],[Customer_Info]],",",""))</f>
        <v>2</v>
      </c>
      <c r="J48" s="10" t="s">
        <v>44</v>
      </c>
      <c r="K48" s="23">
        <v>2</v>
      </c>
      <c r="L48" s="26">
        <v>238.47</v>
      </c>
      <c r="M48" s="29">
        <v>0.05</v>
      </c>
      <c r="N48" s="10" t="s">
        <v>45</v>
      </c>
      <c r="O48" s="10" t="str">
        <f>IF(TRIM(OrdersRawTable9[[#This Row],[Sales_Channel_Raw]])="Market place","Marketplace",TRIM(OrdersRawTable9[[#This Row],[Sales_Channel_Raw]]))</f>
        <v>Retail Store</v>
      </c>
      <c r="P48" s="10" t="s">
        <v>46</v>
      </c>
      <c r="Q48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48" s="15" t="s">
        <v>52</v>
      </c>
      <c r="S48" t="str">
        <f>VLOOKUP(OrdersRawTable9[[#This Row],[Customer_ID_Raw]],CustomersTable11[],4,FALSE)</f>
        <v>Alberta</v>
      </c>
      <c r="T48" t="str">
        <f>VLOOKUP(OrdersRawTable9[[#This Row],[Customer_ID_Raw]],CustomersTable11[],5,FALSE)</f>
        <v>Small Business</v>
      </c>
      <c r="U48" s="45">
        <f>VLOOKUP(OrdersRawTable9[[#This Row],[Product_ID]],ProductsTable10[],4,FALSE)</f>
        <v>127.65</v>
      </c>
      <c r="V48" t="str">
        <f>VLOOKUP(OrdersRawTable9[[#This Row],[Product_ID]],ProductsTable10[],3,FALSE)</f>
        <v>Accessories</v>
      </c>
      <c r="W48" s="45">
        <f>OrdersRawTable9[[#This Row],[Unit_Price]]*OrdersRawTable9[[#This Row],[Quantity]]</f>
        <v>476.94</v>
      </c>
      <c r="X48" s="47">
        <f>OrdersRawTable9[[#This Row],[Gross_Sales]]*OrdersRawTable9[[#This Row],[Discount_Pct]]</f>
        <v>23.847000000000001</v>
      </c>
      <c r="Y48" s="45">
        <f>OrdersRawTable9[[#This Row],[Gross_Sales]]-OrdersRawTable9[[#This Row],[Discount_Amount]]</f>
        <v>453.09300000000002</v>
      </c>
      <c r="Z48" s="45">
        <f>OrdersRawTable9[[#This Row],[Unit_Cost]]*OrdersRawTable9[[#This Row],[Quantity]]</f>
        <v>255.3</v>
      </c>
      <c r="AA48" s="45">
        <f>OrdersRawTable9[[#This Row],[Net_Sales]]-OrdersRawTable9[[#This Row],[Total_Cost]]</f>
        <v>197.79300000000001</v>
      </c>
      <c r="AB48" s="48">
        <f>IF(OrdersRawTable9[[#This Row],[Net_Sales]]=0,0,OrdersRawTable9[[#This Row],[Profit]]/OrdersRawTable9[[#This Row],[Net_Sales]])</f>
        <v>0.43653951837702193</v>
      </c>
      <c r="AC48" s="45" t="str">
        <f>IF(COUNTIF(ReturnsRawTable[Order_Line_ID],OrdersRawTable9[[#This Row],[Order_Line_ID]])&gt;0,"Yes","No")</f>
        <v>No</v>
      </c>
      <c r="AD48" s="45" t="str">
        <f>IFERROR(VLOOKUP(OrdersRawTable9[[#This Row],[Order_Line_ID]],ReturnsRawTable[[#All],[Order_Line_ID]:[Return_Reason_Raw]],3,FALSE),"")</f>
        <v/>
      </c>
      <c r="AE48" s="49" t="str">
        <f>IFERROR(VLOOKUP(OrdersRawTable9[[#This Row],[Order_Line_ID]],ReturnsRawTable[[#All],[Order_Line_ID]:[Return_Date]],2,FALSE),"")</f>
        <v/>
      </c>
      <c r="AF48" s="45" t="str">
        <f>IFERROR(VLOOKUP(OrdersRawTable9[[#This Row],[Order_Line_ID]],ReturnsRawTable[[Order_Line_ID]:[Refund_Status]],4,FALSE),"")</f>
        <v/>
      </c>
      <c r="AG48" s="45" t="str">
        <f>VLOOKUP(OrdersRawTable9[[#This Row],[Order_ID]],ShipmentsTable[],6,FALSE)</f>
        <v>Late</v>
      </c>
      <c r="AH48" s="49">
        <f>VLOOKUP(OrdersRawTable9[[#This Row],[Order_ID]],ShipmentsTable[],3,FALSE)</f>
        <v>45971</v>
      </c>
    </row>
    <row r="49" spans="1:34" ht="15" customHeight="1">
      <c r="A49" s="14" t="s">
        <v>173</v>
      </c>
      <c r="B49" s="10" t="s">
        <v>167</v>
      </c>
      <c r="C49" s="20">
        <v>45962</v>
      </c>
      <c r="D49" s="10" t="s">
        <v>168</v>
      </c>
      <c r="E49" s="10" t="s">
        <v>169</v>
      </c>
      <c r="F49" s="10" t="str">
        <f>TRIM(LEFT(OrdersRawTable9[[#This Row],[Customer_Info]],FIND(",",OrdersRawTable9[[#This Row],[Customer_Info]])-1))</f>
        <v>Adam Brown</v>
      </c>
      <c r="G4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49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49" s="10">
        <f>LEN(OrdersRawTable9[[#This Row],[Customer_Info]])-LEN(SUBSTITUTE(OrdersRawTable9[[#This Row],[Customer_Info]],",",""))</f>
        <v>2</v>
      </c>
      <c r="J49" s="10" t="s">
        <v>128</v>
      </c>
      <c r="K49" s="23">
        <v>4</v>
      </c>
      <c r="L49" s="26">
        <v>25.15</v>
      </c>
      <c r="M49" s="29">
        <v>0.1</v>
      </c>
      <c r="N49" s="10" t="s">
        <v>70</v>
      </c>
      <c r="O49" s="10" t="str">
        <f>IF(TRIM(OrdersRawTable9[[#This Row],[Sales_Channel_Raw]])="Market place","Marketplace",TRIM(OrdersRawTable9[[#This Row],[Sales_Channel_Raw]]))</f>
        <v>online</v>
      </c>
      <c r="P49" s="10" t="s">
        <v>41</v>
      </c>
      <c r="Q49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49" s="15" t="s">
        <v>42</v>
      </c>
      <c r="S49" t="str">
        <f>VLOOKUP(OrdersRawTable9[[#This Row],[Customer_ID_Raw]],CustomersTable11[],4,FALSE)</f>
        <v>Alberta</v>
      </c>
      <c r="T49" t="str">
        <f>VLOOKUP(OrdersRawTable9[[#This Row],[Customer_ID_Raw]],CustomersTable11[],5,FALSE)</f>
        <v>Small Business</v>
      </c>
      <c r="U49" s="45">
        <f>VLOOKUP(OrdersRawTable9[[#This Row],[Product_ID]],ProductsTable10[],4,FALSE)</f>
        <v>14.24</v>
      </c>
      <c r="V49" t="str">
        <f>VLOOKUP(OrdersRawTable9[[#This Row],[Product_ID]],ProductsTable10[],3,FALSE)</f>
        <v>Electronics</v>
      </c>
      <c r="W49" s="45">
        <f>OrdersRawTable9[[#This Row],[Unit_Price]]*OrdersRawTable9[[#This Row],[Quantity]]</f>
        <v>100.6</v>
      </c>
      <c r="X49" s="47">
        <f>OrdersRawTable9[[#This Row],[Gross_Sales]]*OrdersRawTable9[[#This Row],[Discount_Pct]]</f>
        <v>10.06</v>
      </c>
      <c r="Y49" s="45">
        <f>OrdersRawTable9[[#This Row],[Gross_Sales]]-OrdersRawTable9[[#This Row],[Discount_Amount]]</f>
        <v>90.539999999999992</v>
      </c>
      <c r="Z49" s="45">
        <f>OrdersRawTable9[[#This Row],[Unit_Cost]]*OrdersRawTable9[[#This Row],[Quantity]]</f>
        <v>56.96</v>
      </c>
      <c r="AA49" s="45">
        <f>OrdersRawTable9[[#This Row],[Net_Sales]]-OrdersRawTable9[[#This Row],[Total_Cost]]</f>
        <v>33.579999999999991</v>
      </c>
      <c r="AB49" s="48">
        <f>IF(OrdersRawTable9[[#This Row],[Net_Sales]]=0,0,OrdersRawTable9[[#This Row],[Profit]]/OrdersRawTable9[[#This Row],[Net_Sales]])</f>
        <v>0.37088579633311236</v>
      </c>
      <c r="AC49" s="45" t="str">
        <f>IF(COUNTIF(ReturnsRawTable[Order_Line_ID],OrdersRawTable9[[#This Row],[Order_Line_ID]])&gt;0,"Yes","No")</f>
        <v>No</v>
      </c>
      <c r="AD49" s="45" t="str">
        <f>IFERROR(VLOOKUP(OrdersRawTable9[[#This Row],[Order_Line_ID]],ReturnsRawTable[[#All],[Order_Line_ID]:[Return_Reason_Raw]],3,FALSE),"")</f>
        <v/>
      </c>
      <c r="AE49" s="49" t="str">
        <f>IFERROR(VLOOKUP(OrdersRawTable9[[#This Row],[Order_Line_ID]],ReturnsRawTable[[#All],[Order_Line_ID]:[Return_Date]],2,FALSE),"")</f>
        <v/>
      </c>
      <c r="AF49" s="45" t="str">
        <f>IFERROR(VLOOKUP(OrdersRawTable9[[#This Row],[Order_Line_ID]],ReturnsRawTable[[Order_Line_ID]:[Refund_Status]],4,FALSE),"")</f>
        <v/>
      </c>
      <c r="AG49" s="45" t="str">
        <f>VLOOKUP(OrdersRawTable9[[#This Row],[Order_ID]],ShipmentsTable[],6,FALSE)</f>
        <v>Late</v>
      </c>
      <c r="AH49" s="49">
        <f>VLOOKUP(OrdersRawTable9[[#This Row],[Order_ID]],ShipmentsTable[],3,FALSE)</f>
        <v>45971</v>
      </c>
    </row>
    <row r="50" spans="1:34" ht="15" customHeight="1">
      <c r="A50" s="14" t="s">
        <v>174</v>
      </c>
      <c r="B50" s="10" t="s">
        <v>175</v>
      </c>
      <c r="C50" s="20">
        <v>45715.041666666664</v>
      </c>
      <c r="D50" s="10" t="s">
        <v>176</v>
      </c>
      <c r="E50" s="10" t="s">
        <v>177</v>
      </c>
      <c r="F50" s="10" t="str">
        <f>TRIM(LEFT(OrdersRawTable9[[#This Row],[Customer_Info]],FIND(",",OrdersRawTable9[[#This Row],[Customer_Info]])-1))</f>
        <v>Noah Brown</v>
      </c>
      <c r="G5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50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50" s="10">
        <f>LEN(OrdersRawTable9[[#This Row],[Customer_Info]])-LEN(SUBSTITUTE(OrdersRawTable9[[#This Row],[Customer_Info]],",",""))</f>
        <v>2</v>
      </c>
      <c r="J50" s="10" t="s">
        <v>178</v>
      </c>
      <c r="K50" s="23">
        <v>4</v>
      </c>
      <c r="L50" s="26">
        <v>61.81</v>
      </c>
      <c r="M50" s="29">
        <v>0.1</v>
      </c>
      <c r="N50" s="10" t="s">
        <v>66</v>
      </c>
      <c r="O50" s="10" t="str">
        <f>IF(TRIM(OrdersRawTable9[[#This Row],[Sales_Channel_Raw]])="Market place","Marketplace",TRIM(OrdersRawTable9[[#This Row],[Sales_Channel_Raw]]))</f>
        <v>Marketplace</v>
      </c>
      <c r="P50" s="10" t="s">
        <v>58</v>
      </c>
      <c r="Q50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50" s="15" t="s">
        <v>101</v>
      </c>
      <c r="S50" t="str">
        <f>VLOOKUP(OrdersRawTable9[[#This Row],[Customer_ID_Raw]],CustomersTable11[],4,FALSE)</f>
        <v>Ontario</v>
      </c>
      <c r="T50" t="str">
        <f>VLOOKUP(OrdersRawTable9[[#This Row],[Customer_ID_Raw]],CustomersTable11[],5,FALSE)</f>
        <v>Consumer</v>
      </c>
      <c r="U50" s="45">
        <f>VLOOKUP(OrdersRawTable9[[#This Row],[Product_ID]],ProductsTable10[],4,FALSE)</f>
        <v>33.19</v>
      </c>
      <c r="V50" t="str">
        <f>VLOOKUP(OrdersRawTable9[[#This Row],[Product_ID]],ProductsTable10[],3,FALSE)</f>
        <v>Office</v>
      </c>
      <c r="W50" s="45">
        <f>OrdersRawTable9[[#This Row],[Unit_Price]]*OrdersRawTable9[[#This Row],[Quantity]]</f>
        <v>247.24</v>
      </c>
      <c r="X50" s="47">
        <f>OrdersRawTable9[[#This Row],[Gross_Sales]]*OrdersRawTable9[[#This Row],[Discount_Pct]]</f>
        <v>24.724000000000004</v>
      </c>
      <c r="Y50" s="45">
        <f>OrdersRawTable9[[#This Row],[Gross_Sales]]-OrdersRawTable9[[#This Row],[Discount_Amount]]</f>
        <v>222.51600000000002</v>
      </c>
      <c r="Z50" s="45">
        <f>OrdersRawTable9[[#This Row],[Unit_Cost]]*OrdersRawTable9[[#This Row],[Quantity]]</f>
        <v>132.76</v>
      </c>
      <c r="AA50" s="45">
        <f>OrdersRawTable9[[#This Row],[Net_Sales]]-OrdersRawTable9[[#This Row],[Total_Cost]]</f>
        <v>89.756000000000029</v>
      </c>
      <c r="AB50" s="48">
        <f>IF(OrdersRawTable9[[#This Row],[Net_Sales]]=0,0,OrdersRawTable9[[#This Row],[Profit]]/OrdersRawTable9[[#This Row],[Net_Sales]])</f>
        <v>0.40336874651710447</v>
      </c>
      <c r="AC50" s="45" t="str">
        <f>IF(COUNTIF(ReturnsRawTable[Order_Line_ID],OrdersRawTable9[[#This Row],[Order_Line_ID]])&gt;0,"Yes","No")</f>
        <v>No</v>
      </c>
      <c r="AD50" s="45" t="str">
        <f>IFERROR(VLOOKUP(OrdersRawTable9[[#This Row],[Order_Line_ID]],ReturnsRawTable[[#All],[Order_Line_ID]:[Return_Reason_Raw]],3,FALSE),"")</f>
        <v/>
      </c>
      <c r="AE50" s="49" t="str">
        <f>IFERROR(VLOOKUP(OrdersRawTable9[[#This Row],[Order_Line_ID]],ReturnsRawTable[[#All],[Order_Line_ID]:[Return_Date]],2,FALSE),"")</f>
        <v/>
      </c>
      <c r="AF50" s="45" t="str">
        <f>IFERROR(VLOOKUP(OrdersRawTable9[[#This Row],[Order_Line_ID]],ReturnsRawTable[[Order_Line_ID]:[Refund_Status]],4,FALSE),"")</f>
        <v/>
      </c>
      <c r="AG50" s="45" t="str">
        <f>VLOOKUP(OrdersRawTable9[[#This Row],[Order_ID]],ShipmentsTable[],6,FALSE)</f>
        <v>Late</v>
      </c>
      <c r="AH50" s="49">
        <f>VLOOKUP(OrdersRawTable9[[#This Row],[Order_ID]],ShipmentsTable[],3,FALSE)</f>
        <v>45722.041666666664</v>
      </c>
    </row>
    <row r="51" spans="1:34" ht="15" customHeight="1">
      <c r="A51" s="14" t="s">
        <v>179</v>
      </c>
      <c r="B51" s="10" t="s">
        <v>175</v>
      </c>
      <c r="C51" s="20">
        <v>45715.041666666664</v>
      </c>
      <c r="D51" s="10" t="s">
        <v>176</v>
      </c>
      <c r="E51" s="10" t="s">
        <v>177</v>
      </c>
      <c r="F51" s="10" t="str">
        <f>TRIM(LEFT(OrdersRawTable9[[#This Row],[Customer_Info]],FIND(",",OrdersRawTable9[[#This Row],[Customer_Info]])-1))</f>
        <v>Noah Brown</v>
      </c>
      <c r="G5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51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51" s="10">
        <f>LEN(OrdersRawTable9[[#This Row],[Customer_Info]])-LEN(SUBSTITUTE(OrdersRawTable9[[#This Row],[Customer_Info]],",",""))</f>
        <v>2</v>
      </c>
      <c r="J51" s="10" t="s">
        <v>180</v>
      </c>
      <c r="K51" s="23">
        <v>1</v>
      </c>
      <c r="L51" s="26">
        <v>91.75</v>
      </c>
      <c r="M51" s="29">
        <v>0</v>
      </c>
      <c r="N51" s="10" t="s">
        <v>66</v>
      </c>
      <c r="O51" s="10" t="str">
        <f>IF(TRIM(OrdersRawTable9[[#This Row],[Sales_Channel_Raw]])="Market place","Marketplace",TRIM(OrdersRawTable9[[#This Row],[Sales_Channel_Raw]]))</f>
        <v>Marketplace</v>
      </c>
      <c r="P51" s="10" t="s">
        <v>41</v>
      </c>
      <c r="Q51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1" s="15" t="s">
        <v>47</v>
      </c>
      <c r="S51" t="str">
        <f>VLOOKUP(OrdersRawTable9[[#This Row],[Customer_ID_Raw]],CustomersTable11[],4,FALSE)</f>
        <v>Ontario</v>
      </c>
      <c r="T51" t="str">
        <f>VLOOKUP(OrdersRawTable9[[#This Row],[Customer_ID_Raw]],CustomersTable11[],5,FALSE)</f>
        <v>Consumer</v>
      </c>
      <c r="U51" s="45">
        <f>VLOOKUP(OrdersRawTable9[[#This Row],[Product_ID]],ProductsTable10[],4,FALSE)</f>
        <v>58.27</v>
      </c>
      <c r="V51" t="str">
        <f>VLOOKUP(OrdersRawTable9[[#This Row],[Product_ID]],ProductsTable10[],3,FALSE)</f>
        <v>Home</v>
      </c>
      <c r="W51" s="45">
        <f>OrdersRawTable9[[#This Row],[Unit_Price]]*OrdersRawTable9[[#This Row],[Quantity]]</f>
        <v>91.75</v>
      </c>
      <c r="X51" s="47">
        <f>OrdersRawTable9[[#This Row],[Gross_Sales]]*OrdersRawTable9[[#This Row],[Discount_Pct]]</f>
        <v>0</v>
      </c>
      <c r="Y51" s="45">
        <f>OrdersRawTable9[[#This Row],[Gross_Sales]]-OrdersRawTable9[[#This Row],[Discount_Amount]]</f>
        <v>91.75</v>
      </c>
      <c r="Z51" s="45">
        <f>OrdersRawTable9[[#This Row],[Unit_Cost]]*OrdersRawTable9[[#This Row],[Quantity]]</f>
        <v>58.27</v>
      </c>
      <c r="AA51" s="45">
        <f>OrdersRawTable9[[#This Row],[Net_Sales]]-OrdersRawTable9[[#This Row],[Total_Cost]]</f>
        <v>33.479999999999997</v>
      </c>
      <c r="AB51" s="48">
        <f>IF(OrdersRawTable9[[#This Row],[Net_Sales]]=0,0,OrdersRawTable9[[#This Row],[Profit]]/OrdersRawTable9[[#This Row],[Net_Sales]])</f>
        <v>0.3649046321525885</v>
      </c>
      <c r="AC51" s="45" t="str">
        <f>IF(COUNTIF(ReturnsRawTable[Order_Line_ID],OrdersRawTable9[[#This Row],[Order_Line_ID]])&gt;0,"Yes","No")</f>
        <v>No</v>
      </c>
      <c r="AD51" s="45" t="str">
        <f>IFERROR(VLOOKUP(OrdersRawTable9[[#This Row],[Order_Line_ID]],ReturnsRawTable[[#All],[Order_Line_ID]:[Return_Reason_Raw]],3,FALSE),"")</f>
        <v/>
      </c>
      <c r="AE51" s="49" t="str">
        <f>IFERROR(VLOOKUP(OrdersRawTable9[[#This Row],[Order_Line_ID]],ReturnsRawTable[[#All],[Order_Line_ID]:[Return_Date]],2,FALSE),"")</f>
        <v/>
      </c>
      <c r="AF51" s="45" t="str">
        <f>IFERROR(VLOOKUP(OrdersRawTable9[[#This Row],[Order_Line_ID]],ReturnsRawTable[[Order_Line_ID]:[Refund_Status]],4,FALSE),"")</f>
        <v/>
      </c>
      <c r="AG51" s="45" t="str">
        <f>VLOOKUP(OrdersRawTable9[[#This Row],[Order_ID]],ShipmentsTable[],6,FALSE)</f>
        <v>Late</v>
      </c>
      <c r="AH51" s="49">
        <f>VLOOKUP(OrdersRawTable9[[#This Row],[Order_ID]],ShipmentsTable[],3,FALSE)</f>
        <v>45722.041666666664</v>
      </c>
    </row>
    <row r="52" spans="1:34" ht="15" customHeight="1">
      <c r="A52" s="14" t="s">
        <v>181</v>
      </c>
      <c r="B52" s="10" t="s">
        <v>182</v>
      </c>
      <c r="C52" s="20">
        <v>45998</v>
      </c>
      <c r="D52" s="10" t="s">
        <v>183</v>
      </c>
      <c r="E52" s="10" t="s">
        <v>184</v>
      </c>
      <c r="F52" s="10" t="str">
        <f>TRIM(LEFT(OrdersRawTable9[[#This Row],[Customer_Info]],FIND(",",OrdersRawTable9[[#This Row],[Customer_Info]])-1))</f>
        <v>Amina Martin</v>
      </c>
      <c r="G5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52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52" s="10">
        <f>LEN(OrdersRawTable9[[#This Row],[Customer_Info]])-LEN(SUBSTITUTE(OrdersRawTable9[[#This Row],[Customer_Info]],",",""))</f>
        <v>2</v>
      </c>
      <c r="J52" s="10" t="s">
        <v>178</v>
      </c>
      <c r="K52" s="23">
        <v>1</v>
      </c>
      <c r="L52" s="26">
        <v>61.81</v>
      </c>
      <c r="M52" s="29">
        <v>0</v>
      </c>
      <c r="N52" s="10" t="s">
        <v>40</v>
      </c>
      <c r="O52" s="10" t="str">
        <f>IF(TRIM(OrdersRawTable9[[#This Row],[Sales_Channel_Raw]])="Market place","Marketplace",TRIM(OrdersRawTable9[[#This Row],[Sales_Channel_Raw]]))</f>
        <v>Online</v>
      </c>
      <c r="P52" s="10" t="s">
        <v>98</v>
      </c>
      <c r="Q52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52" s="15" t="s">
        <v>47</v>
      </c>
      <c r="S52" t="str">
        <f>VLOOKUP(OrdersRawTable9[[#This Row],[Customer_ID_Raw]],CustomersTable11[],4,FALSE)</f>
        <v>Quebec</v>
      </c>
      <c r="T52" t="str">
        <f>VLOOKUP(OrdersRawTable9[[#This Row],[Customer_ID_Raw]],CustomersTable11[],5,FALSE)</f>
        <v>Consumer</v>
      </c>
      <c r="U52" s="45">
        <f>VLOOKUP(OrdersRawTable9[[#This Row],[Product_ID]],ProductsTable10[],4,FALSE)</f>
        <v>33.19</v>
      </c>
      <c r="V52" t="str">
        <f>VLOOKUP(OrdersRawTable9[[#This Row],[Product_ID]],ProductsTable10[],3,FALSE)</f>
        <v>Office</v>
      </c>
      <c r="W52" s="45">
        <f>OrdersRawTable9[[#This Row],[Unit_Price]]*OrdersRawTable9[[#This Row],[Quantity]]</f>
        <v>61.81</v>
      </c>
      <c r="X52" s="47">
        <f>OrdersRawTable9[[#This Row],[Gross_Sales]]*OrdersRawTable9[[#This Row],[Discount_Pct]]</f>
        <v>0</v>
      </c>
      <c r="Y52" s="45">
        <f>OrdersRawTable9[[#This Row],[Gross_Sales]]-OrdersRawTable9[[#This Row],[Discount_Amount]]</f>
        <v>61.81</v>
      </c>
      <c r="Z52" s="45">
        <f>OrdersRawTable9[[#This Row],[Unit_Cost]]*OrdersRawTable9[[#This Row],[Quantity]]</f>
        <v>33.19</v>
      </c>
      <c r="AA52" s="45">
        <f>OrdersRawTable9[[#This Row],[Net_Sales]]-OrdersRawTable9[[#This Row],[Total_Cost]]</f>
        <v>28.620000000000005</v>
      </c>
      <c r="AB52" s="48">
        <f>IF(OrdersRawTable9[[#This Row],[Net_Sales]]=0,0,OrdersRawTable9[[#This Row],[Profit]]/OrdersRawTable9[[#This Row],[Net_Sales]])</f>
        <v>0.46303187186539402</v>
      </c>
      <c r="AC52" s="45" t="str">
        <f>IF(COUNTIF(ReturnsRawTable[Order_Line_ID],OrdersRawTable9[[#This Row],[Order_Line_ID]])&gt;0,"Yes","No")</f>
        <v>Yes</v>
      </c>
      <c r="AD52" s="45" t="str">
        <f>IFERROR(VLOOKUP(OrdersRawTable9[[#This Row],[Order_Line_ID]],ReturnsRawTable[[#All],[Order_Line_ID]:[Return_Reason_Raw]],3,FALSE),"")</f>
        <v>damaged</v>
      </c>
      <c r="AE52" s="49">
        <f>IFERROR(VLOOKUP(OrdersRawTable9[[#This Row],[Order_Line_ID]],ReturnsRawTable[[#All],[Order_Line_ID]:[Return_Date]],2,FALSE),"")</f>
        <v>46018</v>
      </c>
      <c r="AF52" s="45" t="str">
        <f>IFERROR(VLOOKUP(OrdersRawTable9[[#This Row],[Order_Line_ID]],ReturnsRawTable[[Order_Line_ID]:[Refund_Status]],4,FALSE),"")</f>
        <v>Pending</v>
      </c>
      <c r="AG52" s="45" t="str">
        <f>VLOOKUP(OrdersRawTable9[[#This Row],[Order_ID]],ShipmentsTable[],6,FALSE)</f>
        <v>Late</v>
      </c>
      <c r="AH52" s="49">
        <f>VLOOKUP(OrdersRawTable9[[#This Row],[Order_ID]],ShipmentsTable[],3,FALSE)</f>
        <v>46008</v>
      </c>
    </row>
    <row r="53" spans="1:34" ht="15" customHeight="1">
      <c r="A53" s="14" t="s">
        <v>185</v>
      </c>
      <c r="B53" s="10" t="s">
        <v>186</v>
      </c>
      <c r="C53" s="20">
        <v>45960</v>
      </c>
      <c r="D53" s="10" t="s">
        <v>187</v>
      </c>
      <c r="E53" s="10" t="s">
        <v>188</v>
      </c>
      <c r="F53" s="10" t="str">
        <f>TRIM(LEFT(OrdersRawTable9[[#This Row],[Customer_Info]],FIND(",",OrdersRawTable9[[#This Row],[Customer_Info]])-1))</f>
        <v>Liam Singh</v>
      </c>
      <c r="G5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53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3" s="10">
        <f>LEN(OrdersRawTable9[[#This Row],[Customer_Info]])-LEN(SUBSTITUTE(OrdersRawTable9[[#This Row],[Customer_Info]],",",""))</f>
        <v>2</v>
      </c>
      <c r="J53" s="10" t="s">
        <v>128</v>
      </c>
      <c r="K53" s="23">
        <v>2</v>
      </c>
      <c r="L53" s="26">
        <v>25.15</v>
      </c>
      <c r="M53" s="29">
        <v>0.1</v>
      </c>
      <c r="N53" s="10" t="s">
        <v>70</v>
      </c>
      <c r="O53" s="10" t="str">
        <f>IF(TRIM(OrdersRawTable9[[#This Row],[Sales_Channel_Raw]])="Market place","Marketplace",TRIM(OrdersRawTable9[[#This Row],[Sales_Channel_Raw]]))</f>
        <v>online</v>
      </c>
      <c r="P53" s="10" t="s">
        <v>41</v>
      </c>
      <c r="Q53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3" s="15" t="s">
        <v>52</v>
      </c>
      <c r="S53" t="str">
        <f>VLOOKUP(OrdersRawTable9[[#This Row],[Customer_ID_Raw]],CustomersTable11[],4,FALSE)</f>
        <v>Alberta</v>
      </c>
      <c r="T53" t="str">
        <f>VLOOKUP(OrdersRawTable9[[#This Row],[Customer_ID_Raw]],CustomersTable11[],5,FALSE)</f>
        <v>Small Business</v>
      </c>
      <c r="U53" s="45">
        <f>VLOOKUP(OrdersRawTable9[[#This Row],[Product_ID]],ProductsTable10[],4,FALSE)</f>
        <v>14.24</v>
      </c>
      <c r="V53" t="str">
        <f>VLOOKUP(OrdersRawTable9[[#This Row],[Product_ID]],ProductsTable10[],3,FALSE)</f>
        <v>Electronics</v>
      </c>
      <c r="W53" s="45">
        <f>OrdersRawTable9[[#This Row],[Unit_Price]]*OrdersRawTable9[[#This Row],[Quantity]]</f>
        <v>50.3</v>
      </c>
      <c r="X53" s="47">
        <f>OrdersRawTable9[[#This Row],[Gross_Sales]]*OrdersRawTable9[[#This Row],[Discount_Pct]]</f>
        <v>5.03</v>
      </c>
      <c r="Y53" s="45">
        <f>OrdersRawTable9[[#This Row],[Gross_Sales]]-OrdersRawTable9[[#This Row],[Discount_Amount]]</f>
        <v>45.269999999999996</v>
      </c>
      <c r="Z53" s="45">
        <f>OrdersRawTable9[[#This Row],[Unit_Cost]]*OrdersRawTable9[[#This Row],[Quantity]]</f>
        <v>28.48</v>
      </c>
      <c r="AA53" s="45">
        <f>OrdersRawTable9[[#This Row],[Net_Sales]]-OrdersRawTable9[[#This Row],[Total_Cost]]</f>
        <v>16.789999999999996</v>
      </c>
      <c r="AB53" s="48">
        <f>IF(OrdersRawTable9[[#This Row],[Net_Sales]]=0,0,OrdersRawTable9[[#This Row],[Profit]]/OrdersRawTable9[[#This Row],[Net_Sales]])</f>
        <v>0.37088579633311236</v>
      </c>
      <c r="AC53" s="45" t="str">
        <f>IF(COUNTIF(ReturnsRawTable[Order_Line_ID],OrdersRawTable9[[#This Row],[Order_Line_ID]])&gt;0,"Yes","No")</f>
        <v>Yes</v>
      </c>
      <c r="AD53" s="45" t="str">
        <f>IFERROR(VLOOKUP(OrdersRawTable9[[#This Row],[Order_Line_ID]],ReturnsRawTable[[#All],[Order_Line_ID]:[Return_Reason_Raw]],3,FALSE),"")</f>
        <v>Wrong Item</v>
      </c>
      <c r="AE53" s="49">
        <f>IFERROR(VLOOKUP(OrdersRawTable9[[#This Row],[Order_Line_ID]],ReturnsRawTable[[#All],[Order_Line_ID]:[Return_Date]],2,FALSE),"")</f>
        <v>45980</v>
      </c>
      <c r="AF53" s="45" t="str">
        <f>IFERROR(VLOOKUP(OrdersRawTable9[[#This Row],[Order_Line_ID]],ReturnsRawTable[[Order_Line_ID]:[Refund_Status]],4,FALSE),"")</f>
        <v>Pending</v>
      </c>
      <c r="AG53" s="45" t="str">
        <f>VLOOKUP(OrdersRawTable9[[#This Row],[Order_ID]],ShipmentsTable[],6,FALSE)</f>
        <v>Late</v>
      </c>
      <c r="AH53" s="49">
        <f>VLOOKUP(OrdersRawTable9[[#This Row],[Order_ID]],ShipmentsTable[],3,FALSE)</f>
        <v>45965</v>
      </c>
    </row>
    <row r="54" spans="1:34" ht="15" customHeight="1">
      <c r="A54" s="14" t="s">
        <v>189</v>
      </c>
      <c r="B54" s="10" t="s">
        <v>186</v>
      </c>
      <c r="C54" s="20">
        <v>45960</v>
      </c>
      <c r="D54" s="10" t="s">
        <v>187</v>
      </c>
      <c r="E54" s="10" t="s">
        <v>188</v>
      </c>
      <c r="F54" s="10" t="str">
        <f>TRIM(LEFT(OrdersRawTable9[[#This Row],[Customer_Info]],FIND(",",OrdersRawTable9[[#This Row],[Customer_Info]])-1))</f>
        <v>Liam Singh</v>
      </c>
      <c r="G5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54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4" s="10">
        <f>LEN(OrdersRawTable9[[#This Row],[Customer_Info]])-LEN(SUBSTITUTE(OrdersRawTable9[[#This Row],[Customer_Info]],",",""))</f>
        <v>2</v>
      </c>
      <c r="J54" s="10" t="s">
        <v>150</v>
      </c>
      <c r="K54" s="23">
        <v>3</v>
      </c>
      <c r="L54" s="26">
        <v>263.04000000000002</v>
      </c>
      <c r="M54" s="29">
        <v>0.1</v>
      </c>
      <c r="N54" s="10" t="s">
        <v>50</v>
      </c>
      <c r="O54" s="10" t="str">
        <f>IF(TRIM(OrdersRawTable9[[#This Row],[Sales_Channel_Raw]])="Market place","Marketplace",TRIM(OrdersRawTable9[[#This Row],[Sales_Channel_Raw]]))</f>
        <v>Marketplace</v>
      </c>
      <c r="P54" s="10" t="s">
        <v>51</v>
      </c>
      <c r="Q54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54" s="15" t="s">
        <v>101</v>
      </c>
      <c r="S54" t="str">
        <f>VLOOKUP(OrdersRawTable9[[#This Row],[Customer_ID_Raw]],CustomersTable11[],4,FALSE)</f>
        <v>Alberta</v>
      </c>
      <c r="T54" t="str">
        <f>VLOOKUP(OrdersRawTable9[[#This Row],[Customer_ID_Raw]],CustomersTable11[],5,FALSE)</f>
        <v>Small Business</v>
      </c>
      <c r="U54" s="45">
        <f>VLOOKUP(OrdersRawTable9[[#This Row],[Product_ID]],ProductsTable10[],4,FALSE)</f>
        <v>161.84</v>
      </c>
      <c r="V54" t="str">
        <f>VLOOKUP(OrdersRawTable9[[#This Row],[Product_ID]],ProductsTable10[],3,FALSE)</f>
        <v>Office</v>
      </c>
      <c r="W54" s="45">
        <f>OrdersRawTable9[[#This Row],[Unit_Price]]*OrdersRawTable9[[#This Row],[Quantity]]</f>
        <v>789.12000000000012</v>
      </c>
      <c r="X54" s="47">
        <f>OrdersRawTable9[[#This Row],[Gross_Sales]]*OrdersRawTable9[[#This Row],[Discount_Pct]]</f>
        <v>78.91200000000002</v>
      </c>
      <c r="Y54" s="45">
        <f>OrdersRawTable9[[#This Row],[Gross_Sales]]-OrdersRawTable9[[#This Row],[Discount_Amount]]</f>
        <v>710.20800000000008</v>
      </c>
      <c r="Z54" s="45">
        <f>OrdersRawTable9[[#This Row],[Unit_Cost]]*OrdersRawTable9[[#This Row],[Quantity]]</f>
        <v>485.52</v>
      </c>
      <c r="AA54" s="45">
        <f>OrdersRawTable9[[#This Row],[Net_Sales]]-OrdersRawTable9[[#This Row],[Total_Cost]]</f>
        <v>224.6880000000001</v>
      </c>
      <c r="AB54" s="48">
        <f>IF(OrdersRawTable9[[#This Row],[Net_Sales]]=0,0,OrdersRawTable9[[#This Row],[Profit]]/OrdersRawTable9[[#This Row],[Net_Sales]])</f>
        <v>0.31636928899702632</v>
      </c>
      <c r="AC54" s="45" t="str">
        <f>IF(COUNTIF(ReturnsRawTable[Order_Line_ID],OrdersRawTable9[[#This Row],[Order_Line_ID]])&gt;0,"Yes","No")</f>
        <v>No</v>
      </c>
      <c r="AD54" s="45" t="str">
        <f>IFERROR(VLOOKUP(OrdersRawTable9[[#This Row],[Order_Line_ID]],ReturnsRawTable[[#All],[Order_Line_ID]:[Return_Reason_Raw]],3,FALSE),"")</f>
        <v/>
      </c>
      <c r="AE54" s="49" t="str">
        <f>IFERROR(VLOOKUP(OrdersRawTable9[[#This Row],[Order_Line_ID]],ReturnsRawTable[[#All],[Order_Line_ID]:[Return_Date]],2,FALSE),"")</f>
        <v/>
      </c>
      <c r="AF54" s="45" t="str">
        <f>IFERROR(VLOOKUP(OrdersRawTable9[[#This Row],[Order_Line_ID]],ReturnsRawTable[[Order_Line_ID]:[Refund_Status]],4,FALSE),"")</f>
        <v/>
      </c>
      <c r="AG54" s="45" t="str">
        <f>VLOOKUP(OrdersRawTable9[[#This Row],[Order_ID]],ShipmentsTable[],6,FALSE)</f>
        <v>Late</v>
      </c>
      <c r="AH54" s="49">
        <f>VLOOKUP(OrdersRawTable9[[#This Row],[Order_ID]],ShipmentsTable[],3,FALSE)</f>
        <v>45965</v>
      </c>
    </row>
    <row r="55" spans="1:34" ht="15" customHeight="1">
      <c r="A55" s="14" t="s">
        <v>190</v>
      </c>
      <c r="B55" s="10" t="s">
        <v>186</v>
      </c>
      <c r="C55" s="20">
        <v>45960</v>
      </c>
      <c r="D55" s="10" t="s">
        <v>187</v>
      </c>
      <c r="E55" s="10" t="s">
        <v>188</v>
      </c>
      <c r="F55" s="10" t="str">
        <f>TRIM(LEFT(OrdersRawTable9[[#This Row],[Customer_Info]],FIND(",",OrdersRawTable9[[#This Row],[Customer_Info]])-1))</f>
        <v>Liam Singh</v>
      </c>
      <c r="G5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55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5" s="10">
        <f>LEN(OrdersRawTable9[[#This Row],[Customer_Info]])-LEN(SUBSTITUTE(OrdersRawTable9[[#This Row],[Customer_Info]],",",""))</f>
        <v>2</v>
      </c>
      <c r="J55" s="10" t="s">
        <v>57</v>
      </c>
      <c r="K55" s="23">
        <v>3</v>
      </c>
      <c r="L55" s="26">
        <v>208.81</v>
      </c>
      <c r="M55" s="29">
        <v>0.15</v>
      </c>
      <c r="N55" s="10" t="s">
        <v>70</v>
      </c>
      <c r="O55" s="10" t="str">
        <f>IF(TRIM(OrdersRawTable9[[#This Row],[Sales_Channel_Raw]])="Market place","Marketplace",TRIM(OrdersRawTable9[[#This Row],[Sales_Channel_Raw]]))</f>
        <v>online</v>
      </c>
      <c r="P55" s="10" t="s">
        <v>41</v>
      </c>
      <c r="Q55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5" s="15" t="s">
        <v>101</v>
      </c>
      <c r="S55" t="str">
        <f>VLOOKUP(OrdersRawTable9[[#This Row],[Customer_ID_Raw]],CustomersTable11[],4,FALSE)</f>
        <v>Alberta</v>
      </c>
      <c r="T55" t="str">
        <f>VLOOKUP(OrdersRawTable9[[#This Row],[Customer_ID_Raw]],CustomersTable11[],5,FALSE)</f>
        <v>Small Business</v>
      </c>
      <c r="U55" s="45">
        <f>VLOOKUP(OrdersRawTable9[[#This Row],[Product_ID]],ProductsTable10[],4,FALSE)</f>
        <v>139.04</v>
      </c>
      <c r="V55" t="str">
        <f>VLOOKUP(OrdersRawTable9[[#This Row],[Product_ID]],ProductsTable10[],3,FALSE)</f>
        <v>Fitness</v>
      </c>
      <c r="W55" s="45">
        <f>OrdersRawTable9[[#This Row],[Unit_Price]]*OrdersRawTable9[[#This Row],[Quantity]]</f>
        <v>626.43000000000006</v>
      </c>
      <c r="X55" s="47">
        <f>OrdersRawTable9[[#This Row],[Gross_Sales]]*OrdersRawTable9[[#This Row],[Discount_Pct]]</f>
        <v>93.964500000000001</v>
      </c>
      <c r="Y55" s="45">
        <f>OrdersRawTable9[[#This Row],[Gross_Sales]]-OrdersRawTable9[[#This Row],[Discount_Amount]]</f>
        <v>532.46550000000002</v>
      </c>
      <c r="Z55" s="45">
        <f>OrdersRawTable9[[#This Row],[Unit_Cost]]*OrdersRawTable9[[#This Row],[Quantity]]</f>
        <v>417.12</v>
      </c>
      <c r="AA55" s="45">
        <f>OrdersRawTable9[[#This Row],[Net_Sales]]-OrdersRawTable9[[#This Row],[Total_Cost]]</f>
        <v>115.34550000000002</v>
      </c>
      <c r="AB55" s="48">
        <f>IF(OrdersRawTable9[[#This Row],[Net_Sales]]=0,0,OrdersRawTable9[[#This Row],[Profit]]/OrdersRawTable9[[#This Row],[Net_Sales]])</f>
        <v>0.21662530248438633</v>
      </c>
      <c r="AC55" s="45" t="str">
        <f>IF(COUNTIF(ReturnsRawTable[Order_Line_ID],OrdersRawTable9[[#This Row],[Order_Line_ID]])&gt;0,"Yes","No")</f>
        <v>No</v>
      </c>
      <c r="AD55" s="45" t="str">
        <f>IFERROR(VLOOKUP(OrdersRawTable9[[#This Row],[Order_Line_ID]],ReturnsRawTable[[#All],[Order_Line_ID]:[Return_Reason_Raw]],3,FALSE),"")</f>
        <v/>
      </c>
      <c r="AE55" s="49" t="str">
        <f>IFERROR(VLOOKUP(OrdersRawTable9[[#This Row],[Order_Line_ID]],ReturnsRawTable[[#All],[Order_Line_ID]:[Return_Date]],2,FALSE),"")</f>
        <v/>
      </c>
      <c r="AF55" s="45" t="str">
        <f>IFERROR(VLOOKUP(OrdersRawTable9[[#This Row],[Order_Line_ID]],ReturnsRawTable[[Order_Line_ID]:[Refund_Status]],4,FALSE),"")</f>
        <v/>
      </c>
      <c r="AG55" s="45" t="str">
        <f>VLOOKUP(OrdersRawTable9[[#This Row],[Order_ID]],ShipmentsTable[],6,FALSE)</f>
        <v>Late</v>
      </c>
      <c r="AH55" s="49">
        <f>VLOOKUP(OrdersRawTable9[[#This Row],[Order_ID]],ShipmentsTable[],3,FALSE)</f>
        <v>45965</v>
      </c>
    </row>
    <row r="56" spans="1:34" ht="15" customHeight="1">
      <c r="A56" s="14" t="s">
        <v>191</v>
      </c>
      <c r="B56" s="10" t="s">
        <v>192</v>
      </c>
      <c r="C56" s="20">
        <v>45851</v>
      </c>
      <c r="D56" s="10" t="s">
        <v>193</v>
      </c>
      <c r="E56" s="10" t="s">
        <v>194</v>
      </c>
      <c r="F56" s="10" t="str">
        <f>TRIM(LEFT(OrdersRawTable9[[#This Row],[Customer_Info]],FIND(",",OrdersRawTable9[[#This Row],[Customer_Info]])-1))</f>
        <v>Liam Gagnon</v>
      </c>
      <c r="G5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56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56" s="10">
        <f>LEN(OrdersRawTable9[[#This Row],[Customer_Info]])-LEN(SUBSTITUTE(OrdersRawTable9[[#This Row],[Customer_Info]],",",""))</f>
        <v>2</v>
      </c>
      <c r="J56" s="10" t="s">
        <v>171</v>
      </c>
      <c r="K56" s="23">
        <v>3</v>
      </c>
      <c r="L56" s="26">
        <v>228.81</v>
      </c>
      <c r="M56" s="29">
        <v>0.1</v>
      </c>
      <c r="N56" s="10" t="s">
        <v>50</v>
      </c>
      <c r="O56" s="10" t="str">
        <f>IF(TRIM(OrdersRawTable9[[#This Row],[Sales_Channel_Raw]])="Market place","Marketplace",TRIM(OrdersRawTable9[[#This Row],[Sales_Channel_Raw]]))</f>
        <v>Marketplace</v>
      </c>
      <c r="P56" s="10"/>
      <c r="Q56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56" s="15" t="s">
        <v>67</v>
      </c>
      <c r="S56" t="str">
        <f>VLOOKUP(OrdersRawTable9[[#This Row],[Customer_ID_Raw]],CustomersTable11[],4,FALSE)</f>
        <v>Ontario</v>
      </c>
      <c r="T56" t="str">
        <f>VLOOKUP(OrdersRawTable9[[#This Row],[Customer_ID_Raw]],CustomersTable11[],5,FALSE)</f>
        <v>Consumer</v>
      </c>
      <c r="U56" s="45">
        <f>VLOOKUP(OrdersRawTable9[[#This Row],[Product_ID]],ProductsTable10[],4,FALSE)</f>
        <v>130.9</v>
      </c>
      <c r="V56" t="str">
        <f>VLOOKUP(OrdersRawTable9[[#This Row],[Product_ID]],ProductsTable10[],3,FALSE)</f>
        <v>Accessories</v>
      </c>
      <c r="W56" s="45">
        <f>OrdersRawTable9[[#This Row],[Unit_Price]]*OrdersRawTable9[[#This Row],[Quantity]]</f>
        <v>686.43000000000006</v>
      </c>
      <c r="X56" s="47">
        <f>OrdersRawTable9[[#This Row],[Gross_Sales]]*OrdersRawTable9[[#This Row],[Discount_Pct]]</f>
        <v>68.643000000000015</v>
      </c>
      <c r="Y56" s="45">
        <f>OrdersRawTable9[[#This Row],[Gross_Sales]]-OrdersRawTable9[[#This Row],[Discount_Amount]]</f>
        <v>617.78700000000003</v>
      </c>
      <c r="Z56" s="45">
        <f>OrdersRawTable9[[#This Row],[Unit_Cost]]*OrdersRawTable9[[#This Row],[Quantity]]</f>
        <v>392.70000000000005</v>
      </c>
      <c r="AA56" s="45">
        <f>OrdersRawTable9[[#This Row],[Net_Sales]]-OrdersRawTable9[[#This Row],[Total_Cost]]</f>
        <v>225.08699999999999</v>
      </c>
      <c r="AB56" s="48">
        <f>IF(OrdersRawTable9[[#This Row],[Net_Sales]]=0,0,OrdersRawTable9[[#This Row],[Profit]]/OrdersRawTable9[[#This Row],[Net_Sales]])</f>
        <v>0.3643440214831325</v>
      </c>
      <c r="AC56" s="45" t="str">
        <f>IF(COUNTIF(ReturnsRawTable[Order_Line_ID],OrdersRawTable9[[#This Row],[Order_Line_ID]])&gt;0,"Yes","No")</f>
        <v>No</v>
      </c>
      <c r="AD56" s="45" t="str">
        <f>IFERROR(VLOOKUP(OrdersRawTable9[[#This Row],[Order_Line_ID]],ReturnsRawTable[[#All],[Order_Line_ID]:[Return_Reason_Raw]],3,FALSE),"")</f>
        <v/>
      </c>
      <c r="AE56" s="49" t="str">
        <f>IFERROR(VLOOKUP(OrdersRawTable9[[#This Row],[Order_Line_ID]],ReturnsRawTable[[#All],[Order_Line_ID]:[Return_Date]],2,FALSE),"")</f>
        <v/>
      </c>
      <c r="AF56" s="45" t="str">
        <f>IFERROR(VLOOKUP(OrdersRawTable9[[#This Row],[Order_Line_ID]],ReturnsRawTable[[Order_Line_ID]:[Refund_Status]],4,FALSE),"")</f>
        <v/>
      </c>
      <c r="AG56" s="45" t="str">
        <f>VLOOKUP(OrdersRawTable9[[#This Row],[Order_ID]],ShipmentsTable[],6,FALSE)</f>
        <v>Late</v>
      </c>
      <c r="AH56" s="49">
        <f>VLOOKUP(OrdersRawTable9[[#This Row],[Order_ID]],ShipmentsTable[],3,FALSE)</f>
        <v>45858</v>
      </c>
    </row>
    <row r="57" spans="1:34" ht="15" customHeight="1">
      <c r="A57" s="14" t="s">
        <v>195</v>
      </c>
      <c r="B57" s="10" t="s">
        <v>192</v>
      </c>
      <c r="C57" s="20">
        <v>45851</v>
      </c>
      <c r="D57" s="10" t="s">
        <v>193</v>
      </c>
      <c r="E57" s="10" t="s">
        <v>194</v>
      </c>
      <c r="F57" s="10" t="str">
        <f>TRIM(LEFT(OrdersRawTable9[[#This Row],[Customer_Info]],FIND(",",OrdersRawTable9[[#This Row],[Customer_Info]])-1))</f>
        <v>Liam Gagnon</v>
      </c>
      <c r="G5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57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57" s="10">
        <f>LEN(OrdersRawTable9[[#This Row],[Customer_Info]])-LEN(SUBSTITUTE(OrdersRawTable9[[#This Row],[Customer_Info]],",",""))</f>
        <v>2</v>
      </c>
      <c r="J57" s="10" t="s">
        <v>196</v>
      </c>
      <c r="K57" s="23">
        <v>2</v>
      </c>
      <c r="L57" s="26">
        <v>183.73</v>
      </c>
      <c r="M57" s="29">
        <v>0</v>
      </c>
      <c r="N57" s="10" t="s">
        <v>45</v>
      </c>
      <c r="O57" s="10" t="str">
        <f>IF(TRIM(OrdersRawTable9[[#This Row],[Sales_Channel_Raw]])="Market place","Marketplace",TRIM(OrdersRawTable9[[#This Row],[Sales_Channel_Raw]]))</f>
        <v>Retail Store</v>
      </c>
      <c r="P57" s="10"/>
      <c r="Q57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57" s="15" t="s">
        <v>47</v>
      </c>
      <c r="S57" t="str">
        <f>VLOOKUP(OrdersRawTable9[[#This Row],[Customer_ID_Raw]],CustomersTable11[],4,FALSE)</f>
        <v>Ontario</v>
      </c>
      <c r="T57" t="str">
        <f>VLOOKUP(OrdersRawTable9[[#This Row],[Customer_ID_Raw]],CustomersTable11[],5,FALSE)</f>
        <v>Consumer</v>
      </c>
      <c r="U57" s="45">
        <f>VLOOKUP(OrdersRawTable9[[#This Row],[Product_ID]],ProductsTable10[],4,FALSE)</f>
        <v>98.11</v>
      </c>
      <c r="V57" t="str">
        <f>VLOOKUP(OrdersRawTable9[[#This Row],[Product_ID]],ProductsTable10[],3,FALSE)</f>
        <v>Home</v>
      </c>
      <c r="W57" s="45">
        <f>OrdersRawTable9[[#This Row],[Unit_Price]]*OrdersRawTable9[[#This Row],[Quantity]]</f>
        <v>367.46</v>
      </c>
      <c r="X57" s="47">
        <f>OrdersRawTable9[[#This Row],[Gross_Sales]]*OrdersRawTable9[[#This Row],[Discount_Pct]]</f>
        <v>0</v>
      </c>
      <c r="Y57" s="45">
        <f>OrdersRawTable9[[#This Row],[Gross_Sales]]-OrdersRawTable9[[#This Row],[Discount_Amount]]</f>
        <v>367.46</v>
      </c>
      <c r="Z57" s="45">
        <f>OrdersRawTable9[[#This Row],[Unit_Cost]]*OrdersRawTable9[[#This Row],[Quantity]]</f>
        <v>196.22</v>
      </c>
      <c r="AA57" s="45">
        <f>OrdersRawTable9[[#This Row],[Net_Sales]]-OrdersRawTable9[[#This Row],[Total_Cost]]</f>
        <v>171.23999999999998</v>
      </c>
      <c r="AB57" s="48">
        <f>IF(OrdersRawTable9[[#This Row],[Net_Sales]]=0,0,OrdersRawTable9[[#This Row],[Profit]]/OrdersRawTable9[[#This Row],[Net_Sales]])</f>
        <v>0.46600990584009139</v>
      </c>
      <c r="AC57" s="45" t="str">
        <f>IF(COUNTIF(ReturnsRawTable[Order_Line_ID],OrdersRawTable9[[#This Row],[Order_Line_ID]])&gt;0,"Yes","No")</f>
        <v>No</v>
      </c>
      <c r="AD57" s="45" t="str">
        <f>IFERROR(VLOOKUP(OrdersRawTable9[[#This Row],[Order_Line_ID]],ReturnsRawTable[[#All],[Order_Line_ID]:[Return_Reason_Raw]],3,FALSE),"")</f>
        <v/>
      </c>
      <c r="AE57" s="49" t="str">
        <f>IFERROR(VLOOKUP(OrdersRawTable9[[#This Row],[Order_Line_ID]],ReturnsRawTable[[#All],[Order_Line_ID]:[Return_Date]],2,FALSE),"")</f>
        <v/>
      </c>
      <c r="AF57" s="45" t="str">
        <f>IFERROR(VLOOKUP(OrdersRawTable9[[#This Row],[Order_Line_ID]],ReturnsRawTable[[Order_Line_ID]:[Refund_Status]],4,FALSE),"")</f>
        <v/>
      </c>
      <c r="AG57" s="45" t="str">
        <f>VLOOKUP(OrdersRawTable9[[#This Row],[Order_ID]],ShipmentsTable[],6,FALSE)</f>
        <v>Late</v>
      </c>
      <c r="AH57" s="49">
        <f>VLOOKUP(OrdersRawTable9[[#This Row],[Order_ID]],ShipmentsTable[],3,FALSE)</f>
        <v>45858</v>
      </c>
    </row>
    <row r="58" spans="1:34" ht="15" customHeight="1">
      <c r="A58" s="14" t="s">
        <v>197</v>
      </c>
      <c r="B58" s="10" t="s">
        <v>198</v>
      </c>
      <c r="C58" s="20">
        <v>46004</v>
      </c>
      <c r="D58" s="10" t="s">
        <v>199</v>
      </c>
      <c r="E58" s="10" t="s">
        <v>200</v>
      </c>
      <c r="F58" s="10" t="str">
        <f>TRIM(LEFT(OrdersRawTable9[[#This Row],[Customer_Info]],FIND(",",OrdersRawTable9[[#This Row],[Customer_Info]])-1))</f>
        <v>Noah Singh</v>
      </c>
      <c r="G5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58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8" s="10">
        <f>LEN(OrdersRawTable9[[#This Row],[Customer_Info]])-LEN(SUBSTITUTE(OrdersRawTable9[[#This Row],[Customer_Info]],",",""))</f>
        <v>2</v>
      </c>
      <c r="J58" s="10" t="s">
        <v>201</v>
      </c>
      <c r="K58" s="23">
        <v>1</v>
      </c>
      <c r="L58" s="26">
        <v>154.47</v>
      </c>
      <c r="M58" s="29">
        <v>0.05</v>
      </c>
      <c r="N58" s="10" t="s">
        <v>40</v>
      </c>
      <c r="O58" s="10" t="str">
        <f>IF(TRIM(OrdersRawTable9[[#This Row],[Sales_Channel_Raw]])="Market place","Marketplace",TRIM(OrdersRawTable9[[#This Row],[Sales_Channel_Raw]]))</f>
        <v>Online</v>
      </c>
      <c r="P58" s="10" t="s">
        <v>58</v>
      </c>
      <c r="Q58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58" s="15" t="s">
        <v>67</v>
      </c>
      <c r="S58" t="str">
        <f>VLOOKUP(OrdersRawTable9[[#This Row],[Customer_ID_Raw]],CustomersTable11[],4,FALSE)</f>
        <v>Ontario</v>
      </c>
      <c r="T58" t="str">
        <f>VLOOKUP(OrdersRawTable9[[#This Row],[Customer_ID_Raw]],CustomersTable11[],5,FALSE)</f>
        <v>Small Business</v>
      </c>
      <c r="U58" s="45">
        <f>VLOOKUP(OrdersRawTable9[[#This Row],[Product_ID]],ProductsTable10[],4,FALSE)</f>
        <v>102.57</v>
      </c>
      <c r="V58" t="str">
        <f>VLOOKUP(OrdersRawTable9[[#This Row],[Product_ID]],ProductsTable10[],3,FALSE)</f>
        <v>Fitness</v>
      </c>
      <c r="W58" s="45">
        <f>OrdersRawTable9[[#This Row],[Unit_Price]]*OrdersRawTable9[[#This Row],[Quantity]]</f>
        <v>154.47</v>
      </c>
      <c r="X58" s="47">
        <f>OrdersRawTable9[[#This Row],[Gross_Sales]]*OrdersRawTable9[[#This Row],[Discount_Pct]]</f>
        <v>7.7235000000000005</v>
      </c>
      <c r="Y58" s="45">
        <f>OrdersRawTable9[[#This Row],[Gross_Sales]]-OrdersRawTable9[[#This Row],[Discount_Amount]]</f>
        <v>146.7465</v>
      </c>
      <c r="Z58" s="45">
        <f>OrdersRawTable9[[#This Row],[Unit_Cost]]*OrdersRawTable9[[#This Row],[Quantity]]</f>
        <v>102.57</v>
      </c>
      <c r="AA58" s="45">
        <f>OrdersRawTable9[[#This Row],[Net_Sales]]-OrdersRawTable9[[#This Row],[Total_Cost]]</f>
        <v>44.176500000000004</v>
      </c>
      <c r="AB58" s="48">
        <f>IF(OrdersRawTable9[[#This Row],[Net_Sales]]=0,0,OrdersRawTable9[[#This Row],[Profit]]/OrdersRawTable9[[#This Row],[Net_Sales]])</f>
        <v>0.30103954779159986</v>
      </c>
      <c r="AC58" s="45" t="str">
        <f>IF(COUNTIF(ReturnsRawTable[Order_Line_ID],OrdersRawTable9[[#This Row],[Order_Line_ID]])&gt;0,"Yes","No")</f>
        <v>Yes</v>
      </c>
      <c r="AD58" s="45" t="str">
        <f>IFERROR(VLOOKUP(OrdersRawTable9[[#This Row],[Order_Line_ID]],ReturnsRawTable[[#All],[Order_Line_ID]:[Return_Reason_Raw]],3,FALSE),"")</f>
        <v>Late Delivery</v>
      </c>
      <c r="AE58" s="49">
        <f>IFERROR(VLOOKUP(OrdersRawTable9[[#This Row],[Order_Line_ID]],ReturnsRawTable[[#All],[Order_Line_ID]:[Return_Date]],2,FALSE),"")</f>
        <v>46029</v>
      </c>
      <c r="AF58" s="45" t="str">
        <f>IFERROR(VLOOKUP(OrdersRawTable9[[#This Row],[Order_Line_ID]],ReturnsRawTable[[Order_Line_ID]:[Refund_Status]],4,FALSE),"")</f>
        <v>Refunded</v>
      </c>
      <c r="AG58" s="45" t="str">
        <f>VLOOKUP(OrdersRawTable9[[#This Row],[Order_ID]],ShipmentsTable[],6,FALSE)</f>
        <v>Late</v>
      </c>
      <c r="AH58" s="49">
        <f>VLOOKUP(OrdersRawTable9[[#This Row],[Order_ID]],ShipmentsTable[],3,FALSE)</f>
        <v>46010</v>
      </c>
    </row>
    <row r="59" spans="1:34" ht="15" customHeight="1">
      <c r="A59" s="14" t="s">
        <v>202</v>
      </c>
      <c r="B59" s="10" t="s">
        <v>198</v>
      </c>
      <c r="C59" s="20">
        <v>46004</v>
      </c>
      <c r="D59" s="10" t="s">
        <v>199</v>
      </c>
      <c r="E59" s="10" t="s">
        <v>200</v>
      </c>
      <c r="F59" s="10" t="str">
        <f>TRIM(LEFT(OrdersRawTable9[[#This Row],[Customer_Info]],FIND(",",OrdersRawTable9[[#This Row],[Customer_Info]])-1))</f>
        <v>Noah Singh</v>
      </c>
      <c r="G5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59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9" s="10">
        <f>LEN(OrdersRawTable9[[#This Row],[Customer_Info]])-LEN(SUBSTITUTE(OrdersRawTable9[[#This Row],[Customer_Info]],",",""))</f>
        <v>2</v>
      </c>
      <c r="J59" s="10" t="s">
        <v>63</v>
      </c>
      <c r="K59" s="23">
        <v>4</v>
      </c>
      <c r="L59" s="26">
        <v>105.38</v>
      </c>
      <c r="M59" s="29">
        <v>0.05</v>
      </c>
      <c r="N59" s="10" t="s">
        <v>66</v>
      </c>
      <c r="O59" s="10" t="str">
        <f>IF(TRIM(OrdersRawTable9[[#This Row],[Sales_Channel_Raw]])="Market place","Marketplace",TRIM(OrdersRawTable9[[#This Row],[Sales_Channel_Raw]]))</f>
        <v>Marketplace</v>
      </c>
      <c r="P59" s="10"/>
      <c r="Q59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59" s="15" t="s">
        <v>67</v>
      </c>
      <c r="S59" t="str">
        <f>VLOOKUP(OrdersRawTable9[[#This Row],[Customer_ID_Raw]],CustomersTable11[],4,FALSE)</f>
        <v>Ontario</v>
      </c>
      <c r="T59" t="str">
        <f>VLOOKUP(OrdersRawTable9[[#This Row],[Customer_ID_Raw]],CustomersTable11[],5,FALSE)</f>
        <v>Small Business</v>
      </c>
      <c r="U59" s="45">
        <f>VLOOKUP(OrdersRawTable9[[#This Row],[Product_ID]],ProductsTable10[],4,FALSE)</f>
        <v>67.290000000000006</v>
      </c>
      <c r="V59" t="str">
        <f>VLOOKUP(OrdersRawTable9[[#This Row],[Product_ID]],ProductsTable10[],3,FALSE)</f>
        <v>Electronics</v>
      </c>
      <c r="W59" s="45">
        <f>OrdersRawTable9[[#This Row],[Unit_Price]]*OrdersRawTable9[[#This Row],[Quantity]]</f>
        <v>421.52</v>
      </c>
      <c r="X59" s="47">
        <f>OrdersRawTable9[[#This Row],[Gross_Sales]]*OrdersRawTable9[[#This Row],[Discount_Pct]]</f>
        <v>21.076000000000001</v>
      </c>
      <c r="Y59" s="45">
        <f>OrdersRawTable9[[#This Row],[Gross_Sales]]-OrdersRawTable9[[#This Row],[Discount_Amount]]</f>
        <v>400.44399999999996</v>
      </c>
      <c r="Z59" s="45">
        <f>OrdersRawTable9[[#This Row],[Unit_Cost]]*OrdersRawTable9[[#This Row],[Quantity]]</f>
        <v>269.16000000000003</v>
      </c>
      <c r="AA59" s="45">
        <f>OrdersRawTable9[[#This Row],[Net_Sales]]-OrdersRawTable9[[#This Row],[Total_Cost]]</f>
        <v>131.28399999999993</v>
      </c>
      <c r="AB59" s="48">
        <f>IF(OrdersRawTable9[[#This Row],[Net_Sales]]=0,0,OrdersRawTable9[[#This Row],[Profit]]/OrdersRawTable9[[#This Row],[Net_Sales]])</f>
        <v>0.32784609083916838</v>
      </c>
      <c r="AC59" s="45" t="str">
        <f>IF(COUNTIF(ReturnsRawTable[Order_Line_ID],OrdersRawTable9[[#This Row],[Order_Line_ID]])&gt;0,"Yes","No")</f>
        <v>No</v>
      </c>
      <c r="AD59" s="45" t="str">
        <f>IFERROR(VLOOKUP(OrdersRawTable9[[#This Row],[Order_Line_ID]],ReturnsRawTable[[#All],[Order_Line_ID]:[Return_Reason_Raw]],3,FALSE),"")</f>
        <v/>
      </c>
      <c r="AE59" s="49" t="str">
        <f>IFERROR(VLOOKUP(OrdersRawTable9[[#This Row],[Order_Line_ID]],ReturnsRawTable[[#All],[Order_Line_ID]:[Return_Date]],2,FALSE),"")</f>
        <v/>
      </c>
      <c r="AF59" s="45" t="str">
        <f>IFERROR(VLOOKUP(OrdersRawTable9[[#This Row],[Order_Line_ID]],ReturnsRawTable[[Order_Line_ID]:[Refund_Status]],4,FALSE),"")</f>
        <v/>
      </c>
      <c r="AG59" s="45" t="str">
        <f>VLOOKUP(OrdersRawTable9[[#This Row],[Order_ID]],ShipmentsTable[],6,FALSE)</f>
        <v>Late</v>
      </c>
      <c r="AH59" s="49">
        <f>VLOOKUP(OrdersRawTable9[[#This Row],[Order_ID]],ShipmentsTable[],3,FALSE)</f>
        <v>46010</v>
      </c>
    </row>
    <row r="60" spans="1:34" ht="15" customHeight="1">
      <c r="A60" s="14" t="s">
        <v>203</v>
      </c>
      <c r="B60" s="10" t="s">
        <v>198</v>
      </c>
      <c r="C60" s="20">
        <v>46004</v>
      </c>
      <c r="D60" s="10" t="s">
        <v>199</v>
      </c>
      <c r="E60" s="10" t="s">
        <v>200</v>
      </c>
      <c r="F60" s="10" t="str">
        <f>TRIM(LEFT(OrdersRawTable9[[#This Row],[Customer_Info]],FIND(",",OrdersRawTable9[[#This Row],[Customer_Info]])-1))</f>
        <v>Noah Singh</v>
      </c>
      <c r="G6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60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60" s="10">
        <f>LEN(OrdersRawTable9[[#This Row],[Customer_Info]])-LEN(SUBSTITUTE(OrdersRawTable9[[#This Row],[Customer_Info]],",",""))</f>
        <v>2</v>
      </c>
      <c r="J60" s="10" t="s">
        <v>204</v>
      </c>
      <c r="K60" s="23">
        <v>4</v>
      </c>
      <c r="L60" s="26">
        <v>244.25</v>
      </c>
      <c r="M60" s="29">
        <v>0.1</v>
      </c>
      <c r="N60" s="10" t="s">
        <v>50</v>
      </c>
      <c r="O60" s="10" t="str">
        <f>IF(TRIM(OrdersRawTable9[[#This Row],[Sales_Channel_Raw]])="Market place","Marketplace",TRIM(OrdersRawTable9[[#This Row],[Sales_Channel_Raw]]))</f>
        <v>Marketplace</v>
      </c>
      <c r="P60" s="10" t="s">
        <v>41</v>
      </c>
      <c r="Q60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60" s="15" t="s">
        <v>42</v>
      </c>
      <c r="S60" t="str">
        <f>VLOOKUP(OrdersRawTable9[[#This Row],[Customer_ID_Raw]],CustomersTable11[],4,FALSE)</f>
        <v>Ontario</v>
      </c>
      <c r="T60" t="str">
        <f>VLOOKUP(OrdersRawTable9[[#This Row],[Customer_ID_Raw]],CustomersTable11[],5,FALSE)</f>
        <v>Small Business</v>
      </c>
      <c r="U60" s="45">
        <f>VLOOKUP(OrdersRawTable9[[#This Row],[Product_ID]],ProductsTable10[],4,FALSE)</f>
        <v>150.96</v>
      </c>
      <c r="V60" t="str">
        <f>VLOOKUP(OrdersRawTable9[[#This Row],[Product_ID]],ProductsTable10[],3,FALSE)</f>
        <v>Office</v>
      </c>
      <c r="W60" s="45">
        <f>OrdersRawTable9[[#This Row],[Unit_Price]]*OrdersRawTable9[[#This Row],[Quantity]]</f>
        <v>977</v>
      </c>
      <c r="X60" s="47">
        <f>OrdersRawTable9[[#This Row],[Gross_Sales]]*OrdersRawTable9[[#This Row],[Discount_Pct]]</f>
        <v>97.7</v>
      </c>
      <c r="Y60" s="45">
        <f>OrdersRawTable9[[#This Row],[Gross_Sales]]-OrdersRawTable9[[#This Row],[Discount_Amount]]</f>
        <v>879.3</v>
      </c>
      <c r="Z60" s="45">
        <f>OrdersRawTable9[[#This Row],[Unit_Cost]]*OrdersRawTable9[[#This Row],[Quantity]]</f>
        <v>603.84</v>
      </c>
      <c r="AA60" s="45">
        <f>OrdersRawTable9[[#This Row],[Net_Sales]]-OrdersRawTable9[[#This Row],[Total_Cost]]</f>
        <v>275.45999999999992</v>
      </c>
      <c r="AB60" s="48">
        <f>IF(OrdersRawTable9[[#This Row],[Net_Sales]]=0,0,OrdersRawTable9[[#This Row],[Profit]]/OrdersRawTable9[[#This Row],[Net_Sales]])</f>
        <v>0.31327192084612754</v>
      </c>
      <c r="AC60" s="45" t="str">
        <f>IF(COUNTIF(ReturnsRawTable[Order_Line_ID],OrdersRawTable9[[#This Row],[Order_Line_ID]])&gt;0,"Yes","No")</f>
        <v>Yes</v>
      </c>
      <c r="AD60" s="45" t="str">
        <f>IFERROR(VLOOKUP(OrdersRawTable9[[#This Row],[Order_Line_ID]],ReturnsRawTable[[#All],[Order_Line_ID]:[Return_Reason_Raw]],3,FALSE),"")</f>
        <v>damaged</v>
      </c>
      <c r="AE60" s="49">
        <f>IFERROR(VLOOKUP(OrdersRawTable9[[#This Row],[Order_Line_ID]],ReturnsRawTable[[#All],[Order_Line_ID]:[Return_Date]],2,FALSE),"")</f>
        <v>46018</v>
      </c>
      <c r="AF60" s="45" t="str">
        <f>IFERROR(VLOOKUP(OrdersRawTable9[[#This Row],[Order_Line_ID]],ReturnsRawTable[[Order_Line_ID]:[Refund_Status]],4,FALSE),"")</f>
        <v>Refunded</v>
      </c>
      <c r="AG60" s="45" t="str">
        <f>VLOOKUP(OrdersRawTable9[[#This Row],[Order_ID]],ShipmentsTable[],6,FALSE)</f>
        <v>Late</v>
      </c>
      <c r="AH60" s="49">
        <f>VLOOKUP(OrdersRawTable9[[#This Row],[Order_ID]],ShipmentsTable[],3,FALSE)</f>
        <v>46010</v>
      </c>
    </row>
    <row r="61" spans="1:34" ht="15" customHeight="1">
      <c r="A61" s="14" t="s">
        <v>205</v>
      </c>
      <c r="B61" s="10" t="s">
        <v>206</v>
      </c>
      <c r="C61" s="20">
        <v>45903</v>
      </c>
      <c r="D61" s="10" t="s">
        <v>207</v>
      </c>
      <c r="E61" s="10" t="s">
        <v>208</v>
      </c>
      <c r="F61" s="10" t="str">
        <f>TRIM(LEFT(OrdersRawTable9[[#This Row],[Customer_Info]],FIND(",",OrdersRawTable9[[#This Row],[Customer_Info]])-1))</f>
        <v>Sofia Gagnon</v>
      </c>
      <c r="G6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61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1" s="10">
        <f>LEN(OrdersRawTable9[[#This Row],[Customer_Info]])-LEN(SUBSTITUTE(OrdersRawTable9[[#This Row],[Customer_Info]],",",""))</f>
        <v>2</v>
      </c>
      <c r="J61" s="10" t="s">
        <v>130</v>
      </c>
      <c r="K61" s="23">
        <v>2</v>
      </c>
      <c r="L61" s="26">
        <v>265.73</v>
      </c>
      <c r="M61" s="29">
        <v>0.1</v>
      </c>
      <c r="N61" s="10" t="s">
        <v>40</v>
      </c>
      <c r="O61" s="10" t="str">
        <f>IF(TRIM(OrdersRawTable9[[#This Row],[Sales_Channel_Raw]])="Market place","Marketplace",TRIM(OrdersRawTable9[[#This Row],[Sales_Channel_Raw]]))</f>
        <v>Online</v>
      </c>
      <c r="P61" s="10" t="s">
        <v>51</v>
      </c>
      <c r="Q61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61" s="15" t="s">
        <v>42</v>
      </c>
      <c r="S61" t="str">
        <f>VLOOKUP(OrdersRawTable9[[#This Row],[Customer_ID_Raw]],CustomersTable11[],4,FALSE)</f>
        <v>Quebec</v>
      </c>
      <c r="T61" t="str">
        <f>VLOOKUP(OrdersRawTable9[[#This Row],[Customer_ID_Raw]],CustomersTable11[],5,FALSE)</f>
        <v>Corporate</v>
      </c>
      <c r="U61" s="45">
        <f>VLOOKUP(OrdersRawTable9[[#This Row],[Product_ID]],ProductsTable10[],4,FALSE)</f>
        <v>154.16999999999999</v>
      </c>
      <c r="V61" t="str">
        <f>VLOOKUP(OrdersRawTable9[[#This Row],[Product_ID]],ProductsTable10[],3,FALSE)</f>
        <v>Electronics</v>
      </c>
      <c r="W61" s="45">
        <f>OrdersRawTable9[[#This Row],[Unit_Price]]*OrdersRawTable9[[#This Row],[Quantity]]</f>
        <v>531.46</v>
      </c>
      <c r="X61" s="47">
        <f>OrdersRawTable9[[#This Row],[Gross_Sales]]*OrdersRawTable9[[#This Row],[Discount_Pct]]</f>
        <v>53.146000000000008</v>
      </c>
      <c r="Y61" s="45">
        <f>OrdersRawTable9[[#This Row],[Gross_Sales]]-OrdersRawTable9[[#This Row],[Discount_Amount]]</f>
        <v>478.31400000000002</v>
      </c>
      <c r="Z61" s="45">
        <f>OrdersRawTable9[[#This Row],[Unit_Cost]]*OrdersRawTable9[[#This Row],[Quantity]]</f>
        <v>308.33999999999997</v>
      </c>
      <c r="AA61" s="45">
        <f>OrdersRawTable9[[#This Row],[Net_Sales]]-OrdersRawTable9[[#This Row],[Total_Cost]]</f>
        <v>169.97400000000005</v>
      </c>
      <c r="AB61" s="48">
        <f>IF(OrdersRawTable9[[#This Row],[Net_Sales]]=0,0,OrdersRawTable9[[#This Row],[Profit]]/OrdersRawTable9[[#This Row],[Net_Sales]])</f>
        <v>0.35536070447446666</v>
      </c>
      <c r="AC61" s="45" t="str">
        <f>IF(COUNTIF(ReturnsRawTable[Order_Line_ID],OrdersRawTable9[[#This Row],[Order_Line_ID]])&gt;0,"Yes","No")</f>
        <v>No</v>
      </c>
      <c r="AD61" s="45" t="str">
        <f>IFERROR(VLOOKUP(OrdersRawTable9[[#This Row],[Order_Line_ID]],ReturnsRawTable[[#All],[Order_Line_ID]:[Return_Reason_Raw]],3,FALSE),"")</f>
        <v/>
      </c>
      <c r="AE61" s="49" t="str">
        <f>IFERROR(VLOOKUP(OrdersRawTable9[[#This Row],[Order_Line_ID]],ReturnsRawTable[[#All],[Order_Line_ID]:[Return_Date]],2,FALSE),"")</f>
        <v/>
      </c>
      <c r="AF61" s="45" t="str">
        <f>IFERROR(VLOOKUP(OrdersRawTable9[[#This Row],[Order_Line_ID]],ReturnsRawTable[[Order_Line_ID]:[Refund_Status]],4,FALSE),"")</f>
        <v/>
      </c>
      <c r="AG61" s="45" t="str">
        <f>VLOOKUP(OrdersRawTable9[[#This Row],[Order_ID]],ShipmentsTable[],6,FALSE)</f>
        <v>On time</v>
      </c>
      <c r="AH61" s="49">
        <f>VLOOKUP(OrdersRawTable9[[#This Row],[Order_ID]],ShipmentsTable[],3,FALSE)</f>
        <v>45906</v>
      </c>
    </row>
    <row r="62" spans="1:34" ht="15" customHeight="1">
      <c r="A62" s="14" t="s">
        <v>209</v>
      </c>
      <c r="B62" s="10" t="s">
        <v>206</v>
      </c>
      <c r="C62" s="20">
        <v>45903</v>
      </c>
      <c r="D62" s="10" t="s">
        <v>207</v>
      </c>
      <c r="E62" s="10" t="s">
        <v>208</v>
      </c>
      <c r="F62" s="10" t="str">
        <f>TRIM(LEFT(OrdersRawTable9[[#This Row],[Customer_Info]],FIND(",",OrdersRawTable9[[#This Row],[Customer_Info]])-1))</f>
        <v>Sofia Gagnon</v>
      </c>
      <c r="G6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62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2" s="10">
        <f>LEN(OrdersRawTable9[[#This Row],[Customer_Info]])-LEN(SUBSTITUTE(OrdersRawTable9[[#This Row],[Customer_Info]],",",""))</f>
        <v>2</v>
      </c>
      <c r="J62" s="10" t="s">
        <v>108</v>
      </c>
      <c r="K62" s="23">
        <v>4</v>
      </c>
      <c r="L62" s="26">
        <v>33.369999999999997</v>
      </c>
      <c r="M62" s="29">
        <v>0.05</v>
      </c>
      <c r="N62" s="10" t="s">
        <v>70</v>
      </c>
      <c r="O62" s="10" t="str">
        <f>IF(TRIM(OrdersRawTable9[[#This Row],[Sales_Channel_Raw]])="Market place","Marketplace",TRIM(OrdersRawTable9[[#This Row],[Sales_Channel_Raw]]))</f>
        <v>online</v>
      </c>
      <c r="P62" s="10"/>
      <c r="Q62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62" s="15" t="s">
        <v>67</v>
      </c>
      <c r="S62" t="str">
        <f>VLOOKUP(OrdersRawTable9[[#This Row],[Customer_ID_Raw]],CustomersTable11[],4,FALSE)</f>
        <v>Quebec</v>
      </c>
      <c r="T62" t="str">
        <f>VLOOKUP(OrdersRawTable9[[#This Row],[Customer_ID_Raw]],CustomersTable11[],5,FALSE)</f>
        <v>Corporate</v>
      </c>
      <c r="U62" s="45">
        <f>VLOOKUP(OrdersRawTable9[[#This Row],[Product_ID]],ProductsTable10[],4,FALSE)</f>
        <v>18.670000000000002</v>
      </c>
      <c r="V62" t="str">
        <f>VLOOKUP(OrdersRawTable9[[#This Row],[Product_ID]],ProductsTable10[],3,FALSE)</f>
        <v>Fitness</v>
      </c>
      <c r="W62" s="45">
        <f>OrdersRawTable9[[#This Row],[Unit_Price]]*OrdersRawTable9[[#This Row],[Quantity]]</f>
        <v>133.47999999999999</v>
      </c>
      <c r="X62" s="47">
        <f>OrdersRawTable9[[#This Row],[Gross_Sales]]*OrdersRawTable9[[#This Row],[Discount_Pct]]</f>
        <v>6.6739999999999995</v>
      </c>
      <c r="Y62" s="45">
        <f>OrdersRawTable9[[#This Row],[Gross_Sales]]-OrdersRawTable9[[#This Row],[Discount_Amount]]</f>
        <v>126.80599999999998</v>
      </c>
      <c r="Z62" s="45">
        <f>OrdersRawTable9[[#This Row],[Unit_Cost]]*OrdersRawTable9[[#This Row],[Quantity]]</f>
        <v>74.680000000000007</v>
      </c>
      <c r="AA62" s="45">
        <f>OrdersRawTable9[[#This Row],[Net_Sales]]-OrdersRawTable9[[#This Row],[Total_Cost]]</f>
        <v>52.125999999999976</v>
      </c>
      <c r="AB62" s="48">
        <f>IF(OrdersRawTable9[[#This Row],[Net_Sales]]=0,0,OrdersRawTable9[[#This Row],[Profit]]/OrdersRawTable9[[#This Row],[Net_Sales]])</f>
        <v>0.41106887686702509</v>
      </c>
      <c r="AC62" s="45" t="str">
        <f>IF(COUNTIF(ReturnsRawTable[Order_Line_ID],OrdersRawTable9[[#This Row],[Order_Line_ID]])&gt;0,"Yes","No")</f>
        <v>No</v>
      </c>
      <c r="AD62" s="45" t="str">
        <f>IFERROR(VLOOKUP(OrdersRawTable9[[#This Row],[Order_Line_ID]],ReturnsRawTable[[#All],[Order_Line_ID]:[Return_Reason_Raw]],3,FALSE),"")</f>
        <v/>
      </c>
      <c r="AE62" s="49" t="str">
        <f>IFERROR(VLOOKUP(OrdersRawTable9[[#This Row],[Order_Line_ID]],ReturnsRawTable[[#All],[Order_Line_ID]:[Return_Date]],2,FALSE),"")</f>
        <v/>
      </c>
      <c r="AF62" s="45" t="str">
        <f>IFERROR(VLOOKUP(OrdersRawTable9[[#This Row],[Order_Line_ID]],ReturnsRawTable[[Order_Line_ID]:[Refund_Status]],4,FALSE),"")</f>
        <v/>
      </c>
      <c r="AG62" s="45" t="str">
        <f>VLOOKUP(OrdersRawTable9[[#This Row],[Order_ID]],ShipmentsTable[],6,FALSE)</f>
        <v>On time</v>
      </c>
      <c r="AH62" s="49">
        <f>VLOOKUP(OrdersRawTable9[[#This Row],[Order_ID]],ShipmentsTable[],3,FALSE)</f>
        <v>45906</v>
      </c>
    </row>
    <row r="63" spans="1:34" ht="15" customHeight="1">
      <c r="A63" s="14" t="s">
        <v>210</v>
      </c>
      <c r="B63" s="10" t="s">
        <v>206</v>
      </c>
      <c r="C63" s="20">
        <v>45903</v>
      </c>
      <c r="D63" s="10" t="s">
        <v>211</v>
      </c>
      <c r="E63" s="10" t="s">
        <v>208</v>
      </c>
      <c r="F63" s="10" t="str">
        <f>TRIM(LEFT(OrdersRawTable9[[#This Row],[Customer_Info]],FIND(",",OrdersRawTable9[[#This Row],[Customer_Info]])-1))</f>
        <v>Sofia Gagnon</v>
      </c>
      <c r="G6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63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3" s="10">
        <f>LEN(OrdersRawTable9[[#This Row],[Customer_Info]])-LEN(SUBSTITUTE(OrdersRawTable9[[#This Row],[Customer_Info]],",",""))</f>
        <v>2</v>
      </c>
      <c r="J63" s="10" t="s">
        <v>108</v>
      </c>
      <c r="K63" s="23">
        <v>1</v>
      </c>
      <c r="L63" s="26">
        <v>33.369999999999997</v>
      </c>
      <c r="M63" s="29">
        <v>0</v>
      </c>
      <c r="N63" s="10" t="s">
        <v>66</v>
      </c>
      <c r="O63" s="10" t="str">
        <f>IF(TRIM(OrdersRawTable9[[#This Row],[Sales_Channel_Raw]])="Market place","Marketplace",TRIM(OrdersRawTable9[[#This Row],[Sales_Channel_Raw]]))</f>
        <v>Marketplace</v>
      </c>
      <c r="P63" s="10" t="s">
        <v>46</v>
      </c>
      <c r="Q63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63" s="15" t="s">
        <v>47</v>
      </c>
      <c r="S63" t="str">
        <f>VLOOKUP(OrdersRawTable9[[#This Row],[Customer_ID_Raw]],CustomersTable11[],4,FALSE)</f>
        <v>Quebec</v>
      </c>
      <c r="T63" t="str">
        <f>VLOOKUP(OrdersRawTable9[[#This Row],[Customer_ID_Raw]],CustomersTable11[],5,FALSE)</f>
        <v>Corporate</v>
      </c>
      <c r="U63" s="45">
        <f>VLOOKUP(OrdersRawTable9[[#This Row],[Product_ID]],ProductsTable10[],4,FALSE)</f>
        <v>18.670000000000002</v>
      </c>
      <c r="V63" t="str">
        <f>VLOOKUP(OrdersRawTable9[[#This Row],[Product_ID]],ProductsTable10[],3,FALSE)</f>
        <v>Fitness</v>
      </c>
      <c r="W63" s="45">
        <f>OrdersRawTable9[[#This Row],[Unit_Price]]*OrdersRawTable9[[#This Row],[Quantity]]</f>
        <v>33.369999999999997</v>
      </c>
      <c r="X63" s="47">
        <f>OrdersRawTable9[[#This Row],[Gross_Sales]]*OrdersRawTable9[[#This Row],[Discount_Pct]]</f>
        <v>0</v>
      </c>
      <c r="Y63" s="45">
        <f>OrdersRawTable9[[#This Row],[Gross_Sales]]-OrdersRawTable9[[#This Row],[Discount_Amount]]</f>
        <v>33.369999999999997</v>
      </c>
      <c r="Z63" s="45">
        <f>OrdersRawTable9[[#This Row],[Unit_Cost]]*OrdersRawTable9[[#This Row],[Quantity]]</f>
        <v>18.670000000000002</v>
      </c>
      <c r="AA63" s="45">
        <f>OrdersRawTable9[[#This Row],[Net_Sales]]-OrdersRawTable9[[#This Row],[Total_Cost]]</f>
        <v>14.699999999999996</v>
      </c>
      <c r="AB63" s="48">
        <f>IF(OrdersRawTable9[[#This Row],[Net_Sales]]=0,0,OrdersRawTable9[[#This Row],[Profit]]/OrdersRawTable9[[#This Row],[Net_Sales]])</f>
        <v>0.44051543302367385</v>
      </c>
      <c r="AC63" s="45" t="str">
        <f>IF(COUNTIF(ReturnsRawTable[Order_Line_ID],OrdersRawTable9[[#This Row],[Order_Line_ID]])&gt;0,"Yes","No")</f>
        <v>No</v>
      </c>
      <c r="AD63" s="45" t="str">
        <f>IFERROR(VLOOKUP(OrdersRawTable9[[#This Row],[Order_Line_ID]],ReturnsRawTable[[#All],[Order_Line_ID]:[Return_Reason_Raw]],3,FALSE),"")</f>
        <v/>
      </c>
      <c r="AE63" s="49" t="str">
        <f>IFERROR(VLOOKUP(OrdersRawTable9[[#This Row],[Order_Line_ID]],ReturnsRawTable[[#All],[Order_Line_ID]:[Return_Date]],2,FALSE),"")</f>
        <v/>
      </c>
      <c r="AF63" s="45" t="str">
        <f>IFERROR(VLOOKUP(OrdersRawTable9[[#This Row],[Order_Line_ID]],ReturnsRawTable[[Order_Line_ID]:[Refund_Status]],4,FALSE),"")</f>
        <v/>
      </c>
      <c r="AG63" s="45" t="str">
        <f>VLOOKUP(OrdersRawTable9[[#This Row],[Order_ID]],ShipmentsTable[],6,FALSE)</f>
        <v>On time</v>
      </c>
      <c r="AH63" s="49">
        <f>VLOOKUP(OrdersRawTable9[[#This Row],[Order_ID]],ShipmentsTable[],3,FALSE)</f>
        <v>45906</v>
      </c>
    </row>
    <row r="64" spans="1:34" ht="15" customHeight="1">
      <c r="A64" s="14" t="s">
        <v>212</v>
      </c>
      <c r="B64" s="10" t="s">
        <v>213</v>
      </c>
      <c r="C64" s="20">
        <v>45766</v>
      </c>
      <c r="D64" s="10" t="s">
        <v>159</v>
      </c>
      <c r="E64" s="10" t="s">
        <v>160</v>
      </c>
      <c r="F64" s="10" t="str">
        <f>TRIM(LEFT(OrdersRawTable9[[#This Row],[Customer_Info]],FIND(",",OrdersRawTable9[[#This Row],[Customer_Info]])-1))</f>
        <v>Omar Brown</v>
      </c>
      <c r="G6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64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64" s="10">
        <f>LEN(OrdersRawTable9[[#This Row],[Customer_Info]])-LEN(SUBSTITUTE(OrdersRawTable9[[#This Row],[Customer_Info]],",",""))</f>
        <v>2</v>
      </c>
      <c r="J64" s="10" t="s">
        <v>214</v>
      </c>
      <c r="K64" s="23">
        <v>3</v>
      </c>
      <c r="L64" s="26">
        <v>186.92</v>
      </c>
      <c r="M64" s="29">
        <v>0.1</v>
      </c>
      <c r="N64" s="10" t="s">
        <v>50</v>
      </c>
      <c r="O64" s="10" t="str">
        <f>IF(TRIM(OrdersRawTable9[[#This Row],[Sales_Channel_Raw]])="Market place","Marketplace",TRIM(OrdersRawTable9[[#This Row],[Sales_Channel_Raw]]))</f>
        <v>Marketplace</v>
      </c>
      <c r="P64" s="10" t="s">
        <v>58</v>
      </c>
      <c r="Q64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64" s="15" t="s">
        <v>67</v>
      </c>
      <c r="S64" t="str">
        <f>VLOOKUP(OrdersRawTable9[[#This Row],[Customer_ID_Raw]],CustomersTable11[],4,FALSE)</f>
        <v>Nova Scotia</v>
      </c>
      <c r="T64" t="str">
        <f>VLOOKUP(OrdersRawTable9[[#This Row],[Customer_ID_Raw]],CustomersTable11[],5,FALSE)</f>
        <v>Consumer</v>
      </c>
      <c r="U64" s="45">
        <f>VLOOKUP(OrdersRawTable9[[#This Row],[Product_ID]],ProductsTable10[],4,FALSE)</f>
        <v>114.11</v>
      </c>
      <c r="V64" t="str">
        <f>VLOOKUP(OrdersRawTable9[[#This Row],[Product_ID]],ProductsTable10[],3,FALSE)</f>
        <v>Home</v>
      </c>
      <c r="W64" s="45">
        <f>OrdersRawTable9[[#This Row],[Unit_Price]]*OrdersRawTable9[[#This Row],[Quantity]]</f>
        <v>560.76</v>
      </c>
      <c r="X64" s="47">
        <f>OrdersRawTable9[[#This Row],[Gross_Sales]]*OrdersRawTable9[[#This Row],[Discount_Pct]]</f>
        <v>56.076000000000001</v>
      </c>
      <c r="Y64" s="45">
        <f>OrdersRawTable9[[#This Row],[Gross_Sales]]-OrdersRawTable9[[#This Row],[Discount_Amount]]</f>
        <v>504.68399999999997</v>
      </c>
      <c r="Z64" s="45">
        <f>OrdersRawTable9[[#This Row],[Unit_Cost]]*OrdersRawTable9[[#This Row],[Quantity]]</f>
        <v>342.33</v>
      </c>
      <c r="AA64" s="45">
        <f>OrdersRawTable9[[#This Row],[Net_Sales]]-OrdersRawTable9[[#This Row],[Total_Cost]]</f>
        <v>162.35399999999998</v>
      </c>
      <c r="AB64" s="48">
        <f>IF(OrdersRawTable9[[#This Row],[Net_Sales]]=0,0,OrdersRawTable9[[#This Row],[Profit]]/OrdersRawTable9[[#This Row],[Net_Sales]])</f>
        <v>0.32169436716836675</v>
      </c>
      <c r="AC64" s="45" t="str">
        <f>IF(COUNTIF(ReturnsRawTable[Order_Line_ID],OrdersRawTable9[[#This Row],[Order_Line_ID]])&gt;0,"Yes","No")</f>
        <v>No</v>
      </c>
      <c r="AD64" s="45" t="str">
        <f>IFERROR(VLOOKUP(OrdersRawTable9[[#This Row],[Order_Line_ID]],ReturnsRawTable[[#All],[Order_Line_ID]:[Return_Reason_Raw]],3,FALSE),"")</f>
        <v/>
      </c>
      <c r="AE64" s="49" t="str">
        <f>IFERROR(VLOOKUP(OrdersRawTable9[[#This Row],[Order_Line_ID]],ReturnsRawTable[[#All],[Order_Line_ID]:[Return_Date]],2,FALSE),"")</f>
        <v/>
      </c>
      <c r="AF64" s="45" t="str">
        <f>IFERROR(VLOOKUP(OrdersRawTable9[[#This Row],[Order_Line_ID]],ReturnsRawTable[[Order_Line_ID]:[Refund_Status]],4,FALSE),"")</f>
        <v/>
      </c>
      <c r="AG64" s="45" t="str">
        <f>VLOOKUP(OrdersRawTable9[[#This Row],[Order_ID]],ShipmentsTable[],6,FALSE)</f>
        <v>Late</v>
      </c>
      <c r="AH64" s="49">
        <f>VLOOKUP(OrdersRawTable9[[#This Row],[Order_ID]],ShipmentsTable[],3,FALSE)</f>
        <v>45772</v>
      </c>
    </row>
    <row r="65" spans="1:34" ht="15" customHeight="1">
      <c r="A65" s="14" t="s">
        <v>215</v>
      </c>
      <c r="B65" s="10" t="s">
        <v>213</v>
      </c>
      <c r="C65" s="20">
        <v>45766</v>
      </c>
      <c r="D65" s="10" t="s">
        <v>159</v>
      </c>
      <c r="E65" s="10" t="s">
        <v>160</v>
      </c>
      <c r="F65" s="10" t="str">
        <f>TRIM(LEFT(OrdersRawTable9[[#This Row],[Customer_Info]],FIND(",",OrdersRawTable9[[#This Row],[Customer_Info]])-1))</f>
        <v>Omar Brown</v>
      </c>
      <c r="G6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65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65" s="10">
        <f>LEN(OrdersRawTable9[[#This Row],[Customer_Info]])-LEN(SUBSTITUTE(OrdersRawTable9[[#This Row],[Customer_Info]],",",""))</f>
        <v>2</v>
      </c>
      <c r="J65" s="10" t="s">
        <v>83</v>
      </c>
      <c r="K65" s="23">
        <v>1</v>
      </c>
      <c r="L65" s="26">
        <v>115.28</v>
      </c>
      <c r="M65" s="29">
        <v>0</v>
      </c>
      <c r="N65" s="10" t="s">
        <v>64</v>
      </c>
      <c r="O65" s="10" t="str">
        <f>IF(TRIM(OrdersRawTable9[[#This Row],[Sales_Channel_Raw]])="Market place","Marketplace",TRIM(OrdersRawTable9[[#This Row],[Sales_Channel_Raw]]))</f>
        <v>Retail Store</v>
      </c>
      <c r="P65" s="10" t="s">
        <v>41</v>
      </c>
      <c r="Q65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65" s="15" t="s">
        <v>52</v>
      </c>
      <c r="S65" t="str">
        <f>VLOOKUP(OrdersRawTable9[[#This Row],[Customer_ID_Raw]],CustomersTable11[],4,FALSE)</f>
        <v>Nova Scotia</v>
      </c>
      <c r="T65" t="str">
        <f>VLOOKUP(OrdersRawTable9[[#This Row],[Customer_ID_Raw]],CustomersTable11[],5,FALSE)</f>
        <v>Consumer</v>
      </c>
      <c r="U65" s="45">
        <f>VLOOKUP(OrdersRawTable9[[#This Row],[Product_ID]],ProductsTable10[],4,FALSE)</f>
        <v>61.65</v>
      </c>
      <c r="V65" t="str">
        <f>VLOOKUP(OrdersRawTable9[[#This Row],[Product_ID]],ProductsTable10[],3,FALSE)</f>
        <v>Office</v>
      </c>
      <c r="W65" s="45">
        <f>OrdersRawTable9[[#This Row],[Unit_Price]]*OrdersRawTable9[[#This Row],[Quantity]]</f>
        <v>115.28</v>
      </c>
      <c r="X65" s="47">
        <f>OrdersRawTable9[[#This Row],[Gross_Sales]]*OrdersRawTable9[[#This Row],[Discount_Pct]]</f>
        <v>0</v>
      </c>
      <c r="Y65" s="45">
        <f>OrdersRawTable9[[#This Row],[Gross_Sales]]-OrdersRawTable9[[#This Row],[Discount_Amount]]</f>
        <v>115.28</v>
      </c>
      <c r="Z65" s="45">
        <f>OrdersRawTable9[[#This Row],[Unit_Cost]]*OrdersRawTable9[[#This Row],[Quantity]]</f>
        <v>61.65</v>
      </c>
      <c r="AA65" s="45">
        <f>OrdersRawTable9[[#This Row],[Net_Sales]]-OrdersRawTable9[[#This Row],[Total_Cost]]</f>
        <v>53.63</v>
      </c>
      <c r="AB65" s="48">
        <f>IF(OrdersRawTable9[[#This Row],[Net_Sales]]=0,0,OrdersRawTable9[[#This Row],[Profit]]/OrdersRawTable9[[#This Row],[Net_Sales]])</f>
        <v>0.46521512838306733</v>
      </c>
      <c r="AC65" s="45" t="str">
        <f>IF(COUNTIF(ReturnsRawTable[Order_Line_ID],OrdersRawTable9[[#This Row],[Order_Line_ID]])&gt;0,"Yes","No")</f>
        <v>Yes</v>
      </c>
      <c r="AD65" s="45" t="str">
        <f>IFERROR(VLOOKUP(OrdersRawTable9[[#This Row],[Order_Line_ID]],ReturnsRawTable[[#All],[Order_Line_ID]:[Return_Reason_Raw]],3,FALSE),"")</f>
        <v>Late Delivery</v>
      </c>
      <c r="AE65" s="49">
        <f>IFERROR(VLOOKUP(OrdersRawTable9[[#This Row],[Order_Line_ID]],ReturnsRawTable[[#All],[Order_Line_ID]:[Return_Date]],2,FALSE),"")</f>
        <v>45782</v>
      </c>
      <c r="AF65" s="45" t="str">
        <f>IFERROR(VLOOKUP(OrdersRawTable9[[#This Row],[Order_Line_ID]],ReturnsRawTable[[Order_Line_ID]:[Refund_Status]],4,FALSE),"")</f>
        <v>Refunded</v>
      </c>
      <c r="AG65" s="45" t="str">
        <f>VLOOKUP(OrdersRawTable9[[#This Row],[Order_ID]],ShipmentsTable[],6,FALSE)</f>
        <v>Late</v>
      </c>
      <c r="AH65" s="49">
        <f>VLOOKUP(OrdersRawTable9[[#This Row],[Order_ID]],ShipmentsTable[],3,FALSE)</f>
        <v>45772</v>
      </c>
    </row>
    <row r="66" spans="1:34" ht="15" customHeight="1">
      <c r="A66" s="14" t="s">
        <v>216</v>
      </c>
      <c r="B66" s="10" t="s">
        <v>217</v>
      </c>
      <c r="C66" s="20">
        <v>45857</v>
      </c>
      <c r="D66" s="10" t="s">
        <v>218</v>
      </c>
      <c r="E66" s="10" t="s">
        <v>219</v>
      </c>
      <c r="F66" s="10" t="str">
        <f>TRIM(LEFT(OrdersRawTable9[[#This Row],[Customer_Info]],FIND(",",OrdersRawTable9[[#This Row],[Customer_Info]])-1))</f>
        <v>Maya Johnson</v>
      </c>
      <c r="G6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66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66" s="10">
        <f>LEN(OrdersRawTable9[[#This Row],[Customer_Info]])-LEN(SUBSTITUTE(OrdersRawTable9[[#This Row],[Customer_Info]],",",""))</f>
        <v>2</v>
      </c>
      <c r="J66" s="10" t="s">
        <v>220</v>
      </c>
      <c r="K66" s="23">
        <v>4</v>
      </c>
      <c r="L66" s="26">
        <v>25.01</v>
      </c>
      <c r="M66" s="29">
        <v>0</v>
      </c>
      <c r="N66" s="10" t="s">
        <v>45</v>
      </c>
      <c r="O66" s="10" t="str">
        <f>IF(TRIM(OrdersRawTable9[[#This Row],[Sales_Channel_Raw]])="Market place","Marketplace",TRIM(OrdersRawTable9[[#This Row],[Sales_Channel_Raw]]))</f>
        <v>Retail Store</v>
      </c>
      <c r="P66" s="10" t="s">
        <v>41</v>
      </c>
      <c r="Q66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66" s="15" t="s">
        <v>47</v>
      </c>
      <c r="S66" t="str">
        <f>VLOOKUP(OrdersRawTable9[[#This Row],[Customer_ID_Raw]],CustomersTable11[],4,FALSE)</f>
        <v>Alberta</v>
      </c>
      <c r="T66" t="str">
        <f>VLOOKUP(OrdersRawTable9[[#This Row],[Customer_ID_Raw]],CustomersTable11[],5,FALSE)</f>
        <v>Consumer</v>
      </c>
      <c r="U66" s="45">
        <f>VLOOKUP(OrdersRawTable9[[#This Row],[Product_ID]],ProductsTable10[],4,FALSE)</f>
        <v>16.86</v>
      </c>
      <c r="V66" t="str">
        <f>VLOOKUP(OrdersRawTable9[[#This Row],[Product_ID]],ProductsTable10[],3,FALSE)</f>
        <v>Office</v>
      </c>
      <c r="W66" s="45">
        <f>OrdersRawTable9[[#This Row],[Unit_Price]]*OrdersRawTable9[[#This Row],[Quantity]]</f>
        <v>100.04</v>
      </c>
      <c r="X66" s="47">
        <f>OrdersRawTable9[[#This Row],[Gross_Sales]]*OrdersRawTable9[[#This Row],[Discount_Pct]]</f>
        <v>0</v>
      </c>
      <c r="Y66" s="45">
        <f>OrdersRawTable9[[#This Row],[Gross_Sales]]-OrdersRawTable9[[#This Row],[Discount_Amount]]</f>
        <v>100.04</v>
      </c>
      <c r="Z66" s="45">
        <f>OrdersRawTable9[[#This Row],[Unit_Cost]]*OrdersRawTable9[[#This Row],[Quantity]]</f>
        <v>67.44</v>
      </c>
      <c r="AA66" s="45">
        <f>OrdersRawTable9[[#This Row],[Net_Sales]]-OrdersRawTable9[[#This Row],[Total_Cost]]</f>
        <v>32.600000000000009</v>
      </c>
      <c r="AB66" s="48">
        <f>IF(OrdersRawTable9[[#This Row],[Net_Sales]]=0,0,OrdersRawTable9[[#This Row],[Profit]]/OrdersRawTable9[[#This Row],[Net_Sales]])</f>
        <v>0.32586965213914443</v>
      </c>
      <c r="AC66" s="45" t="str">
        <f>IF(COUNTIF(ReturnsRawTable[Order_Line_ID],OrdersRawTable9[[#This Row],[Order_Line_ID]])&gt;0,"Yes","No")</f>
        <v>No</v>
      </c>
      <c r="AD66" s="45" t="str">
        <f>IFERROR(VLOOKUP(OrdersRawTable9[[#This Row],[Order_Line_ID]],ReturnsRawTable[[#All],[Order_Line_ID]:[Return_Reason_Raw]],3,FALSE),"")</f>
        <v/>
      </c>
      <c r="AE66" s="49" t="str">
        <f>IFERROR(VLOOKUP(OrdersRawTable9[[#This Row],[Order_Line_ID]],ReturnsRawTable[[#All],[Order_Line_ID]:[Return_Date]],2,FALSE),"")</f>
        <v/>
      </c>
      <c r="AF66" s="45" t="str">
        <f>IFERROR(VLOOKUP(OrdersRawTable9[[#This Row],[Order_Line_ID]],ReturnsRawTable[[Order_Line_ID]:[Refund_Status]],4,FALSE),"")</f>
        <v/>
      </c>
      <c r="AG66" s="45" t="str">
        <f>VLOOKUP(OrdersRawTable9[[#This Row],[Order_ID]],ShipmentsTable[],6,FALSE)</f>
        <v>Late</v>
      </c>
      <c r="AH66" s="49">
        <f>VLOOKUP(OrdersRawTable9[[#This Row],[Order_ID]],ShipmentsTable[],3,FALSE)</f>
        <v>45864</v>
      </c>
    </row>
    <row r="67" spans="1:34" ht="15" customHeight="1">
      <c r="A67" s="14" t="s">
        <v>221</v>
      </c>
      <c r="B67" s="10" t="s">
        <v>217</v>
      </c>
      <c r="C67" s="20">
        <v>45857</v>
      </c>
      <c r="D67" s="10" t="s">
        <v>218</v>
      </c>
      <c r="E67" s="10" t="s">
        <v>219</v>
      </c>
      <c r="F67" s="10" t="str">
        <f>TRIM(LEFT(OrdersRawTable9[[#This Row],[Customer_Info]],FIND(",",OrdersRawTable9[[#This Row],[Customer_Info]])-1))</f>
        <v>Maya Johnson</v>
      </c>
      <c r="G6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67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67" s="10">
        <f>LEN(OrdersRawTable9[[#This Row],[Customer_Info]])-LEN(SUBSTITUTE(OrdersRawTable9[[#This Row],[Customer_Info]],",",""))</f>
        <v>2</v>
      </c>
      <c r="J67" s="10" t="s">
        <v>171</v>
      </c>
      <c r="K67" s="23">
        <v>2</v>
      </c>
      <c r="L67" s="26">
        <v>228.81</v>
      </c>
      <c r="M67" s="29">
        <v>0.05</v>
      </c>
      <c r="N67" s="10" t="s">
        <v>40</v>
      </c>
      <c r="O67" s="10" t="str">
        <f>IF(TRIM(OrdersRawTable9[[#This Row],[Sales_Channel_Raw]])="Market place","Marketplace",TRIM(OrdersRawTable9[[#This Row],[Sales_Channel_Raw]]))</f>
        <v>Online</v>
      </c>
      <c r="P67" s="10" t="s">
        <v>98</v>
      </c>
      <c r="Q67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67" s="15" t="s">
        <v>47</v>
      </c>
      <c r="S67" t="str">
        <f>VLOOKUP(OrdersRawTable9[[#This Row],[Customer_ID_Raw]],CustomersTable11[],4,FALSE)</f>
        <v>Alberta</v>
      </c>
      <c r="T67" t="str">
        <f>VLOOKUP(OrdersRawTable9[[#This Row],[Customer_ID_Raw]],CustomersTable11[],5,FALSE)</f>
        <v>Consumer</v>
      </c>
      <c r="U67" s="45">
        <f>VLOOKUP(OrdersRawTable9[[#This Row],[Product_ID]],ProductsTable10[],4,FALSE)</f>
        <v>130.9</v>
      </c>
      <c r="V67" t="str">
        <f>VLOOKUP(OrdersRawTable9[[#This Row],[Product_ID]],ProductsTable10[],3,FALSE)</f>
        <v>Accessories</v>
      </c>
      <c r="W67" s="45">
        <f>OrdersRawTable9[[#This Row],[Unit_Price]]*OrdersRawTable9[[#This Row],[Quantity]]</f>
        <v>457.62</v>
      </c>
      <c r="X67" s="47">
        <f>OrdersRawTable9[[#This Row],[Gross_Sales]]*OrdersRawTable9[[#This Row],[Discount_Pct]]</f>
        <v>22.881</v>
      </c>
      <c r="Y67" s="45">
        <f>OrdersRawTable9[[#This Row],[Gross_Sales]]-OrdersRawTable9[[#This Row],[Discount_Amount]]</f>
        <v>434.73900000000003</v>
      </c>
      <c r="Z67" s="45">
        <f>OrdersRawTable9[[#This Row],[Unit_Cost]]*OrdersRawTable9[[#This Row],[Quantity]]</f>
        <v>261.8</v>
      </c>
      <c r="AA67" s="45">
        <f>OrdersRawTable9[[#This Row],[Net_Sales]]-OrdersRawTable9[[#This Row],[Total_Cost]]</f>
        <v>172.93900000000002</v>
      </c>
      <c r="AB67" s="48">
        <f>IF(OrdersRawTable9[[#This Row],[Net_Sales]]=0,0,OrdersRawTable9[[#This Row],[Profit]]/OrdersRawTable9[[#This Row],[Net_Sales]])</f>
        <v>0.39779959929980979</v>
      </c>
      <c r="AC67" s="45" t="str">
        <f>IF(COUNTIF(ReturnsRawTable[Order_Line_ID],OrdersRawTable9[[#This Row],[Order_Line_ID]])&gt;0,"Yes","No")</f>
        <v>Yes</v>
      </c>
      <c r="AD67" s="45" t="str">
        <f>IFERROR(VLOOKUP(OrdersRawTable9[[#This Row],[Order_Line_ID]],ReturnsRawTable[[#All],[Order_Line_ID]:[Return_Reason_Raw]],3,FALSE),"")</f>
        <v>Late Delivery</v>
      </c>
      <c r="AE67" s="49">
        <f>IFERROR(VLOOKUP(OrdersRawTable9[[#This Row],[Order_Line_ID]],ReturnsRawTable[[#All],[Order_Line_ID]:[Return_Date]],2,FALSE),"")</f>
        <v>45871</v>
      </c>
      <c r="AF67" s="45" t="str">
        <f>IFERROR(VLOOKUP(OrdersRawTable9[[#This Row],[Order_Line_ID]],ReturnsRawTable[[Order_Line_ID]:[Refund_Status]],4,FALSE),"")</f>
        <v>Refunded</v>
      </c>
      <c r="AG67" s="45" t="str">
        <f>VLOOKUP(OrdersRawTable9[[#This Row],[Order_ID]],ShipmentsTable[],6,FALSE)</f>
        <v>Late</v>
      </c>
      <c r="AH67" s="49">
        <f>VLOOKUP(OrdersRawTable9[[#This Row],[Order_ID]],ShipmentsTable[],3,FALSE)</f>
        <v>45864</v>
      </c>
    </row>
    <row r="68" spans="1:34" ht="15" customHeight="1">
      <c r="A68" s="14" t="s">
        <v>222</v>
      </c>
      <c r="B68" s="10" t="s">
        <v>223</v>
      </c>
      <c r="C68" s="20">
        <v>45942</v>
      </c>
      <c r="D68" s="10" t="s">
        <v>224</v>
      </c>
      <c r="E68" s="10" t="s">
        <v>225</v>
      </c>
      <c r="F68" s="10" t="str">
        <f>TRIM(LEFT(OrdersRawTable9[[#This Row],[Customer_Info]],FIND(",",OrdersRawTable9[[#This Row],[Customer_Info]])-1))</f>
        <v>Emma Tremblay</v>
      </c>
      <c r="G6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68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8" s="10">
        <f>LEN(OrdersRawTable9[[#This Row],[Customer_Info]])-LEN(SUBSTITUTE(OrdersRawTable9[[#This Row],[Customer_Info]],",",""))</f>
        <v>2</v>
      </c>
      <c r="J68" s="10" t="s">
        <v>128</v>
      </c>
      <c r="K68" s="23">
        <v>4</v>
      </c>
      <c r="L68" s="26">
        <v>25.15</v>
      </c>
      <c r="M68" s="29">
        <v>0</v>
      </c>
      <c r="N68" s="10" t="s">
        <v>66</v>
      </c>
      <c r="O68" s="10" t="str">
        <f>IF(TRIM(OrdersRawTable9[[#This Row],[Sales_Channel_Raw]])="Market place","Marketplace",TRIM(OrdersRawTable9[[#This Row],[Sales_Channel_Raw]]))</f>
        <v>Marketplace</v>
      </c>
      <c r="P68" s="10"/>
      <c r="Q68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68" s="15" t="s">
        <v>42</v>
      </c>
      <c r="S68" t="str">
        <f>VLOOKUP(OrdersRawTable9[[#This Row],[Customer_ID_Raw]],CustomersTable11[],4,FALSE)</f>
        <v>Quebec</v>
      </c>
      <c r="T68" t="str">
        <f>VLOOKUP(OrdersRawTable9[[#This Row],[Customer_ID_Raw]],CustomersTable11[],5,FALSE)</f>
        <v>Corporate</v>
      </c>
      <c r="U68" s="45">
        <f>VLOOKUP(OrdersRawTable9[[#This Row],[Product_ID]],ProductsTable10[],4,FALSE)</f>
        <v>14.24</v>
      </c>
      <c r="V68" t="str">
        <f>VLOOKUP(OrdersRawTable9[[#This Row],[Product_ID]],ProductsTable10[],3,FALSE)</f>
        <v>Electronics</v>
      </c>
      <c r="W68" s="45">
        <f>OrdersRawTable9[[#This Row],[Unit_Price]]*OrdersRawTable9[[#This Row],[Quantity]]</f>
        <v>100.6</v>
      </c>
      <c r="X68" s="47">
        <f>OrdersRawTable9[[#This Row],[Gross_Sales]]*OrdersRawTable9[[#This Row],[Discount_Pct]]</f>
        <v>0</v>
      </c>
      <c r="Y68" s="45">
        <f>OrdersRawTable9[[#This Row],[Gross_Sales]]-OrdersRawTable9[[#This Row],[Discount_Amount]]</f>
        <v>100.6</v>
      </c>
      <c r="Z68" s="45">
        <f>OrdersRawTable9[[#This Row],[Unit_Cost]]*OrdersRawTable9[[#This Row],[Quantity]]</f>
        <v>56.96</v>
      </c>
      <c r="AA68" s="45">
        <f>OrdersRawTable9[[#This Row],[Net_Sales]]-OrdersRawTable9[[#This Row],[Total_Cost]]</f>
        <v>43.639999999999993</v>
      </c>
      <c r="AB68" s="48">
        <f>IF(OrdersRawTable9[[#This Row],[Net_Sales]]=0,0,OrdersRawTable9[[#This Row],[Profit]]/OrdersRawTable9[[#This Row],[Net_Sales]])</f>
        <v>0.43379721669980115</v>
      </c>
      <c r="AC68" s="45" t="str">
        <f>IF(COUNTIF(ReturnsRawTable[Order_Line_ID],OrdersRawTable9[[#This Row],[Order_Line_ID]])&gt;0,"Yes","No")</f>
        <v>No</v>
      </c>
      <c r="AD68" s="45" t="str">
        <f>IFERROR(VLOOKUP(OrdersRawTable9[[#This Row],[Order_Line_ID]],ReturnsRawTable[[#All],[Order_Line_ID]:[Return_Reason_Raw]],3,FALSE),"")</f>
        <v/>
      </c>
      <c r="AE68" s="49" t="str">
        <f>IFERROR(VLOOKUP(OrdersRawTable9[[#This Row],[Order_Line_ID]],ReturnsRawTable[[#All],[Order_Line_ID]:[Return_Date]],2,FALSE),"")</f>
        <v/>
      </c>
      <c r="AF68" s="45" t="str">
        <f>IFERROR(VLOOKUP(OrdersRawTable9[[#This Row],[Order_Line_ID]],ReturnsRawTable[[Order_Line_ID]:[Refund_Status]],4,FALSE),"")</f>
        <v/>
      </c>
      <c r="AG68" s="45" t="str">
        <f>VLOOKUP(OrdersRawTable9[[#This Row],[Order_ID]],ShipmentsTable[],6,FALSE)</f>
        <v>Late</v>
      </c>
      <c r="AH68" s="49">
        <f>VLOOKUP(OrdersRawTable9[[#This Row],[Order_ID]],ShipmentsTable[],3,FALSE)</f>
        <v>45948</v>
      </c>
    </row>
    <row r="69" spans="1:34" ht="15" customHeight="1">
      <c r="A69" s="14" t="s">
        <v>226</v>
      </c>
      <c r="B69" s="10" t="s">
        <v>223</v>
      </c>
      <c r="C69" s="20">
        <v>45942</v>
      </c>
      <c r="D69" s="10" t="s">
        <v>224</v>
      </c>
      <c r="E69" s="10" t="s">
        <v>225</v>
      </c>
      <c r="F69" s="10" t="str">
        <f>TRIM(LEFT(OrdersRawTable9[[#This Row],[Customer_Info]],FIND(",",OrdersRawTable9[[#This Row],[Customer_Info]])-1))</f>
        <v>Emma Tremblay</v>
      </c>
      <c r="G6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69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9" s="10">
        <f>LEN(OrdersRawTable9[[#This Row],[Customer_Info]])-LEN(SUBSTITUTE(OrdersRawTable9[[#This Row],[Customer_Info]],",",""))</f>
        <v>2</v>
      </c>
      <c r="J69" s="10" t="s">
        <v>220</v>
      </c>
      <c r="K69" s="23">
        <v>2</v>
      </c>
      <c r="L69" s="26">
        <v>25.01</v>
      </c>
      <c r="M69" s="29">
        <v>0</v>
      </c>
      <c r="N69" s="10" t="s">
        <v>64</v>
      </c>
      <c r="O69" s="10" t="str">
        <f>IF(TRIM(OrdersRawTable9[[#This Row],[Sales_Channel_Raw]])="Market place","Marketplace",TRIM(OrdersRawTable9[[#This Row],[Sales_Channel_Raw]]))</f>
        <v>Retail Store</v>
      </c>
      <c r="P69" s="10" t="s">
        <v>46</v>
      </c>
      <c r="Q69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69" s="15" t="s">
        <v>101</v>
      </c>
      <c r="S69" t="str">
        <f>VLOOKUP(OrdersRawTable9[[#This Row],[Customer_ID_Raw]],CustomersTable11[],4,FALSE)</f>
        <v>Quebec</v>
      </c>
      <c r="T69" t="str">
        <f>VLOOKUP(OrdersRawTable9[[#This Row],[Customer_ID_Raw]],CustomersTable11[],5,FALSE)</f>
        <v>Corporate</v>
      </c>
      <c r="U69" s="45">
        <f>VLOOKUP(OrdersRawTable9[[#This Row],[Product_ID]],ProductsTable10[],4,FALSE)</f>
        <v>16.86</v>
      </c>
      <c r="V69" t="str">
        <f>VLOOKUP(OrdersRawTable9[[#This Row],[Product_ID]],ProductsTable10[],3,FALSE)</f>
        <v>Office</v>
      </c>
      <c r="W69" s="45">
        <f>OrdersRawTable9[[#This Row],[Unit_Price]]*OrdersRawTable9[[#This Row],[Quantity]]</f>
        <v>50.02</v>
      </c>
      <c r="X69" s="47">
        <f>OrdersRawTable9[[#This Row],[Gross_Sales]]*OrdersRawTable9[[#This Row],[Discount_Pct]]</f>
        <v>0</v>
      </c>
      <c r="Y69" s="45">
        <f>OrdersRawTable9[[#This Row],[Gross_Sales]]-OrdersRawTable9[[#This Row],[Discount_Amount]]</f>
        <v>50.02</v>
      </c>
      <c r="Z69" s="45">
        <f>OrdersRawTable9[[#This Row],[Unit_Cost]]*OrdersRawTable9[[#This Row],[Quantity]]</f>
        <v>33.72</v>
      </c>
      <c r="AA69" s="45">
        <f>OrdersRawTable9[[#This Row],[Net_Sales]]-OrdersRawTable9[[#This Row],[Total_Cost]]</f>
        <v>16.300000000000004</v>
      </c>
      <c r="AB69" s="48">
        <f>IF(OrdersRawTable9[[#This Row],[Net_Sales]]=0,0,OrdersRawTable9[[#This Row],[Profit]]/OrdersRawTable9[[#This Row],[Net_Sales]])</f>
        <v>0.32586965213914443</v>
      </c>
      <c r="AC69" s="45" t="str">
        <f>IF(COUNTIF(ReturnsRawTable[Order_Line_ID],OrdersRawTable9[[#This Row],[Order_Line_ID]])&gt;0,"Yes","No")</f>
        <v>No</v>
      </c>
      <c r="AD69" s="45" t="str">
        <f>IFERROR(VLOOKUP(OrdersRawTable9[[#This Row],[Order_Line_ID]],ReturnsRawTable[[#All],[Order_Line_ID]:[Return_Reason_Raw]],3,FALSE),"")</f>
        <v/>
      </c>
      <c r="AE69" s="49" t="str">
        <f>IFERROR(VLOOKUP(OrdersRawTable9[[#This Row],[Order_Line_ID]],ReturnsRawTable[[#All],[Order_Line_ID]:[Return_Date]],2,FALSE),"")</f>
        <v/>
      </c>
      <c r="AF69" s="45" t="str">
        <f>IFERROR(VLOOKUP(OrdersRawTable9[[#This Row],[Order_Line_ID]],ReturnsRawTable[[Order_Line_ID]:[Refund_Status]],4,FALSE),"")</f>
        <v/>
      </c>
      <c r="AG69" s="45" t="str">
        <f>VLOOKUP(OrdersRawTable9[[#This Row],[Order_ID]],ShipmentsTable[],6,FALSE)</f>
        <v>Late</v>
      </c>
      <c r="AH69" s="49">
        <f>VLOOKUP(OrdersRawTable9[[#This Row],[Order_ID]],ShipmentsTable[],3,FALSE)</f>
        <v>45948</v>
      </c>
    </row>
    <row r="70" spans="1:34" ht="15" customHeight="1">
      <c r="A70" s="14" t="s">
        <v>227</v>
      </c>
      <c r="B70" s="10" t="s">
        <v>228</v>
      </c>
      <c r="C70" s="20">
        <v>45945</v>
      </c>
      <c r="D70" s="10" t="s">
        <v>229</v>
      </c>
      <c r="E70" s="10" t="s">
        <v>230</v>
      </c>
      <c r="F70" s="10" t="str">
        <f>TRIM(LEFT(OrdersRawTable9[[#This Row],[Customer_Info]],FIND(",",OrdersRawTable9[[#This Row],[Customer_Info]])-1))</f>
        <v>Daniel Wilson</v>
      </c>
      <c r="G7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70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0" s="10">
        <f>LEN(OrdersRawTable9[[#This Row],[Customer_Info]])-LEN(SUBSTITUTE(OrdersRawTable9[[#This Row],[Customer_Info]],",",""))</f>
        <v>2</v>
      </c>
      <c r="J70" s="10" t="s">
        <v>72</v>
      </c>
      <c r="K70" s="23">
        <v>1</v>
      </c>
      <c r="L70" s="26">
        <v>210.2</v>
      </c>
      <c r="M70" s="29">
        <v>0.1</v>
      </c>
      <c r="N70" s="10" t="s">
        <v>40</v>
      </c>
      <c r="O70" s="10" t="str">
        <f>IF(TRIM(OrdersRawTable9[[#This Row],[Sales_Channel_Raw]])="Market place","Marketplace",TRIM(OrdersRawTable9[[#This Row],[Sales_Channel_Raw]]))</f>
        <v>Online</v>
      </c>
      <c r="P70" s="10"/>
      <c r="Q70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70" s="15" t="s">
        <v>67</v>
      </c>
      <c r="S70" t="str">
        <f>VLOOKUP(OrdersRawTable9[[#This Row],[Customer_ID_Raw]],CustomersTable11[],4,FALSE)</f>
        <v>Alberta</v>
      </c>
      <c r="T70" t="str">
        <f>VLOOKUP(OrdersRawTable9[[#This Row],[Customer_ID_Raw]],CustomersTable11[],5,FALSE)</f>
        <v>Consumer</v>
      </c>
      <c r="U70" s="45">
        <f>VLOOKUP(OrdersRawTable9[[#This Row],[Product_ID]],ProductsTable10[],4,FALSE)</f>
        <v>136.25</v>
      </c>
      <c r="V70" t="str">
        <f>VLOOKUP(OrdersRawTable9[[#This Row],[Product_ID]],ProductsTable10[],3,FALSE)</f>
        <v>Fitness</v>
      </c>
      <c r="W70" s="45">
        <f>OrdersRawTable9[[#This Row],[Unit_Price]]*OrdersRawTable9[[#This Row],[Quantity]]</f>
        <v>210.2</v>
      </c>
      <c r="X70" s="47">
        <f>OrdersRawTable9[[#This Row],[Gross_Sales]]*OrdersRawTable9[[#This Row],[Discount_Pct]]</f>
        <v>21.02</v>
      </c>
      <c r="Y70" s="45">
        <f>OrdersRawTable9[[#This Row],[Gross_Sales]]-OrdersRawTable9[[#This Row],[Discount_Amount]]</f>
        <v>189.17999999999998</v>
      </c>
      <c r="Z70" s="45">
        <f>OrdersRawTable9[[#This Row],[Unit_Cost]]*OrdersRawTable9[[#This Row],[Quantity]]</f>
        <v>136.25</v>
      </c>
      <c r="AA70" s="45">
        <f>OrdersRawTable9[[#This Row],[Net_Sales]]-OrdersRawTable9[[#This Row],[Total_Cost]]</f>
        <v>52.929999999999978</v>
      </c>
      <c r="AB70" s="48">
        <f>IF(OrdersRawTable9[[#This Row],[Net_Sales]]=0,0,OrdersRawTable9[[#This Row],[Profit]]/OrdersRawTable9[[#This Row],[Net_Sales]])</f>
        <v>0.27978644677027159</v>
      </c>
      <c r="AC70" s="45" t="str">
        <f>IF(COUNTIF(ReturnsRawTable[Order_Line_ID],OrdersRawTable9[[#This Row],[Order_Line_ID]])&gt;0,"Yes","No")</f>
        <v>No</v>
      </c>
      <c r="AD70" s="45" t="str">
        <f>IFERROR(VLOOKUP(OrdersRawTable9[[#This Row],[Order_Line_ID]],ReturnsRawTable[[#All],[Order_Line_ID]:[Return_Reason_Raw]],3,FALSE),"")</f>
        <v/>
      </c>
      <c r="AE70" s="49" t="str">
        <f>IFERROR(VLOOKUP(OrdersRawTable9[[#This Row],[Order_Line_ID]],ReturnsRawTable[[#All],[Order_Line_ID]:[Return_Date]],2,FALSE),"")</f>
        <v/>
      </c>
      <c r="AF70" s="45" t="str">
        <f>IFERROR(VLOOKUP(OrdersRawTable9[[#This Row],[Order_Line_ID]],ReturnsRawTable[[Order_Line_ID]:[Refund_Status]],4,FALSE),"")</f>
        <v/>
      </c>
      <c r="AG70" s="45" t="str">
        <f>VLOOKUP(OrdersRawTable9[[#This Row],[Order_ID]],ShipmentsTable[],6,FALSE)</f>
        <v>Late</v>
      </c>
      <c r="AH70" s="49">
        <f>VLOOKUP(OrdersRawTable9[[#This Row],[Order_ID]],ShipmentsTable[],3,FALSE)</f>
        <v>45954</v>
      </c>
    </row>
    <row r="71" spans="1:34" ht="15" customHeight="1">
      <c r="A71" s="14" t="s">
        <v>231</v>
      </c>
      <c r="B71" s="10" t="s">
        <v>232</v>
      </c>
      <c r="C71" s="20">
        <v>45988</v>
      </c>
      <c r="D71" s="10" t="s">
        <v>233</v>
      </c>
      <c r="E71" s="10" t="s">
        <v>234</v>
      </c>
      <c r="F71" s="10" t="str">
        <f>TRIM(LEFT(OrdersRawTable9[[#This Row],[Customer_Info]],FIND(",",OrdersRawTable9[[#This Row],[Customer_Info]])-1))</f>
        <v>Omar Gagnon</v>
      </c>
      <c r="G7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71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71" s="10">
        <f>LEN(OrdersRawTable9[[#This Row],[Customer_Info]])-LEN(SUBSTITUTE(OrdersRawTable9[[#This Row],[Customer_Info]],",",""))</f>
        <v>2</v>
      </c>
      <c r="J71" s="10" t="s">
        <v>108</v>
      </c>
      <c r="K71" s="23">
        <v>2</v>
      </c>
      <c r="L71" s="26">
        <v>33.369999999999997</v>
      </c>
      <c r="M71" s="29">
        <v>0</v>
      </c>
      <c r="N71" s="10" t="s">
        <v>64</v>
      </c>
      <c r="O71" s="10" t="str">
        <f>IF(TRIM(OrdersRawTable9[[#This Row],[Sales_Channel_Raw]])="Market place","Marketplace",TRIM(OrdersRawTable9[[#This Row],[Sales_Channel_Raw]]))</f>
        <v>Retail Store</v>
      </c>
      <c r="P71" s="10" t="s">
        <v>98</v>
      </c>
      <c r="Q71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71" s="15" t="s">
        <v>42</v>
      </c>
      <c r="S71" t="str">
        <f>VLOOKUP(OrdersRawTable9[[#This Row],[Customer_ID_Raw]],CustomersTable11[],4,FALSE)</f>
        <v>Manitoba</v>
      </c>
      <c r="T71" t="str">
        <f>VLOOKUP(OrdersRawTable9[[#This Row],[Customer_ID_Raw]],CustomersTable11[],5,FALSE)</f>
        <v>Small Business</v>
      </c>
      <c r="U71" s="45">
        <f>VLOOKUP(OrdersRawTable9[[#This Row],[Product_ID]],ProductsTable10[],4,FALSE)</f>
        <v>18.670000000000002</v>
      </c>
      <c r="V71" t="str">
        <f>VLOOKUP(OrdersRawTable9[[#This Row],[Product_ID]],ProductsTable10[],3,FALSE)</f>
        <v>Fitness</v>
      </c>
      <c r="W71" s="45">
        <f>OrdersRawTable9[[#This Row],[Unit_Price]]*OrdersRawTable9[[#This Row],[Quantity]]</f>
        <v>66.739999999999995</v>
      </c>
      <c r="X71" s="47">
        <f>OrdersRawTable9[[#This Row],[Gross_Sales]]*OrdersRawTable9[[#This Row],[Discount_Pct]]</f>
        <v>0</v>
      </c>
      <c r="Y71" s="45">
        <f>OrdersRawTable9[[#This Row],[Gross_Sales]]-OrdersRawTable9[[#This Row],[Discount_Amount]]</f>
        <v>66.739999999999995</v>
      </c>
      <c r="Z71" s="45">
        <f>OrdersRawTable9[[#This Row],[Unit_Cost]]*OrdersRawTable9[[#This Row],[Quantity]]</f>
        <v>37.340000000000003</v>
      </c>
      <c r="AA71" s="45">
        <f>OrdersRawTable9[[#This Row],[Net_Sales]]-OrdersRawTable9[[#This Row],[Total_Cost]]</f>
        <v>29.399999999999991</v>
      </c>
      <c r="AB71" s="48">
        <f>IF(OrdersRawTable9[[#This Row],[Net_Sales]]=0,0,OrdersRawTable9[[#This Row],[Profit]]/OrdersRawTable9[[#This Row],[Net_Sales]])</f>
        <v>0.44051543302367385</v>
      </c>
      <c r="AC71" s="45" t="str">
        <f>IF(COUNTIF(ReturnsRawTable[Order_Line_ID],OrdersRawTable9[[#This Row],[Order_Line_ID]])&gt;0,"Yes","No")</f>
        <v>No</v>
      </c>
      <c r="AD71" s="45" t="str">
        <f>IFERROR(VLOOKUP(OrdersRawTable9[[#This Row],[Order_Line_ID]],ReturnsRawTable[[#All],[Order_Line_ID]:[Return_Reason_Raw]],3,FALSE),"")</f>
        <v/>
      </c>
      <c r="AE71" s="49" t="str">
        <f>IFERROR(VLOOKUP(OrdersRawTable9[[#This Row],[Order_Line_ID]],ReturnsRawTable[[#All],[Order_Line_ID]:[Return_Date]],2,FALSE),"")</f>
        <v/>
      </c>
      <c r="AF71" s="45" t="str">
        <f>IFERROR(VLOOKUP(OrdersRawTable9[[#This Row],[Order_Line_ID]],ReturnsRawTable[[Order_Line_ID]:[Refund_Status]],4,FALSE),"")</f>
        <v/>
      </c>
      <c r="AG71" s="45" t="str">
        <f>VLOOKUP(OrdersRawTable9[[#This Row],[Order_ID]],ShipmentsTable[],6,FALSE)</f>
        <v>On time</v>
      </c>
      <c r="AH71" s="49">
        <f>VLOOKUP(OrdersRawTable9[[#This Row],[Order_ID]],ShipmentsTable[],3,FALSE)</f>
        <v>45992</v>
      </c>
    </row>
    <row r="72" spans="1:34" ht="15" customHeight="1">
      <c r="A72" s="14" t="s">
        <v>235</v>
      </c>
      <c r="B72" s="10" t="s">
        <v>232</v>
      </c>
      <c r="C72" s="20">
        <v>45988</v>
      </c>
      <c r="D72" s="10" t="s">
        <v>233</v>
      </c>
      <c r="E72" s="10" t="s">
        <v>234</v>
      </c>
      <c r="F72" s="10" t="str">
        <f>TRIM(LEFT(OrdersRawTable9[[#This Row],[Customer_Info]],FIND(",",OrdersRawTable9[[#This Row],[Customer_Info]])-1))</f>
        <v>Omar Gagnon</v>
      </c>
      <c r="G7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72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72" s="10">
        <f>LEN(OrdersRawTable9[[#This Row],[Customer_Info]])-LEN(SUBSTITUTE(OrdersRawTable9[[#This Row],[Customer_Info]],",",""))</f>
        <v>2</v>
      </c>
      <c r="J72" s="10" t="s">
        <v>196</v>
      </c>
      <c r="K72" s="23">
        <v>2</v>
      </c>
      <c r="L72" s="26">
        <v>183.73</v>
      </c>
      <c r="M72" s="29">
        <v>0.1</v>
      </c>
      <c r="N72" s="10" t="s">
        <v>50</v>
      </c>
      <c r="O72" s="10" t="str">
        <f>IF(TRIM(OrdersRawTable9[[#This Row],[Sales_Channel_Raw]])="Market place","Marketplace",TRIM(OrdersRawTable9[[#This Row],[Sales_Channel_Raw]]))</f>
        <v>Marketplace</v>
      </c>
      <c r="P72" s="10" t="s">
        <v>41</v>
      </c>
      <c r="Q72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72" s="15" t="s">
        <v>47</v>
      </c>
      <c r="S72" t="str">
        <f>VLOOKUP(OrdersRawTable9[[#This Row],[Customer_ID_Raw]],CustomersTable11[],4,FALSE)</f>
        <v>Manitoba</v>
      </c>
      <c r="T72" t="str">
        <f>VLOOKUP(OrdersRawTable9[[#This Row],[Customer_ID_Raw]],CustomersTable11[],5,FALSE)</f>
        <v>Small Business</v>
      </c>
      <c r="U72" s="45">
        <f>VLOOKUP(OrdersRawTable9[[#This Row],[Product_ID]],ProductsTable10[],4,FALSE)</f>
        <v>98.11</v>
      </c>
      <c r="V72" t="str">
        <f>VLOOKUP(OrdersRawTable9[[#This Row],[Product_ID]],ProductsTable10[],3,FALSE)</f>
        <v>Home</v>
      </c>
      <c r="W72" s="45">
        <f>OrdersRawTable9[[#This Row],[Unit_Price]]*OrdersRawTable9[[#This Row],[Quantity]]</f>
        <v>367.46</v>
      </c>
      <c r="X72" s="47">
        <f>OrdersRawTable9[[#This Row],[Gross_Sales]]*OrdersRawTable9[[#This Row],[Discount_Pct]]</f>
        <v>36.746000000000002</v>
      </c>
      <c r="Y72" s="45">
        <f>OrdersRawTable9[[#This Row],[Gross_Sales]]-OrdersRawTable9[[#This Row],[Discount_Amount]]</f>
        <v>330.714</v>
      </c>
      <c r="Z72" s="45">
        <f>OrdersRawTable9[[#This Row],[Unit_Cost]]*OrdersRawTable9[[#This Row],[Quantity]]</f>
        <v>196.22</v>
      </c>
      <c r="AA72" s="45">
        <f>OrdersRawTable9[[#This Row],[Net_Sales]]-OrdersRawTable9[[#This Row],[Total_Cost]]</f>
        <v>134.494</v>
      </c>
      <c r="AB72" s="48">
        <f>IF(OrdersRawTable9[[#This Row],[Net_Sales]]=0,0,OrdersRawTable9[[#This Row],[Profit]]/OrdersRawTable9[[#This Row],[Net_Sales]])</f>
        <v>0.40667767315565717</v>
      </c>
      <c r="AC72" s="45" t="str">
        <f>IF(COUNTIF(ReturnsRawTable[Order_Line_ID],OrdersRawTable9[[#This Row],[Order_Line_ID]])&gt;0,"Yes","No")</f>
        <v>No</v>
      </c>
      <c r="AD72" s="45" t="str">
        <f>IFERROR(VLOOKUP(OrdersRawTable9[[#This Row],[Order_Line_ID]],ReturnsRawTable[[#All],[Order_Line_ID]:[Return_Reason_Raw]],3,FALSE),"")</f>
        <v/>
      </c>
      <c r="AE72" s="49" t="str">
        <f>IFERROR(VLOOKUP(OrdersRawTable9[[#This Row],[Order_Line_ID]],ReturnsRawTable[[#All],[Order_Line_ID]:[Return_Date]],2,FALSE),"")</f>
        <v/>
      </c>
      <c r="AF72" s="45" t="str">
        <f>IFERROR(VLOOKUP(OrdersRawTable9[[#This Row],[Order_Line_ID]],ReturnsRawTable[[Order_Line_ID]:[Refund_Status]],4,FALSE),"")</f>
        <v/>
      </c>
      <c r="AG72" s="45" t="str">
        <f>VLOOKUP(OrdersRawTable9[[#This Row],[Order_ID]],ShipmentsTable[],6,FALSE)</f>
        <v>On time</v>
      </c>
      <c r="AH72" s="49">
        <f>VLOOKUP(OrdersRawTable9[[#This Row],[Order_ID]],ShipmentsTable[],3,FALSE)</f>
        <v>45992</v>
      </c>
    </row>
    <row r="73" spans="1:34" ht="15" customHeight="1">
      <c r="A73" s="14" t="s">
        <v>236</v>
      </c>
      <c r="B73" s="10" t="s">
        <v>237</v>
      </c>
      <c r="C73" s="20">
        <v>45763</v>
      </c>
      <c r="D73" s="10" t="s">
        <v>96</v>
      </c>
      <c r="E73" s="10" t="s">
        <v>97</v>
      </c>
      <c r="F73" s="10" t="str">
        <f>TRIM(LEFT(OrdersRawTable9[[#This Row],[Customer_Info]],FIND(",",OrdersRawTable9[[#This Row],[Customer_Info]])-1))</f>
        <v>Ethan Dubois</v>
      </c>
      <c r="G7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73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3" s="10">
        <f>LEN(OrdersRawTable9[[#This Row],[Customer_Info]])-LEN(SUBSTITUTE(OrdersRawTable9[[#This Row],[Customer_Info]],",",""))</f>
        <v>2</v>
      </c>
      <c r="J73" s="10" t="s">
        <v>238</v>
      </c>
      <c r="K73" s="23">
        <v>3</v>
      </c>
      <c r="L73" s="26">
        <v>82.77</v>
      </c>
      <c r="M73" s="29">
        <v>0</v>
      </c>
      <c r="N73" s="10" t="s">
        <v>40</v>
      </c>
      <c r="O73" s="10" t="str">
        <f>IF(TRIM(OrdersRawTable9[[#This Row],[Sales_Channel_Raw]])="Market place","Marketplace",TRIM(OrdersRawTable9[[#This Row],[Sales_Channel_Raw]]))</f>
        <v>Online</v>
      </c>
      <c r="P73" s="10"/>
      <c r="Q73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73" s="15" t="s">
        <v>42</v>
      </c>
      <c r="S73" t="str">
        <f>VLOOKUP(OrdersRawTable9[[#This Row],[Customer_ID_Raw]],CustomersTable11[],4,FALSE)</f>
        <v>Alberta</v>
      </c>
      <c r="T73" t="str">
        <f>VLOOKUP(OrdersRawTable9[[#This Row],[Customer_ID_Raw]],CustomersTable11[],5,FALSE)</f>
        <v>Consumer</v>
      </c>
      <c r="U73" s="45">
        <f>VLOOKUP(OrdersRawTable9[[#This Row],[Product_ID]],ProductsTable10[],4,FALSE)</f>
        <v>46.51</v>
      </c>
      <c r="V73" t="str">
        <f>VLOOKUP(OrdersRawTable9[[#This Row],[Product_ID]],ProductsTable10[],3,FALSE)</f>
        <v>Office</v>
      </c>
      <c r="W73" s="45">
        <f>OrdersRawTable9[[#This Row],[Unit_Price]]*OrdersRawTable9[[#This Row],[Quantity]]</f>
        <v>248.31</v>
      </c>
      <c r="X73" s="47">
        <f>OrdersRawTable9[[#This Row],[Gross_Sales]]*OrdersRawTable9[[#This Row],[Discount_Pct]]</f>
        <v>0</v>
      </c>
      <c r="Y73" s="45">
        <f>OrdersRawTable9[[#This Row],[Gross_Sales]]-OrdersRawTable9[[#This Row],[Discount_Amount]]</f>
        <v>248.31</v>
      </c>
      <c r="Z73" s="45">
        <f>OrdersRawTable9[[#This Row],[Unit_Cost]]*OrdersRawTable9[[#This Row],[Quantity]]</f>
        <v>139.53</v>
      </c>
      <c r="AA73" s="45">
        <f>OrdersRawTable9[[#This Row],[Net_Sales]]-OrdersRawTable9[[#This Row],[Total_Cost]]</f>
        <v>108.78</v>
      </c>
      <c r="AB73" s="48">
        <f>IF(OrdersRawTable9[[#This Row],[Net_Sales]]=0,0,OrdersRawTable9[[#This Row],[Profit]]/OrdersRawTable9[[#This Row],[Net_Sales]])</f>
        <v>0.43808143046997705</v>
      </c>
      <c r="AC73" s="45" t="str">
        <f>IF(COUNTIF(ReturnsRawTable[Order_Line_ID],OrdersRawTable9[[#This Row],[Order_Line_ID]])&gt;0,"Yes","No")</f>
        <v>No</v>
      </c>
      <c r="AD73" s="45" t="str">
        <f>IFERROR(VLOOKUP(OrdersRawTable9[[#This Row],[Order_Line_ID]],ReturnsRawTable[[#All],[Order_Line_ID]:[Return_Reason_Raw]],3,FALSE),"")</f>
        <v/>
      </c>
      <c r="AE73" s="49" t="str">
        <f>IFERROR(VLOOKUP(OrdersRawTable9[[#This Row],[Order_Line_ID]],ReturnsRawTable[[#All],[Order_Line_ID]:[Return_Date]],2,FALSE),"")</f>
        <v/>
      </c>
      <c r="AF73" s="45" t="str">
        <f>IFERROR(VLOOKUP(OrdersRawTable9[[#This Row],[Order_Line_ID]],ReturnsRawTable[[Order_Line_ID]:[Refund_Status]],4,FALSE),"")</f>
        <v/>
      </c>
      <c r="AG73" s="45" t="str">
        <f>VLOOKUP(OrdersRawTable9[[#This Row],[Order_ID]],ShipmentsTable[],6,FALSE)</f>
        <v>On time</v>
      </c>
      <c r="AH73" s="49">
        <f>VLOOKUP(OrdersRawTable9[[#This Row],[Order_ID]],ShipmentsTable[],3,FALSE)</f>
        <v>45765</v>
      </c>
    </row>
    <row r="74" spans="1:34" ht="15" customHeight="1">
      <c r="A74" s="14" t="s">
        <v>239</v>
      </c>
      <c r="B74" s="10" t="s">
        <v>237</v>
      </c>
      <c r="C74" s="20">
        <v>45763</v>
      </c>
      <c r="D74" s="10" t="s">
        <v>96</v>
      </c>
      <c r="E74" s="10" t="s">
        <v>97</v>
      </c>
      <c r="F74" s="10" t="str">
        <f>TRIM(LEFT(OrdersRawTable9[[#This Row],[Customer_Info]],FIND(",",OrdersRawTable9[[#This Row],[Customer_Info]])-1))</f>
        <v>Ethan Dubois</v>
      </c>
      <c r="G7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74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4" s="10">
        <f>LEN(OrdersRawTable9[[#This Row],[Customer_Info]])-LEN(SUBSTITUTE(OrdersRawTable9[[#This Row],[Customer_Info]],",",""))</f>
        <v>2</v>
      </c>
      <c r="J74" s="10" t="s">
        <v>214</v>
      </c>
      <c r="K74" s="23">
        <v>1</v>
      </c>
      <c r="L74" s="26">
        <v>186.92</v>
      </c>
      <c r="M74" s="29">
        <v>0.05</v>
      </c>
      <c r="N74" s="10" t="s">
        <v>40</v>
      </c>
      <c r="O74" s="10" t="str">
        <f>IF(TRIM(OrdersRawTable9[[#This Row],[Sales_Channel_Raw]])="Market place","Marketplace",TRIM(OrdersRawTable9[[#This Row],[Sales_Channel_Raw]]))</f>
        <v>Online</v>
      </c>
      <c r="P74" s="10" t="s">
        <v>41</v>
      </c>
      <c r="Q74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74" s="15" t="s">
        <v>67</v>
      </c>
      <c r="S74" t="str">
        <f>VLOOKUP(OrdersRawTable9[[#This Row],[Customer_ID_Raw]],CustomersTable11[],4,FALSE)</f>
        <v>Alberta</v>
      </c>
      <c r="T74" t="str">
        <f>VLOOKUP(OrdersRawTable9[[#This Row],[Customer_ID_Raw]],CustomersTable11[],5,FALSE)</f>
        <v>Consumer</v>
      </c>
      <c r="U74" s="45">
        <f>VLOOKUP(OrdersRawTable9[[#This Row],[Product_ID]],ProductsTable10[],4,FALSE)</f>
        <v>114.11</v>
      </c>
      <c r="V74" t="str">
        <f>VLOOKUP(OrdersRawTable9[[#This Row],[Product_ID]],ProductsTable10[],3,FALSE)</f>
        <v>Home</v>
      </c>
      <c r="W74" s="45">
        <f>OrdersRawTable9[[#This Row],[Unit_Price]]*OrdersRawTable9[[#This Row],[Quantity]]</f>
        <v>186.92</v>
      </c>
      <c r="X74" s="47">
        <f>OrdersRawTable9[[#This Row],[Gross_Sales]]*OrdersRawTable9[[#This Row],[Discount_Pct]]</f>
        <v>9.3460000000000001</v>
      </c>
      <c r="Y74" s="45">
        <f>OrdersRawTable9[[#This Row],[Gross_Sales]]-OrdersRawTable9[[#This Row],[Discount_Amount]]</f>
        <v>177.57399999999998</v>
      </c>
      <c r="Z74" s="45">
        <f>OrdersRawTable9[[#This Row],[Unit_Cost]]*OrdersRawTable9[[#This Row],[Quantity]]</f>
        <v>114.11</v>
      </c>
      <c r="AA74" s="45">
        <f>OrdersRawTable9[[#This Row],[Net_Sales]]-OrdersRawTable9[[#This Row],[Total_Cost]]</f>
        <v>63.463999999999984</v>
      </c>
      <c r="AB74" s="48">
        <f>IF(OrdersRawTable9[[#This Row],[Net_Sales]]=0,0,OrdersRawTable9[[#This Row],[Profit]]/OrdersRawTable9[[#This Row],[Net_Sales]])</f>
        <v>0.3573946636331895</v>
      </c>
      <c r="AC74" s="45" t="str">
        <f>IF(COUNTIF(ReturnsRawTable[Order_Line_ID],OrdersRawTable9[[#This Row],[Order_Line_ID]])&gt;0,"Yes","No")</f>
        <v>No</v>
      </c>
      <c r="AD74" s="45" t="str">
        <f>IFERROR(VLOOKUP(OrdersRawTable9[[#This Row],[Order_Line_ID]],ReturnsRawTable[[#All],[Order_Line_ID]:[Return_Reason_Raw]],3,FALSE),"")</f>
        <v/>
      </c>
      <c r="AE74" s="49" t="str">
        <f>IFERROR(VLOOKUP(OrdersRawTable9[[#This Row],[Order_Line_ID]],ReturnsRawTable[[#All],[Order_Line_ID]:[Return_Date]],2,FALSE),"")</f>
        <v/>
      </c>
      <c r="AF74" s="45" t="str">
        <f>IFERROR(VLOOKUP(OrdersRawTable9[[#This Row],[Order_Line_ID]],ReturnsRawTable[[Order_Line_ID]:[Refund_Status]],4,FALSE),"")</f>
        <v/>
      </c>
      <c r="AG74" s="45" t="str">
        <f>VLOOKUP(OrdersRawTable9[[#This Row],[Order_ID]],ShipmentsTable[],6,FALSE)</f>
        <v>On time</v>
      </c>
      <c r="AH74" s="49">
        <f>VLOOKUP(OrdersRawTable9[[#This Row],[Order_ID]],ShipmentsTable[],3,FALSE)</f>
        <v>45765</v>
      </c>
    </row>
    <row r="75" spans="1:34" ht="15" customHeight="1">
      <c r="A75" s="14" t="s">
        <v>240</v>
      </c>
      <c r="B75" s="10" t="s">
        <v>237</v>
      </c>
      <c r="C75" s="20">
        <v>45763</v>
      </c>
      <c r="D75" s="10" t="s">
        <v>96</v>
      </c>
      <c r="E75" s="10" t="s">
        <v>97</v>
      </c>
      <c r="F75" s="10" t="str">
        <f>TRIM(LEFT(OrdersRawTable9[[#This Row],[Customer_Info]],FIND(",",OrdersRawTable9[[#This Row],[Customer_Info]])-1))</f>
        <v>Ethan Dubois</v>
      </c>
      <c r="G7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75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5" s="10">
        <f>LEN(OrdersRawTable9[[#This Row],[Customer_Info]])-LEN(SUBSTITUTE(OrdersRawTable9[[#This Row],[Customer_Info]],",",""))</f>
        <v>2</v>
      </c>
      <c r="J75" s="10" t="s">
        <v>241</v>
      </c>
      <c r="K75" s="23">
        <v>4</v>
      </c>
      <c r="L75" s="26">
        <v>300.56</v>
      </c>
      <c r="M75" s="29">
        <v>0.1</v>
      </c>
      <c r="N75" s="10" t="s">
        <v>45</v>
      </c>
      <c r="O75" s="10" t="str">
        <f>IF(TRIM(OrdersRawTable9[[#This Row],[Sales_Channel_Raw]])="Market place","Marketplace",TRIM(OrdersRawTable9[[#This Row],[Sales_Channel_Raw]]))</f>
        <v>Retail Store</v>
      </c>
      <c r="P75" s="10" t="s">
        <v>46</v>
      </c>
      <c r="Q75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75" s="15" t="s">
        <v>67</v>
      </c>
      <c r="S75" t="str">
        <f>VLOOKUP(OrdersRawTable9[[#This Row],[Customer_ID_Raw]],CustomersTable11[],4,FALSE)</f>
        <v>Alberta</v>
      </c>
      <c r="T75" t="str">
        <f>VLOOKUP(OrdersRawTable9[[#This Row],[Customer_ID_Raw]],CustomersTable11[],5,FALSE)</f>
        <v>Consumer</v>
      </c>
      <c r="U75" s="45">
        <f>VLOOKUP(OrdersRawTable9[[#This Row],[Product_ID]],ProductsTable10[],4,FALSE)</f>
        <v>158.86000000000001</v>
      </c>
      <c r="V75" t="str">
        <f>VLOOKUP(OrdersRawTable9[[#This Row],[Product_ID]],ProductsTable10[],3,FALSE)</f>
        <v>Accessories</v>
      </c>
      <c r="W75" s="45">
        <f>OrdersRawTable9[[#This Row],[Unit_Price]]*OrdersRawTable9[[#This Row],[Quantity]]</f>
        <v>1202.24</v>
      </c>
      <c r="X75" s="47">
        <f>OrdersRawTable9[[#This Row],[Gross_Sales]]*OrdersRawTable9[[#This Row],[Discount_Pct]]</f>
        <v>120.224</v>
      </c>
      <c r="Y75" s="45">
        <f>OrdersRawTable9[[#This Row],[Gross_Sales]]-OrdersRawTable9[[#This Row],[Discount_Amount]]</f>
        <v>1082.0160000000001</v>
      </c>
      <c r="Z75" s="45">
        <f>OrdersRawTable9[[#This Row],[Unit_Cost]]*OrdersRawTable9[[#This Row],[Quantity]]</f>
        <v>635.44000000000005</v>
      </c>
      <c r="AA75" s="45">
        <f>OrdersRawTable9[[#This Row],[Net_Sales]]-OrdersRawTable9[[#This Row],[Total_Cost]]</f>
        <v>446.57600000000002</v>
      </c>
      <c r="AB75" s="48">
        <f>IF(OrdersRawTable9[[#This Row],[Net_Sales]]=0,0,OrdersRawTable9[[#This Row],[Profit]]/OrdersRawTable9[[#This Row],[Net_Sales]])</f>
        <v>0.4127258746635909</v>
      </c>
      <c r="AC75" s="45" t="str">
        <f>IF(COUNTIF(ReturnsRawTable[Order_Line_ID],OrdersRawTable9[[#This Row],[Order_Line_ID]])&gt;0,"Yes","No")</f>
        <v>No</v>
      </c>
      <c r="AD75" s="45" t="str">
        <f>IFERROR(VLOOKUP(OrdersRawTable9[[#This Row],[Order_Line_ID]],ReturnsRawTable[[#All],[Order_Line_ID]:[Return_Reason_Raw]],3,FALSE),"")</f>
        <v/>
      </c>
      <c r="AE75" s="49" t="str">
        <f>IFERROR(VLOOKUP(OrdersRawTable9[[#This Row],[Order_Line_ID]],ReturnsRawTable[[#All],[Order_Line_ID]:[Return_Date]],2,FALSE),"")</f>
        <v/>
      </c>
      <c r="AF75" s="45" t="str">
        <f>IFERROR(VLOOKUP(OrdersRawTable9[[#This Row],[Order_Line_ID]],ReturnsRawTable[[Order_Line_ID]:[Refund_Status]],4,FALSE),"")</f>
        <v/>
      </c>
      <c r="AG75" s="45" t="str">
        <f>VLOOKUP(OrdersRawTable9[[#This Row],[Order_ID]],ShipmentsTable[],6,FALSE)</f>
        <v>On time</v>
      </c>
      <c r="AH75" s="49">
        <f>VLOOKUP(OrdersRawTable9[[#This Row],[Order_ID]],ShipmentsTable[],3,FALSE)</f>
        <v>45765</v>
      </c>
    </row>
    <row r="76" spans="1:34" ht="15" customHeight="1">
      <c r="A76" s="14" t="s">
        <v>242</v>
      </c>
      <c r="B76" s="10" t="s">
        <v>243</v>
      </c>
      <c r="C76" s="20">
        <v>45953</v>
      </c>
      <c r="D76" s="10" t="s">
        <v>244</v>
      </c>
      <c r="E76" s="10" t="s">
        <v>245</v>
      </c>
      <c r="F76" s="10" t="str">
        <f>TRIM(LEFT(OrdersRawTable9[[#This Row],[Customer_Info]],FIND(",",OrdersRawTable9[[#This Row],[Customer_Info]])-1))</f>
        <v>Omar Gagnon</v>
      </c>
      <c r="G7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76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6" s="10">
        <f>LEN(OrdersRawTable9[[#This Row],[Customer_Info]])-LEN(SUBSTITUTE(OrdersRawTable9[[#This Row],[Customer_Info]],",",""))</f>
        <v>2</v>
      </c>
      <c r="J76" s="10" t="s">
        <v>220</v>
      </c>
      <c r="K76" s="23">
        <v>4</v>
      </c>
      <c r="L76" s="26">
        <v>25.01</v>
      </c>
      <c r="M76" s="29">
        <v>0.1</v>
      </c>
      <c r="N76" s="10" t="s">
        <v>45</v>
      </c>
      <c r="O76" s="10" t="str">
        <f>IF(TRIM(OrdersRawTable9[[#This Row],[Sales_Channel_Raw]])="Market place","Marketplace",TRIM(OrdersRawTable9[[#This Row],[Sales_Channel_Raw]]))</f>
        <v>Retail Store</v>
      </c>
      <c r="P76" s="10" t="s">
        <v>98</v>
      </c>
      <c r="Q76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76" s="15" t="s">
        <v>52</v>
      </c>
      <c r="S76" t="str">
        <f>VLOOKUP(OrdersRawTable9[[#This Row],[Customer_ID_Raw]],CustomersTable11[],4,FALSE)</f>
        <v>Quebec</v>
      </c>
      <c r="T76" t="str">
        <f>VLOOKUP(OrdersRawTable9[[#This Row],[Customer_ID_Raw]],CustomersTable11[],5,FALSE)</f>
        <v>Consumer</v>
      </c>
      <c r="U76" s="45">
        <f>VLOOKUP(OrdersRawTable9[[#This Row],[Product_ID]],ProductsTable10[],4,FALSE)</f>
        <v>16.86</v>
      </c>
      <c r="V76" t="str">
        <f>VLOOKUP(OrdersRawTable9[[#This Row],[Product_ID]],ProductsTable10[],3,FALSE)</f>
        <v>Office</v>
      </c>
      <c r="W76" s="45">
        <f>OrdersRawTable9[[#This Row],[Unit_Price]]*OrdersRawTable9[[#This Row],[Quantity]]</f>
        <v>100.04</v>
      </c>
      <c r="X76" s="47">
        <f>OrdersRawTable9[[#This Row],[Gross_Sales]]*OrdersRawTable9[[#This Row],[Discount_Pct]]</f>
        <v>10.004000000000001</v>
      </c>
      <c r="Y76" s="45">
        <f>OrdersRawTable9[[#This Row],[Gross_Sales]]-OrdersRawTable9[[#This Row],[Discount_Amount]]</f>
        <v>90.036000000000001</v>
      </c>
      <c r="Z76" s="45">
        <f>OrdersRawTable9[[#This Row],[Unit_Cost]]*OrdersRawTable9[[#This Row],[Quantity]]</f>
        <v>67.44</v>
      </c>
      <c r="AA76" s="45">
        <f>OrdersRawTable9[[#This Row],[Net_Sales]]-OrdersRawTable9[[#This Row],[Total_Cost]]</f>
        <v>22.596000000000004</v>
      </c>
      <c r="AB76" s="48">
        <f>IF(OrdersRawTable9[[#This Row],[Net_Sales]]=0,0,OrdersRawTable9[[#This Row],[Profit]]/OrdersRawTable9[[#This Row],[Net_Sales]])</f>
        <v>0.25096628015460487</v>
      </c>
      <c r="AC76" s="45" t="str">
        <f>IF(COUNTIF(ReturnsRawTable[Order_Line_ID],OrdersRawTable9[[#This Row],[Order_Line_ID]])&gt;0,"Yes","No")</f>
        <v>No</v>
      </c>
      <c r="AD76" s="45" t="str">
        <f>IFERROR(VLOOKUP(OrdersRawTable9[[#This Row],[Order_Line_ID]],ReturnsRawTable[[#All],[Order_Line_ID]:[Return_Reason_Raw]],3,FALSE),"")</f>
        <v/>
      </c>
      <c r="AE76" s="49" t="str">
        <f>IFERROR(VLOOKUP(OrdersRawTable9[[#This Row],[Order_Line_ID]],ReturnsRawTable[[#All],[Order_Line_ID]:[Return_Date]],2,FALSE),"")</f>
        <v/>
      </c>
      <c r="AF76" s="45" t="str">
        <f>IFERROR(VLOOKUP(OrdersRawTable9[[#This Row],[Order_Line_ID]],ReturnsRawTable[[Order_Line_ID]:[Refund_Status]],4,FALSE),"")</f>
        <v/>
      </c>
      <c r="AG76" s="45" t="str">
        <f>VLOOKUP(OrdersRawTable9[[#This Row],[Order_ID]],ShipmentsTable[],6,FALSE)</f>
        <v>On time</v>
      </c>
      <c r="AH76" s="49">
        <f>VLOOKUP(OrdersRawTable9[[#This Row],[Order_ID]],ShipmentsTable[],3,FALSE)</f>
        <v>45956</v>
      </c>
    </row>
    <row r="77" spans="1:34" ht="15" customHeight="1">
      <c r="A77" s="14" t="s">
        <v>246</v>
      </c>
      <c r="B77" s="10" t="s">
        <v>243</v>
      </c>
      <c r="C77" s="20">
        <v>45953</v>
      </c>
      <c r="D77" s="10" t="s">
        <v>244</v>
      </c>
      <c r="E77" s="10" t="s">
        <v>245</v>
      </c>
      <c r="F77" s="10" t="str">
        <f>TRIM(LEFT(OrdersRawTable9[[#This Row],[Customer_Info]],FIND(",",OrdersRawTable9[[#This Row],[Customer_Info]])-1))</f>
        <v>Omar Gagnon</v>
      </c>
      <c r="G7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77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7" s="10">
        <f>LEN(OrdersRawTable9[[#This Row],[Customer_Info]])-LEN(SUBSTITUTE(OrdersRawTable9[[#This Row],[Customer_Info]],",",""))</f>
        <v>2</v>
      </c>
      <c r="J77" s="10" t="s">
        <v>136</v>
      </c>
      <c r="K77" s="23">
        <v>4</v>
      </c>
      <c r="L77" s="26">
        <v>141.46</v>
      </c>
      <c r="M77" s="29">
        <v>0</v>
      </c>
      <c r="N77" s="10" t="s">
        <v>64</v>
      </c>
      <c r="O77" s="10" t="str">
        <f>IF(TRIM(OrdersRawTable9[[#This Row],[Sales_Channel_Raw]])="Market place","Marketplace",TRIM(OrdersRawTable9[[#This Row],[Sales_Channel_Raw]]))</f>
        <v>Retail Store</v>
      </c>
      <c r="P77" s="10" t="s">
        <v>58</v>
      </c>
      <c r="Q77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77" s="15" t="s">
        <v>47</v>
      </c>
      <c r="S77" t="str">
        <f>VLOOKUP(OrdersRawTable9[[#This Row],[Customer_ID_Raw]],CustomersTable11[],4,FALSE)</f>
        <v>Quebec</v>
      </c>
      <c r="T77" t="str">
        <f>VLOOKUP(OrdersRawTable9[[#This Row],[Customer_ID_Raw]],CustomersTable11[],5,FALSE)</f>
        <v>Consumer</v>
      </c>
      <c r="U77" s="45">
        <f>VLOOKUP(OrdersRawTable9[[#This Row],[Product_ID]],ProductsTable10[],4,FALSE)</f>
        <v>78.650000000000006</v>
      </c>
      <c r="V77" t="str">
        <f>VLOOKUP(OrdersRawTable9[[#This Row],[Product_ID]],ProductsTable10[],3,FALSE)</f>
        <v>Fitness</v>
      </c>
      <c r="W77" s="45">
        <f>OrdersRawTable9[[#This Row],[Unit_Price]]*OrdersRawTable9[[#This Row],[Quantity]]</f>
        <v>565.84</v>
      </c>
      <c r="X77" s="47">
        <f>OrdersRawTable9[[#This Row],[Gross_Sales]]*OrdersRawTable9[[#This Row],[Discount_Pct]]</f>
        <v>0</v>
      </c>
      <c r="Y77" s="45">
        <f>OrdersRawTable9[[#This Row],[Gross_Sales]]-OrdersRawTable9[[#This Row],[Discount_Amount]]</f>
        <v>565.84</v>
      </c>
      <c r="Z77" s="45">
        <f>OrdersRawTable9[[#This Row],[Unit_Cost]]*OrdersRawTable9[[#This Row],[Quantity]]</f>
        <v>314.60000000000002</v>
      </c>
      <c r="AA77" s="45">
        <f>OrdersRawTable9[[#This Row],[Net_Sales]]-OrdersRawTable9[[#This Row],[Total_Cost]]</f>
        <v>251.24</v>
      </c>
      <c r="AB77" s="48">
        <f>IF(OrdersRawTable9[[#This Row],[Net_Sales]]=0,0,OrdersRawTable9[[#This Row],[Profit]]/OrdersRawTable9[[#This Row],[Net_Sales]])</f>
        <v>0.44401244167962672</v>
      </c>
      <c r="AC77" s="45" t="str">
        <f>IF(COUNTIF(ReturnsRawTable[Order_Line_ID],OrdersRawTable9[[#This Row],[Order_Line_ID]])&gt;0,"Yes","No")</f>
        <v>No</v>
      </c>
      <c r="AD77" s="45" t="str">
        <f>IFERROR(VLOOKUP(OrdersRawTable9[[#This Row],[Order_Line_ID]],ReturnsRawTable[[#All],[Order_Line_ID]:[Return_Reason_Raw]],3,FALSE),"")</f>
        <v/>
      </c>
      <c r="AE77" s="49" t="str">
        <f>IFERROR(VLOOKUP(OrdersRawTable9[[#This Row],[Order_Line_ID]],ReturnsRawTable[[#All],[Order_Line_ID]:[Return_Date]],2,FALSE),"")</f>
        <v/>
      </c>
      <c r="AF77" s="45" t="str">
        <f>IFERROR(VLOOKUP(OrdersRawTable9[[#This Row],[Order_Line_ID]],ReturnsRawTable[[Order_Line_ID]:[Refund_Status]],4,FALSE),"")</f>
        <v/>
      </c>
      <c r="AG77" s="45" t="str">
        <f>VLOOKUP(OrdersRawTable9[[#This Row],[Order_ID]],ShipmentsTable[],6,FALSE)</f>
        <v>On time</v>
      </c>
      <c r="AH77" s="49">
        <f>VLOOKUP(OrdersRawTable9[[#This Row],[Order_ID]],ShipmentsTable[],3,FALSE)</f>
        <v>45956</v>
      </c>
    </row>
    <row r="78" spans="1:34" ht="15" customHeight="1">
      <c r="A78" s="14" t="s">
        <v>247</v>
      </c>
      <c r="B78" s="10" t="s">
        <v>248</v>
      </c>
      <c r="C78" s="20">
        <v>45778</v>
      </c>
      <c r="D78" s="10" t="s">
        <v>249</v>
      </c>
      <c r="E78" s="10" t="s">
        <v>250</v>
      </c>
      <c r="F78" s="10" t="str">
        <f>TRIM(LEFT(OrdersRawTable9[[#This Row],[Customer_Info]],FIND(",",OrdersRawTable9[[#This Row],[Customer_Info]])-1))</f>
        <v>Maya Dubois</v>
      </c>
      <c r="G7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78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78" s="10">
        <f>LEN(OrdersRawTable9[[#This Row],[Customer_Info]])-LEN(SUBSTITUTE(OrdersRawTable9[[#This Row],[Customer_Info]],",",""))</f>
        <v>2</v>
      </c>
      <c r="J78" s="10" t="s">
        <v>251</v>
      </c>
      <c r="K78" s="23">
        <v>3</v>
      </c>
      <c r="L78" s="26">
        <v>228.91</v>
      </c>
      <c r="M78" s="29">
        <v>0.15</v>
      </c>
      <c r="N78" s="10" t="s">
        <v>50</v>
      </c>
      <c r="O78" s="10" t="str">
        <f>IF(TRIM(OrdersRawTable9[[#This Row],[Sales_Channel_Raw]])="Market place","Marketplace",TRIM(OrdersRawTable9[[#This Row],[Sales_Channel_Raw]]))</f>
        <v>Marketplace</v>
      </c>
      <c r="P78" s="10" t="s">
        <v>46</v>
      </c>
      <c r="Q78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78" s="15" t="s">
        <v>52</v>
      </c>
      <c r="S78" t="str">
        <f>VLOOKUP(OrdersRawTable9[[#This Row],[Customer_ID_Raw]],CustomersTable11[],4,FALSE)</f>
        <v>Manitoba</v>
      </c>
      <c r="T78" t="str">
        <f>VLOOKUP(OrdersRawTable9[[#This Row],[Customer_ID_Raw]],CustomersTable11[],5,FALSE)</f>
        <v>Small Business</v>
      </c>
      <c r="U78" s="45">
        <f>VLOOKUP(OrdersRawTable9[[#This Row],[Product_ID]],ProductsTable10[],4,FALSE)</f>
        <v>149.4</v>
      </c>
      <c r="V78" t="str">
        <f>VLOOKUP(OrdersRawTable9[[#This Row],[Product_ID]],ProductsTable10[],3,FALSE)</f>
        <v>Office</v>
      </c>
      <c r="W78" s="45">
        <f>OrdersRawTable9[[#This Row],[Unit_Price]]*OrdersRawTable9[[#This Row],[Quantity]]</f>
        <v>686.73</v>
      </c>
      <c r="X78" s="47">
        <f>OrdersRawTable9[[#This Row],[Gross_Sales]]*OrdersRawTable9[[#This Row],[Discount_Pct]]</f>
        <v>103.0095</v>
      </c>
      <c r="Y78" s="45">
        <f>OrdersRawTable9[[#This Row],[Gross_Sales]]-OrdersRawTable9[[#This Row],[Discount_Amount]]</f>
        <v>583.72050000000002</v>
      </c>
      <c r="Z78" s="45">
        <f>OrdersRawTable9[[#This Row],[Unit_Cost]]*OrdersRawTable9[[#This Row],[Quantity]]</f>
        <v>448.20000000000005</v>
      </c>
      <c r="AA78" s="45">
        <f>OrdersRawTable9[[#This Row],[Net_Sales]]-OrdersRawTable9[[#This Row],[Total_Cost]]</f>
        <v>135.52049999999997</v>
      </c>
      <c r="AB78" s="48">
        <f>IF(OrdersRawTable9[[#This Row],[Net_Sales]]=0,0,OrdersRawTable9[[#This Row],[Profit]]/OrdersRawTable9[[#This Row],[Net_Sales]])</f>
        <v>0.23216676474442813</v>
      </c>
      <c r="AC78" s="45" t="str">
        <f>IF(COUNTIF(ReturnsRawTable[Order_Line_ID],OrdersRawTable9[[#This Row],[Order_Line_ID]])&gt;0,"Yes","No")</f>
        <v>No</v>
      </c>
      <c r="AD78" s="45" t="str">
        <f>IFERROR(VLOOKUP(OrdersRawTable9[[#This Row],[Order_Line_ID]],ReturnsRawTable[[#All],[Order_Line_ID]:[Return_Reason_Raw]],3,FALSE),"")</f>
        <v/>
      </c>
      <c r="AE78" s="49" t="str">
        <f>IFERROR(VLOOKUP(OrdersRawTable9[[#This Row],[Order_Line_ID]],ReturnsRawTable[[#All],[Order_Line_ID]:[Return_Date]],2,FALSE),"")</f>
        <v/>
      </c>
      <c r="AF78" s="45" t="str">
        <f>IFERROR(VLOOKUP(OrdersRawTable9[[#This Row],[Order_Line_ID]],ReturnsRawTable[[Order_Line_ID]:[Refund_Status]],4,FALSE),"")</f>
        <v/>
      </c>
      <c r="AG78" s="45" t="str">
        <f>VLOOKUP(OrdersRawTable9[[#This Row],[Order_ID]],ShipmentsTable[],6,FALSE)</f>
        <v>On time</v>
      </c>
      <c r="AH78" s="49">
        <f>VLOOKUP(OrdersRawTable9[[#This Row],[Order_ID]],ShipmentsTable[],3,FALSE)</f>
        <v>45781</v>
      </c>
    </row>
    <row r="79" spans="1:34" ht="15" customHeight="1">
      <c r="A79" s="14" t="s">
        <v>252</v>
      </c>
      <c r="B79" s="10" t="s">
        <v>248</v>
      </c>
      <c r="C79" s="20">
        <v>45778</v>
      </c>
      <c r="D79" s="10" t="s">
        <v>249</v>
      </c>
      <c r="E79" s="10" t="s">
        <v>250</v>
      </c>
      <c r="F79" s="10" t="str">
        <f>TRIM(LEFT(OrdersRawTable9[[#This Row],[Customer_Info]],FIND(",",OrdersRawTable9[[#This Row],[Customer_Info]])-1))</f>
        <v>Maya Dubois</v>
      </c>
      <c r="G7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79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79" s="10">
        <f>LEN(OrdersRawTable9[[#This Row],[Customer_Info]])-LEN(SUBSTITUTE(OrdersRawTable9[[#This Row],[Customer_Info]],",",""))</f>
        <v>2</v>
      </c>
      <c r="J79" s="10" t="s">
        <v>77</v>
      </c>
      <c r="K79" s="23">
        <v>3</v>
      </c>
      <c r="L79" s="26">
        <v>34.909999999999997</v>
      </c>
      <c r="M79" s="29">
        <v>0</v>
      </c>
      <c r="N79" s="10" t="s">
        <v>66</v>
      </c>
      <c r="O79" s="10" t="str">
        <f>IF(TRIM(OrdersRawTable9[[#This Row],[Sales_Channel_Raw]])="Market place","Marketplace",TRIM(OrdersRawTable9[[#This Row],[Sales_Channel_Raw]]))</f>
        <v>Marketplace</v>
      </c>
      <c r="P79" s="10" t="s">
        <v>46</v>
      </c>
      <c r="Q79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79" s="15" t="s">
        <v>101</v>
      </c>
      <c r="S79" t="str">
        <f>VLOOKUP(OrdersRawTable9[[#This Row],[Customer_ID_Raw]],CustomersTable11[],4,FALSE)</f>
        <v>Manitoba</v>
      </c>
      <c r="T79" t="str">
        <f>VLOOKUP(OrdersRawTable9[[#This Row],[Customer_ID_Raw]],CustomersTable11[],5,FALSE)</f>
        <v>Small Business</v>
      </c>
      <c r="U79" s="45">
        <f>VLOOKUP(OrdersRawTable9[[#This Row],[Product_ID]],ProductsTable10[],4,FALSE)</f>
        <v>19.670000000000002</v>
      </c>
      <c r="V79" t="str">
        <f>VLOOKUP(OrdersRawTable9[[#This Row],[Product_ID]],ProductsTable10[],3,FALSE)</f>
        <v>Accessories</v>
      </c>
      <c r="W79" s="45">
        <f>OrdersRawTable9[[#This Row],[Unit_Price]]*OrdersRawTable9[[#This Row],[Quantity]]</f>
        <v>104.72999999999999</v>
      </c>
      <c r="X79" s="47">
        <f>OrdersRawTable9[[#This Row],[Gross_Sales]]*OrdersRawTable9[[#This Row],[Discount_Pct]]</f>
        <v>0</v>
      </c>
      <c r="Y79" s="45">
        <f>OrdersRawTable9[[#This Row],[Gross_Sales]]-OrdersRawTable9[[#This Row],[Discount_Amount]]</f>
        <v>104.72999999999999</v>
      </c>
      <c r="Z79" s="45">
        <f>OrdersRawTable9[[#This Row],[Unit_Cost]]*OrdersRawTable9[[#This Row],[Quantity]]</f>
        <v>59.010000000000005</v>
      </c>
      <c r="AA79" s="45">
        <f>OrdersRawTable9[[#This Row],[Net_Sales]]-OrdersRawTable9[[#This Row],[Total_Cost]]</f>
        <v>45.719999999999985</v>
      </c>
      <c r="AB79" s="48">
        <f>IF(OrdersRawTable9[[#This Row],[Net_Sales]]=0,0,OrdersRawTable9[[#This Row],[Profit]]/OrdersRawTable9[[#This Row],[Net_Sales]])</f>
        <v>0.43655113148095093</v>
      </c>
      <c r="AC79" s="45" t="str">
        <f>IF(COUNTIF(ReturnsRawTable[Order_Line_ID],OrdersRawTable9[[#This Row],[Order_Line_ID]])&gt;0,"Yes","No")</f>
        <v>Yes</v>
      </c>
      <c r="AD79" s="45" t="str">
        <f>IFERROR(VLOOKUP(OrdersRawTable9[[#This Row],[Order_Line_ID]],ReturnsRawTable[[#All],[Order_Line_ID]:[Return_Reason_Raw]],3,FALSE),"")</f>
        <v>Damaged</v>
      </c>
      <c r="AE79" s="49">
        <f>IFERROR(VLOOKUP(OrdersRawTable9[[#This Row],[Order_Line_ID]],ReturnsRawTable[[#All],[Order_Line_ID]:[Return_Date]],2,FALSE),"")</f>
        <v>45796</v>
      </c>
      <c r="AF79" s="45" t="str">
        <f>IFERROR(VLOOKUP(OrdersRawTable9[[#This Row],[Order_Line_ID]],ReturnsRawTable[[Order_Line_ID]:[Refund_Status]],4,FALSE),"")</f>
        <v>Refunded</v>
      </c>
      <c r="AG79" s="45" t="str">
        <f>VLOOKUP(OrdersRawTable9[[#This Row],[Order_ID]],ShipmentsTable[],6,FALSE)</f>
        <v>On time</v>
      </c>
      <c r="AH79" s="49">
        <f>VLOOKUP(OrdersRawTable9[[#This Row],[Order_ID]],ShipmentsTable[],3,FALSE)</f>
        <v>45781</v>
      </c>
    </row>
    <row r="80" spans="1:34" ht="15" customHeight="1">
      <c r="A80" s="14" t="s">
        <v>253</v>
      </c>
      <c r="B80" s="10" t="s">
        <v>248</v>
      </c>
      <c r="C80" s="20">
        <v>45778</v>
      </c>
      <c r="D80" s="10" t="s">
        <v>249</v>
      </c>
      <c r="E80" s="10" t="s">
        <v>250</v>
      </c>
      <c r="F80" s="10" t="str">
        <f>TRIM(LEFT(OrdersRawTable9[[#This Row],[Customer_Info]],FIND(",",OrdersRawTable9[[#This Row],[Customer_Info]])-1))</f>
        <v>Maya Dubois</v>
      </c>
      <c r="G8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80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80" s="10">
        <f>LEN(OrdersRawTable9[[#This Row],[Customer_Info]])-LEN(SUBSTITUTE(OrdersRawTable9[[#This Row],[Customer_Info]],",",""))</f>
        <v>2</v>
      </c>
      <c r="J80" s="10" t="s">
        <v>171</v>
      </c>
      <c r="K80" s="23">
        <v>4</v>
      </c>
      <c r="L80" s="26">
        <v>228.81</v>
      </c>
      <c r="M80" s="29">
        <v>0.15</v>
      </c>
      <c r="N80" s="10" t="s">
        <v>50</v>
      </c>
      <c r="O80" s="10" t="str">
        <f>IF(TRIM(OrdersRawTable9[[#This Row],[Sales_Channel_Raw]])="Market place","Marketplace",TRIM(OrdersRawTable9[[#This Row],[Sales_Channel_Raw]]))</f>
        <v>Marketplace</v>
      </c>
      <c r="P80" s="10" t="s">
        <v>46</v>
      </c>
      <c r="Q80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80" s="15" t="s">
        <v>47</v>
      </c>
      <c r="S80" t="str">
        <f>VLOOKUP(OrdersRawTable9[[#This Row],[Customer_ID_Raw]],CustomersTable11[],4,FALSE)</f>
        <v>Manitoba</v>
      </c>
      <c r="T80" t="str">
        <f>VLOOKUP(OrdersRawTable9[[#This Row],[Customer_ID_Raw]],CustomersTable11[],5,FALSE)</f>
        <v>Small Business</v>
      </c>
      <c r="U80" s="45">
        <f>VLOOKUP(OrdersRawTable9[[#This Row],[Product_ID]],ProductsTable10[],4,FALSE)</f>
        <v>130.9</v>
      </c>
      <c r="V80" t="str">
        <f>VLOOKUP(OrdersRawTable9[[#This Row],[Product_ID]],ProductsTable10[],3,FALSE)</f>
        <v>Accessories</v>
      </c>
      <c r="W80" s="45">
        <f>OrdersRawTable9[[#This Row],[Unit_Price]]*OrdersRawTable9[[#This Row],[Quantity]]</f>
        <v>915.24</v>
      </c>
      <c r="X80" s="47">
        <f>OrdersRawTable9[[#This Row],[Gross_Sales]]*OrdersRawTable9[[#This Row],[Discount_Pct]]</f>
        <v>137.286</v>
      </c>
      <c r="Y80" s="45">
        <f>OrdersRawTable9[[#This Row],[Gross_Sales]]-OrdersRawTable9[[#This Row],[Discount_Amount]]</f>
        <v>777.95399999999995</v>
      </c>
      <c r="Z80" s="45">
        <f>OrdersRawTable9[[#This Row],[Unit_Cost]]*OrdersRawTable9[[#This Row],[Quantity]]</f>
        <v>523.6</v>
      </c>
      <c r="AA80" s="45">
        <f>OrdersRawTable9[[#This Row],[Net_Sales]]-OrdersRawTable9[[#This Row],[Total_Cost]]</f>
        <v>254.35399999999993</v>
      </c>
      <c r="AB80" s="48">
        <f>IF(OrdersRawTable9[[#This Row],[Net_Sales]]=0,0,OrdersRawTable9[[#This Row],[Profit]]/OrdersRawTable9[[#This Row],[Net_Sales]])</f>
        <v>0.32695249333508142</v>
      </c>
      <c r="AC80" s="45" t="str">
        <f>IF(COUNTIF(ReturnsRawTable[Order_Line_ID],OrdersRawTable9[[#This Row],[Order_Line_ID]])&gt;0,"Yes","No")</f>
        <v>No</v>
      </c>
      <c r="AD80" s="45" t="str">
        <f>IFERROR(VLOOKUP(OrdersRawTable9[[#This Row],[Order_Line_ID]],ReturnsRawTable[[#All],[Order_Line_ID]:[Return_Reason_Raw]],3,FALSE),"")</f>
        <v/>
      </c>
      <c r="AE80" s="49" t="str">
        <f>IFERROR(VLOOKUP(OrdersRawTable9[[#This Row],[Order_Line_ID]],ReturnsRawTable[[#All],[Order_Line_ID]:[Return_Date]],2,FALSE),"")</f>
        <v/>
      </c>
      <c r="AF80" s="45" t="str">
        <f>IFERROR(VLOOKUP(OrdersRawTable9[[#This Row],[Order_Line_ID]],ReturnsRawTable[[Order_Line_ID]:[Refund_Status]],4,FALSE),"")</f>
        <v/>
      </c>
      <c r="AG80" s="45" t="str">
        <f>VLOOKUP(OrdersRawTable9[[#This Row],[Order_ID]],ShipmentsTable[],6,FALSE)</f>
        <v>On time</v>
      </c>
      <c r="AH80" s="49">
        <f>VLOOKUP(OrdersRawTable9[[#This Row],[Order_ID]],ShipmentsTable[],3,FALSE)</f>
        <v>45781</v>
      </c>
    </row>
    <row r="81" spans="1:34" ht="15" customHeight="1">
      <c r="A81" s="14" t="s">
        <v>254</v>
      </c>
      <c r="B81" s="10" t="s">
        <v>255</v>
      </c>
      <c r="C81" s="20">
        <v>45824</v>
      </c>
      <c r="D81" s="10" t="s">
        <v>256</v>
      </c>
      <c r="E81" s="10" t="s">
        <v>257</v>
      </c>
      <c r="F81" s="10" t="str">
        <f>TRIM(LEFT(OrdersRawTable9[[#This Row],[Customer_Info]],FIND(",",OrdersRawTable9[[#This Row],[Customer_Info]])-1))</f>
        <v>Ethan Khan</v>
      </c>
      <c r="G8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81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81" s="10">
        <f>LEN(OrdersRawTable9[[#This Row],[Customer_Info]])-LEN(SUBSTITUTE(OrdersRawTable9[[#This Row],[Customer_Info]],",",""))</f>
        <v>2</v>
      </c>
      <c r="J81" s="10" t="s">
        <v>180</v>
      </c>
      <c r="K81" s="23">
        <v>1</v>
      </c>
      <c r="L81" s="26">
        <v>91.75</v>
      </c>
      <c r="M81" s="29">
        <v>0</v>
      </c>
      <c r="N81" s="10" t="s">
        <v>66</v>
      </c>
      <c r="O81" s="10" t="str">
        <f>IF(TRIM(OrdersRawTable9[[#This Row],[Sales_Channel_Raw]])="Market place","Marketplace",TRIM(OrdersRawTable9[[#This Row],[Sales_Channel_Raw]]))</f>
        <v>Marketplace</v>
      </c>
      <c r="P81" s="10" t="s">
        <v>58</v>
      </c>
      <c r="Q81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81" s="15" t="s">
        <v>47</v>
      </c>
      <c r="S81" t="str">
        <f>VLOOKUP(OrdersRawTable9[[#This Row],[Customer_ID_Raw]],CustomersTable11[],4,FALSE)</f>
        <v>Manitoba</v>
      </c>
      <c r="T81" t="str">
        <f>VLOOKUP(OrdersRawTable9[[#This Row],[Customer_ID_Raw]],CustomersTable11[],5,FALSE)</f>
        <v>Consumer</v>
      </c>
      <c r="U81" s="45">
        <f>VLOOKUP(OrdersRawTable9[[#This Row],[Product_ID]],ProductsTable10[],4,FALSE)</f>
        <v>58.27</v>
      </c>
      <c r="V81" t="str">
        <f>VLOOKUP(OrdersRawTable9[[#This Row],[Product_ID]],ProductsTable10[],3,FALSE)</f>
        <v>Home</v>
      </c>
      <c r="W81" s="45">
        <f>OrdersRawTable9[[#This Row],[Unit_Price]]*OrdersRawTable9[[#This Row],[Quantity]]</f>
        <v>91.75</v>
      </c>
      <c r="X81" s="47">
        <f>OrdersRawTable9[[#This Row],[Gross_Sales]]*OrdersRawTable9[[#This Row],[Discount_Pct]]</f>
        <v>0</v>
      </c>
      <c r="Y81" s="45">
        <f>OrdersRawTable9[[#This Row],[Gross_Sales]]-OrdersRawTable9[[#This Row],[Discount_Amount]]</f>
        <v>91.75</v>
      </c>
      <c r="Z81" s="45">
        <f>OrdersRawTable9[[#This Row],[Unit_Cost]]*OrdersRawTable9[[#This Row],[Quantity]]</f>
        <v>58.27</v>
      </c>
      <c r="AA81" s="45">
        <f>OrdersRawTable9[[#This Row],[Net_Sales]]-OrdersRawTable9[[#This Row],[Total_Cost]]</f>
        <v>33.479999999999997</v>
      </c>
      <c r="AB81" s="48">
        <f>IF(OrdersRawTable9[[#This Row],[Net_Sales]]=0,0,OrdersRawTable9[[#This Row],[Profit]]/OrdersRawTable9[[#This Row],[Net_Sales]])</f>
        <v>0.3649046321525885</v>
      </c>
      <c r="AC81" s="45" t="str">
        <f>IF(COUNTIF(ReturnsRawTable[Order_Line_ID],OrdersRawTable9[[#This Row],[Order_Line_ID]])&gt;0,"Yes","No")</f>
        <v>No</v>
      </c>
      <c r="AD81" s="45" t="str">
        <f>IFERROR(VLOOKUP(OrdersRawTable9[[#This Row],[Order_Line_ID]],ReturnsRawTable[[#All],[Order_Line_ID]:[Return_Reason_Raw]],3,FALSE),"")</f>
        <v/>
      </c>
      <c r="AE81" s="49" t="str">
        <f>IFERROR(VLOOKUP(OrdersRawTable9[[#This Row],[Order_Line_ID]],ReturnsRawTable[[#All],[Order_Line_ID]:[Return_Date]],2,FALSE),"")</f>
        <v/>
      </c>
      <c r="AF81" s="45" t="str">
        <f>IFERROR(VLOOKUP(OrdersRawTable9[[#This Row],[Order_Line_ID]],ReturnsRawTable[[Order_Line_ID]:[Refund_Status]],4,FALSE),"")</f>
        <v/>
      </c>
      <c r="AG81" s="45" t="str">
        <f>VLOOKUP(OrdersRawTable9[[#This Row],[Order_ID]],ShipmentsTable[],6,FALSE)</f>
        <v>On time</v>
      </c>
      <c r="AH81" s="49">
        <f>VLOOKUP(OrdersRawTable9[[#This Row],[Order_ID]],ShipmentsTable[],3,FALSE)</f>
        <v>45829</v>
      </c>
    </row>
    <row r="82" spans="1:34" ht="15" customHeight="1">
      <c r="A82" s="14" t="s">
        <v>258</v>
      </c>
      <c r="B82" s="10" t="s">
        <v>259</v>
      </c>
      <c r="C82" s="20">
        <v>45896</v>
      </c>
      <c r="D82" s="10" t="s">
        <v>260</v>
      </c>
      <c r="E82" s="10" t="s">
        <v>261</v>
      </c>
      <c r="F82" s="10" t="str">
        <f>TRIM(LEFT(OrdersRawTable9[[#This Row],[Customer_Info]],FIND(",",OrdersRawTable9[[#This Row],[Customer_Info]])-1))</f>
        <v>Emma Gagnon</v>
      </c>
      <c r="G8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82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82" s="10">
        <f>LEN(OrdersRawTable9[[#This Row],[Customer_Info]])-LEN(SUBSTITUTE(OrdersRawTable9[[#This Row],[Customer_Info]],",",""))</f>
        <v>2</v>
      </c>
      <c r="J82" s="10" t="s">
        <v>130</v>
      </c>
      <c r="K82" s="23">
        <v>3</v>
      </c>
      <c r="L82" s="26">
        <v>265.73</v>
      </c>
      <c r="M82" s="29">
        <v>0</v>
      </c>
      <c r="N82" s="10" t="s">
        <v>64</v>
      </c>
      <c r="O82" s="10" t="str">
        <f>IF(TRIM(OrdersRawTable9[[#This Row],[Sales_Channel_Raw]])="Market place","Marketplace",TRIM(OrdersRawTable9[[#This Row],[Sales_Channel_Raw]]))</f>
        <v>Retail Store</v>
      </c>
      <c r="P82" s="10" t="s">
        <v>98</v>
      </c>
      <c r="Q82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82" s="15" t="s">
        <v>101</v>
      </c>
      <c r="S82" t="str">
        <f>VLOOKUP(OrdersRawTable9[[#This Row],[Customer_ID_Raw]],CustomersTable11[],4,FALSE)</f>
        <v>Quebec</v>
      </c>
      <c r="T82" t="str">
        <f>VLOOKUP(OrdersRawTable9[[#This Row],[Customer_ID_Raw]],CustomersTable11[],5,FALSE)</f>
        <v>Consumer</v>
      </c>
      <c r="U82" s="45">
        <f>VLOOKUP(OrdersRawTable9[[#This Row],[Product_ID]],ProductsTable10[],4,FALSE)</f>
        <v>154.16999999999999</v>
      </c>
      <c r="V82" t="str">
        <f>VLOOKUP(OrdersRawTable9[[#This Row],[Product_ID]],ProductsTable10[],3,FALSE)</f>
        <v>Electronics</v>
      </c>
      <c r="W82" s="45">
        <f>OrdersRawTable9[[#This Row],[Unit_Price]]*OrdersRawTable9[[#This Row],[Quantity]]</f>
        <v>797.19</v>
      </c>
      <c r="X82" s="47">
        <f>OrdersRawTable9[[#This Row],[Gross_Sales]]*OrdersRawTable9[[#This Row],[Discount_Pct]]</f>
        <v>0</v>
      </c>
      <c r="Y82" s="45">
        <f>OrdersRawTable9[[#This Row],[Gross_Sales]]-OrdersRawTable9[[#This Row],[Discount_Amount]]</f>
        <v>797.19</v>
      </c>
      <c r="Z82" s="45">
        <f>OrdersRawTable9[[#This Row],[Unit_Cost]]*OrdersRawTable9[[#This Row],[Quantity]]</f>
        <v>462.51</v>
      </c>
      <c r="AA82" s="45">
        <f>OrdersRawTable9[[#This Row],[Net_Sales]]-OrdersRawTable9[[#This Row],[Total_Cost]]</f>
        <v>334.68000000000006</v>
      </c>
      <c r="AB82" s="48">
        <f>IF(OrdersRawTable9[[#This Row],[Net_Sales]]=0,0,OrdersRawTable9[[#This Row],[Profit]]/OrdersRawTable9[[#This Row],[Net_Sales]])</f>
        <v>0.41982463402701997</v>
      </c>
      <c r="AC82" s="45" t="str">
        <f>IF(COUNTIF(ReturnsRawTable[Order_Line_ID],OrdersRawTable9[[#This Row],[Order_Line_ID]])&gt;0,"Yes","No")</f>
        <v>No</v>
      </c>
      <c r="AD82" s="45" t="str">
        <f>IFERROR(VLOOKUP(OrdersRawTable9[[#This Row],[Order_Line_ID]],ReturnsRawTable[[#All],[Order_Line_ID]:[Return_Reason_Raw]],3,FALSE),"")</f>
        <v/>
      </c>
      <c r="AE82" s="49" t="str">
        <f>IFERROR(VLOOKUP(OrdersRawTable9[[#This Row],[Order_Line_ID]],ReturnsRawTable[[#All],[Order_Line_ID]:[Return_Date]],2,FALSE),"")</f>
        <v/>
      </c>
      <c r="AF82" s="45" t="str">
        <f>IFERROR(VLOOKUP(OrdersRawTable9[[#This Row],[Order_Line_ID]],ReturnsRawTable[[Order_Line_ID]:[Refund_Status]],4,FALSE),"")</f>
        <v/>
      </c>
      <c r="AG82" s="45" t="str">
        <f>VLOOKUP(OrdersRawTable9[[#This Row],[Order_ID]],ShipmentsTable[],6,FALSE)</f>
        <v>Late</v>
      </c>
      <c r="AH82" s="49">
        <f>VLOOKUP(OrdersRawTable9[[#This Row],[Order_ID]],ShipmentsTable[],3,FALSE)</f>
        <v>45902</v>
      </c>
    </row>
    <row r="83" spans="1:34" ht="15" customHeight="1">
      <c r="A83" s="14" t="s">
        <v>262</v>
      </c>
      <c r="B83" s="10" t="s">
        <v>259</v>
      </c>
      <c r="C83" s="20">
        <v>45896</v>
      </c>
      <c r="D83" s="10" t="s">
        <v>260</v>
      </c>
      <c r="E83" s="10" t="s">
        <v>261</v>
      </c>
      <c r="F83" s="10" t="str">
        <f>TRIM(LEFT(OrdersRawTable9[[#This Row],[Customer_Info]],FIND(",",OrdersRawTable9[[#This Row],[Customer_Info]])-1))</f>
        <v>Emma Gagnon</v>
      </c>
      <c r="G8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83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83" s="10">
        <f>LEN(OrdersRawTable9[[#This Row],[Customer_Info]])-LEN(SUBSTITUTE(OrdersRawTable9[[#This Row],[Customer_Info]],",",""))</f>
        <v>2</v>
      </c>
      <c r="J83" s="10" t="s">
        <v>196</v>
      </c>
      <c r="K83" s="23">
        <v>1</v>
      </c>
      <c r="L83" s="26">
        <v>183.73</v>
      </c>
      <c r="M83" s="29">
        <v>0.1</v>
      </c>
      <c r="N83" s="10" t="s">
        <v>66</v>
      </c>
      <c r="O83" s="10" t="str">
        <f>IF(TRIM(OrdersRawTable9[[#This Row],[Sales_Channel_Raw]])="Market place","Marketplace",TRIM(OrdersRawTable9[[#This Row],[Sales_Channel_Raw]]))</f>
        <v>Marketplace</v>
      </c>
      <c r="P83" s="10" t="s">
        <v>51</v>
      </c>
      <c r="Q83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83" s="15" t="s">
        <v>67</v>
      </c>
      <c r="S83" t="str">
        <f>VLOOKUP(OrdersRawTable9[[#This Row],[Customer_ID_Raw]],CustomersTable11[],4,FALSE)</f>
        <v>Quebec</v>
      </c>
      <c r="T83" t="str">
        <f>VLOOKUP(OrdersRawTable9[[#This Row],[Customer_ID_Raw]],CustomersTable11[],5,FALSE)</f>
        <v>Consumer</v>
      </c>
      <c r="U83" s="45">
        <f>VLOOKUP(OrdersRawTable9[[#This Row],[Product_ID]],ProductsTable10[],4,FALSE)</f>
        <v>98.11</v>
      </c>
      <c r="V83" t="str">
        <f>VLOOKUP(OrdersRawTable9[[#This Row],[Product_ID]],ProductsTable10[],3,FALSE)</f>
        <v>Home</v>
      </c>
      <c r="W83" s="45">
        <f>OrdersRawTable9[[#This Row],[Unit_Price]]*OrdersRawTable9[[#This Row],[Quantity]]</f>
        <v>183.73</v>
      </c>
      <c r="X83" s="47">
        <f>OrdersRawTable9[[#This Row],[Gross_Sales]]*OrdersRawTable9[[#This Row],[Discount_Pct]]</f>
        <v>18.373000000000001</v>
      </c>
      <c r="Y83" s="45">
        <f>OrdersRawTable9[[#This Row],[Gross_Sales]]-OrdersRawTable9[[#This Row],[Discount_Amount]]</f>
        <v>165.357</v>
      </c>
      <c r="Z83" s="45">
        <f>OrdersRawTable9[[#This Row],[Unit_Cost]]*OrdersRawTable9[[#This Row],[Quantity]]</f>
        <v>98.11</v>
      </c>
      <c r="AA83" s="45">
        <f>OrdersRawTable9[[#This Row],[Net_Sales]]-OrdersRawTable9[[#This Row],[Total_Cost]]</f>
        <v>67.247</v>
      </c>
      <c r="AB83" s="48">
        <f>IF(OrdersRawTable9[[#This Row],[Net_Sales]]=0,0,OrdersRawTable9[[#This Row],[Profit]]/OrdersRawTable9[[#This Row],[Net_Sales]])</f>
        <v>0.40667767315565717</v>
      </c>
      <c r="AC83" s="45" t="str">
        <f>IF(COUNTIF(ReturnsRawTable[Order_Line_ID],OrdersRawTable9[[#This Row],[Order_Line_ID]])&gt;0,"Yes","No")</f>
        <v>No</v>
      </c>
      <c r="AD83" s="45" t="str">
        <f>IFERROR(VLOOKUP(OrdersRawTable9[[#This Row],[Order_Line_ID]],ReturnsRawTable[[#All],[Order_Line_ID]:[Return_Reason_Raw]],3,FALSE),"")</f>
        <v/>
      </c>
      <c r="AE83" s="49" t="str">
        <f>IFERROR(VLOOKUP(OrdersRawTable9[[#This Row],[Order_Line_ID]],ReturnsRawTable[[#All],[Order_Line_ID]:[Return_Date]],2,FALSE),"")</f>
        <v/>
      </c>
      <c r="AF83" s="45" t="str">
        <f>IFERROR(VLOOKUP(OrdersRawTable9[[#This Row],[Order_Line_ID]],ReturnsRawTable[[Order_Line_ID]:[Refund_Status]],4,FALSE),"")</f>
        <v/>
      </c>
      <c r="AG83" s="45" t="str">
        <f>VLOOKUP(OrdersRawTable9[[#This Row],[Order_ID]],ShipmentsTable[],6,FALSE)</f>
        <v>Late</v>
      </c>
      <c r="AH83" s="49">
        <f>VLOOKUP(OrdersRawTable9[[#This Row],[Order_ID]],ShipmentsTable[],3,FALSE)</f>
        <v>45902</v>
      </c>
    </row>
    <row r="84" spans="1:34" ht="15" customHeight="1">
      <c r="A84" s="14" t="s">
        <v>263</v>
      </c>
      <c r="B84" s="10" t="s">
        <v>264</v>
      </c>
      <c r="C84" s="20">
        <v>45839</v>
      </c>
      <c r="D84" s="10" t="s">
        <v>260</v>
      </c>
      <c r="E84" s="10" t="s">
        <v>261</v>
      </c>
      <c r="F84" s="10" t="str">
        <f>TRIM(LEFT(OrdersRawTable9[[#This Row],[Customer_Info]],FIND(",",OrdersRawTable9[[#This Row],[Customer_Info]])-1))</f>
        <v>Emma Gagnon</v>
      </c>
      <c r="G8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84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84" s="10">
        <f>LEN(OrdersRawTable9[[#This Row],[Customer_Info]])-LEN(SUBSTITUTE(OrdersRawTable9[[#This Row],[Customer_Info]],",",""))</f>
        <v>2</v>
      </c>
      <c r="J84" s="10" t="s">
        <v>110</v>
      </c>
      <c r="K84" s="23">
        <v>1</v>
      </c>
      <c r="L84" s="26">
        <v>133.24</v>
      </c>
      <c r="M84" s="29">
        <v>0.05</v>
      </c>
      <c r="N84" s="10" t="s">
        <v>45</v>
      </c>
      <c r="O84" s="10" t="str">
        <f>IF(TRIM(OrdersRawTable9[[#This Row],[Sales_Channel_Raw]])="Market place","Marketplace",TRIM(OrdersRawTable9[[#This Row],[Sales_Channel_Raw]]))</f>
        <v>Retail Store</v>
      </c>
      <c r="P84" s="10" t="s">
        <v>41</v>
      </c>
      <c r="Q84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84" s="15" t="s">
        <v>52</v>
      </c>
      <c r="S84" t="str">
        <f>VLOOKUP(OrdersRawTable9[[#This Row],[Customer_ID_Raw]],CustomersTable11[],4,FALSE)</f>
        <v>Quebec</v>
      </c>
      <c r="T84" t="str">
        <f>VLOOKUP(OrdersRawTable9[[#This Row],[Customer_ID_Raw]],CustomersTable11[],5,FALSE)</f>
        <v>Consumer</v>
      </c>
      <c r="U84" s="45">
        <f>VLOOKUP(OrdersRawTable9[[#This Row],[Product_ID]],ProductsTable10[],4,FALSE)</f>
        <v>77.540000000000006</v>
      </c>
      <c r="V84" t="str">
        <f>VLOOKUP(OrdersRawTable9[[#This Row],[Product_ID]],ProductsTable10[],3,FALSE)</f>
        <v>Electronics</v>
      </c>
      <c r="W84" s="45">
        <f>OrdersRawTable9[[#This Row],[Unit_Price]]*OrdersRawTable9[[#This Row],[Quantity]]</f>
        <v>133.24</v>
      </c>
      <c r="X84" s="47">
        <f>OrdersRawTable9[[#This Row],[Gross_Sales]]*OrdersRawTable9[[#This Row],[Discount_Pct]]</f>
        <v>6.6620000000000008</v>
      </c>
      <c r="Y84" s="45">
        <f>OrdersRawTable9[[#This Row],[Gross_Sales]]-OrdersRawTable9[[#This Row],[Discount_Amount]]</f>
        <v>126.578</v>
      </c>
      <c r="Z84" s="45">
        <f>OrdersRawTable9[[#This Row],[Unit_Cost]]*OrdersRawTable9[[#This Row],[Quantity]]</f>
        <v>77.540000000000006</v>
      </c>
      <c r="AA84" s="45">
        <f>OrdersRawTable9[[#This Row],[Net_Sales]]-OrdersRawTable9[[#This Row],[Total_Cost]]</f>
        <v>49.037999999999997</v>
      </c>
      <c r="AB84" s="48">
        <f>IF(OrdersRawTable9[[#This Row],[Net_Sales]]=0,0,OrdersRawTable9[[#This Row],[Profit]]/OrdersRawTable9[[#This Row],[Net_Sales]])</f>
        <v>0.38741329456935641</v>
      </c>
      <c r="AC84" s="45" t="str">
        <f>IF(COUNTIF(ReturnsRawTable[Order_Line_ID],OrdersRawTable9[[#This Row],[Order_Line_ID]])&gt;0,"Yes","No")</f>
        <v>No</v>
      </c>
      <c r="AD84" s="45" t="str">
        <f>IFERROR(VLOOKUP(OrdersRawTable9[[#This Row],[Order_Line_ID]],ReturnsRawTable[[#All],[Order_Line_ID]:[Return_Reason_Raw]],3,FALSE),"")</f>
        <v/>
      </c>
      <c r="AE84" s="49" t="str">
        <f>IFERROR(VLOOKUP(OrdersRawTable9[[#This Row],[Order_Line_ID]],ReturnsRawTable[[#All],[Order_Line_ID]:[Return_Date]],2,FALSE),"")</f>
        <v/>
      </c>
      <c r="AF84" s="45" t="str">
        <f>IFERROR(VLOOKUP(OrdersRawTable9[[#This Row],[Order_Line_ID]],ReturnsRawTable[[Order_Line_ID]:[Refund_Status]],4,FALSE),"")</f>
        <v/>
      </c>
      <c r="AG84" s="45" t="str">
        <f>VLOOKUP(OrdersRawTable9[[#This Row],[Order_ID]],ShipmentsTable[],6,FALSE)</f>
        <v>On time</v>
      </c>
      <c r="AH84" s="49">
        <f>VLOOKUP(OrdersRawTable9[[#This Row],[Order_ID]],ShipmentsTable[],3,FALSE)</f>
        <v>45841</v>
      </c>
    </row>
    <row r="85" spans="1:34" ht="15" customHeight="1">
      <c r="A85" s="14" t="s">
        <v>265</v>
      </c>
      <c r="B85" s="10" t="s">
        <v>264</v>
      </c>
      <c r="C85" s="20">
        <v>45839</v>
      </c>
      <c r="D85" s="10" t="s">
        <v>260</v>
      </c>
      <c r="E85" s="10" t="s">
        <v>261</v>
      </c>
      <c r="F85" s="10" t="str">
        <f>TRIM(LEFT(OrdersRawTable9[[#This Row],[Customer_Info]],FIND(",",OrdersRawTable9[[#This Row],[Customer_Info]])-1))</f>
        <v>Emma Gagnon</v>
      </c>
      <c r="G8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85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85" s="10">
        <f>LEN(OrdersRawTable9[[#This Row],[Customer_Info]])-LEN(SUBSTITUTE(OrdersRawTable9[[#This Row],[Customer_Info]],",",""))</f>
        <v>2</v>
      </c>
      <c r="J85" s="10" t="s">
        <v>69</v>
      </c>
      <c r="K85" s="23">
        <v>3</v>
      </c>
      <c r="L85" s="26">
        <v>75.75</v>
      </c>
      <c r="M85" s="29">
        <v>0</v>
      </c>
      <c r="N85" s="10" t="s">
        <v>45</v>
      </c>
      <c r="O85" s="10" t="str">
        <f>IF(TRIM(OrdersRawTable9[[#This Row],[Sales_Channel_Raw]])="Market place","Marketplace",TRIM(OrdersRawTable9[[#This Row],[Sales_Channel_Raw]]))</f>
        <v>Retail Store</v>
      </c>
      <c r="P85" s="10" t="s">
        <v>58</v>
      </c>
      <c r="Q85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85" s="15" t="s">
        <v>42</v>
      </c>
      <c r="S85" t="str">
        <f>VLOOKUP(OrdersRawTable9[[#This Row],[Customer_ID_Raw]],CustomersTable11[],4,FALSE)</f>
        <v>Quebec</v>
      </c>
      <c r="T85" t="str">
        <f>VLOOKUP(OrdersRawTable9[[#This Row],[Customer_ID_Raw]],CustomersTable11[],5,FALSE)</f>
        <v>Consumer</v>
      </c>
      <c r="U85" s="45">
        <f>VLOOKUP(OrdersRawTable9[[#This Row],[Product_ID]],ProductsTable10[],4,FALSE)</f>
        <v>42.37</v>
      </c>
      <c r="V85" t="str">
        <f>VLOOKUP(OrdersRawTable9[[#This Row],[Product_ID]],ProductsTable10[],3,FALSE)</f>
        <v>Office</v>
      </c>
      <c r="W85" s="45">
        <f>OrdersRawTable9[[#This Row],[Unit_Price]]*OrdersRawTable9[[#This Row],[Quantity]]</f>
        <v>227.25</v>
      </c>
      <c r="X85" s="47">
        <f>OrdersRawTable9[[#This Row],[Gross_Sales]]*OrdersRawTable9[[#This Row],[Discount_Pct]]</f>
        <v>0</v>
      </c>
      <c r="Y85" s="45">
        <f>OrdersRawTable9[[#This Row],[Gross_Sales]]-OrdersRawTable9[[#This Row],[Discount_Amount]]</f>
        <v>227.25</v>
      </c>
      <c r="Z85" s="45">
        <f>OrdersRawTable9[[#This Row],[Unit_Cost]]*OrdersRawTable9[[#This Row],[Quantity]]</f>
        <v>127.10999999999999</v>
      </c>
      <c r="AA85" s="45">
        <f>OrdersRawTable9[[#This Row],[Net_Sales]]-OrdersRawTable9[[#This Row],[Total_Cost]]</f>
        <v>100.14000000000001</v>
      </c>
      <c r="AB85" s="48">
        <f>IF(OrdersRawTable9[[#This Row],[Net_Sales]]=0,0,OrdersRawTable9[[#This Row],[Profit]]/OrdersRawTable9[[#This Row],[Net_Sales]])</f>
        <v>0.44066006600660074</v>
      </c>
      <c r="AC85" s="45" t="str">
        <f>IF(COUNTIF(ReturnsRawTable[Order_Line_ID],OrdersRawTable9[[#This Row],[Order_Line_ID]])&gt;0,"Yes","No")</f>
        <v>No</v>
      </c>
      <c r="AD85" s="45" t="str">
        <f>IFERROR(VLOOKUP(OrdersRawTable9[[#This Row],[Order_Line_ID]],ReturnsRawTable[[#All],[Order_Line_ID]:[Return_Reason_Raw]],3,FALSE),"")</f>
        <v/>
      </c>
      <c r="AE85" s="49" t="str">
        <f>IFERROR(VLOOKUP(OrdersRawTable9[[#This Row],[Order_Line_ID]],ReturnsRawTable[[#All],[Order_Line_ID]:[Return_Date]],2,FALSE),"")</f>
        <v/>
      </c>
      <c r="AF85" s="45" t="str">
        <f>IFERROR(VLOOKUP(OrdersRawTable9[[#This Row],[Order_Line_ID]],ReturnsRawTable[[Order_Line_ID]:[Refund_Status]],4,FALSE),"")</f>
        <v/>
      </c>
      <c r="AG85" s="45" t="str">
        <f>VLOOKUP(OrdersRawTable9[[#This Row],[Order_ID]],ShipmentsTable[],6,FALSE)</f>
        <v>On time</v>
      </c>
      <c r="AH85" s="49">
        <f>VLOOKUP(OrdersRawTable9[[#This Row],[Order_ID]],ShipmentsTable[],3,FALSE)</f>
        <v>45841</v>
      </c>
    </row>
    <row r="86" spans="1:34" ht="15" customHeight="1">
      <c r="A86" s="14" t="s">
        <v>266</v>
      </c>
      <c r="B86" s="10" t="s">
        <v>267</v>
      </c>
      <c r="C86" s="20">
        <v>45903</v>
      </c>
      <c r="D86" s="10" t="s">
        <v>268</v>
      </c>
      <c r="E86" s="10" t="s">
        <v>269</v>
      </c>
      <c r="F86" s="10" t="str">
        <f>TRIM(LEFT(OrdersRawTable9[[#This Row],[Customer_Info]],FIND(",",OrdersRawTable9[[#This Row],[Customer_Info]])-1))</f>
        <v>Emma Khan</v>
      </c>
      <c r="G8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86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86" s="10">
        <f>LEN(OrdersRawTable9[[#This Row],[Customer_Info]])-LEN(SUBSTITUTE(OrdersRawTable9[[#This Row],[Customer_Info]],",",""))</f>
        <v>2</v>
      </c>
      <c r="J86" s="10" t="s">
        <v>270</v>
      </c>
      <c r="K86" s="23">
        <v>4</v>
      </c>
      <c r="L86" s="26">
        <v>214.38</v>
      </c>
      <c r="M86" s="29">
        <v>0</v>
      </c>
      <c r="N86" s="10" t="s">
        <v>50</v>
      </c>
      <c r="O86" s="10" t="str">
        <f>IF(TRIM(OrdersRawTable9[[#This Row],[Sales_Channel_Raw]])="Market place","Marketplace",TRIM(OrdersRawTable9[[#This Row],[Sales_Channel_Raw]]))</f>
        <v>Marketplace</v>
      </c>
      <c r="P86" s="10" t="s">
        <v>46</v>
      </c>
      <c r="Q86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86" s="15" t="s">
        <v>67</v>
      </c>
      <c r="S86" t="str">
        <f>VLOOKUP(OrdersRawTable9[[#This Row],[Customer_ID_Raw]],CustomersTable11[],4,FALSE)</f>
        <v>Ontario</v>
      </c>
      <c r="T86" t="str">
        <f>VLOOKUP(OrdersRawTable9[[#This Row],[Customer_ID_Raw]],CustomersTable11[],5,FALSE)</f>
        <v>Consumer</v>
      </c>
      <c r="U86" s="45">
        <f>VLOOKUP(OrdersRawTable9[[#This Row],[Product_ID]],ProductsTable10[],4,FALSE)</f>
        <v>131.51</v>
      </c>
      <c r="V86" t="str">
        <f>VLOOKUP(OrdersRawTable9[[#This Row],[Product_ID]],ProductsTable10[],3,FALSE)</f>
        <v>Fitness</v>
      </c>
      <c r="W86" s="45">
        <f>OrdersRawTable9[[#This Row],[Unit_Price]]*OrdersRawTable9[[#This Row],[Quantity]]</f>
        <v>857.52</v>
      </c>
      <c r="X86" s="47">
        <f>OrdersRawTable9[[#This Row],[Gross_Sales]]*OrdersRawTable9[[#This Row],[Discount_Pct]]</f>
        <v>0</v>
      </c>
      <c r="Y86" s="45">
        <f>OrdersRawTable9[[#This Row],[Gross_Sales]]-OrdersRawTable9[[#This Row],[Discount_Amount]]</f>
        <v>857.52</v>
      </c>
      <c r="Z86" s="45">
        <f>OrdersRawTable9[[#This Row],[Unit_Cost]]*OrdersRawTable9[[#This Row],[Quantity]]</f>
        <v>526.04</v>
      </c>
      <c r="AA86" s="45">
        <f>OrdersRawTable9[[#This Row],[Net_Sales]]-OrdersRawTable9[[#This Row],[Total_Cost]]</f>
        <v>331.48</v>
      </c>
      <c r="AB86" s="48">
        <f>IF(OrdersRawTable9[[#This Row],[Net_Sales]]=0,0,OrdersRawTable9[[#This Row],[Profit]]/OrdersRawTable9[[#This Row],[Net_Sales]])</f>
        <v>0.38655658177068758</v>
      </c>
      <c r="AC86" s="45" t="str">
        <f>IF(COUNTIF(ReturnsRawTable[Order_Line_ID],OrdersRawTable9[[#This Row],[Order_Line_ID]])&gt;0,"Yes","No")</f>
        <v>No</v>
      </c>
      <c r="AD86" s="45" t="str">
        <f>IFERROR(VLOOKUP(OrdersRawTable9[[#This Row],[Order_Line_ID]],ReturnsRawTable[[#All],[Order_Line_ID]:[Return_Reason_Raw]],3,FALSE),"")</f>
        <v/>
      </c>
      <c r="AE86" s="49" t="str">
        <f>IFERROR(VLOOKUP(OrdersRawTable9[[#This Row],[Order_Line_ID]],ReturnsRawTable[[#All],[Order_Line_ID]:[Return_Date]],2,FALSE),"")</f>
        <v/>
      </c>
      <c r="AF86" s="45" t="str">
        <f>IFERROR(VLOOKUP(OrdersRawTable9[[#This Row],[Order_Line_ID]],ReturnsRawTable[[Order_Line_ID]:[Refund_Status]],4,FALSE),"")</f>
        <v/>
      </c>
      <c r="AG86" s="45" t="str">
        <f>VLOOKUP(OrdersRawTable9[[#This Row],[Order_ID]],ShipmentsTable[],6,FALSE)</f>
        <v>On time</v>
      </c>
      <c r="AH86" s="49">
        <f>VLOOKUP(OrdersRawTable9[[#This Row],[Order_ID]],ShipmentsTable[],3,FALSE)</f>
        <v>45904</v>
      </c>
    </row>
    <row r="87" spans="1:34" ht="15" customHeight="1">
      <c r="A87" s="14" t="s">
        <v>271</v>
      </c>
      <c r="B87" s="10" t="s">
        <v>267</v>
      </c>
      <c r="C87" s="20">
        <v>45903</v>
      </c>
      <c r="D87" s="10" t="s">
        <v>268</v>
      </c>
      <c r="E87" s="10" t="s">
        <v>269</v>
      </c>
      <c r="F87" s="10" t="str">
        <f>TRIM(LEFT(OrdersRawTable9[[#This Row],[Customer_Info]],FIND(",",OrdersRawTable9[[#This Row],[Customer_Info]])-1))</f>
        <v>Emma Khan</v>
      </c>
      <c r="G8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87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87" s="10">
        <f>LEN(OrdersRawTable9[[#This Row],[Customer_Info]])-LEN(SUBSTITUTE(OrdersRawTable9[[#This Row],[Customer_Info]],",",""))</f>
        <v>2</v>
      </c>
      <c r="J87" s="10" t="s">
        <v>171</v>
      </c>
      <c r="K87" s="23">
        <v>1</v>
      </c>
      <c r="L87" s="26">
        <v>228.81</v>
      </c>
      <c r="M87" s="29">
        <v>0</v>
      </c>
      <c r="N87" s="10" t="s">
        <v>50</v>
      </c>
      <c r="O87" s="10" t="str">
        <f>IF(TRIM(OrdersRawTable9[[#This Row],[Sales_Channel_Raw]])="Market place","Marketplace",TRIM(OrdersRawTable9[[#This Row],[Sales_Channel_Raw]]))</f>
        <v>Marketplace</v>
      </c>
      <c r="P87" s="10" t="s">
        <v>98</v>
      </c>
      <c r="Q87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87" s="15" t="s">
        <v>67</v>
      </c>
      <c r="S87" t="str">
        <f>VLOOKUP(OrdersRawTable9[[#This Row],[Customer_ID_Raw]],CustomersTable11[],4,FALSE)</f>
        <v>Ontario</v>
      </c>
      <c r="T87" t="str">
        <f>VLOOKUP(OrdersRawTable9[[#This Row],[Customer_ID_Raw]],CustomersTable11[],5,FALSE)</f>
        <v>Consumer</v>
      </c>
      <c r="U87" s="45">
        <f>VLOOKUP(OrdersRawTable9[[#This Row],[Product_ID]],ProductsTable10[],4,FALSE)</f>
        <v>130.9</v>
      </c>
      <c r="V87" t="str">
        <f>VLOOKUP(OrdersRawTable9[[#This Row],[Product_ID]],ProductsTable10[],3,FALSE)</f>
        <v>Accessories</v>
      </c>
      <c r="W87" s="45">
        <f>OrdersRawTable9[[#This Row],[Unit_Price]]*OrdersRawTable9[[#This Row],[Quantity]]</f>
        <v>228.81</v>
      </c>
      <c r="X87" s="47">
        <f>OrdersRawTable9[[#This Row],[Gross_Sales]]*OrdersRawTable9[[#This Row],[Discount_Pct]]</f>
        <v>0</v>
      </c>
      <c r="Y87" s="45">
        <f>OrdersRawTable9[[#This Row],[Gross_Sales]]-OrdersRawTable9[[#This Row],[Discount_Amount]]</f>
        <v>228.81</v>
      </c>
      <c r="Z87" s="45">
        <f>OrdersRawTable9[[#This Row],[Unit_Cost]]*OrdersRawTable9[[#This Row],[Quantity]]</f>
        <v>130.9</v>
      </c>
      <c r="AA87" s="45">
        <f>OrdersRawTable9[[#This Row],[Net_Sales]]-OrdersRawTable9[[#This Row],[Total_Cost]]</f>
        <v>97.91</v>
      </c>
      <c r="AB87" s="48">
        <f>IF(OrdersRawTable9[[#This Row],[Net_Sales]]=0,0,OrdersRawTable9[[#This Row],[Profit]]/OrdersRawTable9[[#This Row],[Net_Sales]])</f>
        <v>0.42790961933481925</v>
      </c>
      <c r="AC87" s="45" t="str">
        <f>IF(COUNTIF(ReturnsRawTable[Order_Line_ID],OrdersRawTable9[[#This Row],[Order_Line_ID]])&gt;0,"Yes","No")</f>
        <v>No</v>
      </c>
      <c r="AD87" s="45" t="str">
        <f>IFERROR(VLOOKUP(OrdersRawTable9[[#This Row],[Order_Line_ID]],ReturnsRawTable[[#All],[Order_Line_ID]:[Return_Reason_Raw]],3,FALSE),"")</f>
        <v/>
      </c>
      <c r="AE87" s="49" t="str">
        <f>IFERROR(VLOOKUP(OrdersRawTable9[[#This Row],[Order_Line_ID]],ReturnsRawTable[[#All],[Order_Line_ID]:[Return_Date]],2,FALSE),"")</f>
        <v/>
      </c>
      <c r="AF87" s="45" t="str">
        <f>IFERROR(VLOOKUP(OrdersRawTable9[[#This Row],[Order_Line_ID]],ReturnsRawTable[[Order_Line_ID]:[Refund_Status]],4,FALSE),"")</f>
        <v/>
      </c>
      <c r="AG87" s="45" t="str">
        <f>VLOOKUP(OrdersRawTable9[[#This Row],[Order_ID]],ShipmentsTable[],6,FALSE)</f>
        <v>On time</v>
      </c>
      <c r="AH87" s="49">
        <f>VLOOKUP(OrdersRawTable9[[#This Row],[Order_ID]],ShipmentsTable[],3,FALSE)</f>
        <v>45904</v>
      </c>
    </row>
    <row r="88" spans="1:34" ht="15" customHeight="1">
      <c r="A88" s="14" t="s">
        <v>272</v>
      </c>
      <c r="B88" s="10" t="s">
        <v>273</v>
      </c>
      <c r="C88" s="20">
        <v>45769</v>
      </c>
      <c r="D88" s="10" t="s">
        <v>274</v>
      </c>
      <c r="E88" s="10" t="s">
        <v>275</v>
      </c>
      <c r="F88" s="10" t="str">
        <f>TRIM(LEFT(OrdersRawTable9[[#This Row],[Customer_Info]],FIND(",",OrdersRawTable9[[#This Row],[Customer_Info]])-1))</f>
        <v>Adam Wilson</v>
      </c>
      <c r="G8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88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88" s="10">
        <f>LEN(OrdersRawTable9[[#This Row],[Customer_Info]])-LEN(SUBSTITUTE(OrdersRawTable9[[#This Row],[Customer_Info]],",",""))</f>
        <v>2</v>
      </c>
      <c r="J88" s="10" t="s">
        <v>276</v>
      </c>
      <c r="K88" s="23">
        <v>2</v>
      </c>
      <c r="L88" s="26">
        <v>182.94</v>
      </c>
      <c r="M88" s="29">
        <v>0</v>
      </c>
      <c r="N88" s="10" t="s">
        <v>70</v>
      </c>
      <c r="O88" s="10" t="str">
        <f>IF(TRIM(OrdersRawTable9[[#This Row],[Sales_Channel_Raw]])="Market place","Marketplace",TRIM(OrdersRawTable9[[#This Row],[Sales_Channel_Raw]]))</f>
        <v>online</v>
      </c>
      <c r="P88" s="10" t="s">
        <v>98</v>
      </c>
      <c r="Q88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88" s="15" t="s">
        <v>101</v>
      </c>
      <c r="S88" t="str">
        <f>VLOOKUP(OrdersRawTable9[[#This Row],[Customer_ID_Raw]],CustomersTable11[],4,FALSE)</f>
        <v>Alberta</v>
      </c>
      <c r="T88" t="str">
        <f>VLOOKUP(OrdersRawTable9[[#This Row],[Customer_ID_Raw]],CustomersTable11[],5,FALSE)</f>
        <v>Consumer</v>
      </c>
      <c r="U88" s="45">
        <f>VLOOKUP(OrdersRawTable9[[#This Row],[Product_ID]],ProductsTable10[],4,FALSE)</f>
        <v>118.95</v>
      </c>
      <c r="V88" t="str">
        <f>VLOOKUP(OrdersRawTable9[[#This Row],[Product_ID]],ProductsTable10[],3,FALSE)</f>
        <v>Fitness</v>
      </c>
      <c r="W88" s="45">
        <f>OrdersRawTable9[[#This Row],[Unit_Price]]*OrdersRawTable9[[#This Row],[Quantity]]</f>
        <v>365.88</v>
      </c>
      <c r="X88" s="47">
        <f>OrdersRawTable9[[#This Row],[Gross_Sales]]*OrdersRawTable9[[#This Row],[Discount_Pct]]</f>
        <v>0</v>
      </c>
      <c r="Y88" s="45">
        <f>OrdersRawTable9[[#This Row],[Gross_Sales]]-OrdersRawTable9[[#This Row],[Discount_Amount]]</f>
        <v>365.88</v>
      </c>
      <c r="Z88" s="45">
        <f>OrdersRawTable9[[#This Row],[Unit_Cost]]*OrdersRawTable9[[#This Row],[Quantity]]</f>
        <v>237.9</v>
      </c>
      <c r="AA88" s="45">
        <f>OrdersRawTable9[[#This Row],[Net_Sales]]-OrdersRawTable9[[#This Row],[Total_Cost]]</f>
        <v>127.97999999999999</v>
      </c>
      <c r="AB88" s="48">
        <f>IF(OrdersRawTable9[[#This Row],[Net_Sales]]=0,0,OrdersRawTable9[[#This Row],[Profit]]/OrdersRawTable9[[#This Row],[Net_Sales]])</f>
        <v>0.34978681534929484</v>
      </c>
      <c r="AC88" s="45" t="str">
        <f>IF(COUNTIF(ReturnsRawTable[Order_Line_ID],OrdersRawTable9[[#This Row],[Order_Line_ID]])&gt;0,"Yes","No")</f>
        <v>No</v>
      </c>
      <c r="AD88" s="45" t="str">
        <f>IFERROR(VLOOKUP(OrdersRawTable9[[#This Row],[Order_Line_ID]],ReturnsRawTable[[#All],[Order_Line_ID]:[Return_Reason_Raw]],3,FALSE),"")</f>
        <v/>
      </c>
      <c r="AE88" s="49" t="str">
        <f>IFERROR(VLOOKUP(OrdersRawTable9[[#This Row],[Order_Line_ID]],ReturnsRawTable[[#All],[Order_Line_ID]:[Return_Date]],2,FALSE),"")</f>
        <v/>
      </c>
      <c r="AF88" s="45" t="str">
        <f>IFERROR(VLOOKUP(OrdersRawTable9[[#This Row],[Order_Line_ID]],ReturnsRawTable[[Order_Line_ID]:[Refund_Status]],4,FALSE),"")</f>
        <v/>
      </c>
      <c r="AG88" s="45" t="str">
        <f>VLOOKUP(OrdersRawTable9[[#This Row],[Order_ID]],ShipmentsTable[],6,FALSE)</f>
        <v>On time</v>
      </c>
      <c r="AH88" s="49">
        <f>VLOOKUP(OrdersRawTable9[[#This Row],[Order_ID]],ShipmentsTable[],3,FALSE)</f>
        <v>45770</v>
      </c>
    </row>
    <row r="89" spans="1:34" ht="15" customHeight="1">
      <c r="A89" s="14" t="s">
        <v>277</v>
      </c>
      <c r="B89" s="10" t="s">
        <v>273</v>
      </c>
      <c r="C89" s="20">
        <v>45769</v>
      </c>
      <c r="D89" s="10" t="s">
        <v>274</v>
      </c>
      <c r="E89" s="10" t="s">
        <v>275</v>
      </c>
      <c r="F89" s="10" t="str">
        <f>TRIM(LEFT(OrdersRawTable9[[#This Row],[Customer_Info]],FIND(",",OrdersRawTable9[[#This Row],[Customer_Info]])-1))</f>
        <v>Adam Wilson</v>
      </c>
      <c r="G8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89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89" s="10">
        <f>LEN(OrdersRawTable9[[#This Row],[Customer_Info]])-LEN(SUBSTITUTE(OrdersRawTable9[[#This Row],[Customer_Info]],",",""))</f>
        <v>2</v>
      </c>
      <c r="J89" s="10" t="s">
        <v>251</v>
      </c>
      <c r="K89" s="23">
        <v>3</v>
      </c>
      <c r="L89" s="26">
        <v>228.91</v>
      </c>
      <c r="M89" s="29">
        <v>0</v>
      </c>
      <c r="N89" s="10" t="s">
        <v>66</v>
      </c>
      <c r="O89" s="10" t="str">
        <f>IF(TRIM(OrdersRawTable9[[#This Row],[Sales_Channel_Raw]])="Market place","Marketplace",TRIM(OrdersRawTable9[[#This Row],[Sales_Channel_Raw]]))</f>
        <v>Marketplace</v>
      </c>
      <c r="P89" s="10" t="s">
        <v>98</v>
      </c>
      <c r="Q89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89" s="15" t="s">
        <v>67</v>
      </c>
      <c r="S89" t="str">
        <f>VLOOKUP(OrdersRawTable9[[#This Row],[Customer_ID_Raw]],CustomersTable11[],4,FALSE)</f>
        <v>Alberta</v>
      </c>
      <c r="T89" t="str">
        <f>VLOOKUP(OrdersRawTable9[[#This Row],[Customer_ID_Raw]],CustomersTable11[],5,FALSE)</f>
        <v>Consumer</v>
      </c>
      <c r="U89" s="45">
        <f>VLOOKUP(OrdersRawTable9[[#This Row],[Product_ID]],ProductsTable10[],4,FALSE)</f>
        <v>149.4</v>
      </c>
      <c r="V89" t="str">
        <f>VLOOKUP(OrdersRawTable9[[#This Row],[Product_ID]],ProductsTable10[],3,FALSE)</f>
        <v>Office</v>
      </c>
      <c r="W89" s="45">
        <f>OrdersRawTable9[[#This Row],[Unit_Price]]*OrdersRawTable9[[#This Row],[Quantity]]</f>
        <v>686.73</v>
      </c>
      <c r="X89" s="47">
        <f>OrdersRawTable9[[#This Row],[Gross_Sales]]*OrdersRawTable9[[#This Row],[Discount_Pct]]</f>
        <v>0</v>
      </c>
      <c r="Y89" s="45">
        <f>OrdersRawTable9[[#This Row],[Gross_Sales]]-OrdersRawTable9[[#This Row],[Discount_Amount]]</f>
        <v>686.73</v>
      </c>
      <c r="Z89" s="45">
        <f>OrdersRawTable9[[#This Row],[Unit_Cost]]*OrdersRawTable9[[#This Row],[Quantity]]</f>
        <v>448.20000000000005</v>
      </c>
      <c r="AA89" s="45">
        <f>OrdersRawTable9[[#This Row],[Net_Sales]]-OrdersRawTable9[[#This Row],[Total_Cost]]</f>
        <v>238.52999999999997</v>
      </c>
      <c r="AB89" s="48">
        <f>IF(OrdersRawTable9[[#This Row],[Net_Sales]]=0,0,OrdersRawTable9[[#This Row],[Profit]]/OrdersRawTable9[[#This Row],[Net_Sales]])</f>
        <v>0.34734175003276391</v>
      </c>
      <c r="AC89" s="45" t="str">
        <f>IF(COUNTIF(ReturnsRawTable[Order_Line_ID],OrdersRawTable9[[#This Row],[Order_Line_ID]])&gt;0,"Yes","No")</f>
        <v>No</v>
      </c>
      <c r="AD89" s="45" t="str">
        <f>IFERROR(VLOOKUP(OrdersRawTable9[[#This Row],[Order_Line_ID]],ReturnsRawTable[[#All],[Order_Line_ID]:[Return_Reason_Raw]],3,FALSE),"")</f>
        <v/>
      </c>
      <c r="AE89" s="49" t="str">
        <f>IFERROR(VLOOKUP(OrdersRawTable9[[#This Row],[Order_Line_ID]],ReturnsRawTable[[#All],[Order_Line_ID]:[Return_Date]],2,FALSE),"")</f>
        <v/>
      </c>
      <c r="AF89" s="45" t="str">
        <f>IFERROR(VLOOKUP(OrdersRawTable9[[#This Row],[Order_Line_ID]],ReturnsRawTable[[Order_Line_ID]:[Refund_Status]],4,FALSE),"")</f>
        <v/>
      </c>
      <c r="AG89" s="45" t="str">
        <f>VLOOKUP(OrdersRawTable9[[#This Row],[Order_ID]],ShipmentsTable[],6,FALSE)</f>
        <v>On time</v>
      </c>
      <c r="AH89" s="49">
        <f>VLOOKUP(OrdersRawTable9[[#This Row],[Order_ID]],ShipmentsTable[],3,FALSE)</f>
        <v>45770</v>
      </c>
    </row>
    <row r="90" spans="1:34" ht="15" customHeight="1">
      <c r="A90" s="14" t="s">
        <v>278</v>
      </c>
      <c r="B90" s="10" t="s">
        <v>273</v>
      </c>
      <c r="C90" s="20">
        <v>45769</v>
      </c>
      <c r="D90" s="10" t="s">
        <v>274</v>
      </c>
      <c r="E90" s="10" t="s">
        <v>275</v>
      </c>
      <c r="F90" s="10" t="str">
        <f>TRIM(LEFT(OrdersRawTable9[[#This Row],[Customer_Info]],FIND(",",OrdersRawTable9[[#This Row],[Customer_Info]])-1))</f>
        <v>Adam Wilson</v>
      </c>
      <c r="G9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90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90" s="10">
        <f>LEN(OrdersRawTable9[[#This Row],[Customer_Info]])-LEN(SUBSTITUTE(OrdersRawTable9[[#This Row],[Customer_Info]],",",""))</f>
        <v>2</v>
      </c>
      <c r="J90" s="10" t="s">
        <v>279</v>
      </c>
      <c r="K90" s="23">
        <v>2</v>
      </c>
      <c r="L90" s="26">
        <v>52.79</v>
      </c>
      <c r="M90" s="29">
        <v>0.05</v>
      </c>
      <c r="N90" s="10" t="s">
        <v>40</v>
      </c>
      <c r="O90" s="10" t="str">
        <f>IF(TRIM(OrdersRawTable9[[#This Row],[Sales_Channel_Raw]])="Market place","Marketplace",TRIM(OrdersRawTable9[[#This Row],[Sales_Channel_Raw]]))</f>
        <v>Online</v>
      </c>
      <c r="P90" s="10" t="s">
        <v>41</v>
      </c>
      <c r="Q90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90" s="15" t="s">
        <v>47</v>
      </c>
      <c r="S90" t="str">
        <f>VLOOKUP(OrdersRawTable9[[#This Row],[Customer_ID_Raw]],CustomersTable11[],4,FALSE)</f>
        <v>Alberta</v>
      </c>
      <c r="T90" t="str">
        <f>VLOOKUP(OrdersRawTable9[[#This Row],[Customer_ID_Raw]],CustomersTable11[],5,FALSE)</f>
        <v>Consumer</v>
      </c>
      <c r="U90" s="45">
        <f>VLOOKUP(OrdersRawTable9[[#This Row],[Product_ID]],ProductsTable10[],4,FALSE)</f>
        <v>28.17</v>
      </c>
      <c r="V90" t="str">
        <f>VLOOKUP(OrdersRawTable9[[#This Row],[Product_ID]],ProductsTable10[],3,FALSE)</f>
        <v>Office</v>
      </c>
      <c r="W90" s="45">
        <f>OrdersRawTable9[[#This Row],[Unit_Price]]*OrdersRawTable9[[#This Row],[Quantity]]</f>
        <v>105.58</v>
      </c>
      <c r="X90" s="47">
        <f>OrdersRawTable9[[#This Row],[Gross_Sales]]*OrdersRawTable9[[#This Row],[Discount_Pct]]</f>
        <v>5.2789999999999999</v>
      </c>
      <c r="Y90" s="45">
        <f>OrdersRawTable9[[#This Row],[Gross_Sales]]-OrdersRawTable9[[#This Row],[Discount_Amount]]</f>
        <v>100.301</v>
      </c>
      <c r="Z90" s="45">
        <f>OrdersRawTable9[[#This Row],[Unit_Cost]]*OrdersRawTable9[[#This Row],[Quantity]]</f>
        <v>56.34</v>
      </c>
      <c r="AA90" s="45">
        <f>OrdersRawTable9[[#This Row],[Net_Sales]]-OrdersRawTable9[[#This Row],[Total_Cost]]</f>
        <v>43.960999999999999</v>
      </c>
      <c r="AB90" s="48">
        <f>IF(OrdersRawTable9[[#This Row],[Net_Sales]]=0,0,OrdersRawTable9[[#This Row],[Profit]]/OrdersRawTable9[[#This Row],[Net_Sales]])</f>
        <v>0.43829074485797748</v>
      </c>
      <c r="AC90" s="45" t="str">
        <f>IF(COUNTIF(ReturnsRawTable[Order_Line_ID],OrdersRawTable9[[#This Row],[Order_Line_ID]])&gt;0,"Yes","No")</f>
        <v>No</v>
      </c>
      <c r="AD90" s="45" t="str">
        <f>IFERROR(VLOOKUP(OrdersRawTable9[[#This Row],[Order_Line_ID]],ReturnsRawTable[[#All],[Order_Line_ID]:[Return_Reason_Raw]],3,FALSE),"")</f>
        <v/>
      </c>
      <c r="AE90" s="49" t="str">
        <f>IFERROR(VLOOKUP(OrdersRawTable9[[#This Row],[Order_Line_ID]],ReturnsRawTable[[#All],[Order_Line_ID]:[Return_Date]],2,FALSE),"")</f>
        <v/>
      </c>
      <c r="AF90" s="45" t="str">
        <f>IFERROR(VLOOKUP(OrdersRawTable9[[#This Row],[Order_Line_ID]],ReturnsRawTable[[Order_Line_ID]:[Refund_Status]],4,FALSE),"")</f>
        <v/>
      </c>
      <c r="AG90" s="45" t="str">
        <f>VLOOKUP(OrdersRawTable9[[#This Row],[Order_ID]],ShipmentsTable[],6,FALSE)</f>
        <v>On time</v>
      </c>
      <c r="AH90" s="49">
        <f>VLOOKUP(OrdersRawTable9[[#This Row],[Order_ID]],ShipmentsTable[],3,FALSE)</f>
        <v>45770</v>
      </c>
    </row>
    <row r="91" spans="1:34" ht="15" customHeight="1">
      <c r="A91" s="14" t="s">
        <v>280</v>
      </c>
      <c r="B91" s="10" t="s">
        <v>273</v>
      </c>
      <c r="C91" s="20">
        <v>45769</v>
      </c>
      <c r="D91" s="10" t="s">
        <v>274</v>
      </c>
      <c r="E91" s="10" t="s">
        <v>275</v>
      </c>
      <c r="F91" s="10" t="str">
        <f>TRIM(LEFT(OrdersRawTable9[[#This Row],[Customer_Info]],FIND(",",OrdersRawTable9[[#This Row],[Customer_Info]])-1))</f>
        <v>Adam Wilson</v>
      </c>
      <c r="G9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91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91" s="10">
        <f>LEN(OrdersRawTable9[[#This Row],[Customer_Info]])-LEN(SUBSTITUTE(OrdersRawTable9[[#This Row],[Customer_Info]],",",""))</f>
        <v>2</v>
      </c>
      <c r="J91" s="10" t="s">
        <v>270</v>
      </c>
      <c r="K91" s="23">
        <v>2</v>
      </c>
      <c r="L91" s="26">
        <v>214.38</v>
      </c>
      <c r="M91" s="29">
        <v>0.15</v>
      </c>
      <c r="N91" s="10" t="s">
        <v>45</v>
      </c>
      <c r="O91" s="10" t="str">
        <f>IF(TRIM(OrdersRawTable9[[#This Row],[Sales_Channel_Raw]])="Market place","Marketplace",TRIM(OrdersRawTable9[[#This Row],[Sales_Channel_Raw]]))</f>
        <v>Retail Store</v>
      </c>
      <c r="P91" s="10" t="s">
        <v>41</v>
      </c>
      <c r="Q91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91" s="15" t="s">
        <v>101</v>
      </c>
      <c r="S91" t="str">
        <f>VLOOKUP(OrdersRawTable9[[#This Row],[Customer_ID_Raw]],CustomersTable11[],4,FALSE)</f>
        <v>Alberta</v>
      </c>
      <c r="T91" t="str">
        <f>VLOOKUP(OrdersRawTable9[[#This Row],[Customer_ID_Raw]],CustomersTable11[],5,FALSE)</f>
        <v>Consumer</v>
      </c>
      <c r="U91" s="45">
        <f>VLOOKUP(OrdersRawTable9[[#This Row],[Product_ID]],ProductsTable10[],4,FALSE)</f>
        <v>131.51</v>
      </c>
      <c r="V91" t="str">
        <f>VLOOKUP(OrdersRawTable9[[#This Row],[Product_ID]],ProductsTable10[],3,FALSE)</f>
        <v>Fitness</v>
      </c>
      <c r="W91" s="45">
        <f>OrdersRawTable9[[#This Row],[Unit_Price]]*OrdersRawTable9[[#This Row],[Quantity]]</f>
        <v>428.76</v>
      </c>
      <c r="X91" s="47">
        <f>OrdersRawTable9[[#This Row],[Gross_Sales]]*OrdersRawTable9[[#This Row],[Discount_Pct]]</f>
        <v>64.313999999999993</v>
      </c>
      <c r="Y91" s="45">
        <f>OrdersRawTable9[[#This Row],[Gross_Sales]]-OrdersRawTable9[[#This Row],[Discount_Amount]]</f>
        <v>364.44600000000003</v>
      </c>
      <c r="Z91" s="45">
        <f>OrdersRawTable9[[#This Row],[Unit_Cost]]*OrdersRawTable9[[#This Row],[Quantity]]</f>
        <v>263.02</v>
      </c>
      <c r="AA91" s="45">
        <f>OrdersRawTable9[[#This Row],[Net_Sales]]-OrdersRawTable9[[#This Row],[Total_Cost]]</f>
        <v>101.42600000000004</v>
      </c>
      <c r="AB91" s="48">
        <f>IF(OrdersRawTable9[[#This Row],[Net_Sales]]=0,0,OrdersRawTable9[[#This Row],[Profit]]/OrdersRawTable9[[#This Row],[Net_Sales]])</f>
        <v>0.27830186090669135</v>
      </c>
      <c r="AC91" s="45" t="str">
        <f>IF(COUNTIF(ReturnsRawTable[Order_Line_ID],OrdersRawTable9[[#This Row],[Order_Line_ID]])&gt;0,"Yes","No")</f>
        <v>No</v>
      </c>
      <c r="AD91" s="45" t="str">
        <f>IFERROR(VLOOKUP(OrdersRawTable9[[#This Row],[Order_Line_ID]],ReturnsRawTable[[#All],[Order_Line_ID]:[Return_Reason_Raw]],3,FALSE),"")</f>
        <v/>
      </c>
      <c r="AE91" s="49" t="str">
        <f>IFERROR(VLOOKUP(OrdersRawTable9[[#This Row],[Order_Line_ID]],ReturnsRawTable[[#All],[Order_Line_ID]:[Return_Date]],2,FALSE),"")</f>
        <v/>
      </c>
      <c r="AF91" s="45" t="str">
        <f>IFERROR(VLOOKUP(OrdersRawTable9[[#This Row],[Order_Line_ID]],ReturnsRawTable[[Order_Line_ID]:[Refund_Status]],4,FALSE),"")</f>
        <v/>
      </c>
      <c r="AG91" s="45" t="str">
        <f>VLOOKUP(OrdersRawTable9[[#This Row],[Order_ID]],ShipmentsTable[],6,FALSE)</f>
        <v>On time</v>
      </c>
      <c r="AH91" s="49">
        <f>VLOOKUP(OrdersRawTable9[[#This Row],[Order_ID]],ShipmentsTable[],3,FALSE)</f>
        <v>45770</v>
      </c>
    </row>
    <row r="92" spans="1:34" ht="15" customHeight="1">
      <c r="A92" s="14" t="s">
        <v>281</v>
      </c>
      <c r="B92" s="10" t="s">
        <v>282</v>
      </c>
      <c r="C92" s="20">
        <v>45819</v>
      </c>
      <c r="D92" s="10" t="s">
        <v>283</v>
      </c>
      <c r="E92" s="10" t="s">
        <v>284</v>
      </c>
      <c r="F92" s="10" t="str">
        <f>TRIM(LEFT(OrdersRawTable9[[#This Row],[Customer_Info]],FIND(",",OrdersRawTable9[[#This Row],[Customer_Info]])-1))</f>
        <v>Daniel Johnson</v>
      </c>
      <c r="G9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92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92" s="10">
        <f>LEN(OrdersRawTable9[[#This Row],[Customer_Info]])-LEN(SUBSTITUTE(OrdersRawTable9[[#This Row],[Customer_Info]],",",""))</f>
        <v>2</v>
      </c>
      <c r="J92" s="10" t="s">
        <v>130</v>
      </c>
      <c r="K92" s="23">
        <v>1</v>
      </c>
      <c r="L92" s="26">
        <v>265.73</v>
      </c>
      <c r="M92" s="29">
        <v>0.05</v>
      </c>
      <c r="N92" s="10" t="s">
        <v>66</v>
      </c>
      <c r="O92" s="10" t="str">
        <f>IF(TRIM(OrdersRawTable9[[#This Row],[Sales_Channel_Raw]])="Market place","Marketplace",TRIM(OrdersRawTable9[[#This Row],[Sales_Channel_Raw]]))</f>
        <v>Marketplace</v>
      </c>
      <c r="P92" s="10" t="s">
        <v>51</v>
      </c>
      <c r="Q92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92" s="15" t="s">
        <v>52</v>
      </c>
      <c r="S92" t="str">
        <f>VLOOKUP(OrdersRawTable9[[#This Row],[Customer_ID_Raw]],CustomersTable11[],4,FALSE)</f>
        <v>Alberta</v>
      </c>
      <c r="T92" t="str">
        <f>VLOOKUP(OrdersRawTable9[[#This Row],[Customer_ID_Raw]],CustomersTable11[],5,FALSE)</f>
        <v>Corporate</v>
      </c>
      <c r="U92" s="45">
        <f>VLOOKUP(OrdersRawTable9[[#This Row],[Product_ID]],ProductsTable10[],4,FALSE)</f>
        <v>154.16999999999999</v>
      </c>
      <c r="V92" t="str">
        <f>VLOOKUP(OrdersRawTable9[[#This Row],[Product_ID]],ProductsTable10[],3,FALSE)</f>
        <v>Electronics</v>
      </c>
      <c r="W92" s="45">
        <f>OrdersRawTable9[[#This Row],[Unit_Price]]*OrdersRawTable9[[#This Row],[Quantity]]</f>
        <v>265.73</v>
      </c>
      <c r="X92" s="47">
        <f>OrdersRawTable9[[#This Row],[Gross_Sales]]*OrdersRawTable9[[#This Row],[Discount_Pct]]</f>
        <v>13.286500000000002</v>
      </c>
      <c r="Y92" s="45">
        <f>OrdersRawTable9[[#This Row],[Gross_Sales]]-OrdersRawTable9[[#This Row],[Discount_Amount]]</f>
        <v>252.44350000000003</v>
      </c>
      <c r="Z92" s="45">
        <f>OrdersRawTable9[[#This Row],[Unit_Cost]]*OrdersRawTable9[[#This Row],[Quantity]]</f>
        <v>154.16999999999999</v>
      </c>
      <c r="AA92" s="45">
        <f>OrdersRawTable9[[#This Row],[Net_Sales]]-OrdersRawTable9[[#This Row],[Total_Cost]]</f>
        <v>98.273500000000041</v>
      </c>
      <c r="AB92" s="48">
        <f>IF(OrdersRawTable9[[#This Row],[Net_Sales]]=0,0,OrdersRawTable9[[#This Row],[Profit]]/OrdersRawTable9[[#This Row],[Net_Sales]])</f>
        <v>0.38928908844949478</v>
      </c>
      <c r="AC92" s="45" t="str">
        <f>IF(COUNTIF(ReturnsRawTable[Order_Line_ID],OrdersRawTable9[[#This Row],[Order_Line_ID]])&gt;0,"Yes","No")</f>
        <v>Yes</v>
      </c>
      <c r="AD92" s="45" t="str">
        <f>IFERROR(VLOOKUP(OrdersRawTable9[[#This Row],[Order_Line_ID]],ReturnsRawTable[[#All],[Order_Line_ID]:[Return_Reason_Raw]],3,FALSE),"")</f>
        <v>Wrong Item</v>
      </c>
      <c r="AE92" s="49">
        <f>IFERROR(VLOOKUP(OrdersRawTable9[[#This Row],[Order_Line_ID]],ReturnsRawTable[[#All],[Order_Line_ID]:[Return_Date]],2,FALSE),"")</f>
        <v>45838</v>
      </c>
      <c r="AF92" s="45" t="str">
        <f>IFERROR(VLOOKUP(OrdersRawTable9[[#This Row],[Order_Line_ID]],ReturnsRawTable[[Order_Line_ID]:[Refund_Status]],4,FALSE),"")</f>
        <v>Pending</v>
      </c>
      <c r="AG92" s="45" t="str">
        <f>VLOOKUP(OrdersRawTable9[[#This Row],[Order_ID]],ShipmentsTable[],6,FALSE)</f>
        <v>Late</v>
      </c>
      <c r="AH92" s="49">
        <f>VLOOKUP(OrdersRawTable9[[#This Row],[Order_ID]],ShipmentsTable[],3,FALSE)</f>
        <v>45826</v>
      </c>
    </row>
    <row r="93" spans="1:34" ht="15" customHeight="1">
      <c r="A93" s="14" t="s">
        <v>285</v>
      </c>
      <c r="B93" s="10" t="s">
        <v>282</v>
      </c>
      <c r="C93" s="20">
        <v>45819</v>
      </c>
      <c r="D93" s="10" t="s">
        <v>283</v>
      </c>
      <c r="E93" s="10" t="s">
        <v>284</v>
      </c>
      <c r="F93" s="10" t="str">
        <f>TRIM(LEFT(OrdersRawTable9[[#This Row],[Customer_Info]],FIND(",",OrdersRawTable9[[#This Row],[Customer_Info]])-1))</f>
        <v>Daniel Johnson</v>
      </c>
      <c r="G9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93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93" s="10">
        <f>LEN(OrdersRawTable9[[#This Row],[Customer_Info]])-LEN(SUBSTITUTE(OrdersRawTable9[[#This Row],[Customer_Info]],",",""))</f>
        <v>2</v>
      </c>
      <c r="J93" s="10" t="s">
        <v>112</v>
      </c>
      <c r="K93" s="23">
        <v>1</v>
      </c>
      <c r="L93" s="26">
        <v>88.61</v>
      </c>
      <c r="M93" s="29">
        <v>0</v>
      </c>
      <c r="N93" s="10" t="s">
        <v>40</v>
      </c>
      <c r="O93" s="10" t="str">
        <f>IF(TRIM(OrdersRawTable9[[#This Row],[Sales_Channel_Raw]])="Market place","Marketplace",TRIM(OrdersRawTable9[[#This Row],[Sales_Channel_Raw]]))</f>
        <v>Online</v>
      </c>
      <c r="P93" s="10" t="s">
        <v>41</v>
      </c>
      <c r="Q93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93" s="15" t="s">
        <v>47</v>
      </c>
      <c r="S93" t="str">
        <f>VLOOKUP(OrdersRawTable9[[#This Row],[Customer_ID_Raw]],CustomersTable11[],4,FALSE)</f>
        <v>Alberta</v>
      </c>
      <c r="T93" t="str">
        <f>VLOOKUP(OrdersRawTable9[[#This Row],[Customer_ID_Raw]],CustomersTable11[],5,FALSE)</f>
        <v>Corporate</v>
      </c>
      <c r="U93" s="45">
        <f>VLOOKUP(OrdersRawTable9[[#This Row],[Product_ID]],ProductsTable10[],4,FALSE)</f>
        <v>49.75</v>
      </c>
      <c r="V93" t="str">
        <f>VLOOKUP(OrdersRawTable9[[#This Row],[Product_ID]],ProductsTable10[],3,FALSE)</f>
        <v>Electronics</v>
      </c>
      <c r="W93" s="45">
        <f>OrdersRawTable9[[#This Row],[Unit_Price]]*OrdersRawTable9[[#This Row],[Quantity]]</f>
        <v>88.61</v>
      </c>
      <c r="X93" s="47">
        <f>OrdersRawTable9[[#This Row],[Gross_Sales]]*OrdersRawTable9[[#This Row],[Discount_Pct]]</f>
        <v>0</v>
      </c>
      <c r="Y93" s="45">
        <f>OrdersRawTable9[[#This Row],[Gross_Sales]]-OrdersRawTable9[[#This Row],[Discount_Amount]]</f>
        <v>88.61</v>
      </c>
      <c r="Z93" s="45">
        <f>OrdersRawTable9[[#This Row],[Unit_Cost]]*OrdersRawTable9[[#This Row],[Quantity]]</f>
        <v>49.75</v>
      </c>
      <c r="AA93" s="45">
        <f>OrdersRawTable9[[#This Row],[Net_Sales]]-OrdersRawTable9[[#This Row],[Total_Cost]]</f>
        <v>38.86</v>
      </c>
      <c r="AB93" s="48">
        <f>IF(OrdersRawTable9[[#This Row],[Net_Sales]]=0,0,OrdersRawTable9[[#This Row],[Profit]]/OrdersRawTable9[[#This Row],[Net_Sales]])</f>
        <v>0.43855095361697327</v>
      </c>
      <c r="AC93" s="45" t="str">
        <f>IF(COUNTIF(ReturnsRawTable[Order_Line_ID],OrdersRawTable9[[#This Row],[Order_Line_ID]])&gt;0,"Yes","No")</f>
        <v>No</v>
      </c>
      <c r="AD93" s="45" t="str">
        <f>IFERROR(VLOOKUP(OrdersRawTable9[[#This Row],[Order_Line_ID]],ReturnsRawTable[[#All],[Order_Line_ID]:[Return_Reason_Raw]],3,FALSE),"")</f>
        <v/>
      </c>
      <c r="AE93" s="49" t="str">
        <f>IFERROR(VLOOKUP(OrdersRawTable9[[#This Row],[Order_Line_ID]],ReturnsRawTable[[#All],[Order_Line_ID]:[Return_Date]],2,FALSE),"")</f>
        <v/>
      </c>
      <c r="AF93" s="45" t="str">
        <f>IFERROR(VLOOKUP(OrdersRawTable9[[#This Row],[Order_Line_ID]],ReturnsRawTable[[Order_Line_ID]:[Refund_Status]],4,FALSE),"")</f>
        <v/>
      </c>
      <c r="AG93" s="45" t="str">
        <f>VLOOKUP(OrdersRawTable9[[#This Row],[Order_ID]],ShipmentsTable[],6,FALSE)</f>
        <v>Late</v>
      </c>
      <c r="AH93" s="49">
        <f>VLOOKUP(OrdersRawTable9[[#This Row],[Order_ID]],ShipmentsTable[],3,FALSE)</f>
        <v>45826</v>
      </c>
    </row>
    <row r="94" spans="1:34" ht="15" customHeight="1">
      <c r="A94" s="14" t="s">
        <v>286</v>
      </c>
      <c r="B94" s="10" t="s">
        <v>287</v>
      </c>
      <c r="C94" s="20">
        <v>45708</v>
      </c>
      <c r="D94" s="10" t="s">
        <v>199</v>
      </c>
      <c r="E94" s="10" t="s">
        <v>200</v>
      </c>
      <c r="F94" s="10" t="str">
        <f>TRIM(LEFT(OrdersRawTable9[[#This Row],[Customer_Info]],FIND(",",OrdersRawTable9[[#This Row],[Customer_Info]])-1))</f>
        <v>Noah Singh</v>
      </c>
      <c r="G9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94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94" s="10">
        <f>LEN(OrdersRawTable9[[#This Row],[Customer_Info]])-LEN(SUBSTITUTE(OrdersRawTable9[[#This Row],[Customer_Info]],",",""))</f>
        <v>2</v>
      </c>
      <c r="J94" s="10" t="s">
        <v>128</v>
      </c>
      <c r="K94" s="23">
        <v>4</v>
      </c>
      <c r="L94" s="26">
        <v>25.15</v>
      </c>
      <c r="M94" s="29">
        <v>0.15</v>
      </c>
      <c r="N94" s="10" t="s">
        <v>70</v>
      </c>
      <c r="O94" s="10" t="str">
        <f>IF(TRIM(OrdersRawTable9[[#This Row],[Sales_Channel_Raw]])="Market place","Marketplace",TRIM(OrdersRawTable9[[#This Row],[Sales_Channel_Raw]]))</f>
        <v>online</v>
      </c>
      <c r="P94" s="10" t="s">
        <v>41</v>
      </c>
      <c r="Q94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94" s="15" t="s">
        <v>67</v>
      </c>
      <c r="S94" t="str">
        <f>VLOOKUP(OrdersRawTable9[[#This Row],[Customer_ID_Raw]],CustomersTable11[],4,FALSE)</f>
        <v>Ontario</v>
      </c>
      <c r="T94" t="str">
        <f>VLOOKUP(OrdersRawTable9[[#This Row],[Customer_ID_Raw]],CustomersTable11[],5,FALSE)</f>
        <v>Small Business</v>
      </c>
      <c r="U94" s="45">
        <f>VLOOKUP(OrdersRawTable9[[#This Row],[Product_ID]],ProductsTable10[],4,FALSE)</f>
        <v>14.24</v>
      </c>
      <c r="V94" t="str">
        <f>VLOOKUP(OrdersRawTable9[[#This Row],[Product_ID]],ProductsTable10[],3,FALSE)</f>
        <v>Electronics</v>
      </c>
      <c r="W94" s="45">
        <f>OrdersRawTable9[[#This Row],[Unit_Price]]*OrdersRawTable9[[#This Row],[Quantity]]</f>
        <v>100.6</v>
      </c>
      <c r="X94" s="47">
        <f>OrdersRawTable9[[#This Row],[Gross_Sales]]*OrdersRawTable9[[#This Row],[Discount_Pct]]</f>
        <v>15.089999999999998</v>
      </c>
      <c r="Y94" s="45">
        <f>OrdersRawTable9[[#This Row],[Gross_Sales]]-OrdersRawTable9[[#This Row],[Discount_Amount]]</f>
        <v>85.509999999999991</v>
      </c>
      <c r="Z94" s="45">
        <f>OrdersRawTable9[[#This Row],[Unit_Cost]]*OrdersRawTable9[[#This Row],[Quantity]]</f>
        <v>56.96</v>
      </c>
      <c r="AA94" s="45">
        <f>OrdersRawTable9[[#This Row],[Net_Sales]]-OrdersRawTable9[[#This Row],[Total_Cost]]</f>
        <v>28.54999999999999</v>
      </c>
      <c r="AB94" s="48">
        <f>IF(OrdersRawTable9[[#This Row],[Net_Sales]]=0,0,OrdersRawTable9[[#This Row],[Profit]]/OrdersRawTable9[[#This Row],[Net_Sales]])</f>
        <v>0.33387907847035425</v>
      </c>
      <c r="AC94" s="45" t="str">
        <f>IF(COUNTIF(ReturnsRawTable[Order_Line_ID],OrdersRawTable9[[#This Row],[Order_Line_ID]])&gt;0,"Yes","No")</f>
        <v>No</v>
      </c>
      <c r="AD94" s="45" t="str">
        <f>IFERROR(VLOOKUP(OrdersRawTable9[[#This Row],[Order_Line_ID]],ReturnsRawTable[[#All],[Order_Line_ID]:[Return_Reason_Raw]],3,FALSE),"")</f>
        <v/>
      </c>
      <c r="AE94" s="49" t="str">
        <f>IFERROR(VLOOKUP(OrdersRawTable9[[#This Row],[Order_Line_ID]],ReturnsRawTable[[#All],[Order_Line_ID]:[Return_Date]],2,FALSE),"")</f>
        <v/>
      </c>
      <c r="AF94" s="45" t="str">
        <f>IFERROR(VLOOKUP(OrdersRawTable9[[#This Row],[Order_Line_ID]],ReturnsRawTable[[Order_Line_ID]:[Refund_Status]],4,FALSE),"")</f>
        <v/>
      </c>
      <c r="AG94" s="45" t="str">
        <f>VLOOKUP(OrdersRawTable9[[#This Row],[Order_ID]],ShipmentsTable[],6,FALSE)</f>
        <v>Late</v>
      </c>
      <c r="AH94" s="49">
        <f>VLOOKUP(OrdersRawTable9[[#This Row],[Order_ID]],ShipmentsTable[],3,FALSE)</f>
        <v>45714.041666666664</v>
      </c>
    </row>
    <row r="95" spans="1:34" ht="15" customHeight="1">
      <c r="A95" s="14" t="s">
        <v>288</v>
      </c>
      <c r="B95" s="10" t="s">
        <v>289</v>
      </c>
      <c r="C95" s="20">
        <v>45850</v>
      </c>
      <c r="D95" s="10" t="s">
        <v>290</v>
      </c>
      <c r="E95" s="10" t="s">
        <v>291</v>
      </c>
      <c r="F95" s="10" t="str">
        <f>TRIM(LEFT(OrdersRawTable9[[#This Row],[Customer_Info]],FIND(",",OrdersRawTable9[[#This Row],[Customer_Info]])-1))</f>
        <v>Ethan Dubois</v>
      </c>
      <c r="G9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95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95" s="10">
        <f>LEN(OrdersRawTable9[[#This Row],[Customer_Info]])-LEN(SUBSTITUTE(OrdersRawTable9[[#This Row],[Customer_Info]],",",""))</f>
        <v>2</v>
      </c>
      <c r="J95" s="10" t="s">
        <v>119</v>
      </c>
      <c r="K95" s="23">
        <v>4</v>
      </c>
      <c r="L95" s="26">
        <v>103.3</v>
      </c>
      <c r="M95" s="29">
        <v>0.05</v>
      </c>
      <c r="N95" s="10" t="s">
        <v>70</v>
      </c>
      <c r="O95" s="10" t="str">
        <f>IF(TRIM(OrdersRawTable9[[#This Row],[Sales_Channel_Raw]])="Market place","Marketplace",TRIM(OrdersRawTable9[[#This Row],[Sales_Channel_Raw]]))</f>
        <v>online</v>
      </c>
      <c r="P95" s="10" t="s">
        <v>46</v>
      </c>
      <c r="Q95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95" s="15" t="s">
        <v>42</v>
      </c>
      <c r="S95" t="str">
        <f>VLOOKUP(OrdersRawTable9[[#This Row],[Customer_ID_Raw]],CustomersTable11[],4,FALSE)</f>
        <v>Manitoba</v>
      </c>
      <c r="T95" t="str">
        <f>VLOOKUP(OrdersRawTable9[[#This Row],[Customer_ID_Raw]],CustomersTable11[],5,FALSE)</f>
        <v>Corporate</v>
      </c>
      <c r="U95" s="45">
        <f>VLOOKUP(OrdersRawTable9[[#This Row],[Product_ID]],ProductsTable10[],4,FALSE)</f>
        <v>70.180000000000007</v>
      </c>
      <c r="V95" t="str">
        <f>VLOOKUP(OrdersRawTable9[[#This Row],[Product_ID]],ProductsTable10[],3,FALSE)</f>
        <v>Home</v>
      </c>
      <c r="W95" s="45">
        <f>OrdersRawTable9[[#This Row],[Unit_Price]]*OrdersRawTable9[[#This Row],[Quantity]]</f>
        <v>413.2</v>
      </c>
      <c r="X95" s="47">
        <f>OrdersRawTable9[[#This Row],[Gross_Sales]]*OrdersRawTable9[[#This Row],[Discount_Pct]]</f>
        <v>20.66</v>
      </c>
      <c r="Y95" s="45">
        <f>OrdersRawTable9[[#This Row],[Gross_Sales]]-OrdersRawTable9[[#This Row],[Discount_Amount]]</f>
        <v>392.53999999999996</v>
      </c>
      <c r="Z95" s="45">
        <f>OrdersRawTable9[[#This Row],[Unit_Cost]]*OrdersRawTable9[[#This Row],[Quantity]]</f>
        <v>280.72000000000003</v>
      </c>
      <c r="AA95" s="45">
        <f>OrdersRawTable9[[#This Row],[Net_Sales]]-OrdersRawTable9[[#This Row],[Total_Cost]]</f>
        <v>111.81999999999994</v>
      </c>
      <c r="AB95" s="48">
        <f>IF(OrdersRawTable9[[#This Row],[Net_Sales]]=0,0,OrdersRawTable9[[#This Row],[Profit]]/OrdersRawTable9[[#This Row],[Net_Sales]])</f>
        <v>0.28486268915269769</v>
      </c>
      <c r="AC95" s="45" t="str">
        <f>IF(COUNTIF(ReturnsRawTable[Order_Line_ID],OrdersRawTable9[[#This Row],[Order_Line_ID]])&gt;0,"Yes","No")</f>
        <v>No</v>
      </c>
      <c r="AD95" s="45" t="str">
        <f>IFERROR(VLOOKUP(OrdersRawTable9[[#This Row],[Order_Line_ID]],ReturnsRawTable[[#All],[Order_Line_ID]:[Return_Reason_Raw]],3,FALSE),"")</f>
        <v/>
      </c>
      <c r="AE95" s="49" t="str">
        <f>IFERROR(VLOOKUP(OrdersRawTable9[[#This Row],[Order_Line_ID]],ReturnsRawTable[[#All],[Order_Line_ID]:[Return_Date]],2,FALSE),"")</f>
        <v/>
      </c>
      <c r="AF95" s="45" t="str">
        <f>IFERROR(VLOOKUP(OrdersRawTable9[[#This Row],[Order_Line_ID]],ReturnsRawTable[[Order_Line_ID]:[Refund_Status]],4,FALSE),"")</f>
        <v/>
      </c>
      <c r="AG95" s="45" t="str">
        <f>VLOOKUP(OrdersRawTable9[[#This Row],[Order_ID]],ShipmentsTable[],6,FALSE)</f>
        <v>Late</v>
      </c>
      <c r="AH95" s="49">
        <f>VLOOKUP(OrdersRawTable9[[#This Row],[Order_ID]],ShipmentsTable[],3,FALSE)</f>
        <v>45858</v>
      </c>
    </row>
    <row r="96" spans="1:34" ht="15" customHeight="1">
      <c r="A96" s="14" t="s">
        <v>292</v>
      </c>
      <c r="B96" s="10" t="s">
        <v>293</v>
      </c>
      <c r="C96" s="20">
        <v>45690</v>
      </c>
      <c r="D96" s="10" t="s">
        <v>294</v>
      </c>
      <c r="E96" s="10" t="s">
        <v>295</v>
      </c>
      <c r="F96" s="10" t="str">
        <f>TRIM(LEFT(OrdersRawTable9[[#This Row],[Customer_Info]],FIND(",",OrdersRawTable9[[#This Row],[Customer_Info]])-1))</f>
        <v>Yara Singh</v>
      </c>
      <c r="G9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96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96" s="10">
        <f>LEN(OrdersRawTable9[[#This Row],[Customer_Info]])-LEN(SUBSTITUTE(OrdersRawTable9[[#This Row],[Customer_Info]],",",""))</f>
        <v>2</v>
      </c>
      <c r="J96" s="10" t="s">
        <v>80</v>
      </c>
      <c r="K96" s="23">
        <v>1</v>
      </c>
      <c r="L96" s="26">
        <v>142.16</v>
      </c>
      <c r="M96" s="29">
        <v>0</v>
      </c>
      <c r="N96" s="10" t="s">
        <v>40</v>
      </c>
      <c r="O96" s="10" t="str">
        <f>IF(TRIM(OrdersRawTable9[[#This Row],[Sales_Channel_Raw]])="Market place","Marketplace",TRIM(OrdersRawTable9[[#This Row],[Sales_Channel_Raw]]))</f>
        <v>Online</v>
      </c>
      <c r="P96" s="10" t="s">
        <v>98</v>
      </c>
      <c r="Q96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96" s="15" t="s">
        <v>67</v>
      </c>
      <c r="S96" t="str">
        <f>VLOOKUP(OrdersRawTable9[[#This Row],[Customer_ID_Raw]],CustomersTable11[],4,FALSE)</f>
        <v>Alberta</v>
      </c>
      <c r="T96" t="str">
        <f>VLOOKUP(OrdersRawTable9[[#This Row],[Customer_ID_Raw]],CustomersTable11[],5,FALSE)</f>
        <v>Corporate</v>
      </c>
      <c r="U96" s="45">
        <f>VLOOKUP(OrdersRawTable9[[#This Row],[Product_ID]],ProductsTable10[],4,FALSE)</f>
        <v>85.34</v>
      </c>
      <c r="V96" t="str">
        <f>VLOOKUP(OrdersRawTable9[[#This Row],[Product_ID]],ProductsTable10[],3,FALSE)</f>
        <v>Home</v>
      </c>
      <c r="W96" s="45">
        <f>OrdersRawTable9[[#This Row],[Unit_Price]]*OrdersRawTable9[[#This Row],[Quantity]]</f>
        <v>142.16</v>
      </c>
      <c r="X96" s="47">
        <f>OrdersRawTable9[[#This Row],[Gross_Sales]]*OrdersRawTable9[[#This Row],[Discount_Pct]]</f>
        <v>0</v>
      </c>
      <c r="Y96" s="45">
        <f>OrdersRawTable9[[#This Row],[Gross_Sales]]-OrdersRawTable9[[#This Row],[Discount_Amount]]</f>
        <v>142.16</v>
      </c>
      <c r="Z96" s="45">
        <f>OrdersRawTable9[[#This Row],[Unit_Cost]]*OrdersRawTable9[[#This Row],[Quantity]]</f>
        <v>85.34</v>
      </c>
      <c r="AA96" s="45">
        <f>OrdersRawTable9[[#This Row],[Net_Sales]]-OrdersRawTable9[[#This Row],[Total_Cost]]</f>
        <v>56.819999999999993</v>
      </c>
      <c r="AB96" s="48">
        <f>IF(OrdersRawTable9[[#This Row],[Net_Sales]]=0,0,OrdersRawTable9[[#This Row],[Profit]]/OrdersRawTable9[[#This Row],[Net_Sales]])</f>
        <v>0.39969048958919523</v>
      </c>
      <c r="AC96" s="45" t="str">
        <f>IF(COUNTIF(ReturnsRawTable[Order_Line_ID],OrdersRawTable9[[#This Row],[Order_Line_ID]])&gt;0,"Yes","No")</f>
        <v>No</v>
      </c>
      <c r="AD96" s="45" t="str">
        <f>IFERROR(VLOOKUP(OrdersRawTable9[[#This Row],[Order_Line_ID]],ReturnsRawTable[[#All],[Order_Line_ID]:[Return_Reason_Raw]],3,FALSE),"")</f>
        <v/>
      </c>
      <c r="AE96" s="49" t="str">
        <f>IFERROR(VLOOKUP(OrdersRawTable9[[#This Row],[Order_Line_ID]],ReturnsRawTable[[#All],[Order_Line_ID]:[Return_Date]],2,FALSE),"")</f>
        <v/>
      </c>
      <c r="AF96" s="45" t="str">
        <f>IFERROR(VLOOKUP(OrdersRawTable9[[#This Row],[Order_Line_ID]],ReturnsRawTable[[Order_Line_ID]:[Refund_Status]],4,FALSE),"")</f>
        <v/>
      </c>
      <c r="AG96" s="45" t="str">
        <f>VLOOKUP(OrdersRawTable9[[#This Row],[Order_ID]],ShipmentsTable[],6,FALSE)</f>
        <v>Late</v>
      </c>
      <c r="AH96" s="49">
        <f>VLOOKUP(OrdersRawTable9[[#This Row],[Order_ID]],ShipmentsTable[],3,FALSE)</f>
        <v>45700</v>
      </c>
    </row>
    <row r="97" spans="1:34" ht="15" customHeight="1">
      <c r="A97" s="14" t="s">
        <v>296</v>
      </c>
      <c r="B97" s="10" t="s">
        <v>293</v>
      </c>
      <c r="C97" s="20">
        <v>45690</v>
      </c>
      <c r="D97" s="10" t="s">
        <v>294</v>
      </c>
      <c r="E97" s="10" t="s">
        <v>295</v>
      </c>
      <c r="F97" s="10" t="str">
        <f>TRIM(LEFT(OrdersRawTable9[[#This Row],[Customer_Info]],FIND(",",OrdersRawTable9[[#This Row],[Customer_Info]])-1))</f>
        <v>Yara Singh</v>
      </c>
      <c r="G9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97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97" s="10">
        <f>LEN(OrdersRawTable9[[#This Row],[Customer_Info]])-LEN(SUBSTITUTE(OrdersRawTable9[[#This Row],[Customer_Info]],",",""))</f>
        <v>2</v>
      </c>
      <c r="J97" s="10" t="s">
        <v>69</v>
      </c>
      <c r="K97" s="23">
        <v>3</v>
      </c>
      <c r="L97" s="26">
        <v>75.75</v>
      </c>
      <c r="M97" s="29">
        <v>0</v>
      </c>
      <c r="N97" s="10" t="s">
        <v>66</v>
      </c>
      <c r="O97" s="10" t="str">
        <f>IF(TRIM(OrdersRawTable9[[#This Row],[Sales_Channel_Raw]])="Market place","Marketplace",TRIM(OrdersRawTable9[[#This Row],[Sales_Channel_Raw]]))</f>
        <v>Marketplace</v>
      </c>
      <c r="P97" s="10" t="s">
        <v>41</v>
      </c>
      <c r="Q97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97" s="15" t="s">
        <v>67</v>
      </c>
      <c r="S97" t="str">
        <f>VLOOKUP(OrdersRawTable9[[#This Row],[Customer_ID_Raw]],CustomersTable11[],4,FALSE)</f>
        <v>Alberta</v>
      </c>
      <c r="T97" t="str">
        <f>VLOOKUP(OrdersRawTable9[[#This Row],[Customer_ID_Raw]],CustomersTable11[],5,FALSE)</f>
        <v>Corporate</v>
      </c>
      <c r="U97" s="45">
        <f>VLOOKUP(OrdersRawTable9[[#This Row],[Product_ID]],ProductsTable10[],4,FALSE)</f>
        <v>42.37</v>
      </c>
      <c r="V97" t="str">
        <f>VLOOKUP(OrdersRawTable9[[#This Row],[Product_ID]],ProductsTable10[],3,FALSE)</f>
        <v>Office</v>
      </c>
      <c r="W97" s="45">
        <f>OrdersRawTable9[[#This Row],[Unit_Price]]*OrdersRawTable9[[#This Row],[Quantity]]</f>
        <v>227.25</v>
      </c>
      <c r="X97" s="47">
        <f>OrdersRawTable9[[#This Row],[Gross_Sales]]*OrdersRawTable9[[#This Row],[Discount_Pct]]</f>
        <v>0</v>
      </c>
      <c r="Y97" s="45">
        <f>OrdersRawTable9[[#This Row],[Gross_Sales]]-OrdersRawTable9[[#This Row],[Discount_Amount]]</f>
        <v>227.25</v>
      </c>
      <c r="Z97" s="45">
        <f>OrdersRawTable9[[#This Row],[Unit_Cost]]*OrdersRawTable9[[#This Row],[Quantity]]</f>
        <v>127.10999999999999</v>
      </c>
      <c r="AA97" s="45">
        <f>OrdersRawTable9[[#This Row],[Net_Sales]]-OrdersRawTable9[[#This Row],[Total_Cost]]</f>
        <v>100.14000000000001</v>
      </c>
      <c r="AB97" s="48">
        <f>IF(OrdersRawTable9[[#This Row],[Net_Sales]]=0,0,OrdersRawTable9[[#This Row],[Profit]]/OrdersRawTable9[[#This Row],[Net_Sales]])</f>
        <v>0.44066006600660074</v>
      </c>
      <c r="AC97" s="45" t="str">
        <f>IF(COUNTIF(ReturnsRawTable[Order_Line_ID],OrdersRawTable9[[#This Row],[Order_Line_ID]])&gt;0,"Yes","No")</f>
        <v>No</v>
      </c>
      <c r="AD97" s="45" t="str">
        <f>IFERROR(VLOOKUP(OrdersRawTable9[[#This Row],[Order_Line_ID]],ReturnsRawTable[[#All],[Order_Line_ID]:[Return_Reason_Raw]],3,FALSE),"")</f>
        <v/>
      </c>
      <c r="AE97" s="49" t="str">
        <f>IFERROR(VLOOKUP(OrdersRawTable9[[#This Row],[Order_Line_ID]],ReturnsRawTable[[#All],[Order_Line_ID]:[Return_Date]],2,FALSE),"")</f>
        <v/>
      </c>
      <c r="AF97" s="45" t="str">
        <f>IFERROR(VLOOKUP(OrdersRawTable9[[#This Row],[Order_Line_ID]],ReturnsRawTable[[Order_Line_ID]:[Refund_Status]],4,FALSE),"")</f>
        <v/>
      </c>
      <c r="AG97" s="45" t="str">
        <f>VLOOKUP(OrdersRawTable9[[#This Row],[Order_ID]],ShipmentsTable[],6,FALSE)</f>
        <v>Late</v>
      </c>
      <c r="AH97" s="49">
        <f>VLOOKUP(OrdersRawTable9[[#This Row],[Order_ID]],ShipmentsTable[],3,FALSE)</f>
        <v>45700</v>
      </c>
    </row>
    <row r="98" spans="1:34" ht="15" customHeight="1">
      <c r="A98" s="14" t="s">
        <v>297</v>
      </c>
      <c r="B98" s="10" t="s">
        <v>293</v>
      </c>
      <c r="C98" s="20">
        <v>45690</v>
      </c>
      <c r="D98" s="10" t="s">
        <v>294</v>
      </c>
      <c r="E98" s="10" t="s">
        <v>295</v>
      </c>
      <c r="F98" s="10" t="str">
        <f>TRIM(LEFT(OrdersRawTable9[[#This Row],[Customer_Info]],FIND(",",OrdersRawTable9[[#This Row],[Customer_Info]])-1))</f>
        <v>Yara Singh</v>
      </c>
      <c r="G9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98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98" s="10">
        <f>LEN(OrdersRawTable9[[#This Row],[Customer_Info]])-LEN(SUBSTITUTE(OrdersRawTable9[[#This Row],[Customer_Info]],",",""))</f>
        <v>2</v>
      </c>
      <c r="J98" s="10" t="s">
        <v>214</v>
      </c>
      <c r="K98" s="23">
        <v>3</v>
      </c>
      <c r="L98" s="26">
        <v>186.92</v>
      </c>
      <c r="M98" s="29">
        <v>0</v>
      </c>
      <c r="N98" s="10" t="s">
        <v>45</v>
      </c>
      <c r="O98" s="10" t="str">
        <f>IF(TRIM(OrdersRawTable9[[#This Row],[Sales_Channel_Raw]])="Market place","Marketplace",TRIM(OrdersRawTable9[[#This Row],[Sales_Channel_Raw]]))</f>
        <v>Retail Store</v>
      </c>
      <c r="P98" s="10" t="s">
        <v>58</v>
      </c>
      <c r="Q98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98" s="15" t="s">
        <v>52</v>
      </c>
      <c r="S98" t="str">
        <f>VLOOKUP(OrdersRawTable9[[#This Row],[Customer_ID_Raw]],CustomersTable11[],4,FALSE)</f>
        <v>Alberta</v>
      </c>
      <c r="T98" t="str">
        <f>VLOOKUP(OrdersRawTable9[[#This Row],[Customer_ID_Raw]],CustomersTable11[],5,FALSE)</f>
        <v>Corporate</v>
      </c>
      <c r="U98" s="45">
        <f>VLOOKUP(OrdersRawTable9[[#This Row],[Product_ID]],ProductsTable10[],4,FALSE)</f>
        <v>114.11</v>
      </c>
      <c r="V98" t="str">
        <f>VLOOKUP(OrdersRawTable9[[#This Row],[Product_ID]],ProductsTable10[],3,FALSE)</f>
        <v>Home</v>
      </c>
      <c r="W98" s="45">
        <f>OrdersRawTable9[[#This Row],[Unit_Price]]*OrdersRawTable9[[#This Row],[Quantity]]</f>
        <v>560.76</v>
      </c>
      <c r="X98" s="47">
        <f>OrdersRawTable9[[#This Row],[Gross_Sales]]*OrdersRawTable9[[#This Row],[Discount_Pct]]</f>
        <v>0</v>
      </c>
      <c r="Y98" s="45">
        <f>OrdersRawTable9[[#This Row],[Gross_Sales]]-OrdersRawTable9[[#This Row],[Discount_Amount]]</f>
        <v>560.76</v>
      </c>
      <c r="Z98" s="45">
        <f>OrdersRawTable9[[#This Row],[Unit_Cost]]*OrdersRawTable9[[#This Row],[Quantity]]</f>
        <v>342.33</v>
      </c>
      <c r="AA98" s="45">
        <f>OrdersRawTable9[[#This Row],[Net_Sales]]-OrdersRawTable9[[#This Row],[Total_Cost]]</f>
        <v>218.43</v>
      </c>
      <c r="AB98" s="48">
        <f>IF(OrdersRawTable9[[#This Row],[Net_Sales]]=0,0,OrdersRawTable9[[#This Row],[Profit]]/OrdersRawTable9[[#This Row],[Net_Sales]])</f>
        <v>0.38952493045153008</v>
      </c>
      <c r="AC98" s="45" t="str">
        <f>IF(COUNTIF(ReturnsRawTable[Order_Line_ID],OrdersRawTable9[[#This Row],[Order_Line_ID]])&gt;0,"Yes","No")</f>
        <v>No</v>
      </c>
      <c r="AD98" s="45" t="str">
        <f>IFERROR(VLOOKUP(OrdersRawTable9[[#This Row],[Order_Line_ID]],ReturnsRawTable[[#All],[Order_Line_ID]:[Return_Reason_Raw]],3,FALSE),"")</f>
        <v/>
      </c>
      <c r="AE98" s="49" t="str">
        <f>IFERROR(VLOOKUP(OrdersRawTable9[[#This Row],[Order_Line_ID]],ReturnsRawTable[[#All],[Order_Line_ID]:[Return_Date]],2,FALSE),"")</f>
        <v/>
      </c>
      <c r="AF98" s="45" t="str">
        <f>IFERROR(VLOOKUP(OrdersRawTable9[[#This Row],[Order_Line_ID]],ReturnsRawTable[[Order_Line_ID]:[Refund_Status]],4,FALSE),"")</f>
        <v/>
      </c>
      <c r="AG98" s="45" t="str">
        <f>VLOOKUP(OrdersRawTable9[[#This Row],[Order_ID]],ShipmentsTable[],6,FALSE)</f>
        <v>Late</v>
      </c>
      <c r="AH98" s="49">
        <f>VLOOKUP(OrdersRawTable9[[#This Row],[Order_ID]],ShipmentsTable[],3,FALSE)</f>
        <v>45700</v>
      </c>
    </row>
    <row r="99" spans="1:34" ht="15" customHeight="1">
      <c r="A99" s="14" t="s">
        <v>298</v>
      </c>
      <c r="B99" s="10" t="s">
        <v>299</v>
      </c>
      <c r="C99" s="20">
        <v>45777</v>
      </c>
      <c r="D99" s="10" t="s">
        <v>300</v>
      </c>
      <c r="E99" s="10" t="s">
        <v>301</v>
      </c>
      <c r="F99" s="10" t="str">
        <f>TRIM(LEFT(OrdersRawTable9[[#This Row],[Customer_Info]],FIND(",",OrdersRawTable9[[#This Row],[Customer_Info]])-1))</f>
        <v>Daniel Khan</v>
      </c>
      <c r="G9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99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99" s="10">
        <f>LEN(OrdersRawTable9[[#This Row],[Customer_Info]])-LEN(SUBSTITUTE(OrdersRawTable9[[#This Row],[Customer_Info]],",",""))</f>
        <v>2</v>
      </c>
      <c r="J99" s="10" t="s">
        <v>178</v>
      </c>
      <c r="K99" s="23">
        <v>3</v>
      </c>
      <c r="L99" s="26">
        <v>61.81</v>
      </c>
      <c r="M99" s="29">
        <v>0</v>
      </c>
      <c r="N99" s="10" t="s">
        <v>50</v>
      </c>
      <c r="O99" s="10" t="str">
        <f>IF(TRIM(OrdersRawTable9[[#This Row],[Sales_Channel_Raw]])="Market place","Marketplace",TRIM(OrdersRawTable9[[#This Row],[Sales_Channel_Raw]]))</f>
        <v>Marketplace</v>
      </c>
      <c r="P99" s="10" t="s">
        <v>46</v>
      </c>
      <c r="Q99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99" s="15" t="s">
        <v>101</v>
      </c>
      <c r="S99" t="str">
        <f>VLOOKUP(OrdersRawTable9[[#This Row],[Customer_ID_Raw]],CustomersTable11[],4,FALSE)</f>
        <v>Nova Scotia</v>
      </c>
      <c r="T99" t="str">
        <f>VLOOKUP(OrdersRawTable9[[#This Row],[Customer_ID_Raw]],CustomersTable11[],5,FALSE)</f>
        <v>Small Business</v>
      </c>
      <c r="U99" s="45">
        <f>VLOOKUP(OrdersRawTable9[[#This Row],[Product_ID]],ProductsTable10[],4,FALSE)</f>
        <v>33.19</v>
      </c>
      <c r="V99" t="str">
        <f>VLOOKUP(OrdersRawTable9[[#This Row],[Product_ID]],ProductsTable10[],3,FALSE)</f>
        <v>Office</v>
      </c>
      <c r="W99" s="45">
        <f>OrdersRawTable9[[#This Row],[Unit_Price]]*OrdersRawTable9[[#This Row],[Quantity]]</f>
        <v>185.43</v>
      </c>
      <c r="X99" s="47">
        <f>OrdersRawTable9[[#This Row],[Gross_Sales]]*OrdersRawTable9[[#This Row],[Discount_Pct]]</f>
        <v>0</v>
      </c>
      <c r="Y99" s="45">
        <f>OrdersRawTable9[[#This Row],[Gross_Sales]]-OrdersRawTable9[[#This Row],[Discount_Amount]]</f>
        <v>185.43</v>
      </c>
      <c r="Z99" s="45">
        <f>OrdersRawTable9[[#This Row],[Unit_Cost]]*OrdersRawTable9[[#This Row],[Quantity]]</f>
        <v>99.57</v>
      </c>
      <c r="AA99" s="45">
        <f>OrdersRawTable9[[#This Row],[Net_Sales]]-OrdersRawTable9[[#This Row],[Total_Cost]]</f>
        <v>85.860000000000014</v>
      </c>
      <c r="AB99" s="48">
        <f>IF(OrdersRawTable9[[#This Row],[Net_Sales]]=0,0,OrdersRawTable9[[#This Row],[Profit]]/OrdersRawTable9[[#This Row],[Net_Sales]])</f>
        <v>0.46303187186539402</v>
      </c>
      <c r="AC99" s="45" t="str">
        <f>IF(COUNTIF(ReturnsRawTable[Order_Line_ID],OrdersRawTable9[[#This Row],[Order_Line_ID]])&gt;0,"Yes","No")</f>
        <v>No</v>
      </c>
      <c r="AD99" s="45" t="str">
        <f>IFERROR(VLOOKUP(OrdersRawTable9[[#This Row],[Order_Line_ID]],ReturnsRawTable[[#All],[Order_Line_ID]:[Return_Reason_Raw]],3,FALSE),"")</f>
        <v/>
      </c>
      <c r="AE99" s="49" t="str">
        <f>IFERROR(VLOOKUP(OrdersRawTable9[[#This Row],[Order_Line_ID]],ReturnsRawTable[[#All],[Order_Line_ID]:[Return_Date]],2,FALSE),"")</f>
        <v/>
      </c>
      <c r="AF99" s="45" t="str">
        <f>IFERROR(VLOOKUP(OrdersRawTable9[[#This Row],[Order_Line_ID]],ReturnsRawTable[[Order_Line_ID]:[Refund_Status]],4,FALSE),"")</f>
        <v/>
      </c>
      <c r="AG99" s="45" t="str">
        <f>VLOOKUP(OrdersRawTable9[[#This Row],[Order_ID]],ShipmentsTable[],6,FALSE)</f>
        <v>Late</v>
      </c>
      <c r="AH99" s="49">
        <f>VLOOKUP(OrdersRawTable9[[#This Row],[Order_ID]],ShipmentsTable[],3,FALSE)</f>
        <v>45782</v>
      </c>
    </row>
    <row r="100" spans="1:34" ht="15" customHeight="1">
      <c r="A100" s="14" t="s">
        <v>302</v>
      </c>
      <c r="B100" s="10" t="s">
        <v>299</v>
      </c>
      <c r="C100" s="20">
        <v>45777</v>
      </c>
      <c r="D100" s="10" t="s">
        <v>300</v>
      </c>
      <c r="E100" s="10" t="s">
        <v>301</v>
      </c>
      <c r="F100" s="10" t="str">
        <f>TRIM(LEFT(OrdersRawTable9[[#This Row],[Customer_Info]],FIND(",",OrdersRawTable9[[#This Row],[Customer_Info]])-1))</f>
        <v>Daniel Khan</v>
      </c>
      <c r="G10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100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100" s="10">
        <f>LEN(OrdersRawTable9[[#This Row],[Customer_Info]])-LEN(SUBSTITUTE(OrdersRawTable9[[#This Row],[Customer_Info]],",",""))</f>
        <v>2</v>
      </c>
      <c r="J100" s="10" t="s">
        <v>303</v>
      </c>
      <c r="K100" s="23">
        <v>1</v>
      </c>
      <c r="L100" s="26">
        <v>72.81</v>
      </c>
      <c r="M100" s="29">
        <v>0.15</v>
      </c>
      <c r="N100" s="10" t="s">
        <v>50</v>
      </c>
      <c r="O100" s="10" t="str">
        <f>IF(TRIM(OrdersRawTable9[[#This Row],[Sales_Channel_Raw]])="Market place","Marketplace",TRIM(OrdersRawTable9[[#This Row],[Sales_Channel_Raw]]))</f>
        <v>Marketplace</v>
      </c>
      <c r="P100" s="10"/>
      <c r="Q100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100" s="15" t="s">
        <v>52</v>
      </c>
      <c r="S100" t="str">
        <f>VLOOKUP(OrdersRawTable9[[#This Row],[Customer_ID_Raw]],CustomersTable11[],4,FALSE)</f>
        <v>Nova Scotia</v>
      </c>
      <c r="T100" t="str">
        <f>VLOOKUP(OrdersRawTable9[[#This Row],[Customer_ID_Raw]],CustomersTable11[],5,FALSE)</f>
        <v>Small Business</v>
      </c>
      <c r="U100" s="45">
        <f>VLOOKUP(OrdersRawTable9[[#This Row],[Product_ID]],ProductsTable10[],4,FALSE)</f>
        <v>37.99</v>
      </c>
      <c r="V100" t="str">
        <f>VLOOKUP(OrdersRawTable9[[#This Row],[Product_ID]],ProductsTable10[],3,FALSE)</f>
        <v>Accessories</v>
      </c>
      <c r="W100" s="45">
        <f>OrdersRawTable9[[#This Row],[Unit_Price]]*OrdersRawTable9[[#This Row],[Quantity]]</f>
        <v>72.81</v>
      </c>
      <c r="X100" s="47">
        <f>OrdersRawTable9[[#This Row],[Gross_Sales]]*OrdersRawTable9[[#This Row],[Discount_Pct]]</f>
        <v>10.9215</v>
      </c>
      <c r="Y100" s="45">
        <f>OrdersRawTable9[[#This Row],[Gross_Sales]]-OrdersRawTable9[[#This Row],[Discount_Amount]]</f>
        <v>61.888500000000001</v>
      </c>
      <c r="Z100" s="45">
        <f>OrdersRawTable9[[#This Row],[Unit_Cost]]*OrdersRawTable9[[#This Row],[Quantity]]</f>
        <v>37.99</v>
      </c>
      <c r="AA100" s="45">
        <f>OrdersRawTable9[[#This Row],[Net_Sales]]-OrdersRawTable9[[#This Row],[Total_Cost]]</f>
        <v>23.898499999999999</v>
      </c>
      <c r="AB100" s="48">
        <f>IF(OrdersRawTable9[[#This Row],[Net_Sales]]=0,0,OrdersRawTable9[[#This Row],[Profit]]/OrdersRawTable9[[#This Row],[Net_Sales]])</f>
        <v>0.38615413202775956</v>
      </c>
      <c r="AC100" s="45" t="str">
        <f>IF(COUNTIF(ReturnsRawTable[Order_Line_ID],OrdersRawTable9[[#This Row],[Order_Line_ID]])&gt;0,"Yes","No")</f>
        <v>No</v>
      </c>
      <c r="AD100" s="45" t="str">
        <f>IFERROR(VLOOKUP(OrdersRawTable9[[#This Row],[Order_Line_ID]],ReturnsRawTable[[#All],[Order_Line_ID]:[Return_Reason_Raw]],3,FALSE),"")</f>
        <v/>
      </c>
      <c r="AE100" s="49" t="str">
        <f>IFERROR(VLOOKUP(OrdersRawTable9[[#This Row],[Order_Line_ID]],ReturnsRawTable[[#All],[Order_Line_ID]:[Return_Date]],2,FALSE),"")</f>
        <v/>
      </c>
      <c r="AF100" s="45" t="str">
        <f>IFERROR(VLOOKUP(OrdersRawTable9[[#This Row],[Order_Line_ID]],ReturnsRawTable[[Order_Line_ID]:[Refund_Status]],4,FALSE),"")</f>
        <v/>
      </c>
      <c r="AG100" s="45" t="str">
        <f>VLOOKUP(OrdersRawTable9[[#This Row],[Order_ID]],ShipmentsTable[],6,FALSE)</f>
        <v>Late</v>
      </c>
      <c r="AH100" s="49">
        <f>VLOOKUP(OrdersRawTable9[[#This Row],[Order_ID]],ShipmentsTable[],3,FALSE)</f>
        <v>45782</v>
      </c>
    </row>
    <row r="101" spans="1:34" ht="15" customHeight="1">
      <c r="A101" s="14" t="s">
        <v>304</v>
      </c>
      <c r="B101" s="10" t="s">
        <v>299</v>
      </c>
      <c r="C101" s="20">
        <v>45777</v>
      </c>
      <c r="D101" s="10" t="s">
        <v>300</v>
      </c>
      <c r="E101" s="10" t="s">
        <v>301</v>
      </c>
      <c r="F101" s="10" t="str">
        <f>TRIM(LEFT(OrdersRawTable9[[#This Row],[Customer_Info]],FIND(",",OrdersRawTable9[[#This Row],[Customer_Info]])-1))</f>
        <v>Daniel Khan</v>
      </c>
      <c r="G10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101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101" s="10">
        <f>LEN(OrdersRawTable9[[#This Row],[Customer_Info]])-LEN(SUBSTITUTE(OrdersRawTable9[[#This Row],[Customer_Info]],",",""))</f>
        <v>2</v>
      </c>
      <c r="J101" s="10" t="s">
        <v>121</v>
      </c>
      <c r="K101" s="23">
        <v>1</v>
      </c>
      <c r="L101" s="26">
        <v>287.16000000000003</v>
      </c>
      <c r="M101" s="29">
        <v>0</v>
      </c>
      <c r="N101" s="10" t="s">
        <v>64</v>
      </c>
      <c r="O101" s="10" t="str">
        <f>IF(TRIM(OrdersRawTable9[[#This Row],[Sales_Channel_Raw]])="Market place","Marketplace",TRIM(OrdersRawTable9[[#This Row],[Sales_Channel_Raw]]))</f>
        <v>Retail Store</v>
      </c>
      <c r="P101" s="10" t="s">
        <v>98</v>
      </c>
      <c r="Q101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101" s="15" t="s">
        <v>52</v>
      </c>
      <c r="S101" t="str">
        <f>VLOOKUP(OrdersRawTable9[[#This Row],[Customer_ID_Raw]],CustomersTable11[],4,FALSE)</f>
        <v>Nova Scotia</v>
      </c>
      <c r="T101" t="str">
        <f>VLOOKUP(OrdersRawTable9[[#This Row],[Customer_ID_Raw]],CustomersTable11[],5,FALSE)</f>
        <v>Small Business</v>
      </c>
      <c r="U101" s="45">
        <f>VLOOKUP(OrdersRawTable9[[#This Row],[Product_ID]],ProductsTable10[],4,FALSE)</f>
        <v>148.21</v>
      </c>
      <c r="V101" t="str">
        <f>VLOOKUP(OrdersRawTable9[[#This Row],[Product_ID]],ProductsTable10[],3,FALSE)</f>
        <v>Accessories</v>
      </c>
      <c r="W101" s="45">
        <f>OrdersRawTable9[[#This Row],[Unit_Price]]*OrdersRawTable9[[#This Row],[Quantity]]</f>
        <v>287.16000000000003</v>
      </c>
      <c r="X101" s="47">
        <f>OrdersRawTable9[[#This Row],[Gross_Sales]]*OrdersRawTable9[[#This Row],[Discount_Pct]]</f>
        <v>0</v>
      </c>
      <c r="Y101" s="45">
        <f>OrdersRawTable9[[#This Row],[Gross_Sales]]-OrdersRawTable9[[#This Row],[Discount_Amount]]</f>
        <v>287.16000000000003</v>
      </c>
      <c r="Z101" s="45">
        <f>OrdersRawTable9[[#This Row],[Unit_Cost]]*OrdersRawTable9[[#This Row],[Quantity]]</f>
        <v>148.21</v>
      </c>
      <c r="AA101" s="45">
        <f>OrdersRawTable9[[#This Row],[Net_Sales]]-OrdersRawTable9[[#This Row],[Total_Cost]]</f>
        <v>138.95000000000002</v>
      </c>
      <c r="AB101" s="48">
        <f>IF(OrdersRawTable9[[#This Row],[Net_Sales]]=0,0,OrdersRawTable9[[#This Row],[Profit]]/OrdersRawTable9[[#This Row],[Net_Sales]])</f>
        <v>0.48387658448251847</v>
      </c>
      <c r="AC101" s="45" t="str">
        <f>IF(COUNTIF(ReturnsRawTable[Order_Line_ID],OrdersRawTable9[[#This Row],[Order_Line_ID]])&gt;0,"Yes","No")</f>
        <v>No</v>
      </c>
      <c r="AD101" s="45" t="str">
        <f>IFERROR(VLOOKUP(OrdersRawTable9[[#This Row],[Order_Line_ID]],ReturnsRawTable[[#All],[Order_Line_ID]:[Return_Reason_Raw]],3,FALSE),"")</f>
        <v/>
      </c>
      <c r="AE101" s="49" t="str">
        <f>IFERROR(VLOOKUP(OrdersRawTable9[[#This Row],[Order_Line_ID]],ReturnsRawTable[[#All],[Order_Line_ID]:[Return_Date]],2,FALSE),"")</f>
        <v/>
      </c>
      <c r="AF101" s="45" t="str">
        <f>IFERROR(VLOOKUP(OrdersRawTable9[[#This Row],[Order_Line_ID]],ReturnsRawTable[[Order_Line_ID]:[Refund_Status]],4,FALSE),"")</f>
        <v/>
      </c>
      <c r="AG101" s="45" t="str">
        <f>VLOOKUP(OrdersRawTable9[[#This Row],[Order_ID]],ShipmentsTable[],6,FALSE)</f>
        <v>Late</v>
      </c>
      <c r="AH101" s="49">
        <f>VLOOKUP(OrdersRawTable9[[#This Row],[Order_ID]],ShipmentsTable[],3,FALSE)</f>
        <v>45782</v>
      </c>
    </row>
    <row r="102" spans="1:34" ht="15" customHeight="1">
      <c r="A102" s="14" t="s">
        <v>305</v>
      </c>
      <c r="B102" s="10" t="s">
        <v>306</v>
      </c>
      <c r="C102" s="20">
        <v>45952</v>
      </c>
      <c r="D102" s="10" t="s">
        <v>307</v>
      </c>
      <c r="E102" s="10" t="s">
        <v>308</v>
      </c>
      <c r="F102" s="10" t="str">
        <f>TRIM(LEFT(OrdersRawTable9[[#This Row],[Customer_Info]],FIND(",",OrdersRawTable9[[#This Row],[Customer_Info]])-1))</f>
        <v>Yara Johnson</v>
      </c>
      <c r="G10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102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102" s="10">
        <f>LEN(OrdersRawTable9[[#This Row],[Customer_Info]])-LEN(SUBSTITUTE(OrdersRawTable9[[#This Row],[Customer_Info]],",",""))</f>
        <v>2</v>
      </c>
      <c r="J102" s="10" t="s">
        <v>309</v>
      </c>
      <c r="K102" s="23">
        <v>3</v>
      </c>
      <c r="L102" s="26">
        <v>56.99</v>
      </c>
      <c r="M102" s="29">
        <v>0.15</v>
      </c>
      <c r="N102" s="10" t="s">
        <v>66</v>
      </c>
      <c r="O102" s="10" t="str">
        <f>IF(TRIM(OrdersRawTable9[[#This Row],[Sales_Channel_Raw]])="Market place","Marketplace",TRIM(OrdersRawTable9[[#This Row],[Sales_Channel_Raw]]))</f>
        <v>Marketplace</v>
      </c>
      <c r="P102" s="10" t="s">
        <v>41</v>
      </c>
      <c r="Q102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102" s="15" t="s">
        <v>52</v>
      </c>
      <c r="S102" t="str">
        <f>VLOOKUP(OrdersRawTable9[[#This Row],[Customer_ID_Raw]],CustomersTable11[],4,FALSE)</f>
        <v>Quebec</v>
      </c>
      <c r="T102" t="str">
        <f>VLOOKUP(OrdersRawTable9[[#This Row],[Customer_ID_Raw]],CustomersTable11[],5,FALSE)</f>
        <v>Consumer</v>
      </c>
      <c r="U102" s="45">
        <f>VLOOKUP(OrdersRawTable9[[#This Row],[Product_ID]],ProductsTable10[],4,FALSE)</f>
        <v>33.65</v>
      </c>
      <c r="V102" t="str">
        <f>VLOOKUP(OrdersRawTable9[[#This Row],[Product_ID]],ProductsTable10[],3,FALSE)</f>
        <v>Home</v>
      </c>
      <c r="W102" s="45">
        <f>OrdersRawTable9[[#This Row],[Unit_Price]]*OrdersRawTable9[[#This Row],[Quantity]]</f>
        <v>170.97</v>
      </c>
      <c r="X102" s="47">
        <f>OrdersRawTable9[[#This Row],[Gross_Sales]]*OrdersRawTable9[[#This Row],[Discount_Pct]]</f>
        <v>25.645499999999998</v>
      </c>
      <c r="Y102" s="45">
        <f>OrdersRawTable9[[#This Row],[Gross_Sales]]-OrdersRawTable9[[#This Row],[Discount_Amount]]</f>
        <v>145.3245</v>
      </c>
      <c r="Z102" s="45">
        <f>OrdersRawTable9[[#This Row],[Unit_Cost]]*OrdersRawTable9[[#This Row],[Quantity]]</f>
        <v>100.94999999999999</v>
      </c>
      <c r="AA102" s="45">
        <f>OrdersRawTable9[[#This Row],[Net_Sales]]-OrdersRawTable9[[#This Row],[Total_Cost]]</f>
        <v>44.374500000000012</v>
      </c>
      <c r="AB102" s="48">
        <f>IF(OrdersRawTable9[[#This Row],[Net_Sales]]=0,0,OrdersRawTable9[[#This Row],[Profit]]/OrdersRawTable9[[#This Row],[Net_Sales]])</f>
        <v>0.30534768741678114</v>
      </c>
      <c r="AC102" s="45" t="str">
        <f>IF(COUNTIF(ReturnsRawTable[Order_Line_ID],OrdersRawTable9[[#This Row],[Order_Line_ID]])&gt;0,"Yes","No")</f>
        <v>No</v>
      </c>
      <c r="AD102" s="45" t="str">
        <f>IFERROR(VLOOKUP(OrdersRawTable9[[#This Row],[Order_Line_ID]],ReturnsRawTable[[#All],[Order_Line_ID]:[Return_Reason_Raw]],3,FALSE),"")</f>
        <v/>
      </c>
      <c r="AE102" s="49" t="str">
        <f>IFERROR(VLOOKUP(OrdersRawTable9[[#This Row],[Order_Line_ID]],ReturnsRawTable[[#All],[Order_Line_ID]:[Return_Date]],2,FALSE),"")</f>
        <v/>
      </c>
      <c r="AF102" s="45" t="str">
        <f>IFERROR(VLOOKUP(OrdersRawTable9[[#This Row],[Order_Line_ID]],ReturnsRawTable[[Order_Line_ID]:[Refund_Status]],4,FALSE),"")</f>
        <v/>
      </c>
      <c r="AG102" s="45" t="str">
        <f>VLOOKUP(OrdersRawTable9[[#This Row],[Order_ID]],ShipmentsTable[],6,FALSE)</f>
        <v>On time</v>
      </c>
      <c r="AH102" s="49">
        <f>VLOOKUP(OrdersRawTable9[[#This Row],[Order_ID]],ShipmentsTable[],3,FALSE)</f>
        <v>45956</v>
      </c>
    </row>
    <row r="103" spans="1:34" ht="15" customHeight="1">
      <c r="A103" s="14" t="s">
        <v>310</v>
      </c>
      <c r="B103" s="10" t="s">
        <v>311</v>
      </c>
      <c r="C103" s="20">
        <v>45877</v>
      </c>
      <c r="D103" s="10" t="s">
        <v>183</v>
      </c>
      <c r="E103" s="10" t="s">
        <v>184</v>
      </c>
      <c r="F103" s="10" t="str">
        <f>TRIM(LEFT(OrdersRawTable9[[#This Row],[Customer_Info]],FIND(",",OrdersRawTable9[[#This Row],[Customer_Info]])-1))</f>
        <v>Amina Martin</v>
      </c>
      <c r="G10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103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103" s="10">
        <f>LEN(OrdersRawTable9[[#This Row],[Customer_Info]])-LEN(SUBSTITUTE(OrdersRawTable9[[#This Row],[Customer_Info]],",",""))</f>
        <v>2</v>
      </c>
      <c r="J103" s="10" t="s">
        <v>110</v>
      </c>
      <c r="K103" s="23">
        <v>2</v>
      </c>
      <c r="L103" s="26">
        <v>133.24</v>
      </c>
      <c r="M103" s="29">
        <v>0</v>
      </c>
      <c r="N103" s="10" t="s">
        <v>70</v>
      </c>
      <c r="O103" s="10" t="str">
        <f>IF(TRIM(OrdersRawTable9[[#This Row],[Sales_Channel_Raw]])="Market place","Marketplace",TRIM(OrdersRawTable9[[#This Row],[Sales_Channel_Raw]]))</f>
        <v>online</v>
      </c>
      <c r="P103" s="10"/>
      <c r="Q103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103" s="15" t="s">
        <v>52</v>
      </c>
      <c r="S103" t="str">
        <f>VLOOKUP(OrdersRawTable9[[#This Row],[Customer_ID_Raw]],CustomersTable11[],4,FALSE)</f>
        <v>Quebec</v>
      </c>
      <c r="T103" t="str">
        <f>VLOOKUP(OrdersRawTable9[[#This Row],[Customer_ID_Raw]],CustomersTable11[],5,FALSE)</f>
        <v>Consumer</v>
      </c>
      <c r="U103" s="45">
        <f>VLOOKUP(OrdersRawTable9[[#This Row],[Product_ID]],ProductsTable10[],4,FALSE)</f>
        <v>77.540000000000006</v>
      </c>
      <c r="V103" t="str">
        <f>VLOOKUP(OrdersRawTable9[[#This Row],[Product_ID]],ProductsTable10[],3,FALSE)</f>
        <v>Electronics</v>
      </c>
      <c r="W103" s="45">
        <f>OrdersRawTable9[[#This Row],[Unit_Price]]*OrdersRawTable9[[#This Row],[Quantity]]</f>
        <v>266.48</v>
      </c>
      <c r="X103" s="47">
        <f>OrdersRawTable9[[#This Row],[Gross_Sales]]*OrdersRawTable9[[#This Row],[Discount_Pct]]</f>
        <v>0</v>
      </c>
      <c r="Y103" s="45">
        <f>OrdersRawTable9[[#This Row],[Gross_Sales]]-OrdersRawTable9[[#This Row],[Discount_Amount]]</f>
        <v>266.48</v>
      </c>
      <c r="Z103" s="45">
        <f>OrdersRawTable9[[#This Row],[Unit_Cost]]*OrdersRawTable9[[#This Row],[Quantity]]</f>
        <v>155.08000000000001</v>
      </c>
      <c r="AA103" s="45">
        <f>OrdersRawTable9[[#This Row],[Net_Sales]]-OrdersRawTable9[[#This Row],[Total_Cost]]</f>
        <v>111.4</v>
      </c>
      <c r="AB103" s="48">
        <f>IF(OrdersRawTable9[[#This Row],[Net_Sales]]=0,0,OrdersRawTable9[[#This Row],[Profit]]/OrdersRawTable9[[#This Row],[Net_Sales]])</f>
        <v>0.41804262984088864</v>
      </c>
      <c r="AC103" s="45" t="str">
        <f>IF(COUNTIF(ReturnsRawTable[Order_Line_ID],OrdersRawTable9[[#This Row],[Order_Line_ID]])&gt;0,"Yes","No")</f>
        <v>No</v>
      </c>
      <c r="AD103" s="45" t="str">
        <f>IFERROR(VLOOKUP(OrdersRawTable9[[#This Row],[Order_Line_ID]],ReturnsRawTable[[#All],[Order_Line_ID]:[Return_Reason_Raw]],3,FALSE),"")</f>
        <v/>
      </c>
      <c r="AE103" s="49" t="str">
        <f>IFERROR(VLOOKUP(OrdersRawTable9[[#This Row],[Order_Line_ID]],ReturnsRawTable[[#All],[Order_Line_ID]:[Return_Date]],2,FALSE),"")</f>
        <v/>
      </c>
      <c r="AF103" s="45" t="str">
        <f>IFERROR(VLOOKUP(OrdersRawTable9[[#This Row],[Order_Line_ID]],ReturnsRawTable[[Order_Line_ID]:[Refund_Status]],4,FALSE),"")</f>
        <v/>
      </c>
      <c r="AG103" s="45" t="str">
        <f>VLOOKUP(OrdersRawTable9[[#This Row],[Order_ID]],ShipmentsTable[],6,FALSE)</f>
        <v>On time</v>
      </c>
      <c r="AH103" s="49">
        <f>VLOOKUP(OrdersRawTable9[[#This Row],[Order_ID]],ShipmentsTable[],3,FALSE)</f>
        <v>45881</v>
      </c>
    </row>
    <row r="104" spans="1:34" ht="15" customHeight="1">
      <c r="A104" s="14" t="s">
        <v>312</v>
      </c>
      <c r="B104" s="10" t="s">
        <v>313</v>
      </c>
      <c r="C104" s="20">
        <v>45673</v>
      </c>
      <c r="D104" s="10" t="s">
        <v>314</v>
      </c>
      <c r="E104" s="10" t="s">
        <v>250</v>
      </c>
      <c r="F104" s="10" t="str">
        <f>TRIM(LEFT(OrdersRawTable9[[#This Row],[Customer_Info]],FIND(",",OrdersRawTable9[[#This Row],[Customer_Info]])-1))</f>
        <v>Maya Dubois</v>
      </c>
      <c r="G10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104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104" s="10">
        <f>LEN(OrdersRawTable9[[#This Row],[Customer_Info]])-LEN(SUBSTITUTE(OrdersRawTable9[[#This Row],[Customer_Info]],",",""))</f>
        <v>2</v>
      </c>
      <c r="J104" s="10" t="s">
        <v>119</v>
      </c>
      <c r="K104" s="23">
        <v>4</v>
      </c>
      <c r="L104" s="26">
        <v>103.3</v>
      </c>
      <c r="M104" s="29">
        <v>0.05</v>
      </c>
      <c r="N104" s="10" t="s">
        <v>66</v>
      </c>
      <c r="O104" s="10" t="str">
        <f>IF(TRIM(OrdersRawTable9[[#This Row],[Sales_Channel_Raw]])="Market place","Marketplace",TRIM(OrdersRawTable9[[#This Row],[Sales_Channel_Raw]]))</f>
        <v>Marketplace</v>
      </c>
      <c r="P104" s="10" t="s">
        <v>46</v>
      </c>
      <c r="Q104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104" s="15" t="s">
        <v>47</v>
      </c>
      <c r="S104" t="str">
        <f>VLOOKUP(OrdersRawTable9[[#This Row],[Customer_ID_Raw]],CustomersTable11[],4,FALSE)</f>
        <v>Manitoba</v>
      </c>
      <c r="T104" t="str">
        <f>VLOOKUP(OrdersRawTable9[[#This Row],[Customer_ID_Raw]],CustomersTable11[],5,FALSE)</f>
        <v>Small Business</v>
      </c>
      <c r="U104" s="45">
        <f>VLOOKUP(OrdersRawTable9[[#This Row],[Product_ID]],ProductsTable10[],4,FALSE)</f>
        <v>70.180000000000007</v>
      </c>
      <c r="V104" t="str">
        <f>VLOOKUP(OrdersRawTable9[[#This Row],[Product_ID]],ProductsTable10[],3,FALSE)</f>
        <v>Home</v>
      </c>
      <c r="W104" s="45">
        <f>OrdersRawTable9[[#This Row],[Unit_Price]]*OrdersRawTable9[[#This Row],[Quantity]]</f>
        <v>413.2</v>
      </c>
      <c r="X104" s="47">
        <f>OrdersRawTable9[[#This Row],[Gross_Sales]]*OrdersRawTable9[[#This Row],[Discount_Pct]]</f>
        <v>20.66</v>
      </c>
      <c r="Y104" s="45">
        <f>OrdersRawTable9[[#This Row],[Gross_Sales]]-OrdersRawTable9[[#This Row],[Discount_Amount]]</f>
        <v>392.53999999999996</v>
      </c>
      <c r="Z104" s="45">
        <f>OrdersRawTable9[[#This Row],[Unit_Cost]]*OrdersRawTable9[[#This Row],[Quantity]]</f>
        <v>280.72000000000003</v>
      </c>
      <c r="AA104" s="45">
        <f>OrdersRawTable9[[#This Row],[Net_Sales]]-OrdersRawTable9[[#This Row],[Total_Cost]]</f>
        <v>111.81999999999994</v>
      </c>
      <c r="AB104" s="48">
        <f>IF(OrdersRawTable9[[#This Row],[Net_Sales]]=0,0,OrdersRawTable9[[#This Row],[Profit]]/OrdersRawTable9[[#This Row],[Net_Sales]])</f>
        <v>0.28486268915269769</v>
      </c>
      <c r="AC104" s="45" t="str">
        <f>IF(COUNTIF(ReturnsRawTable[Order_Line_ID],OrdersRawTable9[[#This Row],[Order_Line_ID]])&gt;0,"Yes","No")</f>
        <v>No</v>
      </c>
      <c r="AD104" s="45" t="str">
        <f>IFERROR(VLOOKUP(OrdersRawTable9[[#This Row],[Order_Line_ID]],ReturnsRawTable[[#All],[Order_Line_ID]:[Return_Reason_Raw]],3,FALSE),"")</f>
        <v/>
      </c>
      <c r="AE104" s="49" t="str">
        <f>IFERROR(VLOOKUP(OrdersRawTable9[[#This Row],[Order_Line_ID]],ReturnsRawTable[[#All],[Order_Line_ID]:[Return_Date]],2,FALSE),"")</f>
        <v/>
      </c>
      <c r="AF104" s="45" t="str">
        <f>IFERROR(VLOOKUP(OrdersRawTable9[[#This Row],[Order_Line_ID]],ReturnsRawTable[[Order_Line_ID]:[Refund_Status]],4,FALSE),"")</f>
        <v/>
      </c>
      <c r="AG104" s="45" t="str">
        <f>VLOOKUP(OrdersRawTable9[[#This Row],[Order_ID]],ShipmentsTable[],6,FALSE)</f>
        <v>On time</v>
      </c>
      <c r="AH104" s="49">
        <f>VLOOKUP(OrdersRawTable9[[#This Row],[Order_ID]],ShipmentsTable[],3,FALSE)</f>
        <v>45678</v>
      </c>
    </row>
    <row r="105" spans="1:34" ht="15" customHeight="1">
      <c r="A105" s="14" t="s">
        <v>315</v>
      </c>
      <c r="B105" s="10" t="s">
        <v>313</v>
      </c>
      <c r="C105" s="20">
        <v>45673</v>
      </c>
      <c r="D105" s="10" t="s">
        <v>314</v>
      </c>
      <c r="E105" s="10" t="s">
        <v>250</v>
      </c>
      <c r="F105" s="10" t="str">
        <f>TRIM(LEFT(OrdersRawTable9[[#This Row],[Customer_Info]],FIND(",",OrdersRawTable9[[#This Row],[Customer_Info]])-1))</f>
        <v>Maya Dubois</v>
      </c>
      <c r="G10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105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105" s="10">
        <f>LEN(OrdersRawTable9[[#This Row],[Customer_Info]])-LEN(SUBSTITUTE(OrdersRawTable9[[#This Row],[Customer_Info]],",",""))</f>
        <v>2</v>
      </c>
      <c r="J105" s="10" t="s">
        <v>316</v>
      </c>
      <c r="K105" s="23">
        <v>4</v>
      </c>
      <c r="L105" s="26">
        <v>180.37</v>
      </c>
      <c r="M105" s="29">
        <v>0.05</v>
      </c>
      <c r="N105" s="10" t="s">
        <v>50</v>
      </c>
      <c r="O105" s="10" t="str">
        <f>IF(TRIM(OrdersRawTable9[[#This Row],[Sales_Channel_Raw]])="Market place","Marketplace",TRIM(OrdersRawTable9[[#This Row],[Sales_Channel_Raw]]))</f>
        <v>Marketplace</v>
      </c>
      <c r="P105" s="10" t="s">
        <v>51</v>
      </c>
      <c r="Q105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105" s="15" t="s">
        <v>42</v>
      </c>
      <c r="S105" t="str">
        <f>VLOOKUP(OrdersRawTable9[[#This Row],[Customer_ID_Raw]],CustomersTable11[],4,FALSE)</f>
        <v>Manitoba</v>
      </c>
      <c r="T105" t="str">
        <f>VLOOKUP(OrdersRawTable9[[#This Row],[Customer_ID_Raw]],CustomersTable11[],5,FALSE)</f>
        <v>Small Business</v>
      </c>
      <c r="U105" s="45">
        <f>VLOOKUP(OrdersRawTable9[[#This Row],[Product_ID]],ProductsTable10[],4,FALSE)</f>
        <v>107.55</v>
      </c>
      <c r="V105" t="str">
        <f>VLOOKUP(OrdersRawTable9[[#This Row],[Product_ID]],ProductsTable10[],3,FALSE)</f>
        <v>Accessories</v>
      </c>
      <c r="W105" s="45">
        <f>OrdersRawTable9[[#This Row],[Unit_Price]]*OrdersRawTable9[[#This Row],[Quantity]]</f>
        <v>721.48</v>
      </c>
      <c r="X105" s="47">
        <f>OrdersRawTable9[[#This Row],[Gross_Sales]]*OrdersRawTable9[[#This Row],[Discount_Pct]]</f>
        <v>36.074000000000005</v>
      </c>
      <c r="Y105" s="45">
        <f>OrdersRawTable9[[#This Row],[Gross_Sales]]-OrdersRawTable9[[#This Row],[Discount_Amount]]</f>
        <v>685.40600000000006</v>
      </c>
      <c r="Z105" s="45">
        <f>OrdersRawTable9[[#This Row],[Unit_Cost]]*OrdersRawTable9[[#This Row],[Quantity]]</f>
        <v>430.2</v>
      </c>
      <c r="AA105" s="45">
        <f>OrdersRawTable9[[#This Row],[Net_Sales]]-OrdersRawTable9[[#This Row],[Total_Cost]]</f>
        <v>255.20600000000007</v>
      </c>
      <c r="AB105" s="48">
        <f>IF(OrdersRawTable9[[#This Row],[Net_Sales]]=0,0,OrdersRawTable9[[#This Row],[Profit]]/OrdersRawTable9[[#This Row],[Net_Sales]])</f>
        <v>0.37234281579093276</v>
      </c>
      <c r="AC105" s="45" t="str">
        <f>IF(COUNTIF(ReturnsRawTable[Order_Line_ID],OrdersRawTable9[[#This Row],[Order_Line_ID]])&gt;0,"Yes","No")</f>
        <v>No</v>
      </c>
      <c r="AD105" s="45" t="str">
        <f>IFERROR(VLOOKUP(OrdersRawTable9[[#This Row],[Order_Line_ID]],ReturnsRawTable[[#All],[Order_Line_ID]:[Return_Reason_Raw]],3,FALSE),"")</f>
        <v/>
      </c>
      <c r="AE105" s="49" t="str">
        <f>IFERROR(VLOOKUP(OrdersRawTable9[[#This Row],[Order_Line_ID]],ReturnsRawTable[[#All],[Order_Line_ID]:[Return_Date]],2,FALSE),"")</f>
        <v/>
      </c>
      <c r="AF105" s="45" t="str">
        <f>IFERROR(VLOOKUP(OrdersRawTable9[[#This Row],[Order_Line_ID]],ReturnsRawTable[[Order_Line_ID]:[Refund_Status]],4,FALSE),"")</f>
        <v/>
      </c>
      <c r="AG105" s="45" t="str">
        <f>VLOOKUP(OrdersRawTable9[[#This Row],[Order_ID]],ShipmentsTable[],6,FALSE)</f>
        <v>On time</v>
      </c>
      <c r="AH105" s="49">
        <f>VLOOKUP(OrdersRawTable9[[#This Row],[Order_ID]],ShipmentsTable[],3,FALSE)</f>
        <v>45678</v>
      </c>
    </row>
    <row r="106" spans="1:34" ht="15" customHeight="1">
      <c r="A106" s="14" t="s">
        <v>317</v>
      </c>
      <c r="B106" s="10" t="s">
        <v>313</v>
      </c>
      <c r="C106" s="20">
        <v>45673</v>
      </c>
      <c r="D106" s="10" t="s">
        <v>314</v>
      </c>
      <c r="E106" s="10" t="s">
        <v>250</v>
      </c>
      <c r="F106" s="10" t="str">
        <f>TRIM(LEFT(OrdersRawTable9[[#This Row],[Customer_Info]],FIND(",",OrdersRawTable9[[#This Row],[Customer_Info]])-1))</f>
        <v>Maya Dubois</v>
      </c>
      <c r="G10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106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106" s="10">
        <f>LEN(OrdersRawTable9[[#This Row],[Customer_Info]])-LEN(SUBSTITUTE(OrdersRawTable9[[#This Row],[Customer_Info]],",",""))</f>
        <v>2</v>
      </c>
      <c r="J106" s="10" t="s">
        <v>69</v>
      </c>
      <c r="K106" s="23">
        <v>2</v>
      </c>
      <c r="L106" s="26">
        <v>75.75</v>
      </c>
      <c r="M106" s="29">
        <v>0.05</v>
      </c>
      <c r="N106" s="10" t="s">
        <v>66</v>
      </c>
      <c r="O106" s="10" t="str">
        <f>IF(TRIM(OrdersRawTable9[[#This Row],[Sales_Channel_Raw]])="Market place","Marketplace",TRIM(OrdersRawTable9[[#This Row],[Sales_Channel_Raw]]))</f>
        <v>Marketplace</v>
      </c>
      <c r="P106" s="10"/>
      <c r="Q106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106" s="15" t="s">
        <v>67</v>
      </c>
      <c r="S106" t="str">
        <f>VLOOKUP(OrdersRawTable9[[#This Row],[Customer_ID_Raw]],CustomersTable11[],4,FALSE)</f>
        <v>Manitoba</v>
      </c>
      <c r="T106" t="str">
        <f>VLOOKUP(OrdersRawTable9[[#This Row],[Customer_ID_Raw]],CustomersTable11[],5,FALSE)</f>
        <v>Small Business</v>
      </c>
      <c r="U106" s="45">
        <f>VLOOKUP(OrdersRawTable9[[#This Row],[Product_ID]],ProductsTable10[],4,FALSE)</f>
        <v>42.37</v>
      </c>
      <c r="V106" t="str">
        <f>VLOOKUP(OrdersRawTable9[[#This Row],[Product_ID]],ProductsTable10[],3,FALSE)</f>
        <v>Office</v>
      </c>
      <c r="W106" s="45">
        <f>OrdersRawTable9[[#This Row],[Unit_Price]]*OrdersRawTable9[[#This Row],[Quantity]]</f>
        <v>151.5</v>
      </c>
      <c r="X106" s="47">
        <f>OrdersRawTable9[[#This Row],[Gross_Sales]]*OrdersRawTable9[[#This Row],[Discount_Pct]]</f>
        <v>7.5750000000000002</v>
      </c>
      <c r="Y106" s="45">
        <f>OrdersRawTable9[[#This Row],[Gross_Sales]]-OrdersRawTable9[[#This Row],[Discount_Amount]]</f>
        <v>143.92500000000001</v>
      </c>
      <c r="Z106" s="45">
        <f>OrdersRawTable9[[#This Row],[Unit_Cost]]*OrdersRawTable9[[#This Row],[Quantity]]</f>
        <v>84.74</v>
      </c>
      <c r="AA106" s="45">
        <f>OrdersRawTable9[[#This Row],[Net_Sales]]-OrdersRawTable9[[#This Row],[Total_Cost]]</f>
        <v>59.185000000000016</v>
      </c>
      <c r="AB106" s="48">
        <f>IF(OrdersRawTable9[[#This Row],[Net_Sales]]=0,0,OrdersRawTable9[[#This Row],[Profit]]/OrdersRawTable9[[#This Row],[Net_Sales]])</f>
        <v>0.41122112211221129</v>
      </c>
      <c r="AC106" s="45" t="str">
        <f>IF(COUNTIF(ReturnsRawTable[Order_Line_ID],OrdersRawTable9[[#This Row],[Order_Line_ID]])&gt;0,"Yes","No")</f>
        <v>No</v>
      </c>
      <c r="AD106" s="45" t="str">
        <f>IFERROR(VLOOKUP(OrdersRawTable9[[#This Row],[Order_Line_ID]],ReturnsRawTable[[#All],[Order_Line_ID]:[Return_Reason_Raw]],3,FALSE),"")</f>
        <v/>
      </c>
      <c r="AE106" s="49" t="str">
        <f>IFERROR(VLOOKUP(OrdersRawTable9[[#This Row],[Order_Line_ID]],ReturnsRawTable[[#All],[Order_Line_ID]:[Return_Date]],2,FALSE),"")</f>
        <v/>
      </c>
      <c r="AF106" s="45" t="str">
        <f>IFERROR(VLOOKUP(OrdersRawTable9[[#This Row],[Order_Line_ID]],ReturnsRawTable[[Order_Line_ID]:[Refund_Status]],4,FALSE),"")</f>
        <v/>
      </c>
      <c r="AG106" s="45" t="str">
        <f>VLOOKUP(OrdersRawTable9[[#This Row],[Order_ID]],ShipmentsTable[],6,FALSE)</f>
        <v>On time</v>
      </c>
      <c r="AH106" s="49">
        <f>VLOOKUP(OrdersRawTable9[[#This Row],[Order_ID]],ShipmentsTable[],3,FALSE)</f>
        <v>45678</v>
      </c>
    </row>
    <row r="107" spans="1:34" ht="15" customHeight="1">
      <c r="A107" s="14" t="s">
        <v>318</v>
      </c>
      <c r="B107" s="10" t="s">
        <v>313</v>
      </c>
      <c r="C107" s="20">
        <v>45673</v>
      </c>
      <c r="D107" s="10" t="s">
        <v>314</v>
      </c>
      <c r="E107" s="10" t="s">
        <v>250</v>
      </c>
      <c r="F107" s="10" t="str">
        <f>TRIM(LEFT(OrdersRawTable9[[#This Row],[Customer_Info]],FIND(",",OrdersRawTable9[[#This Row],[Customer_Info]])-1))</f>
        <v>Maya Dubois</v>
      </c>
      <c r="G10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107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107" s="10">
        <f>LEN(OrdersRawTable9[[#This Row],[Customer_Info]])-LEN(SUBSTITUTE(OrdersRawTable9[[#This Row],[Customer_Info]],",",""))</f>
        <v>2</v>
      </c>
      <c r="J107" s="10" t="s">
        <v>93</v>
      </c>
      <c r="K107" s="23">
        <v>4</v>
      </c>
      <c r="L107" s="26">
        <v>208.89</v>
      </c>
      <c r="M107" s="29">
        <v>0.15</v>
      </c>
      <c r="N107" s="10" t="s">
        <v>70</v>
      </c>
      <c r="O107" s="10" t="str">
        <f>IF(TRIM(OrdersRawTable9[[#This Row],[Sales_Channel_Raw]])="Market place","Marketplace",TRIM(OrdersRawTable9[[#This Row],[Sales_Channel_Raw]]))</f>
        <v>online</v>
      </c>
      <c r="P107" s="10"/>
      <c r="Q107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107" s="15" t="s">
        <v>42</v>
      </c>
      <c r="S107" t="str">
        <f>VLOOKUP(OrdersRawTable9[[#This Row],[Customer_ID_Raw]],CustomersTable11[],4,FALSE)</f>
        <v>Manitoba</v>
      </c>
      <c r="T107" t="str">
        <f>VLOOKUP(OrdersRawTable9[[#This Row],[Customer_ID_Raw]],CustomersTable11[],5,FALSE)</f>
        <v>Small Business</v>
      </c>
      <c r="U107" s="45">
        <f>VLOOKUP(OrdersRawTable9[[#This Row],[Product_ID]],ProductsTable10[],4,FALSE)</f>
        <v>133.05000000000001</v>
      </c>
      <c r="V107" t="str">
        <f>VLOOKUP(OrdersRawTable9[[#This Row],[Product_ID]],ProductsTable10[],3,FALSE)</f>
        <v>Accessories</v>
      </c>
      <c r="W107" s="45">
        <f>OrdersRawTable9[[#This Row],[Unit_Price]]*OrdersRawTable9[[#This Row],[Quantity]]</f>
        <v>835.56</v>
      </c>
      <c r="X107" s="47">
        <f>OrdersRawTable9[[#This Row],[Gross_Sales]]*OrdersRawTable9[[#This Row],[Discount_Pct]]</f>
        <v>125.33399999999999</v>
      </c>
      <c r="Y107" s="45">
        <f>OrdersRawTable9[[#This Row],[Gross_Sales]]-OrdersRawTable9[[#This Row],[Discount_Amount]]</f>
        <v>710.226</v>
      </c>
      <c r="Z107" s="45">
        <f>OrdersRawTable9[[#This Row],[Unit_Cost]]*OrdersRawTable9[[#This Row],[Quantity]]</f>
        <v>532.20000000000005</v>
      </c>
      <c r="AA107" s="45">
        <f>OrdersRawTable9[[#This Row],[Net_Sales]]-OrdersRawTable9[[#This Row],[Total_Cost]]</f>
        <v>178.02599999999995</v>
      </c>
      <c r="AB107" s="48">
        <f>IF(OrdersRawTable9[[#This Row],[Net_Sales]]=0,0,OrdersRawTable9[[#This Row],[Profit]]/OrdersRawTable9[[#This Row],[Net_Sales]])</f>
        <v>0.2506610571846144</v>
      </c>
      <c r="AC107" s="45" t="str">
        <f>IF(COUNTIF(ReturnsRawTable[Order_Line_ID],OrdersRawTable9[[#This Row],[Order_Line_ID]])&gt;0,"Yes","No")</f>
        <v>No</v>
      </c>
      <c r="AD107" s="45" t="str">
        <f>IFERROR(VLOOKUP(OrdersRawTable9[[#This Row],[Order_Line_ID]],ReturnsRawTable[[#All],[Order_Line_ID]:[Return_Reason_Raw]],3,FALSE),"")</f>
        <v/>
      </c>
      <c r="AE107" s="49" t="str">
        <f>IFERROR(VLOOKUP(OrdersRawTable9[[#This Row],[Order_Line_ID]],ReturnsRawTable[[#All],[Order_Line_ID]:[Return_Date]],2,FALSE),"")</f>
        <v/>
      </c>
      <c r="AF107" s="45" t="str">
        <f>IFERROR(VLOOKUP(OrdersRawTable9[[#This Row],[Order_Line_ID]],ReturnsRawTable[[Order_Line_ID]:[Refund_Status]],4,FALSE),"")</f>
        <v/>
      </c>
      <c r="AG107" s="45" t="str">
        <f>VLOOKUP(OrdersRawTable9[[#This Row],[Order_ID]],ShipmentsTable[],6,FALSE)</f>
        <v>On time</v>
      </c>
      <c r="AH107" s="49">
        <f>VLOOKUP(OrdersRawTable9[[#This Row],[Order_ID]],ShipmentsTable[],3,FALSE)</f>
        <v>45678</v>
      </c>
    </row>
    <row r="108" spans="1:34" ht="15" customHeight="1">
      <c r="A108" s="14" t="s">
        <v>319</v>
      </c>
      <c r="B108" s="10" t="s">
        <v>320</v>
      </c>
      <c r="C108" s="20">
        <v>45870</v>
      </c>
      <c r="D108" s="10" t="s">
        <v>321</v>
      </c>
      <c r="E108" s="10" t="s">
        <v>322</v>
      </c>
      <c r="F108" s="10" t="str">
        <f>TRIM(LEFT(OrdersRawTable9[[#This Row],[Customer_Info]],FIND(",",OrdersRawTable9[[#This Row],[Customer_Info]])-1))</f>
        <v>Emma Brown</v>
      </c>
      <c r="G10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108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108" s="10">
        <f>LEN(OrdersRawTable9[[#This Row],[Customer_Info]])-LEN(SUBSTITUTE(OrdersRawTable9[[#This Row],[Customer_Info]],",",""))</f>
        <v>2</v>
      </c>
      <c r="J108" s="10" t="s">
        <v>119</v>
      </c>
      <c r="K108" s="23">
        <v>3</v>
      </c>
      <c r="L108" s="26">
        <v>103.3</v>
      </c>
      <c r="M108" s="29">
        <v>0.05</v>
      </c>
      <c r="N108" s="10" t="s">
        <v>70</v>
      </c>
      <c r="O108" s="10" t="str">
        <f>IF(TRIM(OrdersRawTable9[[#This Row],[Sales_Channel_Raw]])="Market place","Marketplace",TRIM(OrdersRawTable9[[#This Row],[Sales_Channel_Raw]]))</f>
        <v>online</v>
      </c>
      <c r="P108" s="10" t="s">
        <v>58</v>
      </c>
      <c r="Q108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108" s="15" t="s">
        <v>42</v>
      </c>
      <c r="S108" t="str">
        <f>VLOOKUP(OrdersRawTable9[[#This Row],[Customer_ID_Raw]],CustomersTable11[],4,FALSE)</f>
        <v>Ontario</v>
      </c>
      <c r="T108" t="str">
        <f>VLOOKUP(OrdersRawTable9[[#This Row],[Customer_ID_Raw]],CustomersTable11[],5,FALSE)</f>
        <v>Corporate</v>
      </c>
      <c r="U108" s="45">
        <f>VLOOKUP(OrdersRawTable9[[#This Row],[Product_ID]],ProductsTable10[],4,FALSE)</f>
        <v>70.180000000000007</v>
      </c>
      <c r="V108" t="str">
        <f>VLOOKUP(OrdersRawTable9[[#This Row],[Product_ID]],ProductsTable10[],3,FALSE)</f>
        <v>Home</v>
      </c>
      <c r="W108" s="45">
        <f>OrdersRawTable9[[#This Row],[Unit_Price]]*OrdersRawTable9[[#This Row],[Quantity]]</f>
        <v>309.89999999999998</v>
      </c>
      <c r="X108" s="47">
        <f>OrdersRawTable9[[#This Row],[Gross_Sales]]*OrdersRawTable9[[#This Row],[Discount_Pct]]</f>
        <v>15.494999999999999</v>
      </c>
      <c r="Y108" s="45">
        <f>OrdersRawTable9[[#This Row],[Gross_Sales]]-OrdersRawTable9[[#This Row],[Discount_Amount]]</f>
        <v>294.40499999999997</v>
      </c>
      <c r="Z108" s="45">
        <f>OrdersRawTable9[[#This Row],[Unit_Cost]]*OrdersRawTable9[[#This Row],[Quantity]]</f>
        <v>210.54000000000002</v>
      </c>
      <c r="AA108" s="45">
        <f>OrdersRawTable9[[#This Row],[Net_Sales]]-OrdersRawTable9[[#This Row],[Total_Cost]]</f>
        <v>83.864999999999952</v>
      </c>
      <c r="AB108" s="48">
        <f>IF(OrdersRawTable9[[#This Row],[Net_Sales]]=0,0,OrdersRawTable9[[#This Row],[Profit]]/OrdersRawTable9[[#This Row],[Net_Sales]])</f>
        <v>0.28486268915269769</v>
      </c>
      <c r="AC108" s="45" t="str">
        <f>IF(COUNTIF(ReturnsRawTable[Order_Line_ID],OrdersRawTable9[[#This Row],[Order_Line_ID]])&gt;0,"Yes","No")</f>
        <v>No</v>
      </c>
      <c r="AD108" s="45" t="str">
        <f>IFERROR(VLOOKUP(OrdersRawTable9[[#This Row],[Order_Line_ID]],ReturnsRawTable[[#All],[Order_Line_ID]:[Return_Reason_Raw]],3,FALSE),"")</f>
        <v/>
      </c>
      <c r="AE108" s="49" t="str">
        <f>IFERROR(VLOOKUP(OrdersRawTable9[[#This Row],[Order_Line_ID]],ReturnsRawTable[[#All],[Order_Line_ID]:[Return_Date]],2,FALSE),"")</f>
        <v/>
      </c>
      <c r="AF108" s="45" t="str">
        <f>IFERROR(VLOOKUP(OrdersRawTable9[[#This Row],[Order_Line_ID]],ReturnsRawTable[[Order_Line_ID]:[Refund_Status]],4,FALSE),"")</f>
        <v/>
      </c>
      <c r="AG108" s="45" t="str">
        <f>VLOOKUP(OrdersRawTable9[[#This Row],[Order_ID]],ShipmentsTable[],6,FALSE)</f>
        <v>Late</v>
      </c>
      <c r="AH108" s="49">
        <f>VLOOKUP(OrdersRawTable9[[#This Row],[Order_ID]],ShipmentsTable[],3,FALSE)</f>
        <v>45880</v>
      </c>
    </row>
    <row r="109" spans="1:34" ht="15" customHeight="1">
      <c r="A109" s="14" t="s">
        <v>323</v>
      </c>
      <c r="B109" s="10" t="s">
        <v>320</v>
      </c>
      <c r="C109" s="20">
        <v>45870</v>
      </c>
      <c r="D109" s="10" t="s">
        <v>321</v>
      </c>
      <c r="E109" s="10" t="s">
        <v>322</v>
      </c>
      <c r="F109" s="10" t="str">
        <f>TRIM(LEFT(OrdersRawTable9[[#This Row],[Customer_Info]],FIND(",",OrdersRawTable9[[#This Row],[Customer_Info]])-1))</f>
        <v>Emma Brown</v>
      </c>
      <c r="G10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109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109" s="10">
        <f>LEN(OrdersRawTable9[[#This Row],[Customer_Info]])-LEN(SUBSTITUTE(OrdersRawTable9[[#This Row],[Customer_Info]],",",""))</f>
        <v>2</v>
      </c>
      <c r="J109" s="10" t="s">
        <v>110</v>
      </c>
      <c r="K109" s="23">
        <v>1</v>
      </c>
      <c r="L109" s="26">
        <v>133.24</v>
      </c>
      <c r="M109" s="29">
        <v>0</v>
      </c>
      <c r="N109" s="10" t="s">
        <v>70</v>
      </c>
      <c r="O109" s="10" t="str">
        <f>IF(TRIM(OrdersRawTable9[[#This Row],[Sales_Channel_Raw]])="Market place","Marketplace",TRIM(OrdersRawTable9[[#This Row],[Sales_Channel_Raw]]))</f>
        <v>online</v>
      </c>
      <c r="P109" s="10" t="s">
        <v>58</v>
      </c>
      <c r="Q109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109" s="15" t="s">
        <v>67</v>
      </c>
      <c r="S109" t="str">
        <f>VLOOKUP(OrdersRawTable9[[#This Row],[Customer_ID_Raw]],CustomersTable11[],4,FALSE)</f>
        <v>Ontario</v>
      </c>
      <c r="T109" t="str">
        <f>VLOOKUP(OrdersRawTable9[[#This Row],[Customer_ID_Raw]],CustomersTable11[],5,FALSE)</f>
        <v>Corporate</v>
      </c>
      <c r="U109" s="45">
        <f>VLOOKUP(OrdersRawTable9[[#This Row],[Product_ID]],ProductsTable10[],4,FALSE)</f>
        <v>77.540000000000006</v>
      </c>
      <c r="V109" t="str">
        <f>VLOOKUP(OrdersRawTable9[[#This Row],[Product_ID]],ProductsTable10[],3,FALSE)</f>
        <v>Electronics</v>
      </c>
      <c r="W109" s="45">
        <f>OrdersRawTable9[[#This Row],[Unit_Price]]*OrdersRawTable9[[#This Row],[Quantity]]</f>
        <v>133.24</v>
      </c>
      <c r="X109" s="47">
        <f>OrdersRawTable9[[#This Row],[Gross_Sales]]*OrdersRawTable9[[#This Row],[Discount_Pct]]</f>
        <v>0</v>
      </c>
      <c r="Y109" s="45">
        <f>OrdersRawTable9[[#This Row],[Gross_Sales]]-OrdersRawTable9[[#This Row],[Discount_Amount]]</f>
        <v>133.24</v>
      </c>
      <c r="Z109" s="45">
        <f>OrdersRawTable9[[#This Row],[Unit_Cost]]*OrdersRawTable9[[#This Row],[Quantity]]</f>
        <v>77.540000000000006</v>
      </c>
      <c r="AA109" s="45">
        <f>OrdersRawTable9[[#This Row],[Net_Sales]]-OrdersRawTable9[[#This Row],[Total_Cost]]</f>
        <v>55.7</v>
      </c>
      <c r="AB109" s="48">
        <f>IF(OrdersRawTable9[[#This Row],[Net_Sales]]=0,0,OrdersRawTable9[[#This Row],[Profit]]/OrdersRawTable9[[#This Row],[Net_Sales]])</f>
        <v>0.41804262984088864</v>
      </c>
      <c r="AC109" s="45" t="str">
        <f>IF(COUNTIF(ReturnsRawTable[Order_Line_ID],OrdersRawTable9[[#This Row],[Order_Line_ID]])&gt;0,"Yes","No")</f>
        <v>No</v>
      </c>
      <c r="AD109" s="45" t="str">
        <f>IFERROR(VLOOKUP(OrdersRawTable9[[#This Row],[Order_Line_ID]],ReturnsRawTable[[#All],[Order_Line_ID]:[Return_Reason_Raw]],3,FALSE),"")</f>
        <v/>
      </c>
      <c r="AE109" s="49" t="str">
        <f>IFERROR(VLOOKUP(OrdersRawTable9[[#This Row],[Order_Line_ID]],ReturnsRawTable[[#All],[Order_Line_ID]:[Return_Date]],2,FALSE),"")</f>
        <v/>
      </c>
      <c r="AF109" s="45" t="str">
        <f>IFERROR(VLOOKUP(OrdersRawTable9[[#This Row],[Order_Line_ID]],ReturnsRawTable[[Order_Line_ID]:[Refund_Status]],4,FALSE),"")</f>
        <v/>
      </c>
      <c r="AG109" s="45" t="str">
        <f>VLOOKUP(OrdersRawTable9[[#This Row],[Order_ID]],ShipmentsTable[],6,FALSE)</f>
        <v>Late</v>
      </c>
      <c r="AH109" s="49">
        <f>VLOOKUP(OrdersRawTable9[[#This Row],[Order_ID]],ShipmentsTable[],3,FALSE)</f>
        <v>45880</v>
      </c>
    </row>
    <row r="110" spans="1:34" ht="15" customHeight="1">
      <c r="A110" s="14" t="s">
        <v>324</v>
      </c>
      <c r="B110" s="10" t="s">
        <v>325</v>
      </c>
      <c r="C110" s="20">
        <v>45957</v>
      </c>
      <c r="D110" s="10" t="s">
        <v>211</v>
      </c>
      <c r="E110" s="10" t="s">
        <v>208</v>
      </c>
      <c r="F110" s="10" t="str">
        <f>TRIM(LEFT(OrdersRawTable9[[#This Row],[Customer_Info]],FIND(",",OrdersRawTable9[[#This Row],[Customer_Info]])-1))</f>
        <v>Sofia Gagnon</v>
      </c>
      <c r="G11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110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110" s="10">
        <f>LEN(OrdersRawTable9[[#This Row],[Customer_Info]])-LEN(SUBSTITUTE(OrdersRawTable9[[#This Row],[Customer_Info]],",",""))</f>
        <v>2</v>
      </c>
      <c r="J110" s="10" t="s">
        <v>57</v>
      </c>
      <c r="K110" s="23">
        <v>2</v>
      </c>
      <c r="L110" s="26">
        <v>208.81</v>
      </c>
      <c r="M110" s="29">
        <v>0</v>
      </c>
      <c r="N110" s="10" t="s">
        <v>40</v>
      </c>
      <c r="O110" s="10" t="str">
        <f>IF(TRIM(OrdersRawTable9[[#This Row],[Sales_Channel_Raw]])="Market place","Marketplace",TRIM(OrdersRawTable9[[#This Row],[Sales_Channel_Raw]]))</f>
        <v>Online</v>
      </c>
      <c r="P110" s="10" t="s">
        <v>51</v>
      </c>
      <c r="Q110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110" s="15" t="s">
        <v>101</v>
      </c>
      <c r="S110" t="str">
        <f>VLOOKUP(OrdersRawTable9[[#This Row],[Customer_ID_Raw]],CustomersTable11[],4,FALSE)</f>
        <v>Quebec</v>
      </c>
      <c r="T110" t="str">
        <f>VLOOKUP(OrdersRawTable9[[#This Row],[Customer_ID_Raw]],CustomersTable11[],5,FALSE)</f>
        <v>Corporate</v>
      </c>
      <c r="U110" s="45">
        <f>VLOOKUP(OrdersRawTable9[[#This Row],[Product_ID]],ProductsTable10[],4,FALSE)</f>
        <v>139.04</v>
      </c>
      <c r="V110" t="str">
        <f>VLOOKUP(OrdersRawTable9[[#This Row],[Product_ID]],ProductsTable10[],3,FALSE)</f>
        <v>Fitness</v>
      </c>
      <c r="W110" s="45">
        <f>OrdersRawTable9[[#This Row],[Unit_Price]]*OrdersRawTable9[[#This Row],[Quantity]]</f>
        <v>417.62</v>
      </c>
      <c r="X110" s="47">
        <f>OrdersRawTable9[[#This Row],[Gross_Sales]]*OrdersRawTable9[[#This Row],[Discount_Pct]]</f>
        <v>0</v>
      </c>
      <c r="Y110" s="45">
        <f>OrdersRawTable9[[#This Row],[Gross_Sales]]-OrdersRawTable9[[#This Row],[Discount_Amount]]</f>
        <v>417.62</v>
      </c>
      <c r="Z110" s="45">
        <f>OrdersRawTable9[[#This Row],[Unit_Cost]]*OrdersRawTable9[[#This Row],[Quantity]]</f>
        <v>278.08</v>
      </c>
      <c r="AA110" s="45">
        <f>OrdersRawTable9[[#This Row],[Net_Sales]]-OrdersRawTable9[[#This Row],[Total_Cost]]</f>
        <v>139.54000000000002</v>
      </c>
      <c r="AB110" s="48">
        <f>IF(OrdersRawTable9[[#This Row],[Net_Sales]]=0,0,OrdersRawTable9[[#This Row],[Profit]]/OrdersRawTable9[[#This Row],[Net_Sales]])</f>
        <v>0.3341315071117284</v>
      </c>
      <c r="AC110" s="45" t="str">
        <f>IF(COUNTIF(ReturnsRawTable[Order_Line_ID],OrdersRawTable9[[#This Row],[Order_Line_ID]])&gt;0,"Yes","No")</f>
        <v>No</v>
      </c>
      <c r="AD110" s="45" t="str">
        <f>IFERROR(VLOOKUP(OrdersRawTable9[[#This Row],[Order_Line_ID]],ReturnsRawTable[[#All],[Order_Line_ID]:[Return_Reason_Raw]],3,FALSE),"")</f>
        <v/>
      </c>
      <c r="AE110" s="49" t="str">
        <f>IFERROR(VLOOKUP(OrdersRawTable9[[#This Row],[Order_Line_ID]],ReturnsRawTable[[#All],[Order_Line_ID]:[Return_Date]],2,FALSE),"")</f>
        <v/>
      </c>
      <c r="AF110" s="45" t="str">
        <f>IFERROR(VLOOKUP(OrdersRawTable9[[#This Row],[Order_Line_ID]],ReturnsRawTable[[Order_Line_ID]:[Refund_Status]],4,FALSE),"")</f>
        <v/>
      </c>
      <c r="AG110" s="45" t="str">
        <f>VLOOKUP(OrdersRawTable9[[#This Row],[Order_ID]],ShipmentsTable[],6,FALSE)</f>
        <v>Late</v>
      </c>
      <c r="AH110" s="49">
        <f>VLOOKUP(OrdersRawTable9[[#This Row],[Order_ID]],ShipmentsTable[],3,FALSE)</f>
        <v>45962</v>
      </c>
    </row>
    <row r="111" spans="1:34" ht="15" customHeight="1">
      <c r="A111" s="14" t="s">
        <v>326</v>
      </c>
      <c r="B111" s="10" t="s">
        <v>327</v>
      </c>
      <c r="C111" s="20">
        <v>45712.041666666664</v>
      </c>
      <c r="D111" s="10" t="s">
        <v>328</v>
      </c>
      <c r="E111" s="10" t="s">
        <v>329</v>
      </c>
      <c r="F111" s="10" t="str">
        <f>TRIM(LEFT(OrdersRawTable9[[#This Row],[Customer_Info]],FIND(",",OrdersRawTable9[[#This Row],[Customer_Info]])-1))</f>
        <v>Noah Gagnon</v>
      </c>
      <c r="G11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Regina</v>
      </c>
      <c r="H111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111" s="10">
        <f>LEN(OrdersRawTable9[[#This Row],[Customer_Info]])-LEN(SUBSTITUTE(OrdersRawTable9[[#This Row],[Customer_Info]],",",""))</f>
        <v>2</v>
      </c>
      <c r="J111" s="10" t="s">
        <v>150</v>
      </c>
      <c r="K111" s="23">
        <v>1</v>
      </c>
      <c r="L111" s="26">
        <v>263.04000000000002</v>
      </c>
      <c r="M111" s="29">
        <v>0.05</v>
      </c>
      <c r="N111" s="10" t="s">
        <v>64</v>
      </c>
      <c r="O111" s="10" t="str">
        <f>IF(TRIM(OrdersRawTable9[[#This Row],[Sales_Channel_Raw]])="Market place","Marketplace",TRIM(OrdersRawTable9[[#This Row],[Sales_Channel_Raw]]))</f>
        <v>Retail Store</v>
      </c>
      <c r="P111" s="10"/>
      <c r="Q111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111" s="15" t="s">
        <v>101</v>
      </c>
      <c r="S111" t="str">
        <f>VLOOKUP(OrdersRawTable9[[#This Row],[Customer_ID_Raw]],CustomersTable11[],4,FALSE)</f>
        <v>Saskatchewan</v>
      </c>
      <c r="T111" t="str">
        <f>VLOOKUP(OrdersRawTable9[[#This Row],[Customer_ID_Raw]],CustomersTable11[],5,FALSE)</f>
        <v>Corporate</v>
      </c>
      <c r="U111" s="45">
        <f>VLOOKUP(OrdersRawTable9[[#This Row],[Product_ID]],ProductsTable10[],4,FALSE)</f>
        <v>161.84</v>
      </c>
      <c r="V111" t="str">
        <f>VLOOKUP(OrdersRawTable9[[#This Row],[Product_ID]],ProductsTable10[],3,FALSE)</f>
        <v>Office</v>
      </c>
      <c r="W111" s="45">
        <f>OrdersRawTable9[[#This Row],[Unit_Price]]*OrdersRawTable9[[#This Row],[Quantity]]</f>
        <v>263.04000000000002</v>
      </c>
      <c r="X111" s="47">
        <f>OrdersRawTable9[[#This Row],[Gross_Sales]]*OrdersRawTable9[[#This Row],[Discount_Pct]]</f>
        <v>13.152000000000001</v>
      </c>
      <c r="Y111" s="45">
        <f>OrdersRawTable9[[#This Row],[Gross_Sales]]-OrdersRawTable9[[#This Row],[Discount_Amount]]</f>
        <v>249.88800000000003</v>
      </c>
      <c r="Z111" s="45">
        <f>OrdersRawTable9[[#This Row],[Unit_Cost]]*OrdersRawTable9[[#This Row],[Quantity]]</f>
        <v>161.84</v>
      </c>
      <c r="AA111" s="45">
        <f>OrdersRawTable9[[#This Row],[Net_Sales]]-OrdersRawTable9[[#This Row],[Total_Cost]]</f>
        <v>88.04800000000003</v>
      </c>
      <c r="AB111" s="48">
        <f>IF(OrdersRawTable9[[#This Row],[Net_Sales]]=0,0,OrdersRawTable9[[#This Row],[Profit]]/OrdersRawTable9[[#This Row],[Net_Sales]])</f>
        <v>0.35234985273402492</v>
      </c>
      <c r="AC111" s="45" t="str">
        <f>IF(COUNTIF(ReturnsRawTable[Order_Line_ID],OrdersRawTable9[[#This Row],[Order_Line_ID]])&gt;0,"Yes","No")</f>
        <v>No</v>
      </c>
      <c r="AD111" s="45" t="str">
        <f>IFERROR(VLOOKUP(OrdersRawTable9[[#This Row],[Order_Line_ID]],ReturnsRawTable[[#All],[Order_Line_ID]:[Return_Reason_Raw]],3,FALSE),"")</f>
        <v/>
      </c>
      <c r="AE111" s="49" t="str">
        <f>IFERROR(VLOOKUP(OrdersRawTable9[[#This Row],[Order_Line_ID]],ReturnsRawTable[[#All],[Order_Line_ID]:[Return_Date]],2,FALSE),"")</f>
        <v/>
      </c>
      <c r="AF111" s="45" t="str">
        <f>IFERROR(VLOOKUP(OrdersRawTable9[[#This Row],[Order_Line_ID]],ReturnsRawTable[[Order_Line_ID]:[Refund_Status]],4,FALSE),"")</f>
        <v/>
      </c>
      <c r="AG111" s="45" t="str">
        <f>VLOOKUP(OrdersRawTable9[[#This Row],[Order_ID]],ShipmentsTable[],6,FALSE)</f>
        <v>Late</v>
      </c>
      <c r="AH111" s="49">
        <f>VLOOKUP(OrdersRawTable9[[#This Row],[Order_ID]],ShipmentsTable[],3,FALSE)</f>
        <v>45720.041666666664</v>
      </c>
    </row>
    <row r="112" spans="1:34" ht="15" customHeight="1">
      <c r="A112" s="14" t="s">
        <v>330</v>
      </c>
      <c r="B112" s="10" t="s">
        <v>327</v>
      </c>
      <c r="C112" s="20">
        <v>45712.041666666664</v>
      </c>
      <c r="D112" s="10" t="s">
        <v>328</v>
      </c>
      <c r="E112" s="10" t="s">
        <v>329</v>
      </c>
      <c r="F112" s="10" t="str">
        <f>TRIM(LEFT(OrdersRawTable9[[#This Row],[Customer_Info]],FIND(",",OrdersRawTable9[[#This Row],[Customer_Info]])-1))</f>
        <v>Noah Gagnon</v>
      </c>
      <c r="G11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Regina</v>
      </c>
      <c r="H112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112" s="10">
        <f>LEN(OrdersRawTable9[[#This Row],[Customer_Info]])-LEN(SUBSTITUTE(OrdersRawTable9[[#This Row],[Customer_Info]],",",""))</f>
        <v>2</v>
      </c>
      <c r="J112" s="10" t="s">
        <v>119</v>
      </c>
      <c r="K112" s="23">
        <v>2</v>
      </c>
      <c r="L112" s="26">
        <v>103.3</v>
      </c>
      <c r="M112" s="29">
        <v>0.1</v>
      </c>
      <c r="N112" s="10" t="s">
        <v>70</v>
      </c>
      <c r="O112" s="10" t="str">
        <f>IF(TRIM(OrdersRawTable9[[#This Row],[Sales_Channel_Raw]])="Market place","Marketplace",TRIM(OrdersRawTable9[[#This Row],[Sales_Channel_Raw]]))</f>
        <v>online</v>
      </c>
      <c r="P112" s="10" t="s">
        <v>41</v>
      </c>
      <c r="Q112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112" s="15" t="s">
        <v>42</v>
      </c>
      <c r="S112" t="str">
        <f>VLOOKUP(OrdersRawTable9[[#This Row],[Customer_ID_Raw]],CustomersTable11[],4,FALSE)</f>
        <v>Saskatchewan</v>
      </c>
      <c r="T112" t="str">
        <f>VLOOKUP(OrdersRawTable9[[#This Row],[Customer_ID_Raw]],CustomersTable11[],5,FALSE)</f>
        <v>Corporate</v>
      </c>
      <c r="U112" s="45">
        <f>VLOOKUP(OrdersRawTable9[[#This Row],[Product_ID]],ProductsTable10[],4,FALSE)</f>
        <v>70.180000000000007</v>
      </c>
      <c r="V112" t="str">
        <f>VLOOKUP(OrdersRawTable9[[#This Row],[Product_ID]],ProductsTable10[],3,FALSE)</f>
        <v>Home</v>
      </c>
      <c r="W112" s="45">
        <f>OrdersRawTable9[[#This Row],[Unit_Price]]*OrdersRawTable9[[#This Row],[Quantity]]</f>
        <v>206.6</v>
      </c>
      <c r="X112" s="47">
        <f>OrdersRawTable9[[#This Row],[Gross_Sales]]*OrdersRawTable9[[#This Row],[Discount_Pct]]</f>
        <v>20.66</v>
      </c>
      <c r="Y112" s="45">
        <f>OrdersRawTable9[[#This Row],[Gross_Sales]]-OrdersRawTable9[[#This Row],[Discount_Amount]]</f>
        <v>185.94</v>
      </c>
      <c r="Z112" s="45">
        <f>OrdersRawTable9[[#This Row],[Unit_Cost]]*OrdersRawTable9[[#This Row],[Quantity]]</f>
        <v>140.36000000000001</v>
      </c>
      <c r="AA112" s="45">
        <f>OrdersRawTable9[[#This Row],[Net_Sales]]-OrdersRawTable9[[#This Row],[Total_Cost]]</f>
        <v>45.579999999999984</v>
      </c>
      <c r="AB112" s="48">
        <f>IF(OrdersRawTable9[[#This Row],[Net_Sales]]=0,0,OrdersRawTable9[[#This Row],[Profit]]/OrdersRawTable9[[#This Row],[Net_Sales]])</f>
        <v>0.24513283855006984</v>
      </c>
      <c r="AC112" s="45" t="str">
        <f>IF(COUNTIF(ReturnsRawTable[Order_Line_ID],OrdersRawTable9[[#This Row],[Order_Line_ID]])&gt;0,"Yes","No")</f>
        <v>No</v>
      </c>
      <c r="AD112" s="45" t="str">
        <f>IFERROR(VLOOKUP(OrdersRawTable9[[#This Row],[Order_Line_ID]],ReturnsRawTable[[#All],[Order_Line_ID]:[Return_Reason_Raw]],3,FALSE),"")</f>
        <v/>
      </c>
      <c r="AE112" s="49" t="str">
        <f>IFERROR(VLOOKUP(OrdersRawTable9[[#This Row],[Order_Line_ID]],ReturnsRawTable[[#All],[Order_Line_ID]:[Return_Date]],2,FALSE),"")</f>
        <v/>
      </c>
      <c r="AF112" s="45" t="str">
        <f>IFERROR(VLOOKUP(OrdersRawTable9[[#This Row],[Order_Line_ID]],ReturnsRawTable[[Order_Line_ID]:[Refund_Status]],4,FALSE),"")</f>
        <v/>
      </c>
      <c r="AG112" s="45" t="str">
        <f>VLOOKUP(OrdersRawTable9[[#This Row],[Order_ID]],ShipmentsTable[],6,FALSE)</f>
        <v>Late</v>
      </c>
      <c r="AH112" s="49">
        <f>VLOOKUP(OrdersRawTable9[[#This Row],[Order_ID]],ShipmentsTable[],3,FALSE)</f>
        <v>45720.041666666664</v>
      </c>
    </row>
    <row r="113" spans="1:34" ht="15" customHeight="1">
      <c r="A113" s="14" t="s">
        <v>331</v>
      </c>
      <c r="B113" s="10" t="s">
        <v>327</v>
      </c>
      <c r="C113" s="20">
        <v>45712.041666666664</v>
      </c>
      <c r="D113" s="10" t="s">
        <v>328</v>
      </c>
      <c r="E113" s="10" t="s">
        <v>329</v>
      </c>
      <c r="F113" s="10" t="str">
        <f>TRIM(LEFT(OrdersRawTable9[[#This Row],[Customer_Info]],FIND(",",OrdersRawTable9[[#This Row],[Customer_Info]])-1))</f>
        <v>Noah Gagnon</v>
      </c>
      <c r="G11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Regina</v>
      </c>
      <c r="H113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113" s="10">
        <f>LEN(OrdersRawTable9[[#This Row],[Customer_Info]])-LEN(SUBSTITUTE(OrdersRawTable9[[#This Row],[Customer_Info]],",",""))</f>
        <v>2</v>
      </c>
      <c r="J113" s="10" t="s">
        <v>332</v>
      </c>
      <c r="K113" s="23">
        <v>1</v>
      </c>
      <c r="L113" s="26">
        <v>273.89</v>
      </c>
      <c r="M113" s="29">
        <v>0</v>
      </c>
      <c r="N113" s="10" t="s">
        <v>50</v>
      </c>
      <c r="O113" s="10" t="str">
        <f>IF(TRIM(OrdersRawTable9[[#This Row],[Sales_Channel_Raw]])="Market place","Marketplace",TRIM(OrdersRawTable9[[#This Row],[Sales_Channel_Raw]]))</f>
        <v>Marketplace</v>
      </c>
      <c r="P113" s="10"/>
      <c r="Q113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113" s="15" t="s">
        <v>101</v>
      </c>
      <c r="S113" t="str">
        <f>VLOOKUP(OrdersRawTable9[[#This Row],[Customer_ID_Raw]],CustomersTable11[],4,FALSE)</f>
        <v>Saskatchewan</v>
      </c>
      <c r="T113" t="str">
        <f>VLOOKUP(OrdersRawTable9[[#This Row],[Customer_ID_Raw]],CustomersTable11[],5,FALSE)</f>
        <v>Corporate</v>
      </c>
      <c r="U113" s="45">
        <f>VLOOKUP(OrdersRawTable9[[#This Row],[Product_ID]],ProductsTable10[],4,FALSE)</f>
        <v>140.66999999999999</v>
      </c>
      <c r="V113" t="str">
        <f>VLOOKUP(OrdersRawTable9[[#This Row],[Product_ID]],ProductsTable10[],3,FALSE)</f>
        <v>Home</v>
      </c>
      <c r="W113" s="45">
        <f>OrdersRawTable9[[#This Row],[Unit_Price]]*OrdersRawTable9[[#This Row],[Quantity]]</f>
        <v>273.89</v>
      </c>
      <c r="X113" s="47">
        <f>OrdersRawTable9[[#This Row],[Gross_Sales]]*OrdersRawTable9[[#This Row],[Discount_Pct]]</f>
        <v>0</v>
      </c>
      <c r="Y113" s="45">
        <f>OrdersRawTable9[[#This Row],[Gross_Sales]]-OrdersRawTable9[[#This Row],[Discount_Amount]]</f>
        <v>273.89</v>
      </c>
      <c r="Z113" s="45">
        <f>OrdersRawTable9[[#This Row],[Unit_Cost]]*OrdersRawTable9[[#This Row],[Quantity]]</f>
        <v>140.66999999999999</v>
      </c>
      <c r="AA113" s="45">
        <f>OrdersRawTable9[[#This Row],[Net_Sales]]-OrdersRawTable9[[#This Row],[Total_Cost]]</f>
        <v>133.22</v>
      </c>
      <c r="AB113" s="48">
        <f>IF(OrdersRawTable9[[#This Row],[Net_Sales]]=0,0,OrdersRawTable9[[#This Row],[Profit]]/OrdersRawTable9[[#This Row],[Net_Sales]])</f>
        <v>0.48639964949432257</v>
      </c>
      <c r="AC113" s="45" t="str">
        <f>IF(COUNTIF(ReturnsRawTable[Order_Line_ID],OrdersRawTable9[[#This Row],[Order_Line_ID]])&gt;0,"Yes","No")</f>
        <v>No</v>
      </c>
      <c r="AD113" s="45" t="str">
        <f>IFERROR(VLOOKUP(OrdersRawTable9[[#This Row],[Order_Line_ID]],ReturnsRawTable[[#All],[Order_Line_ID]:[Return_Reason_Raw]],3,FALSE),"")</f>
        <v/>
      </c>
      <c r="AE113" s="49" t="str">
        <f>IFERROR(VLOOKUP(OrdersRawTable9[[#This Row],[Order_Line_ID]],ReturnsRawTable[[#All],[Order_Line_ID]:[Return_Date]],2,FALSE),"")</f>
        <v/>
      </c>
      <c r="AF113" s="45" t="str">
        <f>IFERROR(VLOOKUP(OrdersRawTable9[[#This Row],[Order_Line_ID]],ReturnsRawTable[[Order_Line_ID]:[Refund_Status]],4,FALSE),"")</f>
        <v/>
      </c>
      <c r="AG113" s="45" t="str">
        <f>VLOOKUP(OrdersRawTable9[[#This Row],[Order_ID]],ShipmentsTable[],6,FALSE)</f>
        <v>Late</v>
      </c>
      <c r="AH113" s="49">
        <f>VLOOKUP(OrdersRawTable9[[#This Row],[Order_ID]],ShipmentsTable[],3,FALSE)</f>
        <v>45720.041666666664</v>
      </c>
    </row>
    <row r="114" spans="1:34" ht="15" customHeight="1">
      <c r="A114" s="14" t="s">
        <v>333</v>
      </c>
      <c r="B114" s="10" t="s">
        <v>334</v>
      </c>
      <c r="C114" s="20">
        <v>45806</v>
      </c>
      <c r="D114" s="10" t="s">
        <v>335</v>
      </c>
      <c r="E114" s="10" t="s">
        <v>336</v>
      </c>
      <c r="F114" s="10" t="str">
        <f>TRIM(LEFT(OrdersRawTable9[[#This Row],[Customer_Info]],FIND(",",OrdersRawTable9[[#This Row],[Customer_Info]])-1))</f>
        <v>Liam Singh</v>
      </c>
      <c r="G11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114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114" s="10">
        <f>LEN(OrdersRawTable9[[#This Row],[Customer_Info]])-LEN(SUBSTITUTE(OrdersRawTable9[[#This Row],[Customer_Info]],",",""))</f>
        <v>2</v>
      </c>
      <c r="J114" s="10" t="s">
        <v>332</v>
      </c>
      <c r="K114" s="23">
        <v>3</v>
      </c>
      <c r="L114" s="26">
        <v>273.89</v>
      </c>
      <c r="M114" s="29">
        <v>0.05</v>
      </c>
      <c r="N114" s="10" t="s">
        <v>40</v>
      </c>
      <c r="O114" s="10" t="str">
        <f>IF(TRIM(OrdersRawTable9[[#This Row],[Sales_Channel_Raw]])="Market place","Marketplace",TRIM(OrdersRawTable9[[#This Row],[Sales_Channel_Raw]]))</f>
        <v>Online</v>
      </c>
      <c r="P114" s="10" t="s">
        <v>46</v>
      </c>
      <c r="Q114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114" s="15" t="s">
        <v>101</v>
      </c>
      <c r="S114" t="str">
        <f>VLOOKUP(OrdersRawTable9[[#This Row],[Customer_ID_Raw]],CustomersTable11[],4,FALSE)</f>
        <v>British Columbia</v>
      </c>
      <c r="T114" t="str">
        <f>VLOOKUP(OrdersRawTable9[[#This Row],[Customer_ID_Raw]],CustomersTable11[],5,FALSE)</f>
        <v>Corporate</v>
      </c>
      <c r="U114" s="45">
        <f>VLOOKUP(OrdersRawTable9[[#This Row],[Product_ID]],ProductsTable10[],4,FALSE)</f>
        <v>140.66999999999999</v>
      </c>
      <c r="V114" t="str">
        <f>VLOOKUP(OrdersRawTable9[[#This Row],[Product_ID]],ProductsTable10[],3,FALSE)</f>
        <v>Home</v>
      </c>
      <c r="W114" s="45">
        <f>OrdersRawTable9[[#This Row],[Unit_Price]]*OrdersRawTable9[[#This Row],[Quantity]]</f>
        <v>821.67</v>
      </c>
      <c r="X114" s="47">
        <f>OrdersRawTable9[[#This Row],[Gross_Sales]]*OrdersRawTable9[[#This Row],[Discount_Pct]]</f>
        <v>41.083500000000001</v>
      </c>
      <c r="Y114" s="45">
        <f>OrdersRawTable9[[#This Row],[Gross_Sales]]-OrdersRawTable9[[#This Row],[Discount_Amount]]</f>
        <v>780.5865</v>
      </c>
      <c r="Z114" s="45">
        <f>OrdersRawTable9[[#This Row],[Unit_Cost]]*OrdersRawTable9[[#This Row],[Quantity]]</f>
        <v>422.01</v>
      </c>
      <c r="AA114" s="45">
        <f>OrdersRawTable9[[#This Row],[Net_Sales]]-OrdersRawTable9[[#This Row],[Total_Cost]]</f>
        <v>358.57650000000001</v>
      </c>
      <c r="AB114" s="48">
        <f>IF(OrdersRawTable9[[#This Row],[Net_Sales]]=0,0,OrdersRawTable9[[#This Row],[Profit]]/OrdersRawTable9[[#This Row],[Net_Sales]])</f>
        <v>0.45936805209928688</v>
      </c>
      <c r="AC114" s="45" t="str">
        <f>IF(COUNTIF(ReturnsRawTable[Order_Line_ID],OrdersRawTable9[[#This Row],[Order_Line_ID]])&gt;0,"Yes","No")</f>
        <v>No</v>
      </c>
      <c r="AD114" s="45" t="str">
        <f>IFERROR(VLOOKUP(OrdersRawTable9[[#This Row],[Order_Line_ID]],ReturnsRawTable[[#All],[Order_Line_ID]:[Return_Reason_Raw]],3,FALSE),"")</f>
        <v/>
      </c>
      <c r="AE114" s="49" t="str">
        <f>IFERROR(VLOOKUP(OrdersRawTable9[[#This Row],[Order_Line_ID]],ReturnsRawTable[[#All],[Order_Line_ID]:[Return_Date]],2,FALSE),"")</f>
        <v/>
      </c>
      <c r="AF114" s="45" t="str">
        <f>IFERROR(VLOOKUP(OrdersRawTable9[[#This Row],[Order_Line_ID]],ReturnsRawTable[[Order_Line_ID]:[Refund_Status]],4,FALSE),"")</f>
        <v/>
      </c>
      <c r="AG114" s="45" t="str">
        <f>VLOOKUP(OrdersRawTable9[[#This Row],[Order_ID]],ShipmentsTable[],6,FALSE)</f>
        <v>Late</v>
      </c>
      <c r="AH114" s="49">
        <f>VLOOKUP(OrdersRawTable9[[#This Row],[Order_ID]],ShipmentsTable[],3,FALSE)</f>
        <v>45815</v>
      </c>
    </row>
    <row r="115" spans="1:34" ht="15" customHeight="1">
      <c r="A115" s="14" t="s">
        <v>337</v>
      </c>
      <c r="B115" s="10" t="s">
        <v>334</v>
      </c>
      <c r="C115" s="20">
        <v>45806</v>
      </c>
      <c r="D115" s="10" t="s">
        <v>335</v>
      </c>
      <c r="E115" s="10" t="s">
        <v>336</v>
      </c>
      <c r="F115" s="10" t="str">
        <f>TRIM(LEFT(OrdersRawTable9[[#This Row],[Customer_Info]],FIND(",",OrdersRawTable9[[#This Row],[Customer_Info]])-1))</f>
        <v>Liam Singh</v>
      </c>
      <c r="G11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115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115" s="10">
        <f>LEN(OrdersRawTable9[[#This Row],[Customer_Info]])-LEN(SUBSTITUTE(OrdersRawTable9[[#This Row],[Customer_Info]],",",""))</f>
        <v>2</v>
      </c>
      <c r="J115" s="10" t="s">
        <v>80</v>
      </c>
      <c r="K115" s="23">
        <v>1</v>
      </c>
      <c r="L115" s="26">
        <v>142.16</v>
      </c>
      <c r="M115" s="29">
        <v>0.1</v>
      </c>
      <c r="N115" s="10" t="s">
        <v>45</v>
      </c>
      <c r="O115" s="10" t="str">
        <f>IF(TRIM(OrdersRawTable9[[#This Row],[Sales_Channel_Raw]])="Market place","Marketplace",TRIM(OrdersRawTable9[[#This Row],[Sales_Channel_Raw]]))</f>
        <v>Retail Store</v>
      </c>
      <c r="P115" s="10" t="s">
        <v>98</v>
      </c>
      <c r="Q115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115" s="15" t="s">
        <v>47</v>
      </c>
      <c r="S115" t="str">
        <f>VLOOKUP(OrdersRawTable9[[#This Row],[Customer_ID_Raw]],CustomersTable11[],4,FALSE)</f>
        <v>British Columbia</v>
      </c>
      <c r="T115" t="str">
        <f>VLOOKUP(OrdersRawTable9[[#This Row],[Customer_ID_Raw]],CustomersTable11[],5,FALSE)</f>
        <v>Corporate</v>
      </c>
      <c r="U115" s="45">
        <f>VLOOKUP(OrdersRawTable9[[#This Row],[Product_ID]],ProductsTable10[],4,FALSE)</f>
        <v>85.34</v>
      </c>
      <c r="V115" t="str">
        <f>VLOOKUP(OrdersRawTable9[[#This Row],[Product_ID]],ProductsTable10[],3,FALSE)</f>
        <v>Home</v>
      </c>
      <c r="W115" s="45">
        <f>OrdersRawTable9[[#This Row],[Unit_Price]]*OrdersRawTable9[[#This Row],[Quantity]]</f>
        <v>142.16</v>
      </c>
      <c r="X115" s="47">
        <f>OrdersRawTable9[[#This Row],[Gross_Sales]]*OrdersRawTable9[[#This Row],[Discount_Pct]]</f>
        <v>14.216000000000001</v>
      </c>
      <c r="Y115" s="45">
        <f>OrdersRawTable9[[#This Row],[Gross_Sales]]-OrdersRawTable9[[#This Row],[Discount_Amount]]</f>
        <v>127.94399999999999</v>
      </c>
      <c r="Z115" s="45">
        <f>OrdersRawTable9[[#This Row],[Unit_Cost]]*OrdersRawTable9[[#This Row],[Quantity]]</f>
        <v>85.34</v>
      </c>
      <c r="AA115" s="45">
        <f>OrdersRawTable9[[#This Row],[Net_Sales]]-OrdersRawTable9[[#This Row],[Total_Cost]]</f>
        <v>42.603999999999985</v>
      </c>
      <c r="AB115" s="48">
        <f>IF(OrdersRawTable9[[#This Row],[Net_Sales]]=0,0,OrdersRawTable9[[#This Row],[Profit]]/OrdersRawTable9[[#This Row],[Net_Sales]])</f>
        <v>0.33298943287688354</v>
      </c>
      <c r="AC115" s="45" t="str">
        <f>IF(COUNTIF(ReturnsRawTable[Order_Line_ID],OrdersRawTable9[[#This Row],[Order_Line_ID]])&gt;0,"Yes","No")</f>
        <v>No</v>
      </c>
      <c r="AD115" s="45" t="str">
        <f>IFERROR(VLOOKUP(OrdersRawTable9[[#This Row],[Order_Line_ID]],ReturnsRawTable[[#All],[Order_Line_ID]:[Return_Reason_Raw]],3,FALSE),"")</f>
        <v/>
      </c>
      <c r="AE115" s="49" t="str">
        <f>IFERROR(VLOOKUP(OrdersRawTable9[[#This Row],[Order_Line_ID]],ReturnsRawTable[[#All],[Order_Line_ID]:[Return_Date]],2,FALSE),"")</f>
        <v/>
      </c>
      <c r="AF115" s="45" t="str">
        <f>IFERROR(VLOOKUP(OrdersRawTable9[[#This Row],[Order_Line_ID]],ReturnsRawTable[[Order_Line_ID]:[Refund_Status]],4,FALSE),"")</f>
        <v/>
      </c>
      <c r="AG115" s="45" t="str">
        <f>VLOOKUP(OrdersRawTable9[[#This Row],[Order_ID]],ShipmentsTable[],6,FALSE)</f>
        <v>Late</v>
      </c>
      <c r="AH115" s="49">
        <f>VLOOKUP(OrdersRawTable9[[#This Row],[Order_ID]],ShipmentsTable[],3,FALSE)</f>
        <v>45815</v>
      </c>
    </row>
    <row r="116" spans="1:34" ht="15" customHeight="1">
      <c r="A116" s="14" t="s">
        <v>338</v>
      </c>
      <c r="B116" s="10" t="s">
        <v>339</v>
      </c>
      <c r="C116" s="20">
        <v>45715.041666666664</v>
      </c>
      <c r="D116" s="10" t="s">
        <v>340</v>
      </c>
      <c r="E116" s="10" t="s">
        <v>341</v>
      </c>
      <c r="F116" s="10" t="str">
        <f>TRIM(LEFT(OrdersRawTable9[[#This Row],[Customer_Info]],FIND(",",OrdersRawTable9[[#This Row],[Customer_Info]])-1))</f>
        <v>Emma Ali</v>
      </c>
      <c r="G11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116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116" s="10">
        <f>LEN(OrdersRawTable9[[#This Row],[Customer_Info]])-LEN(SUBSTITUTE(OrdersRawTable9[[#This Row],[Customer_Info]],",",""))</f>
        <v>2</v>
      </c>
      <c r="J116" s="10" t="s">
        <v>147</v>
      </c>
      <c r="K116" s="23">
        <v>2</v>
      </c>
      <c r="L116" s="26">
        <v>102.78</v>
      </c>
      <c r="M116" s="29">
        <v>0.1</v>
      </c>
      <c r="N116" s="10" t="s">
        <v>45</v>
      </c>
      <c r="O116" s="10" t="str">
        <f>IF(TRIM(OrdersRawTable9[[#This Row],[Sales_Channel_Raw]])="Market place","Marketplace",TRIM(OrdersRawTable9[[#This Row],[Sales_Channel_Raw]]))</f>
        <v>Retail Store</v>
      </c>
      <c r="P116" s="10" t="s">
        <v>98</v>
      </c>
      <c r="Q116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116" s="15" t="s">
        <v>101</v>
      </c>
      <c r="S116" t="str">
        <f>VLOOKUP(OrdersRawTable9[[#This Row],[Customer_ID_Raw]],CustomersTable11[],4,FALSE)</f>
        <v>Alberta</v>
      </c>
      <c r="T116" t="str">
        <f>VLOOKUP(OrdersRawTable9[[#This Row],[Customer_ID_Raw]],CustomersTable11[],5,FALSE)</f>
        <v>Small Business</v>
      </c>
      <c r="U116" s="45">
        <f>VLOOKUP(OrdersRawTable9[[#This Row],[Product_ID]],ProductsTable10[],4,FALSE)</f>
        <v>62.65</v>
      </c>
      <c r="V116" t="str">
        <f>VLOOKUP(OrdersRawTable9[[#This Row],[Product_ID]],ProductsTable10[],3,FALSE)</f>
        <v>Accessories</v>
      </c>
      <c r="W116" s="45">
        <f>OrdersRawTable9[[#This Row],[Unit_Price]]*OrdersRawTable9[[#This Row],[Quantity]]</f>
        <v>205.56</v>
      </c>
      <c r="X116" s="47">
        <f>OrdersRawTable9[[#This Row],[Gross_Sales]]*OrdersRawTable9[[#This Row],[Discount_Pct]]</f>
        <v>20.556000000000001</v>
      </c>
      <c r="Y116" s="45">
        <f>OrdersRawTable9[[#This Row],[Gross_Sales]]-OrdersRawTable9[[#This Row],[Discount_Amount]]</f>
        <v>185.00399999999999</v>
      </c>
      <c r="Z116" s="45">
        <f>OrdersRawTable9[[#This Row],[Unit_Cost]]*OrdersRawTable9[[#This Row],[Quantity]]</f>
        <v>125.3</v>
      </c>
      <c r="AA116" s="45">
        <f>OrdersRawTable9[[#This Row],[Net_Sales]]-OrdersRawTable9[[#This Row],[Total_Cost]]</f>
        <v>59.703999999999994</v>
      </c>
      <c r="AB116" s="48">
        <f>IF(OrdersRawTable9[[#This Row],[Net_Sales]]=0,0,OrdersRawTable9[[#This Row],[Profit]]/OrdersRawTable9[[#This Row],[Net_Sales]])</f>
        <v>0.32271734665196428</v>
      </c>
      <c r="AC116" s="45" t="str">
        <f>IF(COUNTIF(ReturnsRawTable[Order_Line_ID],OrdersRawTable9[[#This Row],[Order_Line_ID]])&gt;0,"Yes","No")</f>
        <v>No</v>
      </c>
      <c r="AD116" s="45" t="str">
        <f>IFERROR(VLOOKUP(OrdersRawTable9[[#This Row],[Order_Line_ID]],ReturnsRawTable[[#All],[Order_Line_ID]:[Return_Reason_Raw]],3,FALSE),"")</f>
        <v/>
      </c>
      <c r="AE116" s="49" t="str">
        <f>IFERROR(VLOOKUP(OrdersRawTable9[[#This Row],[Order_Line_ID]],ReturnsRawTable[[#All],[Order_Line_ID]:[Return_Date]],2,FALSE),"")</f>
        <v/>
      </c>
      <c r="AF116" s="45" t="str">
        <f>IFERROR(VLOOKUP(OrdersRawTable9[[#This Row],[Order_Line_ID]],ReturnsRawTable[[Order_Line_ID]:[Refund_Status]],4,FALSE),"")</f>
        <v/>
      </c>
      <c r="AG116" s="45" t="str">
        <f>VLOOKUP(OrdersRawTable9[[#This Row],[Order_ID]],ShipmentsTable[],6,FALSE)</f>
        <v>On time</v>
      </c>
      <c r="AH116" s="49">
        <f>VLOOKUP(OrdersRawTable9[[#This Row],[Order_ID]],ShipmentsTable[],3,FALSE)</f>
        <v>45716.041666666664</v>
      </c>
    </row>
    <row r="117" spans="1:34" ht="15" customHeight="1">
      <c r="A117" s="14" t="s">
        <v>342</v>
      </c>
      <c r="B117" s="10" t="s">
        <v>339</v>
      </c>
      <c r="C117" s="20">
        <v>45715.041666666664</v>
      </c>
      <c r="D117" s="10" t="s">
        <v>340</v>
      </c>
      <c r="E117" s="10" t="s">
        <v>341</v>
      </c>
      <c r="F117" s="10" t="str">
        <f>TRIM(LEFT(OrdersRawTable9[[#This Row],[Customer_Info]],FIND(",",OrdersRawTable9[[#This Row],[Customer_Info]])-1))</f>
        <v>Emma Ali</v>
      </c>
      <c r="G11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117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117" s="10">
        <f>LEN(OrdersRawTable9[[#This Row],[Customer_Info]])-LEN(SUBSTITUTE(OrdersRawTable9[[#This Row],[Customer_Info]],",",""))</f>
        <v>2</v>
      </c>
      <c r="J117" s="10" t="s">
        <v>57</v>
      </c>
      <c r="K117" s="23">
        <v>3</v>
      </c>
      <c r="L117" s="26">
        <v>208.81</v>
      </c>
      <c r="M117" s="29">
        <v>0</v>
      </c>
      <c r="N117" s="10" t="s">
        <v>45</v>
      </c>
      <c r="O117" s="10" t="str">
        <f>IF(TRIM(OrdersRawTable9[[#This Row],[Sales_Channel_Raw]])="Market place","Marketplace",TRIM(OrdersRawTable9[[#This Row],[Sales_Channel_Raw]]))</f>
        <v>Retail Store</v>
      </c>
      <c r="P117" s="10" t="s">
        <v>58</v>
      </c>
      <c r="Q117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117" s="15" t="s">
        <v>47</v>
      </c>
      <c r="S117" t="str">
        <f>VLOOKUP(OrdersRawTable9[[#This Row],[Customer_ID_Raw]],CustomersTable11[],4,FALSE)</f>
        <v>Alberta</v>
      </c>
      <c r="T117" t="str">
        <f>VLOOKUP(OrdersRawTable9[[#This Row],[Customer_ID_Raw]],CustomersTable11[],5,FALSE)</f>
        <v>Small Business</v>
      </c>
      <c r="U117" s="45">
        <f>VLOOKUP(OrdersRawTable9[[#This Row],[Product_ID]],ProductsTable10[],4,FALSE)</f>
        <v>139.04</v>
      </c>
      <c r="V117" t="str">
        <f>VLOOKUP(OrdersRawTable9[[#This Row],[Product_ID]],ProductsTable10[],3,FALSE)</f>
        <v>Fitness</v>
      </c>
      <c r="W117" s="45">
        <f>OrdersRawTable9[[#This Row],[Unit_Price]]*OrdersRawTable9[[#This Row],[Quantity]]</f>
        <v>626.43000000000006</v>
      </c>
      <c r="X117" s="47">
        <f>OrdersRawTable9[[#This Row],[Gross_Sales]]*OrdersRawTable9[[#This Row],[Discount_Pct]]</f>
        <v>0</v>
      </c>
      <c r="Y117" s="45">
        <f>OrdersRawTable9[[#This Row],[Gross_Sales]]-OrdersRawTable9[[#This Row],[Discount_Amount]]</f>
        <v>626.43000000000006</v>
      </c>
      <c r="Z117" s="45">
        <f>OrdersRawTable9[[#This Row],[Unit_Cost]]*OrdersRawTable9[[#This Row],[Quantity]]</f>
        <v>417.12</v>
      </c>
      <c r="AA117" s="45">
        <f>OrdersRawTable9[[#This Row],[Net_Sales]]-OrdersRawTable9[[#This Row],[Total_Cost]]</f>
        <v>209.31000000000006</v>
      </c>
      <c r="AB117" s="48">
        <f>IF(OrdersRawTable9[[#This Row],[Net_Sales]]=0,0,OrdersRawTable9[[#This Row],[Profit]]/OrdersRawTable9[[#This Row],[Net_Sales]])</f>
        <v>0.3341315071117284</v>
      </c>
      <c r="AC117" s="45" t="str">
        <f>IF(COUNTIF(ReturnsRawTable[Order_Line_ID],OrdersRawTable9[[#This Row],[Order_Line_ID]])&gt;0,"Yes","No")</f>
        <v>No</v>
      </c>
      <c r="AD117" s="45" t="str">
        <f>IFERROR(VLOOKUP(OrdersRawTable9[[#This Row],[Order_Line_ID]],ReturnsRawTable[[#All],[Order_Line_ID]:[Return_Reason_Raw]],3,FALSE),"")</f>
        <v/>
      </c>
      <c r="AE117" s="49" t="str">
        <f>IFERROR(VLOOKUP(OrdersRawTable9[[#This Row],[Order_Line_ID]],ReturnsRawTable[[#All],[Order_Line_ID]:[Return_Date]],2,FALSE),"")</f>
        <v/>
      </c>
      <c r="AF117" s="45" t="str">
        <f>IFERROR(VLOOKUP(OrdersRawTable9[[#This Row],[Order_Line_ID]],ReturnsRawTable[[Order_Line_ID]:[Refund_Status]],4,FALSE),"")</f>
        <v/>
      </c>
      <c r="AG117" s="45" t="str">
        <f>VLOOKUP(OrdersRawTable9[[#This Row],[Order_ID]],ShipmentsTable[],6,FALSE)</f>
        <v>On time</v>
      </c>
      <c r="AH117" s="49">
        <f>VLOOKUP(OrdersRawTable9[[#This Row],[Order_ID]],ShipmentsTable[],3,FALSE)</f>
        <v>45716.041666666664</v>
      </c>
    </row>
    <row r="118" spans="1:34" ht="15" customHeight="1">
      <c r="A118" s="14" t="s">
        <v>343</v>
      </c>
      <c r="B118" s="10" t="s">
        <v>339</v>
      </c>
      <c r="C118" s="20">
        <v>45715.041666666664</v>
      </c>
      <c r="D118" s="10" t="s">
        <v>340</v>
      </c>
      <c r="E118" s="10" t="s">
        <v>341</v>
      </c>
      <c r="F118" s="10" t="str">
        <f>TRIM(LEFT(OrdersRawTable9[[#This Row],[Customer_Info]],FIND(",",OrdersRawTable9[[#This Row],[Customer_Info]])-1))</f>
        <v>Emma Ali</v>
      </c>
      <c r="G11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118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118" s="10">
        <f>LEN(OrdersRawTable9[[#This Row],[Customer_Info]])-LEN(SUBSTITUTE(OrdersRawTable9[[#This Row],[Customer_Info]],",",""))</f>
        <v>2</v>
      </c>
      <c r="J118" s="10" t="s">
        <v>39</v>
      </c>
      <c r="K118" s="23">
        <v>3</v>
      </c>
      <c r="L118" s="26">
        <v>236.51</v>
      </c>
      <c r="M118" s="29">
        <v>0.15</v>
      </c>
      <c r="N118" s="10" t="s">
        <v>40</v>
      </c>
      <c r="O118" s="10" t="str">
        <f>IF(TRIM(OrdersRawTable9[[#This Row],[Sales_Channel_Raw]])="Market place","Marketplace",TRIM(OrdersRawTable9[[#This Row],[Sales_Channel_Raw]]))</f>
        <v>Online</v>
      </c>
      <c r="P118" s="10" t="s">
        <v>51</v>
      </c>
      <c r="Q118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118" s="15" t="s">
        <v>42</v>
      </c>
      <c r="S118" t="str">
        <f>VLOOKUP(OrdersRawTable9[[#This Row],[Customer_ID_Raw]],CustomersTable11[],4,FALSE)</f>
        <v>Alberta</v>
      </c>
      <c r="T118" t="str">
        <f>VLOOKUP(OrdersRawTable9[[#This Row],[Customer_ID_Raw]],CustomersTable11[],5,FALSE)</f>
        <v>Small Business</v>
      </c>
      <c r="U118" s="45">
        <f>VLOOKUP(OrdersRawTable9[[#This Row],[Product_ID]],ProductsTable10[],4,FALSE)</f>
        <v>142.84</v>
      </c>
      <c r="V118" t="str">
        <f>VLOOKUP(OrdersRawTable9[[#This Row],[Product_ID]],ProductsTable10[],3,FALSE)</f>
        <v>Fitness</v>
      </c>
      <c r="W118" s="45">
        <f>OrdersRawTable9[[#This Row],[Unit_Price]]*OrdersRawTable9[[#This Row],[Quantity]]</f>
        <v>709.53</v>
      </c>
      <c r="X118" s="47">
        <f>OrdersRawTable9[[#This Row],[Gross_Sales]]*OrdersRawTable9[[#This Row],[Discount_Pct]]</f>
        <v>106.42949999999999</v>
      </c>
      <c r="Y118" s="45">
        <f>OrdersRawTable9[[#This Row],[Gross_Sales]]-OrdersRawTable9[[#This Row],[Discount_Amount]]</f>
        <v>603.10050000000001</v>
      </c>
      <c r="Z118" s="45">
        <f>OrdersRawTable9[[#This Row],[Unit_Cost]]*OrdersRawTable9[[#This Row],[Quantity]]</f>
        <v>428.52</v>
      </c>
      <c r="AA118" s="45">
        <f>OrdersRawTable9[[#This Row],[Net_Sales]]-OrdersRawTable9[[#This Row],[Total_Cost]]</f>
        <v>174.58050000000003</v>
      </c>
      <c r="AB118" s="48">
        <f>IF(OrdersRawTable9[[#This Row],[Net_Sales]]=0,0,OrdersRawTable9[[#This Row],[Profit]]/OrdersRawTable9[[#This Row],[Net_Sales]])</f>
        <v>0.2894716552216422</v>
      </c>
      <c r="AC118" s="45" t="str">
        <f>IF(COUNTIF(ReturnsRawTable[Order_Line_ID],OrdersRawTable9[[#This Row],[Order_Line_ID]])&gt;0,"Yes","No")</f>
        <v>No</v>
      </c>
      <c r="AD118" s="45" t="str">
        <f>IFERROR(VLOOKUP(OrdersRawTable9[[#This Row],[Order_Line_ID]],ReturnsRawTable[[#All],[Order_Line_ID]:[Return_Reason_Raw]],3,FALSE),"")</f>
        <v/>
      </c>
      <c r="AE118" s="49" t="str">
        <f>IFERROR(VLOOKUP(OrdersRawTable9[[#This Row],[Order_Line_ID]],ReturnsRawTable[[#All],[Order_Line_ID]:[Return_Date]],2,FALSE),"")</f>
        <v/>
      </c>
      <c r="AF118" s="45" t="str">
        <f>IFERROR(VLOOKUP(OrdersRawTable9[[#This Row],[Order_Line_ID]],ReturnsRawTable[[Order_Line_ID]:[Refund_Status]],4,FALSE),"")</f>
        <v/>
      </c>
      <c r="AG118" s="45" t="str">
        <f>VLOOKUP(OrdersRawTable9[[#This Row],[Order_ID]],ShipmentsTable[],6,FALSE)</f>
        <v>On time</v>
      </c>
      <c r="AH118" s="49">
        <f>VLOOKUP(OrdersRawTable9[[#This Row],[Order_ID]],ShipmentsTable[],3,FALSE)</f>
        <v>45716.041666666664</v>
      </c>
    </row>
    <row r="119" spans="1:34" ht="15" customHeight="1">
      <c r="A119" s="14" t="s">
        <v>344</v>
      </c>
      <c r="B119" s="10" t="s">
        <v>339</v>
      </c>
      <c r="C119" s="20">
        <v>45715.041666666664</v>
      </c>
      <c r="D119" s="10" t="s">
        <v>340</v>
      </c>
      <c r="E119" s="10" t="s">
        <v>341</v>
      </c>
      <c r="F119" s="10" t="str">
        <f>TRIM(LEFT(OrdersRawTable9[[#This Row],[Customer_Info]],FIND(",",OrdersRawTable9[[#This Row],[Customer_Info]])-1))</f>
        <v>Emma Ali</v>
      </c>
      <c r="G11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119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119" s="10">
        <f>LEN(OrdersRawTable9[[#This Row],[Customer_Info]])-LEN(SUBSTITUTE(OrdersRawTable9[[#This Row],[Customer_Info]],",",""))</f>
        <v>2</v>
      </c>
      <c r="J119" s="10" t="s">
        <v>150</v>
      </c>
      <c r="K119" s="23">
        <v>3</v>
      </c>
      <c r="L119" s="26">
        <v>263.04000000000002</v>
      </c>
      <c r="M119" s="29">
        <v>0.05</v>
      </c>
      <c r="N119" s="10" t="s">
        <v>64</v>
      </c>
      <c r="O119" s="10" t="str">
        <f>IF(TRIM(OrdersRawTable9[[#This Row],[Sales_Channel_Raw]])="Market place","Marketplace",TRIM(OrdersRawTable9[[#This Row],[Sales_Channel_Raw]]))</f>
        <v>Retail Store</v>
      </c>
      <c r="P119" s="10" t="s">
        <v>98</v>
      </c>
      <c r="Q119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119" s="15" t="s">
        <v>42</v>
      </c>
      <c r="S119" t="str">
        <f>VLOOKUP(OrdersRawTable9[[#This Row],[Customer_ID_Raw]],CustomersTable11[],4,FALSE)</f>
        <v>Alberta</v>
      </c>
      <c r="T119" t="str">
        <f>VLOOKUP(OrdersRawTable9[[#This Row],[Customer_ID_Raw]],CustomersTable11[],5,FALSE)</f>
        <v>Small Business</v>
      </c>
      <c r="U119" s="45">
        <f>VLOOKUP(OrdersRawTable9[[#This Row],[Product_ID]],ProductsTable10[],4,FALSE)</f>
        <v>161.84</v>
      </c>
      <c r="V119" t="str">
        <f>VLOOKUP(OrdersRawTable9[[#This Row],[Product_ID]],ProductsTable10[],3,FALSE)</f>
        <v>Office</v>
      </c>
      <c r="W119" s="45">
        <f>OrdersRawTable9[[#This Row],[Unit_Price]]*OrdersRawTable9[[#This Row],[Quantity]]</f>
        <v>789.12000000000012</v>
      </c>
      <c r="X119" s="47">
        <f>OrdersRawTable9[[#This Row],[Gross_Sales]]*OrdersRawTable9[[#This Row],[Discount_Pct]]</f>
        <v>39.45600000000001</v>
      </c>
      <c r="Y119" s="45">
        <f>OrdersRawTable9[[#This Row],[Gross_Sales]]-OrdersRawTable9[[#This Row],[Discount_Amount]]</f>
        <v>749.6640000000001</v>
      </c>
      <c r="Z119" s="45">
        <f>OrdersRawTable9[[#This Row],[Unit_Cost]]*OrdersRawTable9[[#This Row],[Quantity]]</f>
        <v>485.52</v>
      </c>
      <c r="AA119" s="45">
        <f>OrdersRawTable9[[#This Row],[Net_Sales]]-OrdersRawTable9[[#This Row],[Total_Cost]]</f>
        <v>264.14400000000012</v>
      </c>
      <c r="AB119" s="48">
        <f>IF(OrdersRawTable9[[#This Row],[Net_Sales]]=0,0,OrdersRawTable9[[#This Row],[Profit]]/OrdersRawTable9[[#This Row],[Net_Sales]])</f>
        <v>0.35234985273402497</v>
      </c>
      <c r="AC119" s="45" t="str">
        <f>IF(COUNTIF(ReturnsRawTable[Order_Line_ID],OrdersRawTable9[[#This Row],[Order_Line_ID]])&gt;0,"Yes","No")</f>
        <v>Yes</v>
      </c>
      <c r="AD119" s="45" t="str">
        <f>IFERROR(VLOOKUP(OrdersRawTable9[[#This Row],[Order_Line_ID]],ReturnsRawTable[[#All],[Order_Line_ID]:[Return_Reason_Raw]],3,FALSE),"")</f>
        <v>damaged</v>
      </c>
      <c r="AE119" s="49">
        <f>IFERROR(VLOOKUP(OrdersRawTable9[[#This Row],[Order_Line_ID]],ReturnsRawTable[[#All],[Order_Line_ID]:[Return_Date]],2,FALSE),"")</f>
        <v>45734.041666666664</v>
      </c>
      <c r="AF119" s="45" t="str">
        <f>IFERROR(VLOOKUP(OrdersRawTable9[[#This Row],[Order_Line_ID]],ReturnsRawTable[[Order_Line_ID]:[Refund_Status]],4,FALSE),"")</f>
        <v>Refunded</v>
      </c>
      <c r="AG119" s="45" t="str">
        <f>VLOOKUP(OrdersRawTable9[[#This Row],[Order_ID]],ShipmentsTable[],6,FALSE)</f>
        <v>On time</v>
      </c>
      <c r="AH119" s="49">
        <f>VLOOKUP(OrdersRawTable9[[#This Row],[Order_ID]],ShipmentsTable[],3,FALSE)</f>
        <v>45716.041666666664</v>
      </c>
    </row>
    <row r="120" spans="1:34" ht="15" customHeight="1">
      <c r="A120" s="14" t="s">
        <v>345</v>
      </c>
      <c r="B120" s="10" t="s">
        <v>346</v>
      </c>
      <c r="C120" s="20">
        <v>45961</v>
      </c>
      <c r="D120" s="10" t="s">
        <v>347</v>
      </c>
      <c r="E120" s="10" t="s">
        <v>348</v>
      </c>
      <c r="F120" s="10" t="str">
        <f>TRIM(LEFT(OrdersRawTable9[[#This Row],[Customer_Info]],FIND(",",OrdersRawTable9[[#This Row],[Customer_Info]])-1))</f>
        <v>Noah Singh</v>
      </c>
      <c r="G12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120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120" s="10">
        <f>LEN(OrdersRawTable9[[#This Row],[Customer_Info]])-LEN(SUBSTITUTE(OrdersRawTable9[[#This Row],[Customer_Info]],",",""))</f>
        <v>2</v>
      </c>
      <c r="J120" s="10" t="s">
        <v>178</v>
      </c>
      <c r="K120" s="23">
        <v>1</v>
      </c>
      <c r="L120" s="26">
        <v>61.81</v>
      </c>
      <c r="M120" s="29">
        <v>0.05</v>
      </c>
      <c r="N120" s="10" t="s">
        <v>40</v>
      </c>
      <c r="O120" s="10" t="str">
        <f>IF(TRIM(OrdersRawTable9[[#This Row],[Sales_Channel_Raw]])="Market place","Marketplace",TRIM(OrdersRawTable9[[#This Row],[Sales_Channel_Raw]]))</f>
        <v>Online</v>
      </c>
      <c r="P120" s="10"/>
      <c r="Q120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120" s="15" t="s">
        <v>67</v>
      </c>
      <c r="S120" t="str">
        <f>VLOOKUP(OrdersRawTable9[[#This Row],[Customer_ID_Raw]],CustomersTable11[],4,FALSE)</f>
        <v>Quebec</v>
      </c>
      <c r="T120" t="str">
        <f>VLOOKUP(OrdersRawTable9[[#This Row],[Customer_ID_Raw]],CustomersTable11[],5,FALSE)</f>
        <v>Small Business</v>
      </c>
      <c r="U120" s="45">
        <f>VLOOKUP(OrdersRawTable9[[#This Row],[Product_ID]],ProductsTable10[],4,FALSE)</f>
        <v>33.19</v>
      </c>
      <c r="V120" t="str">
        <f>VLOOKUP(OrdersRawTable9[[#This Row],[Product_ID]],ProductsTable10[],3,FALSE)</f>
        <v>Office</v>
      </c>
      <c r="W120" s="45">
        <f>OrdersRawTable9[[#This Row],[Unit_Price]]*OrdersRawTable9[[#This Row],[Quantity]]</f>
        <v>61.81</v>
      </c>
      <c r="X120" s="47">
        <f>OrdersRawTable9[[#This Row],[Gross_Sales]]*OrdersRawTable9[[#This Row],[Discount_Pct]]</f>
        <v>3.0905000000000005</v>
      </c>
      <c r="Y120" s="45">
        <f>OrdersRawTable9[[#This Row],[Gross_Sales]]-OrdersRawTable9[[#This Row],[Discount_Amount]]</f>
        <v>58.719500000000004</v>
      </c>
      <c r="Z120" s="45">
        <f>OrdersRawTable9[[#This Row],[Unit_Cost]]*OrdersRawTable9[[#This Row],[Quantity]]</f>
        <v>33.19</v>
      </c>
      <c r="AA120" s="45">
        <f>OrdersRawTable9[[#This Row],[Net_Sales]]-OrdersRawTable9[[#This Row],[Total_Cost]]</f>
        <v>25.529500000000006</v>
      </c>
      <c r="AB120" s="48">
        <f>IF(OrdersRawTable9[[#This Row],[Net_Sales]]=0,0,OrdersRawTable9[[#This Row],[Profit]]/OrdersRawTable9[[#This Row],[Net_Sales]])</f>
        <v>0.43477039143725688</v>
      </c>
      <c r="AC120" s="45" t="str">
        <f>IF(COUNTIF(ReturnsRawTable[Order_Line_ID],OrdersRawTable9[[#This Row],[Order_Line_ID]])&gt;0,"Yes","No")</f>
        <v>Yes</v>
      </c>
      <c r="AD120" s="45" t="str">
        <f>IFERROR(VLOOKUP(OrdersRawTable9[[#This Row],[Order_Line_ID]],ReturnsRawTable[[#All],[Order_Line_ID]:[Return_Reason_Raw]],3,FALSE),"")</f>
        <v>Late Delivery</v>
      </c>
      <c r="AE120" s="49">
        <f>IFERROR(VLOOKUP(OrdersRawTable9[[#This Row],[Order_Line_ID]],ReturnsRawTable[[#All],[Order_Line_ID]:[Return_Date]],2,FALSE),"")</f>
        <v>45970</v>
      </c>
      <c r="AF120" s="45" t="str">
        <f>IFERROR(VLOOKUP(OrdersRawTable9[[#This Row],[Order_Line_ID]],ReturnsRawTable[[Order_Line_ID]:[Refund_Status]],4,FALSE),"")</f>
        <v>Refunded</v>
      </c>
      <c r="AG120" s="45" t="str">
        <f>VLOOKUP(OrdersRawTable9[[#This Row],[Order_ID]],ShipmentsTable[],6,FALSE)</f>
        <v>Late</v>
      </c>
      <c r="AH120" s="49">
        <f>VLOOKUP(OrdersRawTable9[[#This Row],[Order_ID]],ShipmentsTable[],3,FALSE)</f>
        <v>45967</v>
      </c>
    </row>
    <row r="121" spans="1:34" ht="15" customHeight="1">
      <c r="A121" s="14" t="s">
        <v>349</v>
      </c>
      <c r="B121" s="10" t="s">
        <v>350</v>
      </c>
      <c r="C121" s="20">
        <v>46000</v>
      </c>
      <c r="D121" s="10" t="s">
        <v>351</v>
      </c>
      <c r="E121" s="10" t="s">
        <v>352</v>
      </c>
      <c r="F121" s="10" t="str">
        <f>TRIM(LEFT(OrdersRawTable9[[#This Row],[Customer_Info]],FIND(",",OrdersRawTable9[[#This Row],[Customer_Info]])-1))</f>
        <v>Sofia Tremblay</v>
      </c>
      <c r="G12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121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121" s="10">
        <f>LEN(OrdersRawTable9[[#This Row],[Customer_Info]])-LEN(SUBSTITUTE(OrdersRawTable9[[#This Row],[Customer_Info]],",",""))</f>
        <v>2</v>
      </c>
      <c r="J121" s="10" t="s">
        <v>49</v>
      </c>
      <c r="K121" s="23">
        <v>2</v>
      </c>
      <c r="L121" s="26">
        <v>300.16000000000003</v>
      </c>
      <c r="M121" s="29">
        <v>0.1</v>
      </c>
      <c r="N121" s="10" t="s">
        <v>40</v>
      </c>
      <c r="O121" s="10" t="str">
        <f>IF(TRIM(OrdersRawTable9[[#This Row],[Sales_Channel_Raw]])="Market place","Marketplace",TRIM(OrdersRawTable9[[#This Row],[Sales_Channel_Raw]]))</f>
        <v>Online</v>
      </c>
      <c r="P121" s="10"/>
      <c r="Q121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121" s="15" t="s">
        <v>47</v>
      </c>
      <c r="S121" t="str">
        <f>VLOOKUP(OrdersRawTable9[[#This Row],[Customer_ID_Raw]],CustomersTable11[],4,FALSE)</f>
        <v>Alberta</v>
      </c>
      <c r="T121" t="str">
        <f>VLOOKUP(OrdersRawTable9[[#This Row],[Customer_ID_Raw]],CustomersTable11[],5,FALSE)</f>
        <v>Corporate</v>
      </c>
      <c r="U121" s="45">
        <f>VLOOKUP(OrdersRawTable9[[#This Row],[Product_ID]],ProductsTable10[],4,FALSE)</f>
        <v>158.46</v>
      </c>
      <c r="V121" t="str">
        <f>VLOOKUP(OrdersRawTable9[[#This Row],[Product_ID]],ProductsTable10[],3,FALSE)</f>
        <v>Office</v>
      </c>
      <c r="W121" s="45">
        <f>OrdersRawTable9[[#This Row],[Unit_Price]]*OrdersRawTable9[[#This Row],[Quantity]]</f>
        <v>600.32000000000005</v>
      </c>
      <c r="X121" s="47">
        <f>OrdersRawTable9[[#This Row],[Gross_Sales]]*OrdersRawTable9[[#This Row],[Discount_Pct]]</f>
        <v>60.032000000000011</v>
      </c>
      <c r="Y121" s="45">
        <f>OrdersRawTable9[[#This Row],[Gross_Sales]]-OrdersRawTable9[[#This Row],[Discount_Amount]]</f>
        <v>540.28800000000001</v>
      </c>
      <c r="Z121" s="45">
        <f>OrdersRawTable9[[#This Row],[Unit_Cost]]*OrdersRawTable9[[#This Row],[Quantity]]</f>
        <v>316.92</v>
      </c>
      <c r="AA121" s="45">
        <f>OrdersRawTable9[[#This Row],[Net_Sales]]-OrdersRawTable9[[#This Row],[Total_Cost]]</f>
        <v>223.36799999999999</v>
      </c>
      <c r="AB121" s="48">
        <f>IF(OrdersRawTable9[[#This Row],[Net_Sales]]=0,0,OrdersRawTable9[[#This Row],[Profit]]/OrdersRawTable9[[#This Row],[Net_Sales]])</f>
        <v>0.41342395167022034</v>
      </c>
      <c r="AC121" s="45" t="str">
        <f>IF(COUNTIF(ReturnsRawTable[Order_Line_ID],OrdersRawTable9[[#This Row],[Order_Line_ID]])&gt;0,"Yes","No")</f>
        <v>Yes</v>
      </c>
      <c r="AD121" s="45" t="str">
        <f>IFERROR(VLOOKUP(OrdersRawTable9[[#This Row],[Order_Line_ID]],ReturnsRawTable[[#All],[Order_Line_ID]:[Return_Reason_Raw]],3,FALSE),"")</f>
        <v>Not as Described</v>
      </c>
      <c r="AE121" s="49">
        <f>IFERROR(VLOOKUP(OrdersRawTable9[[#This Row],[Order_Line_ID]],ReturnsRawTable[[#All],[Order_Line_ID]:[Return_Date]],2,FALSE),"")</f>
        <v>46021</v>
      </c>
      <c r="AF121" s="45" t="str">
        <f>IFERROR(VLOOKUP(OrdersRawTable9[[#This Row],[Order_Line_ID]],ReturnsRawTable[[Order_Line_ID]:[Refund_Status]],4,FALSE),"")</f>
        <v>Pending</v>
      </c>
      <c r="AG121" s="45" t="str">
        <f>VLOOKUP(OrdersRawTable9[[#This Row],[Order_ID]],ShipmentsTable[],6,FALSE)</f>
        <v>On time</v>
      </c>
      <c r="AH121" s="49">
        <f>VLOOKUP(OrdersRawTable9[[#This Row],[Order_ID]],ShipmentsTable[],3,FALSE)</f>
        <v>46004</v>
      </c>
    </row>
    <row r="122" spans="1:34" ht="15" customHeight="1">
      <c r="A122" s="14" t="s">
        <v>353</v>
      </c>
      <c r="B122" s="10" t="s">
        <v>354</v>
      </c>
      <c r="C122" s="20">
        <v>45720.041666666664</v>
      </c>
      <c r="D122" s="10" t="s">
        <v>193</v>
      </c>
      <c r="E122" s="10" t="s">
        <v>194</v>
      </c>
      <c r="F122" s="10" t="str">
        <f>TRIM(LEFT(OrdersRawTable9[[#This Row],[Customer_Info]],FIND(",",OrdersRawTable9[[#This Row],[Customer_Info]])-1))</f>
        <v>Liam Gagnon</v>
      </c>
      <c r="G12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122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122" s="10">
        <f>LEN(OrdersRawTable9[[#This Row],[Customer_Info]])-LEN(SUBSTITUTE(OrdersRawTable9[[#This Row],[Customer_Info]],",",""))</f>
        <v>2</v>
      </c>
      <c r="J122" s="10" t="s">
        <v>178</v>
      </c>
      <c r="K122" s="23">
        <v>2</v>
      </c>
      <c r="L122" s="26">
        <v>61.81</v>
      </c>
      <c r="M122" s="29">
        <v>0</v>
      </c>
      <c r="N122" s="10" t="s">
        <v>70</v>
      </c>
      <c r="O122" s="10" t="str">
        <f>IF(TRIM(OrdersRawTable9[[#This Row],[Sales_Channel_Raw]])="Market place","Marketplace",TRIM(OrdersRawTable9[[#This Row],[Sales_Channel_Raw]]))</f>
        <v>online</v>
      </c>
      <c r="P122" s="10" t="s">
        <v>98</v>
      </c>
      <c r="Q122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122" s="15" t="s">
        <v>52</v>
      </c>
      <c r="S122" t="str">
        <f>VLOOKUP(OrdersRawTable9[[#This Row],[Customer_ID_Raw]],CustomersTable11[],4,FALSE)</f>
        <v>Ontario</v>
      </c>
      <c r="T122" t="str">
        <f>VLOOKUP(OrdersRawTable9[[#This Row],[Customer_ID_Raw]],CustomersTable11[],5,FALSE)</f>
        <v>Consumer</v>
      </c>
      <c r="U122" s="45">
        <f>VLOOKUP(OrdersRawTable9[[#This Row],[Product_ID]],ProductsTable10[],4,FALSE)</f>
        <v>33.19</v>
      </c>
      <c r="V122" t="str">
        <f>VLOOKUP(OrdersRawTable9[[#This Row],[Product_ID]],ProductsTable10[],3,FALSE)</f>
        <v>Office</v>
      </c>
      <c r="W122" s="45">
        <f>OrdersRawTable9[[#This Row],[Unit_Price]]*OrdersRawTable9[[#This Row],[Quantity]]</f>
        <v>123.62</v>
      </c>
      <c r="X122" s="47">
        <f>OrdersRawTable9[[#This Row],[Gross_Sales]]*OrdersRawTable9[[#This Row],[Discount_Pct]]</f>
        <v>0</v>
      </c>
      <c r="Y122" s="45">
        <f>OrdersRawTable9[[#This Row],[Gross_Sales]]-OrdersRawTable9[[#This Row],[Discount_Amount]]</f>
        <v>123.62</v>
      </c>
      <c r="Z122" s="45">
        <f>OrdersRawTable9[[#This Row],[Unit_Cost]]*OrdersRawTable9[[#This Row],[Quantity]]</f>
        <v>66.38</v>
      </c>
      <c r="AA122" s="45">
        <f>OrdersRawTable9[[#This Row],[Net_Sales]]-OrdersRawTable9[[#This Row],[Total_Cost]]</f>
        <v>57.240000000000009</v>
      </c>
      <c r="AB122" s="48">
        <f>IF(OrdersRawTable9[[#This Row],[Net_Sales]]=0,0,OrdersRawTable9[[#This Row],[Profit]]/OrdersRawTable9[[#This Row],[Net_Sales]])</f>
        <v>0.46303187186539402</v>
      </c>
      <c r="AC122" s="45" t="str">
        <f>IF(COUNTIF(ReturnsRawTable[Order_Line_ID],OrdersRawTable9[[#This Row],[Order_Line_ID]])&gt;0,"Yes","No")</f>
        <v>No</v>
      </c>
      <c r="AD122" s="45" t="str">
        <f>IFERROR(VLOOKUP(OrdersRawTable9[[#This Row],[Order_Line_ID]],ReturnsRawTable[[#All],[Order_Line_ID]:[Return_Reason_Raw]],3,FALSE),"")</f>
        <v/>
      </c>
      <c r="AE122" s="49" t="str">
        <f>IFERROR(VLOOKUP(OrdersRawTable9[[#This Row],[Order_Line_ID]],ReturnsRawTable[[#All],[Order_Line_ID]:[Return_Date]],2,FALSE),"")</f>
        <v/>
      </c>
      <c r="AF122" s="45" t="str">
        <f>IFERROR(VLOOKUP(OrdersRawTable9[[#This Row],[Order_Line_ID]],ReturnsRawTable[[Order_Line_ID]:[Refund_Status]],4,FALSE),"")</f>
        <v/>
      </c>
      <c r="AG122" s="45" t="str">
        <f>VLOOKUP(OrdersRawTable9[[#This Row],[Order_ID]],ShipmentsTable[],6,FALSE)</f>
        <v>Late</v>
      </c>
      <c r="AH122" s="49">
        <f>VLOOKUP(OrdersRawTable9[[#This Row],[Order_ID]],ShipmentsTable[],3,FALSE)</f>
        <v>45730.041666666664</v>
      </c>
    </row>
    <row r="123" spans="1:34" ht="15" customHeight="1">
      <c r="A123" s="14" t="s">
        <v>355</v>
      </c>
      <c r="B123" s="10" t="s">
        <v>354</v>
      </c>
      <c r="C123" s="20">
        <v>45720.041666666664</v>
      </c>
      <c r="D123" s="10" t="s">
        <v>193</v>
      </c>
      <c r="E123" s="10" t="s">
        <v>194</v>
      </c>
      <c r="F123" s="10" t="str">
        <f>TRIM(LEFT(OrdersRawTable9[[#This Row],[Customer_Info]],FIND(",",OrdersRawTable9[[#This Row],[Customer_Info]])-1))</f>
        <v>Liam Gagnon</v>
      </c>
      <c r="G12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123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123" s="10">
        <f>LEN(OrdersRawTable9[[#This Row],[Customer_Info]])-LEN(SUBSTITUTE(OrdersRawTable9[[#This Row],[Customer_Info]],",",""))</f>
        <v>2</v>
      </c>
      <c r="J123" s="10" t="s">
        <v>72</v>
      </c>
      <c r="K123" s="23">
        <v>4</v>
      </c>
      <c r="L123" s="26">
        <v>210.2</v>
      </c>
      <c r="M123" s="29">
        <v>0</v>
      </c>
      <c r="N123" s="10" t="s">
        <v>45</v>
      </c>
      <c r="O123" s="10" t="str">
        <f>IF(TRIM(OrdersRawTable9[[#This Row],[Sales_Channel_Raw]])="Market place","Marketplace",TRIM(OrdersRawTable9[[#This Row],[Sales_Channel_Raw]]))</f>
        <v>Retail Store</v>
      </c>
      <c r="P123" s="10"/>
      <c r="Q123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123" s="15" t="s">
        <v>52</v>
      </c>
      <c r="S123" t="str">
        <f>VLOOKUP(OrdersRawTable9[[#This Row],[Customer_ID_Raw]],CustomersTable11[],4,FALSE)</f>
        <v>Ontario</v>
      </c>
      <c r="T123" t="str">
        <f>VLOOKUP(OrdersRawTable9[[#This Row],[Customer_ID_Raw]],CustomersTable11[],5,FALSE)</f>
        <v>Consumer</v>
      </c>
      <c r="U123" s="45">
        <f>VLOOKUP(OrdersRawTable9[[#This Row],[Product_ID]],ProductsTable10[],4,FALSE)</f>
        <v>136.25</v>
      </c>
      <c r="V123" t="str">
        <f>VLOOKUP(OrdersRawTable9[[#This Row],[Product_ID]],ProductsTable10[],3,FALSE)</f>
        <v>Fitness</v>
      </c>
      <c r="W123" s="45">
        <f>OrdersRawTable9[[#This Row],[Unit_Price]]*OrdersRawTable9[[#This Row],[Quantity]]</f>
        <v>840.8</v>
      </c>
      <c r="X123" s="47">
        <f>OrdersRawTable9[[#This Row],[Gross_Sales]]*OrdersRawTable9[[#This Row],[Discount_Pct]]</f>
        <v>0</v>
      </c>
      <c r="Y123" s="45">
        <f>OrdersRawTable9[[#This Row],[Gross_Sales]]-OrdersRawTable9[[#This Row],[Discount_Amount]]</f>
        <v>840.8</v>
      </c>
      <c r="Z123" s="45">
        <f>OrdersRawTable9[[#This Row],[Unit_Cost]]*OrdersRawTable9[[#This Row],[Quantity]]</f>
        <v>545</v>
      </c>
      <c r="AA123" s="45">
        <f>OrdersRawTable9[[#This Row],[Net_Sales]]-OrdersRawTable9[[#This Row],[Total_Cost]]</f>
        <v>295.79999999999995</v>
      </c>
      <c r="AB123" s="48">
        <f>IF(OrdersRawTable9[[#This Row],[Net_Sales]]=0,0,OrdersRawTable9[[#This Row],[Profit]]/OrdersRawTable9[[#This Row],[Net_Sales]])</f>
        <v>0.35180780209324447</v>
      </c>
      <c r="AC123" s="45" t="str">
        <f>IF(COUNTIF(ReturnsRawTable[Order_Line_ID],OrdersRawTable9[[#This Row],[Order_Line_ID]])&gt;0,"Yes","No")</f>
        <v>Yes</v>
      </c>
      <c r="AD123" s="45" t="str">
        <f>IFERROR(VLOOKUP(OrdersRawTable9[[#This Row],[Order_Line_ID]],ReturnsRawTable[[#All],[Order_Line_ID]:[Return_Reason_Raw]],3,FALSE),"")</f>
        <v>Damaged</v>
      </c>
      <c r="AE123" s="49">
        <f>IFERROR(VLOOKUP(OrdersRawTable9[[#This Row],[Order_Line_ID]],ReturnsRawTable[[#All],[Order_Line_ID]:[Return_Date]],2,FALSE),"")</f>
        <v>45739.041666666664</v>
      </c>
      <c r="AF123" s="45" t="str">
        <f>IFERROR(VLOOKUP(OrdersRawTable9[[#This Row],[Order_Line_ID]],ReturnsRawTable[[Order_Line_ID]:[Refund_Status]],4,FALSE),"")</f>
        <v>Refunded</v>
      </c>
      <c r="AG123" s="45" t="str">
        <f>VLOOKUP(OrdersRawTable9[[#This Row],[Order_ID]],ShipmentsTable[],6,FALSE)</f>
        <v>Late</v>
      </c>
      <c r="AH123" s="49">
        <f>VLOOKUP(OrdersRawTable9[[#This Row],[Order_ID]],ShipmentsTable[],3,FALSE)</f>
        <v>45730.041666666664</v>
      </c>
    </row>
    <row r="124" spans="1:34" ht="15" customHeight="1">
      <c r="A124" s="14" t="s">
        <v>356</v>
      </c>
      <c r="B124" s="10" t="s">
        <v>357</v>
      </c>
      <c r="C124" s="20">
        <v>45756</v>
      </c>
      <c r="D124" s="10" t="s">
        <v>358</v>
      </c>
      <c r="E124" s="10" t="s">
        <v>359</v>
      </c>
      <c r="F124" s="10" t="str">
        <f>TRIM(LEFT(OrdersRawTable9[[#This Row],[Customer_Info]],FIND(",",OrdersRawTable9[[#This Row],[Customer_Info]])-1))</f>
        <v>Yara Ali</v>
      </c>
      <c r="G12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124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124" s="10">
        <f>LEN(OrdersRawTable9[[#This Row],[Customer_Info]])-LEN(SUBSTITUTE(OrdersRawTable9[[#This Row],[Customer_Info]],",",""))</f>
        <v>2</v>
      </c>
      <c r="J124" s="10" t="s">
        <v>119</v>
      </c>
      <c r="K124" s="23">
        <v>2</v>
      </c>
      <c r="L124" s="26">
        <v>103.3</v>
      </c>
      <c r="M124" s="29">
        <v>0</v>
      </c>
      <c r="N124" s="10" t="s">
        <v>50</v>
      </c>
      <c r="O124" s="10" t="str">
        <f>IF(TRIM(OrdersRawTable9[[#This Row],[Sales_Channel_Raw]])="Market place","Marketplace",TRIM(OrdersRawTable9[[#This Row],[Sales_Channel_Raw]]))</f>
        <v>Marketplace</v>
      </c>
      <c r="P124" s="10" t="s">
        <v>41</v>
      </c>
      <c r="Q124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124" s="15" t="s">
        <v>101</v>
      </c>
      <c r="S124" t="str">
        <f>VLOOKUP(OrdersRawTable9[[#This Row],[Customer_ID_Raw]],CustomersTable11[],4,FALSE)</f>
        <v>Quebec</v>
      </c>
      <c r="T124" t="str">
        <f>VLOOKUP(OrdersRawTable9[[#This Row],[Customer_ID_Raw]],CustomersTable11[],5,FALSE)</f>
        <v>Consumer</v>
      </c>
      <c r="U124" s="45">
        <f>VLOOKUP(OrdersRawTable9[[#This Row],[Product_ID]],ProductsTable10[],4,FALSE)</f>
        <v>70.180000000000007</v>
      </c>
      <c r="V124" t="str">
        <f>VLOOKUP(OrdersRawTable9[[#This Row],[Product_ID]],ProductsTable10[],3,FALSE)</f>
        <v>Home</v>
      </c>
      <c r="W124" s="45">
        <f>OrdersRawTable9[[#This Row],[Unit_Price]]*OrdersRawTable9[[#This Row],[Quantity]]</f>
        <v>206.6</v>
      </c>
      <c r="X124" s="47">
        <f>OrdersRawTable9[[#This Row],[Gross_Sales]]*OrdersRawTable9[[#This Row],[Discount_Pct]]</f>
        <v>0</v>
      </c>
      <c r="Y124" s="45">
        <f>OrdersRawTable9[[#This Row],[Gross_Sales]]-OrdersRawTable9[[#This Row],[Discount_Amount]]</f>
        <v>206.6</v>
      </c>
      <c r="Z124" s="45">
        <f>OrdersRawTable9[[#This Row],[Unit_Cost]]*OrdersRawTable9[[#This Row],[Quantity]]</f>
        <v>140.36000000000001</v>
      </c>
      <c r="AA124" s="45">
        <f>OrdersRawTable9[[#This Row],[Net_Sales]]-OrdersRawTable9[[#This Row],[Total_Cost]]</f>
        <v>66.239999999999981</v>
      </c>
      <c r="AB124" s="48">
        <f>IF(OrdersRawTable9[[#This Row],[Net_Sales]]=0,0,OrdersRawTable9[[#This Row],[Profit]]/OrdersRawTable9[[#This Row],[Net_Sales]])</f>
        <v>0.32061955469506281</v>
      </c>
      <c r="AC124" s="45" t="str">
        <f>IF(COUNTIF(ReturnsRawTable[Order_Line_ID],OrdersRawTable9[[#This Row],[Order_Line_ID]])&gt;0,"Yes","No")</f>
        <v>No</v>
      </c>
      <c r="AD124" s="45" t="str">
        <f>IFERROR(VLOOKUP(OrdersRawTable9[[#This Row],[Order_Line_ID]],ReturnsRawTable[[#All],[Order_Line_ID]:[Return_Reason_Raw]],3,FALSE),"")</f>
        <v/>
      </c>
      <c r="AE124" s="49" t="str">
        <f>IFERROR(VLOOKUP(OrdersRawTable9[[#This Row],[Order_Line_ID]],ReturnsRawTable[[#All],[Order_Line_ID]:[Return_Date]],2,FALSE),"")</f>
        <v/>
      </c>
      <c r="AF124" s="45" t="str">
        <f>IFERROR(VLOOKUP(OrdersRawTable9[[#This Row],[Order_Line_ID]],ReturnsRawTable[[Order_Line_ID]:[Refund_Status]],4,FALSE),"")</f>
        <v/>
      </c>
      <c r="AG124" s="45" t="str">
        <f>VLOOKUP(OrdersRawTable9[[#This Row],[Order_ID]],ShipmentsTable[],6,FALSE)</f>
        <v>On time</v>
      </c>
      <c r="AH124" s="49">
        <f>VLOOKUP(OrdersRawTable9[[#This Row],[Order_ID]],ShipmentsTable[],3,FALSE)</f>
        <v>45759</v>
      </c>
    </row>
    <row r="125" spans="1:34" ht="15" customHeight="1">
      <c r="A125" s="14" t="s">
        <v>360</v>
      </c>
      <c r="B125" s="10" t="s">
        <v>357</v>
      </c>
      <c r="C125" s="20">
        <v>45756</v>
      </c>
      <c r="D125" s="10" t="s">
        <v>361</v>
      </c>
      <c r="E125" s="10" t="s">
        <v>359</v>
      </c>
      <c r="F125" s="10" t="str">
        <f>TRIM(LEFT(OrdersRawTable9[[#This Row],[Customer_Info]],FIND(",",OrdersRawTable9[[#This Row],[Customer_Info]])-1))</f>
        <v>Yara Ali</v>
      </c>
      <c r="G12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125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125" s="10">
        <f>LEN(OrdersRawTable9[[#This Row],[Customer_Info]])-LEN(SUBSTITUTE(OrdersRawTable9[[#This Row],[Customer_Info]],",",""))</f>
        <v>2</v>
      </c>
      <c r="J125" s="10" t="s">
        <v>241</v>
      </c>
      <c r="K125" s="23">
        <v>3</v>
      </c>
      <c r="L125" s="26">
        <v>300.56</v>
      </c>
      <c r="M125" s="29">
        <v>0</v>
      </c>
      <c r="N125" s="10" t="s">
        <v>64</v>
      </c>
      <c r="O125" s="10" t="str">
        <f>IF(TRIM(OrdersRawTable9[[#This Row],[Sales_Channel_Raw]])="Market place","Marketplace",TRIM(OrdersRawTable9[[#This Row],[Sales_Channel_Raw]]))</f>
        <v>Retail Store</v>
      </c>
      <c r="P125" s="10" t="s">
        <v>51</v>
      </c>
      <c r="Q125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125" s="15" t="s">
        <v>42</v>
      </c>
      <c r="S125" t="str">
        <f>VLOOKUP(OrdersRawTable9[[#This Row],[Customer_ID_Raw]],CustomersTable11[],4,FALSE)</f>
        <v>Quebec</v>
      </c>
      <c r="T125" t="str">
        <f>VLOOKUP(OrdersRawTable9[[#This Row],[Customer_ID_Raw]],CustomersTable11[],5,FALSE)</f>
        <v>Consumer</v>
      </c>
      <c r="U125" s="45">
        <f>VLOOKUP(OrdersRawTable9[[#This Row],[Product_ID]],ProductsTable10[],4,FALSE)</f>
        <v>158.86000000000001</v>
      </c>
      <c r="V125" t="str">
        <f>VLOOKUP(OrdersRawTable9[[#This Row],[Product_ID]],ProductsTable10[],3,FALSE)</f>
        <v>Accessories</v>
      </c>
      <c r="W125" s="45">
        <f>OrdersRawTable9[[#This Row],[Unit_Price]]*OrdersRawTable9[[#This Row],[Quantity]]</f>
        <v>901.68000000000006</v>
      </c>
      <c r="X125" s="47">
        <f>OrdersRawTable9[[#This Row],[Gross_Sales]]*OrdersRawTable9[[#This Row],[Discount_Pct]]</f>
        <v>0</v>
      </c>
      <c r="Y125" s="45">
        <f>OrdersRawTable9[[#This Row],[Gross_Sales]]-OrdersRawTable9[[#This Row],[Discount_Amount]]</f>
        <v>901.68000000000006</v>
      </c>
      <c r="Z125" s="45">
        <f>OrdersRawTable9[[#This Row],[Unit_Cost]]*OrdersRawTable9[[#This Row],[Quantity]]</f>
        <v>476.58000000000004</v>
      </c>
      <c r="AA125" s="45">
        <f>OrdersRawTable9[[#This Row],[Net_Sales]]-OrdersRawTable9[[#This Row],[Total_Cost]]</f>
        <v>425.1</v>
      </c>
      <c r="AB125" s="48">
        <f>IF(OrdersRawTable9[[#This Row],[Net_Sales]]=0,0,OrdersRawTable9[[#This Row],[Profit]]/OrdersRawTable9[[#This Row],[Net_Sales]])</f>
        <v>0.47145328719723184</v>
      </c>
      <c r="AC125" s="45" t="str">
        <f>IF(COUNTIF(ReturnsRawTable[Order_Line_ID],OrdersRawTable9[[#This Row],[Order_Line_ID]])&gt;0,"Yes","No")</f>
        <v>No</v>
      </c>
      <c r="AD125" s="45" t="str">
        <f>IFERROR(VLOOKUP(OrdersRawTable9[[#This Row],[Order_Line_ID]],ReturnsRawTable[[#All],[Order_Line_ID]:[Return_Reason_Raw]],3,FALSE),"")</f>
        <v/>
      </c>
      <c r="AE125" s="49" t="str">
        <f>IFERROR(VLOOKUP(OrdersRawTable9[[#This Row],[Order_Line_ID]],ReturnsRawTable[[#All],[Order_Line_ID]:[Return_Date]],2,FALSE),"")</f>
        <v/>
      </c>
      <c r="AF125" s="45" t="str">
        <f>IFERROR(VLOOKUP(OrdersRawTable9[[#This Row],[Order_Line_ID]],ReturnsRawTable[[Order_Line_ID]:[Refund_Status]],4,FALSE),"")</f>
        <v/>
      </c>
      <c r="AG125" s="45" t="str">
        <f>VLOOKUP(OrdersRawTable9[[#This Row],[Order_ID]],ShipmentsTable[],6,FALSE)</f>
        <v>On time</v>
      </c>
      <c r="AH125" s="49">
        <f>VLOOKUP(OrdersRawTable9[[#This Row],[Order_ID]],ShipmentsTable[],3,FALSE)</f>
        <v>45759</v>
      </c>
    </row>
    <row r="126" spans="1:34" ht="15" customHeight="1">
      <c r="A126" s="14" t="s">
        <v>362</v>
      </c>
      <c r="B126" s="10" t="s">
        <v>357</v>
      </c>
      <c r="C126" s="20">
        <v>45756</v>
      </c>
      <c r="D126" s="10" t="s">
        <v>358</v>
      </c>
      <c r="E126" s="10" t="s">
        <v>359</v>
      </c>
      <c r="F126" s="10" t="str">
        <f>TRIM(LEFT(OrdersRawTable9[[#This Row],[Customer_Info]],FIND(",",OrdersRawTable9[[#This Row],[Customer_Info]])-1))</f>
        <v>Yara Ali</v>
      </c>
      <c r="G12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126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126" s="10">
        <f>LEN(OrdersRawTable9[[#This Row],[Customer_Info]])-LEN(SUBSTITUTE(OrdersRawTable9[[#This Row],[Customer_Info]],",",""))</f>
        <v>2</v>
      </c>
      <c r="J126" s="10" t="s">
        <v>57</v>
      </c>
      <c r="K126" s="23">
        <v>4</v>
      </c>
      <c r="L126" s="26">
        <v>208.81</v>
      </c>
      <c r="M126" s="29">
        <v>0</v>
      </c>
      <c r="N126" s="10" t="s">
        <v>64</v>
      </c>
      <c r="O126" s="10" t="str">
        <f>IF(TRIM(OrdersRawTable9[[#This Row],[Sales_Channel_Raw]])="Market place","Marketplace",TRIM(OrdersRawTable9[[#This Row],[Sales_Channel_Raw]]))</f>
        <v>Retail Store</v>
      </c>
      <c r="P126" s="10" t="s">
        <v>41</v>
      </c>
      <c r="Q126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126" s="15" t="s">
        <v>101</v>
      </c>
      <c r="S126" t="str">
        <f>VLOOKUP(OrdersRawTable9[[#This Row],[Customer_ID_Raw]],CustomersTable11[],4,FALSE)</f>
        <v>Quebec</v>
      </c>
      <c r="T126" t="str">
        <f>VLOOKUP(OrdersRawTable9[[#This Row],[Customer_ID_Raw]],CustomersTable11[],5,FALSE)</f>
        <v>Consumer</v>
      </c>
      <c r="U126" s="45">
        <f>VLOOKUP(OrdersRawTable9[[#This Row],[Product_ID]],ProductsTable10[],4,FALSE)</f>
        <v>139.04</v>
      </c>
      <c r="V126" t="str">
        <f>VLOOKUP(OrdersRawTable9[[#This Row],[Product_ID]],ProductsTable10[],3,FALSE)</f>
        <v>Fitness</v>
      </c>
      <c r="W126" s="45">
        <f>OrdersRawTable9[[#This Row],[Unit_Price]]*OrdersRawTable9[[#This Row],[Quantity]]</f>
        <v>835.24</v>
      </c>
      <c r="X126" s="47">
        <f>OrdersRawTable9[[#This Row],[Gross_Sales]]*OrdersRawTable9[[#This Row],[Discount_Pct]]</f>
        <v>0</v>
      </c>
      <c r="Y126" s="45">
        <f>OrdersRawTable9[[#This Row],[Gross_Sales]]-OrdersRawTable9[[#This Row],[Discount_Amount]]</f>
        <v>835.24</v>
      </c>
      <c r="Z126" s="45">
        <f>OrdersRawTable9[[#This Row],[Unit_Cost]]*OrdersRawTable9[[#This Row],[Quantity]]</f>
        <v>556.16</v>
      </c>
      <c r="AA126" s="45">
        <f>OrdersRawTable9[[#This Row],[Net_Sales]]-OrdersRawTable9[[#This Row],[Total_Cost]]</f>
        <v>279.08000000000004</v>
      </c>
      <c r="AB126" s="48">
        <f>IF(OrdersRawTable9[[#This Row],[Net_Sales]]=0,0,OrdersRawTable9[[#This Row],[Profit]]/OrdersRawTable9[[#This Row],[Net_Sales]])</f>
        <v>0.3341315071117284</v>
      </c>
      <c r="AC126" s="45" t="str">
        <f>IF(COUNTIF(ReturnsRawTable[Order_Line_ID],OrdersRawTable9[[#This Row],[Order_Line_ID]])&gt;0,"Yes","No")</f>
        <v>No</v>
      </c>
      <c r="AD126" s="45" t="str">
        <f>IFERROR(VLOOKUP(OrdersRawTable9[[#This Row],[Order_Line_ID]],ReturnsRawTable[[#All],[Order_Line_ID]:[Return_Reason_Raw]],3,FALSE),"")</f>
        <v/>
      </c>
      <c r="AE126" s="49" t="str">
        <f>IFERROR(VLOOKUP(OrdersRawTable9[[#This Row],[Order_Line_ID]],ReturnsRawTable[[#All],[Order_Line_ID]:[Return_Date]],2,FALSE),"")</f>
        <v/>
      </c>
      <c r="AF126" s="45" t="str">
        <f>IFERROR(VLOOKUP(OrdersRawTable9[[#This Row],[Order_Line_ID]],ReturnsRawTable[[Order_Line_ID]:[Refund_Status]],4,FALSE),"")</f>
        <v/>
      </c>
      <c r="AG126" s="45" t="str">
        <f>VLOOKUP(OrdersRawTable9[[#This Row],[Order_ID]],ShipmentsTable[],6,FALSE)</f>
        <v>On time</v>
      </c>
      <c r="AH126" s="49">
        <f>VLOOKUP(OrdersRawTable9[[#This Row],[Order_ID]],ShipmentsTable[],3,FALSE)</f>
        <v>45759</v>
      </c>
    </row>
    <row r="127" spans="1:34" ht="15" customHeight="1">
      <c r="A127" s="14" t="s">
        <v>363</v>
      </c>
      <c r="B127" s="10" t="s">
        <v>364</v>
      </c>
      <c r="C127" s="20">
        <v>45755</v>
      </c>
      <c r="D127" s="10" t="s">
        <v>365</v>
      </c>
      <c r="E127" s="10" t="s">
        <v>366</v>
      </c>
      <c r="F127" s="10" t="str">
        <f>TRIM(LEFT(OrdersRawTable9[[#This Row],[Customer_Info]],FIND(",",OrdersRawTable9[[#This Row],[Customer_Info]])-1))</f>
        <v>Emma Singh</v>
      </c>
      <c r="G12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127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127" s="10">
        <f>LEN(OrdersRawTable9[[#This Row],[Customer_Info]])-LEN(SUBSTITUTE(OrdersRawTable9[[#This Row],[Customer_Info]],",",""))</f>
        <v>2</v>
      </c>
      <c r="J127" s="10" t="s">
        <v>57</v>
      </c>
      <c r="K127" s="23">
        <v>1</v>
      </c>
      <c r="L127" s="26">
        <v>208.81</v>
      </c>
      <c r="M127" s="29">
        <v>0</v>
      </c>
      <c r="N127" s="10" t="s">
        <v>66</v>
      </c>
      <c r="O127" s="10" t="str">
        <f>IF(TRIM(OrdersRawTable9[[#This Row],[Sales_Channel_Raw]])="Market place","Marketplace",TRIM(OrdersRawTable9[[#This Row],[Sales_Channel_Raw]]))</f>
        <v>Marketplace</v>
      </c>
      <c r="P127" s="10" t="s">
        <v>51</v>
      </c>
      <c r="Q127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127" s="15" t="s">
        <v>42</v>
      </c>
      <c r="S127" t="str">
        <f>VLOOKUP(OrdersRawTable9[[#This Row],[Customer_ID_Raw]],CustomersTable11[],4,FALSE)</f>
        <v>Manitoba</v>
      </c>
      <c r="T127" t="str">
        <f>VLOOKUP(OrdersRawTable9[[#This Row],[Customer_ID_Raw]],CustomersTable11[],5,FALSE)</f>
        <v>Small Business</v>
      </c>
      <c r="U127" s="45">
        <f>VLOOKUP(OrdersRawTable9[[#This Row],[Product_ID]],ProductsTable10[],4,FALSE)</f>
        <v>139.04</v>
      </c>
      <c r="V127" t="str">
        <f>VLOOKUP(OrdersRawTable9[[#This Row],[Product_ID]],ProductsTable10[],3,FALSE)</f>
        <v>Fitness</v>
      </c>
      <c r="W127" s="45">
        <f>OrdersRawTable9[[#This Row],[Unit_Price]]*OrdersRawTable9[[#This Row],[Quantity]]</f>
        <v>208.81</v>
      </c>
      <c r="X127" s="47">
        <f>OrdersRawTable9[[#This Row],[Gross_Sales]]*OrdersRawTable9[[#This Row],[Discount_Pct]]</f>
        <v>0</v>
      </c>
      <c r="Y127" s="45">
        <f>OrdersRawTable9[[#This Row],[Gross_Sales]]-OrdersRawTable9[[#This Row],[Discount_Amount]]</f>
        <v>208.81</v>
      </c>
      <c r="Z127" s="45">
        <f>OrdersRawTable9[[#This Row],[Unit_Cost]]*OrdersRawTable9[[#This Row],[Quantity]]</f>
        <v>139.04</v>
      </c>
      <c r="AA127" s="45">
        <f>OrdersRawTable9[[#This Row],[Net_Sales]]-OrdersRawTable9[[#This Row],[Total_Cost]]</f>
        <v>69.77000000000001</v>
      </c>
      <c r="AB127" s="48">
        <f>IF(OrdersRawTable9[[#This Row],[Net_Sales]]=0,0,OrdersRawTable9[[#This Row],[Profit]]/OrdersRawTable9[[#This Row],[Net_Sales]])</f>
        <v>0.3341315071117284</v>
      </c>
      <c r="AC127" s="45" t="str">
        <f>IF(COUNTIF(ReturnsRawTable[Order_Line_ID],OrdersRawTable9[[#This Row],[Order_Line_ID]])&gt;0,"Yes","No")</f>
        <v>No</v>
      </c>
      <c r="AD127" s="45" t="str">
        <f>IFERROR(VLOOKUP(OrdersRawTable9[[#This Row],[Order_Line_ID]],ReturnsRawTable[[#All],[Order_Line_ID]:[Return_Reason_Raw]],3,FALSE),"")</f>
        <v/>
      </c>
      <c r="AE127" s="49" t="str">
        <f>IFERROR(VLOOKUP(OrdersRawTable9[[#This Row],[Order_Line_ID]],ReturnsRawTable[[#All],[Order_Line_ID]:[Return_Date]],2,FALSE),"")</f>
        <v/>
      </c>
      <c r="AF127" s="45" t="str">
        <f>IFERROR(VLOOKUP(OrdersRawTable9[[#This Row],[Order_Line_ID]],ReturnsRawTable[[Order_Line_ID]:[Refund_Status]],4,FALSE),"")</f>
        <v/>
      </c>
      <c r="AG127" s="45" t="str">
        <f>VLOOKUP(OrdersRawTable9[[#This Row],[Order_ID]],ShipmentsTable[],6,FALSE)</f>
        <v>On time</v>
      </c>
      <c r="AH127" s="49">
        <f>VLOOKUP(OrdersRawTable9[[#This Row],[Order_ID]],ShipmentsTable[],3,FALSE)</f>
        <v>45758</v>
      </c>
    </row>
    <row r="128" spans="1:34" ht="15" customHeight="1">
      <c r="A128" s="14" t="s">
        <v>367</v>
      </c>
      <c r="B128" s="10" t="s">
        <v>364</v>
      </c>
      <c r="C128" s="20">
        <v>45755</v>
      </c>
      <c r="D128" s="10" t="s">
        <v>365</v>
      </c>
      <c r="E128" s="10" t="s">
        <v>366</v>
      </c>
      <c r="F128" s="10" t="str">
        <f>TRIM(LEFT(OrdersRawTable9[[#This Row],[Customer_Info]],FIND(",",OrdersRawTable9[[#This Row],[Customer_Info]])-1))</f>
        <v>Emma Singh</v>
      </c>
      <c r="G12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128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128" s="10">
        <f>LEN(OrdersRawTable9[[#This Row],[Customer_Info]])-LEN(SUBSTITUTE(OrdersRawTable9[[#This Row],[Customer_Info]],",",""))</f>
        <v>2</v>
      </c>
      <c r="J128" s="10" t="s">
        <v>270</v>
      </c>
      <c r="K128" s="23">
        <v>2</v>
      </c>
      <c r="L128" s="26">
        <v>214.38</v>
      </c>
      <c r="M128" s="29">
        <v>0.1</v>
      </c>
      <c r="N128" s="10" t="s">
        <v>66</v>
      </c>
      <c r="O128" s="10" t="str">
        <f>IF(TRIM(OrdersRawTable9[[#This Row],[Sales_Channel_Raw]])="Market place","Marketplace",TRIM(OrdersRawTable9[[#This Row],[Sales_Channel_Raw]]))</f>
        <v>Marketplace</v>
      </c>
      <c r="P128" s="10" t="s">
        <v>98</v>
      </c>
      <c r="Q128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128" s="15" t="s">
        <v>67</v>
      </c>
      <c r="S128" t="str">
        <f>VLOOKUP(OrdersRawTable9[[#This Row],[Customer_ID_Raw]],CustomersTable11[],4,FALSE)</f>
        <v>Manitoba</v>
      </c>
      <c r="T128" t="str">
        <f>VLOOKUP(OrdersRawTable9[[#This Row],[Customer_ID_Raw]],CustomersTable11[],5,FALSE)</f>
        <v>Small Business</v>
      </c>
      <c r="U128" s="45">
        <f>VLOOKUP(OrdersRawTable9[[#This Row],[Product_ID]],ProductsTable10[],4,FALSE)</f>
        <v>131.51</v>
      </c>
      <c r="V128" t="str">
        <f>VLOOKUP(OrdersRawTable9[[#This Row],[Product_ID]],ProductsTable10[],3,FALSE)</f>
        <v>Fitness</v>
      </c>
      <c r="W128" s="45">
        <f>OrdersRawTable9[[#This Row],[Unit_Price]]*OrdersRawTable9[[#This Row],[Quantity]]</f>
        <v>428.76</v>
      </c>
      <c r="X128" s="47">
        <f>OrdersRawTable9[[#This Row],[Gross_Sales]]*OrdersRawTable9[[#This Row],[Discount_Pct]]</f>
        <v>42.876000000000005</v>
      </c>
      <c r="Y128" s="45">
        <f>OrdersRawTable9[[#This Row],[Gross_Sales]]-OrdersRawTable9[[#This Row],[Discount_Amount]]</f>
        <v>385.88400000000001</v>
      </c>
      <c r="Z128" s="45">
        <f>OrdersRawTable9[[#This Row],[Unit_Cost]]*OrdersRawTable9[[#This Row],[Quantity]]</f>
        <v>263.02</v>
      </c>
      <c r="AA128" s="45">
        <f>OrdersRawTable9[[#This Row],[Net_Sales]]-OrdersRawTable9[[#This Row],[Total_Cost]]</f>
        <v>122.86400000000003</v>
      </c>
      <c r="AB128" s="48">
        <f>IF(OrdersRawTable9[[#This Row],[Net_Sales]]=0,0,OrdersRawTable9[[#This Row],[Profit]]/OrdersRawTable9[[#This Row],[Net_Sales]])</f>
        <v>0.31839620196743068</v>
      </c>
      <c r="AC128" s="45" t="str">
        <f>IF(COUNTIF(ReturnsRawTable[Order_Line_ID],OrdersRawTable9[[#This Row],[Order_Line_ID]])&gt;0,"Yes","No")</f>
        <v>No</v>
      </c>
      <c r="AD128" s="45" t="str">
        <f>IFERROR(VLOOKUP(OrdersRawTable9[[#This Row],[Order_Line_ID]],ReturnsRawTable[[#All],[Order_Line_ID]:[Return_Reason_Raw]],3,FALSE),"")</f>
        <v/>
      </c>
      <c r="AE128" s="49" t="str">
        <f>IFERROR(VLOOKUP(OrdersRawTable9[[#This Row],[Order_Line_ID]],ReturnsRawTable[[#All],[Order_Line_ID]:[Return_Date]],2,FALSE),"")</f>
        <v/>
      </c>
      <c r="AF128" s="45" t="str">
        <f>IFERROR(VLOOKUP(OrdersRawTable9[[#This Row],[Order_Line_ID]],ReturnsRawTable[[Order_Line_ID]:[Refund_Status]],4,FALSE),"")</f>
        <v/>
      </c>
      <c r="AG128" s="45" t="str">
        <f>VLOOKUP(OrdersRawTable9[[#This Row],[Order_ID]],ShipmentsTable[],6,FALSE)</f>
        <v>On time</v>
      </c>
      <c r="AH128" s="49">
        <f>VLOOKUP(OrdersRawTable9[[#This Row],[Order_ID]],ShipmentsTable[],3,FALSE)</f>
        <v>45758</v>
      </c>
    </row>
    <row r="129" spans="1:34" ht="15" customHeight="1">
      <c r="A129" s="14" t="s">
        <v>368</v>
      </c>
      <c r="B129" s="10" t="s">
        <v>364</v>
      </c>
      <c r="C129" s="20">
        <v>45755</v>
      </c>
      <c r="D129" s="10" t="s">
        <v>365</v>
      </c>
      <c r="E129" s="10" t="s">
        <v>366</v>
      </c>
      <c r="F129" s="10" t="str">
        <f>TRIM(LEFT(OrdersRawTable9[[#This Row],[Customer_Info]],FIND(",",OrdersRawTable9[[#This Row],[Customer_Info]])-1))</f>
        <v>Emma Singh</v>
      </c>
      <c r="G12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129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129" s="10">
        <f>LEN(OrdersRawTable9[[#This Row],[Customer_Info]])-LEN(SUBSTITUTE(OrdersRawTable9[[#This Row],[Customer_Info]],",",""))</f>
        <v>2</v>
      </c>
      <c r="J129" s="10" t="s">
        <v>270</v>
      </c>
      <c r="K129" s="23">
        <v>2</v>
      </c>
      <c r="L129" s="26">
        <v>214.38</v>
      </c>
      <c r="M129" s="29">
        <v>0.15</v>
      </c>
      <c r="N129" s="10" t="s">
        <v>70</v>
      </c>
      <c r="O129" s="10" t="str">
        <f>IF(TRIM(OrdersRawTable9[[#This Row],[Sales_Channel_Raw]])="Market place","Marketplace",TRIM(OrdersRawTable9[[#This Row],[Sales_Channel_Raw]]))</f>
        <v>online</v>
      </c>
      <c r="P129" s="10" t="s">
        <v>41</v>
      </c>
      <c r="Q129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129" s="15" t="s">
        <v>47</v>
      </c>
      <c r="S129" t="str">
        <f>VLOOKUP(OrdersRawTable9[[#This Row],[Customer_ID_Raw]],CustomersTable11[],4,FALSE)</f>
        <v>Manitoba</v>
      </c>
      <c r="T129" t="str">
        <f>VLOOKUP(OrdersRawTable9[[#This Row],[Customer_ID_Raw]],CustomersTable11[],5,FALSE)</f>
        <v>Small Business</v>
      </c>
      <c r="U129" s="45">
        <f>VLOOKUP(OrdersRawTable9[[#This Row],[Product_ID]],ProductsTable10[],4,FALSE)</f>
        <v>131.51</v>
      </c>
      <c r="V129" t="str">
        <f>VLOOKUP(OrdersRawTable9[[#This Row],[Product_ID]],ProductsTable10[],3,FALSE)</f>
        <v>Fitness</v>
      </c>
      <c r="W129" s="45">
        <f>OrdersRawTable9[[#This Row],[Unit_Price]]*OrdersRawTable9[[#This Row],[Quantity]]</f>
        <v>428.76</v>
      </c>
      <c r="X129" s="47">
        <f>OrdersRawTable9[[#This Row],[Gross_Sales]]*OrdersRawTable9[[#This Row],[Discount_Pct]]</f>
        <v>64.313999999999993</v>
      </c>
      <c r="Y129" s="45">
        <f>OrdersRawTable9[[#This Row],[Gross_Sales]]-OrdersRawTable9[[#This Row],[Discount_Amount]]</f>
        <v>364.44600000000003</v>
      </c>
      <c r="Z129" s="45">
        <f>OrdersRawTable9[[#This Row],[Unit_Cost]]*OrdersRawTable9[[#This Row],[Quantity]]</f>
        <v>263.02</v>
      </c>
      <c r="AA129" s="45">
        <f>OrdersRawTable9[[#This Row],[Net_Sales]]-OrdersRawTable9[[#This Row],[Total_Cost]]</f>
        <v>101.42600000000004</v>
      </c>
      <c r="AB129" s="48">
        <f>IF(OrdersRawTable9[[#This Row],[Net_Sales]]=0,0,OrdersRawTable9[[#This Row],[Profit]]/OrdersRawTable9[[#This Row],[Net_Sales]])</f>
        <v>0.27830186090669135</v>
      </c>
      <c r="AC129" s="45" t="str">
        <f>IF(COUNTIF(ReturnsRawTable[Order_Line_ID],OrdersRawTable9[[#This Row],[Order_Line_ID]])&gt;0,"Yes","No")</f>
        <v>No</v>
      </c>
      <c r="AD129" s="45" t="str">
        <f>IFERROR(VLOOKUP(OrdersRawTable9[[#This Row],[Order_Line_ID]],ReturnsRawTable[[#All],[Order_Line_ID]:[Return_Reason_Raw]],3,FALSE),"")</f>
        <v/>
      </c>
      <c r="AE129" s="49" t="str">
        <f>IFERROR(VLOOKUP(OrdersRawTable9[[#This Row],[Order_Line_ID]],ReturnsRawTable[[#All],[Order_Line_ID]:[Return_Date]],2,FALSE),"")</f>
        <v/>
      </c>
      <c r="AF129" s="45" t="str">
        <f>IFERROR(VLOOKUP(OrdersRawTable9[[#This Row],[Order_Line_ID]],ReturnsRawTable[[Order_Line_ID]:[Refund_Status]],4,FALSE),"")</f>
        <v/>
      </c>
      <c r="AG129" s="45" t="str">
        <f>VLOOKUP(OrdersRawTable9[[#This Row],[Order_ID]],ShipmentsTable[],6,FALSE)</f>
        <v>On time</v>
      </c>
      <c r="AH129" s="49">
        <f>VLOOKUP(OrdersRawTable9[[#This Row],[Order_ID]],ShipmentsTable[],3,FALSE)</f>
        <v>45758</v>
      </c>
    </row>
    <row r="130" spans="1:34" ht="15" customHeight="1">
      <c r="A130" s="14" t="s">
        <v>369</v>
      </c>
      <c r="B130" s="10" t="s">
        <v>370</v>
      </c>
      <c r="C130" s="20">
        <v>45944</v>
      </c>
      <c r="D130" s="10" t="s">
        <v>371</v>
      </c>
      <c r="E130" s="10" t="s">
        <v>372</v>
      </c>
      <c r="F130" s="10" t="str">
        <f>TRIM(LEFT(OrdersRawTable9[[#This Row],[Customer_Info]],FIND(",",OrdersRawTable9[[#This Row],[Customer_Info]])-1))</f>
        <v>Noah Khan</v>
      </c>
      <c r="G13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130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130" s="10">
        <f>LEN(OrdersRawTable9[[#This Row],[Customer_Info]])-LEN(SUBSTITUTE(OrdersRawTable9[[#This Row],[Customer_Info]],",",""))</f>
        <v>2</v>
      </c>
      <c r="J130" s="10" t="s">
        <v>180</v>
      </c>
      <c r="K130" s="23">
        <v>4</v>
      </c>
      <c r="L130" s="26">
        <v>91.75</v>
      </c>
      <c r="M130" s="29">
        <v>0</v>
      </c>
      <c r="N130" s="10" t="s">
        <v>70</v>
      </c>
      <c r="O130" s="10" t="str">
        <f>IF(TRIM(OrdersRawTable9[[#This Row],[Sales_Channel_Raw]])="Market place","Marketplace",TRIM(OrdersRawTable9[[#This Row],[Sales_Channel_Raw]]))</f>
        <v>online</v>
      </c>
      <c r="P130" s="10" t="s">
        <v>46</v>
      </c>
      <c r="Q130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130" s="15" t="s">
        <v>47</v>
      </c>
      <c r="S130" t="str">
        <f>VLOOKUP(OrdersRawTable9[[#This Row],[Customer_ID_Raw]],CustomersTable11[],4,FALSE)</f>
        <v>British Columbia</v>
      </c>
      <c r="T130" t="str">
        <f>VLOOKUP(OrdersRawTable9[[#This Row],[Customer_ID_Raw]],CustomersTable11[],5,FALSE)</f>
        <v>Consumer</v>
      </c>
      <c r="U130" s="45">
        <f>VLOOKUP(OrdersRawTable9[[#This Row],[Product_ID]],ProductsTable10[],4,FALSE)</f>
        <v>58.27</v>
      </c>
      <c r="V130" t="str">
        <f>VLOOKUP(OrdersRawTable9[[#This Row],[Product_ID]],ProductsTable10[],3,FALSE)</f>
        <v>Home</v>
      </c>
      <c r="W130" s="45">
        <f>OrdersRawTable9[[#This Row],[Unit_Price]]*OrdersRawTable9[[#This Row],[Quantity]]</f>
        <v>367</v>
      </c>
      <c r="X130" s="47">
        <f>OrdersRawTable9[[#This Row],[Gross_Sales]]*OrdersRawTable9[[#This Row],[Discount_Pct]]</f>
        <v>0</v>
      </c>
      <c r="Y130" s="45">
        <f>OrdersRawTable9[[#This Row],[Gross_Sales]]-OrdersRawTable9[[#This Row],[Discount_Amount]]</f>
        <v>367</v>
      </c>
      <c r="Z130" s="45">
        <f>OrdersRawTable9[[#This Row],[Unit_Cost]]*OrdersRawTable9[[#This Row],[Quantity]]</f>
        <v>233.08</v>
      </c>
      <c r="AA130" s="45">
        <f>OrdersRawTable9[[#This Row],[Net_Sales]]-OrdersRawTable9[[#This Row],[Total_Cost]]</f>
        <v>133.91999999999999</v>
      </c>
      <c r="AB130" s="48">
        <f>IF(OrdersRawTable9[[#This Row],[Net_Sales]]=0,0,OrdersRawTable9[[#This Row],[Profit]]/OrdersRawTable9[[#This Row],[Net_Sales]])</f>
        <v>0.3649046321525885</v>
      </c>
      <c r="AC130" s="45" t="str">
        <f>IF(COUNTIF(ReturnsRawTable[Order_Line_ID],OrdersRawTable9[[#This Row],[Order_Line_ID]])&gt;0,"Yes","No")</f>
        <v>No</v>
      </c>
      <c r="AD130" s="45" t="str">
        <f>IFERROR(VLOOKUP(OrdersRawTable9[[#This Row],[Order_Line_ID]],ReturnsRawTable[[#All],[Order_Line_ID]:[Return_Reason_Raw]],3,FALSE),"")</f>
        <v/>
      </c>
      <c r="AE130" s="49" t="str">
        <f>IFERROR(VLOOKUP(OrdersRawTable9[[#This Row],[Order_Line_ID]],ReturnsRawTable[[#All],[Order_Line_ID]:[Return_Date]],2,FALSE),"")</f>
        <v/>
      </c>
      <c r="AF130" s="45" t="str">
        <f>IFERROR(VLOOKUP(OrdersRawTable9[[#This Row],[Order_Line_ID]],ReturnsRawTable[[Order_Line_ID]:[Refund_Status]],4,FALSE),"")</f>
        <v/>
      </c>
      <c r="AG130" s="45" t="str">
        <f>VLOOKUP(OrdersRawTable9[[#This Row],[Order_ID]],ShipmentsTable[],6,FALSE)</f>
        <v>Late</v>
      </c>
      <c r="AH130" s="49">
        <f>VLOOKUP(OrdersRawTable9[[#This Row],[Order_ID]],ShipmentsTable[],3,FALSE)</f>
        <v>45949</v>
      </c>
    </row>
    <row r="131" spans="1:34" ht="15" customHeight="1">
      <c r="A131" s="14" t="s">
        <v>373</v>
      </c>
      <c r="B131" s="10" t="s">
        <v>370</v>
      </c>
      <c r="C131" s="20">
        <v>45944</v>
      </c>
      <c r="D131" s="10" t="s">
        <v>371</v>
      </c>
      <c r="E131" s="10" t="s">
        <v>372</v>
      </c>
      <c r="F131" s="10" t="str">
        <f>TRIM(LEFT(OrdersRawTable9[[#This Row],[Customer_Info]],FIND(",",OrdersRawTable9[[#This Row],[Customer_Info]])-1))</f>
        <v>Noah Khan</v>
      </c>
      <c r="G13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131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131" s="10">
        <f>LEN(OrdersRawTable9[[#This Row],[Customer_Info]])-LEN(SUBSTITUTE(OrdersRawTable9[[#This Row],[Customer_Info]],",",""))</f>
        <v>2</v>
      </c>
      <c r="J131" s="10" t="s">
        <v>303</v>
      </c>
      <c r="K131" s="23">
        <v>3</v>
      </c>
      <c r="L131" s="26">
        <v>72.81</v>
      </c>
      <c r="M131" s="29">
        <v>0.15</v>
      </c>
      <c r="N131" s="10" t="s">
        <v>64</v>
      </c>
      <c r="O131" s="10" t="str">
        <f>IF(TRIM(OrdersRawTable9[[#This Row],[Sales_Channel_Raw]])="Market place","Marketplace",TRIM(OrdersRawTable9[[#This Row],[Sales_Channel_Raw]]))</f>
        <v>Retail Store</v>
      </c>
      <c r="P131" s="10" t="s">
        <v>98</v>
      </c>
      <c r="Q131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131" s="15" t="s">
        <v>101</v>
      </c>
      <c r="S131" t="str">
        <f>VLOOKUP(OrdersRawTable9[[#This Row],[Customer_ID_Raw]],CustomersTable11[],4,FALSE)</f>
        <v>British Columbia</v>
      </c>
      <c r="T131" t="str">
        <f>VLOOKUP(OrdersRawTable9[[#This Row],[Customer_ID_Raw]],CustomersTable11[],5,FALSE)</f>
        <v>Consumer</v>
      </c>
      <c r="U131" s="45">
        <f>VLOOKUP(OrdersRawTable9[[#This Row],[Product_ID]],ProductsTable10[],4,FALSE)</f>
        <v>37.99</v>
      </c>
      <c r="V131" t="str">
        <f>VLOOKUP(OrdersRawTable9[[#This Row],[Product_ID]],ProductsTable10[],3,FALSE)</f>
        <v>Accessories</v>
      </c>
      <c r="W131" s="45">
        <f>OrdersRawTable9[[#This Row],[Unit_Price]]*OrdersRawTable9[[#This Row],[Quantity]]</f>
        <v>218.43</v>
      </c>
      <c r="X131" s="47">
        <f>OrdersRawTable9[[#This Row],[Gross_Sales]]*OrdersRawTable9[[#This Row],[Discount_Pct]]</f>
        <v>32.764499999999998</v>
      </c>
      <c r="Y131" s="45">
        <f>OrdersRawTable9[[#This Row],[Gross_Sales]]-OrdersRawTable9[[#This Row],[Discount_Amount]]</f>
        <v>185.66550000000001</v>
      </c>
      <c r="Z131" s="45">
        <f>OrdersRawTable9[[#This Row],[Unit_Cost]]*OrdersRawTable9[[#This Row],[Quantity]]</f>
        <v>113.97</v>
      </c>
      <c r="AA131" s="45">
        <f>OrdersRawTable9[[#This Row],[Net_Sales]]-OrdersRawTable9[[#This Row],[Total_Cost]]</f>
        <v>71.69550000000001</v>
      </c>
      <c r="AB131" s="48">
        <f>IF(OrdersRawTable9[[#This Row],[Net_Sales]]=0,0,OrdersRawTable9[[#This Row],[Profit]]/OrdersRawTable9[[#This Row],[Net_Sales]])</f>
        <v>0.38615413202775961</v>
      </c>
      <c r="AC131" s="45" t="str">
        <f>IF(COUNTIF(ReturnsRawTable[Order_Line_ID],OrdersRawTable9[[#This Row],[Order_Line_ID]])&gt;0,"Yes","No")</f>
        <v>No</v>
      </c>
      <c r="AD131" s="45" t="str">
        <f>IFERROR(VLOOKUP(OrdersRawTable9[[#This Row],[Order_Line_ID]],ReturnsRawTable[[#All],[Order_Line_ID]:[Return_Reason_Raw]],3,FALSE),"")</f>
        <v/>
      </c>
      <c r="AE131" s="49" t="str">
        <f>IFERROR(VLOOKUP(OrdersRawTable9[[#This Row],[Order_Line_ID]],ReturnsRawTable[[#All],[Order_Line_ID]:[Return_Date]],2,FALSE),"")</f>
        <v/>
      </c>
      <c r="AF131" s="45" t="str">
        <f>IFERROR(VLOOKUP(OrdersRawTable9[[#This Row],[Order_Line_ID]],ReturnsRawTable[[Order_Line_ID]:[Refund_Status]],4,FALSE),"")</f>
        <v/>
      </c>
      <c r="AG131" s="45" t="str">
        <f>VLOOKUP(OrdersRawTable9[[#This Row],[Order_ID]],ShipmentsTable[],6,FALSE)</f>
        <v>Late</v>
      </c>
      <c r="AH131" s="49">
        <f>VLOOKUP(OrdersRawTable9[[#This Row],[Order_ID]],ShipmentsTable[],3,FALSE)</f>
        <v>45949</v>
      </c>
    </row>
    <row r="132" spans="1:34" ht="15" customHeight="1">
      <c r="A132" s="14" t="s">
        <v>374</v>
      </c>
      <c r="B132" s="10" t="s">
        <v>370</v>
      </c>
      <c r="C132" s="20">
        <v>45944</v>
      </c>
      <c r="D132" s="10" t="s">
        <v>371</v>
      </c>
      <c r="E132" s="10" t="s">
        <v>372</v>
      </c>
      <c r="F132" s="10" t="str">
        <f>TRIM(LEFT(OrdersRawTable9[[#This Row],[Customer_Info]],FIND(",",OrdersRawTable9[[#This Row],[Customer_Info]])-1))</f>
        <v>Noah Khan</v>
      </c>
      <c r="G13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132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132" s="10">
        <f>LEN(OrdersRawTable9[[#This Row],[Customer_Info]])-LEN(SUBSTITUTE(OrdersRawTable9[[#This Row],[Customer_Info]],",",""))</f>
        <v>2</v>
      </c>
      <c r="J132" s="10" t="s">
        <v>49</v>
      </c>
      <c r="K132" s="23">
        <v>2</v>
      </c>
      <c r="L132" s="26">
        <v>300.16000000000003</v>
      </c>
      <c r="M132" s="29">
        <v>0</v>
      </c>
      <c r="N132" s="10" t="s">
        <v>50</v>
      </c>
      <c r="O132" s="10" t="str">
        <f>IF(TRIM(OrdersRawTable9[[#This Row],[Sales_Channel_Raw]])="Market place","Marketplace",TRIM(OrdersRawTable9[[#This Row],[Sales_Channel_Raw]]))</f>
        <v>Marketplace</v>
      </c>
      <c r="P132" s="10" t="s">
        <v>41</v>
      </c>
      <c r="Q132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132" s="15" t="s">
        <v>42</v>
      </c>
      <c r="S132" t="str">
        <f>VLOOKUP(OrdersRawTable9[[#This Row],[Customer_ID_Raw]],CustomersTable11[],4,FALSE)</f>
        <v>British Columbia</v>
      </c>
      <c r="T132" t="str">
        <f>VLOOKUP(OrdersRawTable9[[#This Row],[Customer_ID_Raw]],CustomersTable11[],5,FALSE)</f>
        <v>Consumer</v>
      </c>
      <c r="U132" s="45">
        <f>VLOOKUP(OrdersRawTable9[[#This Row],[Product_ID]],ProductsTable10[],4,FALSE)</f>
        <v>158.46</v>
      </c>
      <c r="V132" t="str">
        <f>VLOOKUP(OrdersRawTable9[[#This Row],[Product_ID]],ProductsTable10[],3,FALSE)</f>
        <v>Office</v>
      </c>
      <c r="W132" s="45">
        <f>OrdersRawTable9[[#This Row],[Unit_Price]]*OrdersRawTable9[[#This Row],[Quantity]]</f>
        <v>600.32000000000005</v>
      </c>
      <c r="X132" s="47">
        <f>OrdersRawTable9[[#This Row],[Gross_Sales]]*OrdersRawTable9[[#This Row],[Discount_Pct]]</f>
        <v>0</v>
      </c>
      <c r="Y132" s="45">
        <f>OrdersRawTable9[[#This Row],[Gross_Sales]]-OrdersRawTable9[[#This Row],[Discount_Amount]]</f>
        <v>600.32000000000005</v>
      </c>
      <c r="Z132" s="45">
        <f>OrdersRawTable9[[#This Row],[Unit_Cost]]*OrdersRawTable9[[#This Row],[Quantity]]</f>
        <v>316.92</v>
      </c>
      <c r="AA132" s="45">
        <f>OrdersRawTable9[[#This Row],[Net_Sales]]-OrdersRawTable9[[#This Row],[Total_Cost]]</f>
        <v>283.40000000000003</v>
      </c>
      <c r="AB132" s="48">
        <f>IF(OrdersRawTable9[[#This Row],[Net_Sales]]=0,0,OrdersRawTable9[[#This Row],[Profit]]/OrdersRawTable9[[#This Row],[Net_Sales]])</f>
        <v>0.47208155650319833</v>
      </c>
      <c r="AC132" s="45" t="str">
        <f>IF(COUNTIF(ReturnsRawTable[Order_Line_ID],OrdersRawTable9[[#This Row],[Order_Line_ID]])&gt;0,"Yes","No")</f>
        <v>No</v>
      </c>
      <c r="AD132" s="45" t="str">
        <f>IFERROR(VLOOKUP(OrdersRawTable9[[#This Row],[Order_Line_ID]],ReturnsRawTable[[#All],[Order_Line_ID]:[Return_Reason_Raw]],3,FALSE),"")</f>
        <v/>
      </c>
      <c r="AE132" s="49" t="str">
        <f>IFERROR(VLOOKUP(OrdersRawTable9[[#This Row],[Order_Line_ID]],ReturnsRawTable[[#All],[Order_Line_ID]:[Return_Date]],2,FALSE),"")</f>
        <v/>
      </c>
      <c r="AF132" s="45" t="str">
        <f>IFERROR(VLOOKUP(OrdersRawTable9[[#This Row],[Order_Line_ID]],ReturnsRawTable[[Order_Line_ID]:[Refund_Status]],4,FALSE),"")</f>
        <v/>
      </c>
      <c r="AG132" s="45" t="str">
        <f>VLOOKUP(OrdersRawTable9[[#This Row],[Order_ID]],ShipmentsTable[],6,FALSE)</f>
        <v>Late</v>
      </c>
      <c r="AH132" s="49">
        <f>VLOOKUP(OrdersRawTable9[[#This Row],[Order_ID]],ShipmentsTable[],3,FALSE)</f>
        <v>45949</v>
      </c>
    </row>
    <row r="133" spans="1:34" ht="15" customHeight="1">
      <c r="A133" s="14" t="s">
        <v>375</v>
      </c>
      <c r="B133" s="10" t="s">
        <v>370</v>
      </c>
      <c r="C133" s="20">
        <v>45944</v>
      </c>
      <c r="D133" s="10" t="s">
        <v>371</v>
      </c>
      <c r="E133" s="10" t="s">
        <v>372</v>
      </c>
      <c r="F133" s="10" t="str">
        <f>TRIM(LEFT(OrdersRawTable9[[#This Row],[Customer_Info]],FIND(",",OrdersRawTable9[[#This Row],[Customer_Info]])-1))</f>
        <v>Noah Khan</v>
      </c>
      <c r="G13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133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133" s="10">
        <f>LEN(OrdersRawTable9[[#This Row],[Customer_Info]])-LEN(SUBSTITUTE(OrdersRawTable9[[#This Row],[Customer_Info]],",",""))</f>
        <v>2</v>
      </c>
      <c r="J133" s="10" t="s">
        <v>44</v>
      </c>
      <c r="K133" s="23">
        <v>4</v>
      </c>
      <c r="L133" s="26">
        <v>238.47</v>
      </c>
      <c r="M133" s="29">
        <v>0</v>
      </c>
      <c r="N133" s="10" t="s">
        <v>45</v>
      </c>
      <c r="O133" s="10" t="str">
        <f>IF(TRIM(OrdersRawTable9[[#This Row],[Sales_Channel_Raw]])="Market place","Marketplace",TRIM(OrdersRawTable9[[#This Row],[Sales_Channel_Raw]]))</f>
        <v>Retail Store</v>
      </c>
      <c r="P133" s="10" t="s">
        <v>41</v>
      </c>
      <c r="Q133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133" s="15" t="s">
        <v>42</v>
      </c>
      <c r="S133" t="str">
        <f>VLOOKUP(OrdersRawTable9[[#This Row],[Customer_ID_Raw]],CustomersTable11[],4,FALSE)</f>
        <v>British Columbia</v>
      </c>
      <c r="T133" t="str">
        <f>VLOOKUP(OrdersRawTable9[[#This Row],[Customer_ID_Raw]],CustomersTable11[],5,FALSE)</f>
        <v>Consumer</v>
      </c>
      <c r="U133" s="45">
        <f>VLOOKUP(OrdersRawTable9[[#This Row],[Product_ID]],ProductsTable10[],4,FALSE)</f>
        <v>127.65</v>
      </c>
      <c r="V133" t="str">
        <f>VLOOKUP(OrdersRawTable9[[#This Row],[Product_ID]],ProductsTable10[],3,FALSE)</f>
        <v>Accessories</v>
      </c>
      <c r="W133" s="45">
        <f>OrdersRawTable9[[#This Row],[Unit_Price]]*OrdersRawTable9[[#This Row],[Quantity]]</f>
        <v>953.88</v>
      </c>
      <c r="X133" s="47">
        <f>OrdersRawTable9[[#This Row],[Gross_Sales]]*OrdersRawTable9[[#This Row],[Discount_Pct]]</f>
        <v>0</v>
      </c>
      <c r="Y133" s="45">
        <f>OrdersRawTable9[[#This Row],[Gross_Sales]]-OrdersRawTable9[[#This Row],[Discount_Amount]]</f>
        <v>953.88</v>
      </c>
      <c r="Z133" s="45">
        <f>OrdersRawTable9[[#This Row],[Unit_Cost]]*OrdersRawTable9[[#This Row],[Quantity]]</f>
        <v>510.6</v>
      </c>
      <c r="AA133" s="45">
        <f>OrdersRawTable9[[#This Row],[Net_Sales]]-OrdersRawTable9[[#This Row],[Total_Cost]]</f>
        <v>443.28</v>
      </c>
      <c r="AB133" s="48">
        <f>IF(OrdersRawTable9[[#This Row],[Net_Sales]]=0,0,OrdersRawTable9[[#This Row],[Profit]]/OrdersRawTable9[[#This Row],[Net_Sales]])</f>
        <v>0.46471254245817079</v>
      </c>
      <c r="AC133" s="45" t="str">
        <f>IF(COUNTIF(ReturnsRawTable[Order_Line_ID],OrdersRawTable9[[#This Row],[Order_Line_ID]])&gt;0,"Yes","No")</f>
        <v>No</v>
      </c>
      <c r="AD133" s="45" t="str">
        <f>IFERROR(VLOOKUP(OrdersRawTable9[[#This Row],[Order_Line_ID]],ReturnsRawTable[[#All],[Order_Line_ID]:[Return_Reason_Raw]],3,FALSE),"")</f>
        <v/>
      </c>
      <c r="AE133" s="49" t="str">
        <f>IFERROR(VLOOKUP(OrdersRawTable9[[#This Row],[Order_Line_ID]],ReturnsRawTable[[#All],[Order_Line_ID]:[Return_Date]],2,FALSE),"")</f>
        <v/>
      </c>
      <c r="AF133" s="45" t="str">
        <f>IFERROR(VLOOKUP(OrdersRawTable9[[#This Row],[Order_Line_ID]],ReturnsRawTable[[Order_Line_ID]:[Refund_Status]],4,FALSE),"")</f>
        <v/>
      </c>
      <c r="AG133" s="45" t="str">
        <f>VLOOKUP(OrdersRawTable9[[#This Row],[Order_ID]],ShipmentsTable[],6,FALSE)</f>
        <v>Late</v>
      </c>
      <c r="AH133" s="49">
        <f>VLOOKUP(OrdersRawTable9[[#This Row],[Order_ID]],ShipmentsTable[],3,FALSE)</f>
        <v>45949</v>
      </c>
    </row>
    <row r="134" spans="1:34" ht="15" customHeight="1">
      <c r="A134" s="14" t="s">
        <v>376</v>
      </c>
      <c r="B134" s="10" t="s">
        <v>377</v>
      </c>
      <c r="C134" s="20">
        <v>45722.041666666664</v>
      </c>
      <c r="D134" s="10" t="s">
        <v>378</v>
      </c>
      <c r="E134" s="10" t="s">
        <v>135</v>
      </c>
      <c r="F134" s="10" t="str">
        <f>TRIM(LEFT(OrdersRawTable9[[#This Row],[Customer_Info]],FIND(",",OrdersRawTable9[[#This Row],[Customer_Info]])-1))</f>
        <v>Emma Tremblay</v>
      </c>
      <c r="G13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134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134" s="10">
        <f>LEN(OrdersRawTable9[[#This Row],[Customer_Info]])-LEN(SUBSTITUTE(OrdersRawTable9[[#This Row],[Customer_Info]],",",""))</f>
        <v>2</v>
      </c>
      <c r="J134" s="10" t="s">
        <v>276</v>
      </c>
      <c r="K134" s="23">
        <v>4</v>
      </c>
      <c r="L134" s="26">
        <v>182.94</v>
      </c>
      <c r="M134" s="29">
        <v>0.15</v>
      </c>
      <c r="N134" s="10" t="s">
        <v>66</v>
      </c>
      <c r="O134" s="10" t="str">
        <f>IF(TRIM(OrdersRawTable9[[#This Row],[Sales_Channel_Raw]])="Market place","Marketplace",TRIM(OrdersRawTable9[[#This Row],[Sales_Channel_Raw]]))</f>
        <v>Marketplace</v>
      </c>
      <c r="P134" s="10" t="s">
        <v>51</v>
      </c>
      <c r="Q134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134" s="15" t="s">
        <v>47</v>
      </c>
      <c r="S134" t="str">
        <f>VLOOKUP(OrdersRawTable9[[#This Row],[Customer_ID_Raw]],CustomersTable11[],4,FALSE)</f>
        <v>Alberta</v>
      </c>
      <c r="T134" t="str">
        <f>VLOOKUP(OrdersRawTable9[[#This Row],[Customer_ID_Raw]],CustomersTable11[],5,FALSE)</f>
        <v>Consumer</v>
      </c>
      <c r="U134" s="45">
        <f>VLOOKUP(OrdersRawTable9[[#This Row],[Product_ID]],ProductsTable10[],4,FALSE)</f>
        <v>118.95</v>
      </c>
      <c r="V134" t="str">
        <f>VLOOKUP(OrdersRawTable9[[#This Row],[Product_ID]],ProductsTable10[],3,FALSE)</f>
        <v>Fitness</v>
      </c>
      <c r="W134" s="45">
        <f>OrdersRawTable9[[#This Row],[Unit_Price]]*OrdersRawTable9[[#This Row],[Quantity]]</f>
        <v>731.76</v>
      </c>
      <c r="X134" s="47">
        <f>OrdersRawTable9[[#This Row],[Gross_Sales]]*OrdersRawTable9[[#This Row],[Discount_Pct]]</f>
        <v>109.764</v>
      </c>
      <c r="Y134" s="45">
        <f>OrdersRawTable9[[#This Row],[Gross_Sales]]-OrdersRawTable9[[#This Row],[Discount_Amount]]</f>
        <v>621.99599999999998</v>
      </c>
      <c r="Z134" s="45">
        <f>OrdersRawTable9[[#This Row],[Unit_Cost]]*OrdersRawTable9[[#This Row],[Quantity]]</f>
        <v>475.8</v>
      </c>
      <c r="AA134" s="45">
        <f>OrdersRawTable9[[#This Row],[Net_Sales]]-OrdersRawTable9[[#This Row],[Total_Cost]]</f>
        <v>146.19599999999997</v>
      </c>
      <c r="AB134" s="48">
        <f>IF(OrdersRawTable9[[#This Row],[Net_Sales]]=0,0,OrdersRawTable9[[#This Row],[Profit]]/OrdersRawTable9[[#This Row],[Net_Sales]])</f>
        <v>0.23504331217564095</v>
      </c>
      <c r="AC134" s="45" t="str">
        <f>IF(COUNTIF(ReturnsRawTable[Order_Line_ID],OrdersRawTable9[[#This Row],[Order_Line_ID]])&gt;0,"Yes","No")</f>
        <v>No</v>
      </c>
      <c r="AD134" s="45" t="str">
        <f>IFERROR(VLOOKUP(OrdersRawTable9[[#This Row],[Order_Line_ID]],ReturnsRawTable[[#All],[Order_Line_ID]:[Return_Reason_Raw]],3,FALSE),"")</f>
        <v/>
      </c>
      <c r="AE134" s="49" t="str">
        <f>IFERROR(VLOOKUP(OrdersRawTable9[[#This Row],[Order_Line_ID]],ReturnsRawTable[[#All],[Order_Line_ID]:[Return_Date]],2,FALSE),"")</f>
        <v/>
      </c>
      <c r="AF134" s="45" t="str">
        <f>IFERROR(VLOOKUP(OrdersRawTable9[[#This Row],[Order_Line_ID]],ReturnsRawTable[[Order_Line_ID]:[Refund_Status]],4,FALSE),"")</f>
        <v/>
      </c>
      <c r="AG134" s="45" t="str">
        <f>VLOOKUP(OrdersRawTable9[[#This Row],[Order_ID]],ShipmentsTable[],6,FALSE)</f>
        <v>Late</v>
      </c>
      <c r="AH134" s="49">
        <f>VLOOKUP(OrdersRawTable9[[#This Row],[Order_ID]],ShipmentsTable[],3,FALSE)</f>
        <v>45732.041666666664</v>
      </c>
    </row>
    <row r="135" spans="1:34" ht="15" customHeight="1">
      <c r="A135" s="14" t="s">
        <v>379</v>
      </c>
      <c r="B135" s="10" t="s">
        <v>377</v>
      </c>
      <c r="C135" s="20">
        <v>45722.041666666664</v>
      </c>
      <c r="D135" s="10" t="s">
        <v>378</v>
      </c>
      <c r="E135" s="10" t="s">
        <v>135</v>
      </c>
      <c r="F135" s="10" t="str">
        <f>TRIM(LEFT(OrdersRawTable9[[#This Row],[Customer_Info]],FIND(",",OrdersRawTable9[[#This Row],[Customer_Info]])-1))</f>
        <v>Emma Tremblay</v>
      </c>
      <c r="G13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135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135" s="10">
        <f>LEN(OrdersRawTable9[[#This Row],[Customer_Info]])-LEN(SUBSTITUTE(OrdersRawTable9[[#This Row],[Customer_Info]],",",""))</f>
        <v>2</v>
      </c>
      <c r="J135" s="10" t="s">
        <v>171</v>
      </c>
      <c r="K135" s="23">
        <v>2</v>
      </c>
      <c r="L135" s="26">
        <v>228.81</v>
      </c>
      <c r="M135" s="29">
        <v>0</v>
      </c>
      <c r="N135" s="10" t="s">
        <v>64</v>
      </c>
      <c r="O135" s="10" t="str">
        <f>IF(TRIM(OrdersRawTable9[[#This Row],[Sales_Channel_Raw]])="Market place","Marketplace",TRIM(OrdersRawTable9[[#This Row],[Sales_Channel_Raw]]))</f>
        <v>Retail Store</v>
      </c>
      <c r="P135" s="10" t="s">
        <v>46</v>
      </c>
      <c r="Q135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135" s="15" t="s">
        <v>101</v>
      </c>
      <c r="S135" t="str">
        <f>VLOOKUP(OrdersRawTable9[[#This Row],[Customer_ID_Raw]],CustomersTable11[],4,FALSE)</f>
        <v>Alberta</v>
      </c>
      <c r="T135" t="str">
        <f>VLOOKUP(OrdersRawTable9[[#This Row],[Customer_ID_Raw]],CustomersTable11[],5,FALSE)</f>
        <v>Consumer</v>
      </c>
      <c r="U135" s="45">
        <f>VLOOKUP(OrdersRawTable9[[#This Row],[Product_ID]],ProductsTable10[],4,FALSE)</f>
        <v>130.9</v>
      </c>
      <c r="V135" t="str">
        <f>VLOOKUP(OrdersRawTable9[[#This Row],[Product_ID]],ProductsTable10[],3,FALSE)</f>
        <v>Accessories</v>
      </c>
      <c r="W135" s="45">
        <f>OrdersRawTable9[[#This Row],[Unit_Price]]*OrdersRawTable9[[#This Row],[Quantity]]</f>
        <v>457.62</v>
      </c>
      <c r="X135" s="47">
        <f>OrdersRawTable9[[#This Row],[Gross_Sales]]*OrdersRawTable9[[#This Row],[Discount_Pct]]</f>
        <v>0</v>
      </c>
      <c r="Y135" s="45">
        <f>OrdersRawTable9[[#This Row],[Gross_Sales]]-OrdersRawTable9[[#This Row],[Discount_Amount]]</f>
        <v>457.62</v>
      </c>
      <c r="Z135" s="45">
        <f>OrdersRawTable9[[#This Row],[Unit_Cost]]*OrdersRawTable9[[#This Row],[Quantity]]</f>
        <v>261.8</v>
      </c>
      <c r="AA135" s="45">
        <f>OrdersRawTable9[[#This Row],[Net_Sales]]-OrdersRawTable9[[#This Row],[Total_Cost]]</f>
        <v>195.82</v>
      </c>
      <c r="AB135" s="48">
        <f>IF(OrdersRawTable9[[#This Row],[Net_Sales]]=0,0,OrdersRawTable9[[#This Row],[Profit]]/OrdersRawTable9[[#This Row],[Net_Sales]])</f>
        <v>0.42790961933481925</v>
      </c>
      <c r="AC135" s="45" t="str">
        <f>IF(COUNTIF(ReturnsRawTable[Order_Line_ID],OrdersRawTable9[[#This Row],[Order_Line_ID]])&gt;0,"Yes","No")</f>
        <v>No</v>
      </c>
      <c r="AD135" s="45" t="str">
        <f>IFERROR(VLOOKUP(OrdersRawTable9[[#This Row],[Order_Line_ID]],ReturnsRawTable[[#All],[Order_Line_ID]:[Return_Reason_Raw]],3,FALSE),"")</f>
        <v/>
      </c>
      <c r="AE135" s="49" t="str">
        <f>IFERROR(VLOOKUP(OrdersRawTable9[[#This Row],[Order_Line_ID]],ReturnsRawTable[[#All],[Order_Line_ID]:[Return_Date]],2,FALSE),"")</f>
        <v/>
      </c>
      <c r="AF135" s="45" t="str">
        <f>IFERROR(VLOOKUP(OrdersRawTable9[[#This Row],[Order_Line_ID]],ReturnsRawTable[[Order_Line_ID]:[Refund_Status]],4,FALSE),"")</f>
        <v/>
      </c>
      <c r="AG135" s="45" t="str">
        <f>VLOOKUP(OrdersRawTable9[[#This Row],[Order_ID]],ShipmentsTable[],6,FALSE)</f>
        <v>Late</v>
      </c>
      <c r="AH135" s="49">
        <f>VLOOKUP(OrdersRawTable9[[#This Row],[Order_ID]],ShipmentsTable[],3,FALSE)</f>
        <v>45732.041666666664</v>
      </c>
    </row>
    <row r="136" spans="1:34" ht="15" customHeight="1">
      <c r="A136" s="14" t="s">
        <v>380</v>
      </c>
      <c r="B136" s="10" t="s">
        <v>381</v>
      </c>
      <c r="C136" s="20">
        <v>45996</v>
      </c>
      <c r="D136" s="10" t="s">
        <v>382</v>
      </c>
      <c r="E136" s="10" t="s">
        <v>383</v>
      </c>
      <c r="F136" s="10" t="str">
        <f>TRIM(LEFT(OrdersRawTable9[[#This Row],[Customer_Info]],FIND(",",OrdersRawTable9[[#This Row],[Customer_Info]])-1))</f>
        <v>Ethan Brown</v>
      </c>
      <c r="G13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Regina</v>
      </c>
      <c r="H136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136" s="10">
        <f>LEN(OrdersRawTable9[[#This Row],[Customer_Info]])-LEN(SUBSTITUTE(OrdersRawTable9[[#This Row],[Customer_Info]],",",""))</f>
        <v>2</v>
      </c>
      <c r="J136" s="10" t="s">
        <v>88</v>
      </c>
      <c r="K136" s="23">
        <v>3</v>
      </c>
      <c r="L136" s="26">
        <v>147.46</v>
      </c>
      <c r="M136" s="29">
        <v>0</v>
      </c>
      <c r="N136" s="10" t="s">
        <v>40</v>
      </c>
      <c r="O136" s="10" t="str">
        <f>IF(TRIM(OrdersRawTable9[[#This Row],[Sales_Channel_Raw]])="Market place","Marketplace",TRIM(OrdersRawTable9[[#This Row],[Sales_Channel_Raw]]))</f>
        <v>Online</v>
      </c>
      <c r="P136" s="10" t="s">
        <v>98</v>
      </c>
      <c r="Q136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136" s="15" t="s">
        <v>42</v>
      </c>
      <c r="S136" t="str">
        <f>VLOOKUP(OrdersRawTable9[[#This Row],[Customer_ID_Raw]],CustomersTable11[],4,FALSE)</f>
        <v>Saskatchewan</v>
      </c>
      <c r="T136" t="str">
        <f>VLOOKUP(OrdersRawTable9[[#This Row],[Customer_ID_Raw]],CustomersTable11[],5,FALSE)</f>
        <v>Corporate</v>
      </c>
      <c r="U136" s="45">
        <f>VLOOKUP(OrdersRawTable9[[#This Row],[Product_ID]],ProductsTable10[],4,FALSE)</f>
        <v>100.95</v>
      </c>
      <c r="V136" t="str">
        <f>VLOOKUP(OrdersRawTable9[[#This Row],[Product_ID]],ProductsTable10[],3,FALSE)</f>
        <v>Electronics</v>
      </c>
      <c r="W136" s="45">
        <f>OrdersRawTable9[[#This Row],[Unit_Price]]*OrdersRawTable9[[#This Row],[Quantity]]</f>
        <v>442.38</v>
      </c>
      <c r="X136" s="47">
        <f>OrdersRawTable9[[#This Row],[Gross_Sales]]*OrdersRawTable9[[#This Row],[Discount_Pct]]</f>
        <v>0</v>
      </c>
      <c r="Y136" s="45">
        <f>OrdersRawTable9[[#This Row],[Gross_Sales]]-OrdersRawTable9[[#This Row],[Discount_Amount]]</f>
        <v>442.38</v>
      </c>
      <c r="Z136" s="45">
        <f>OrdersRawTable9[[#This Row],[Unit_Cost]]*OrdersRawTable9[[#This Row],[Quantity]]</f>
        <v>302.85000000000002</v>
      </c>
      <c r="AA136" s="45">
        <f>OrdersRawTable9[[#This Row],[Net_Sales]]-OrdersRawTable9[[#This Row],[Total_Cost]]</f>
        <v>139.52999999999997</v>
      </c>
      <c r="AB136" s="48">
        <f>IF(OrdersRawTable9[[#This Row],[Net_Sales]]=0,0,OrdersRawTable9[[#This Row],[Profit]]/OrdersRawTable9[[#This Row],[Net_Sales]])</f>
        <v>0.31540756815407561</v>
      </c>
      <c r="AC136" s="45" t="str">
        <f>IF(COUNTIF(ReturnsRawTable[Order_Line_ID],OrdersRawTable9[[#This Row],[Order_Line_ID]])&gt;0,"Yes","No")</f>
        <v>No</v>
      </c>
      <c r="AD136" s="45" t="str">
        <f>IFERROR(VLOOKUP(OrdersRawTable9[[#This Row],[Order_Line_ID]],ReturnsRawTable[[#All],[Order_Line_ID]:[Return_Reason_Raw]],3,FALSE),"")</f>
        <v/>
      </c>
      <c r="AE136" s="49" t="str">
        <f>IFERROR(VLOOKUP(OrdersRawTable9[[#This Row],[Order_Line_ID]],ReturnsRawTable[[#All],[Order_Line_ID]:[Return_Date]],2,FALSE),"")</f>
        <v/>
      </c>
      <c r="AF136" s="45" t="str">
        <f>IFERROR(VLOOKUP(OrdersRawTable9[[#This Row],[Order_Line_ID]],ReturnsRawTable[[Order_Line_ID]:[Refund_Status]],4,FALSE),"")</f>
        <v/>
      </c>
      <c r="AG136" s="45" t="str">
        <f>VLOOKUP(OrdersRawTable9[[#This Row],[Order_ID]],ShipmentsTable[],6,FALSE)</f>
        <v>Late</v>
      </c>
      <c r="AH136" s="49">
        <f>VLOOKUP(OrdersRawTable9[[#This Row],[Order_ID]],ShipmentsTable[],3,FALSE)</f>
        <v>46005</v>
      </c>
    </row>
    <row r="137" spans="1:34" ht="15" customHeight="1">
      <c r="A137" s="14" t="s">
        <v>384</v>
      </c>
      <c r="B137" s="10" t="s">
        <v>381</v>
      </c>
      <c r="C137" s="20">
        <v>45996</v>
      </c>
      <c r="D137" s="10" t="s">
        <v>382</v>
      </c>
      <c r="E137" s="10" t="s">
        <v>383</v>
      </c>
      <c r="F137" s="10" t="str">
        <f>TRIM(LEFT(OrdersRawTable9[[#This Row],[Customer_Info]],FIND(",",OrdersRawTable9[[#This Row],[Customer_Info]])-1))</f>
        <v>Ethan Brown</v>
      </c>
      <c r="G13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Regina</v>
      </c>
      <c r="H137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137" s="10">
        <f>LEN(OrdersRawTable9[[#This Row],[Customer_Info]])-LEN(SUBSTITUTE(OrdersRawTable9[[#This Row],[Customer_Info]],",",""))</f>
        <v>2</v>
      </c>
      <c r="J137" s="10" t="s">
        <v>77</v>
      </c>
      <c r="K137" s="23">
        <v>2</v>
      </c>
      <c r="L137" s="26">
        <v>34.909999999999997</v>
      </c>
      <c r="M137" s="29">
        <v>0.15</v>
      </c>
      <c r="N137" s="10" t="s">
        <v>50</v>
      </c>
      <c r="O137" s="10" t="str">
        <f>IF(TRIM(OrdersRawTable9[[#This Row],[Sales_Channel_Raw]])="Market place","Marketplace",TRIM(OrdersRawTable9[[#This Row],[Sales_Channel_Raw]]))</f>
        <v>Marketplace</v>
      </c>
      <c r="P137" s="10" t="s">
        <v>41</v>
      </c>
      <c r="Q137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137" s="15" t="s">
        <v>47</v>
      </c>
      <c r="S137" t="str">
        <f>VLOOKUP(OrdersRawTable9[[#This Row],[Customer_ID_Raw]],CustomersTable11[],4,FALSE)</f>
        <v>Saskatchewan</v>
      </c>
      <c r="T137" t="str">
        <f>VLOOKUP(OrdersRawTable9[[#This Row],[Customer_ID_Raw]],CustomersTable11[],5,FALSE)</f>
        <v>Corporate</v>
      </c>
      <c r="U137" s="45">
        <f>VLOOKUP(OrdersRawTable9[[#This Row],[Product_ID]],ProductsTable10[],4,FALSE)</f>
        <v>19.670000000000002</v>
      </c>
      <c r="V137" t="str">
        <f>VLOOKUP(OrdersRawTable9[[#This Row],[Product_ID]],ProductsTable10[],3,FALSE)</f>
        <v>Accessories</v>
      </c>
      <c r="W137" s="45">
        <f>OrdersRawTable9[[#This Row],[Unit_Price]]*OrdersRawTable9[[#This Row],[Quantity]]</f>
        <v>69.819999999999993</v>
      </c>
      <c r="X137" s="47">
        <f>OrdersRawTable9[[#This Row],[Gross_Sales]]*OrdersRawTable9[[#This Row],[Discount_Pct]]</f>
        <v>10.472999999999999</v>
      </c>
      <c r="Y137" s="45">
        <f>OrdersRawTable9[[#This Row],[Gross_Sales]]-OrdersRawTable9[[#This Row],[Discount_Amount]]</f>
        <v>59.346999999999994</v>
      </c>
      <c r="Z137" s="45">
        <f>OrdersRawTable9[[#This Row],[Unit_Cost]]*OrdersRawTable9[[#This Row],[Quantity]]</f>
        <v>39.340000000000003</v>
      </c>
      <c r="AA137" s="45">
        <f>OrdersRawTable9[[#This Row],[Net_Sales]]-OrdersRawTable9[[#This Row],[Total_Cost]]</f>
        <v>20.006999999999991</v>
      </c>
      <c r="AB137" s="48">
        <f>IF(OrdersRawTable9[[#This Row],[Net_Sales]]=0,0,OrdersRawTable9[[#This Row],[Profit]]/OrdersRawTable9[[#This Row],[Net_Sales]])</f>
        <v>0.33711897821288345</v>
      </c>
      <c r="AC137" s="45" t="str">
        <f>IF(COUNTIF(ReturnsRawTable[Order_Line_ID],OrdersRawTable9[[#This Row],[Order_Line_ID]])&gt;0,"Yes","No")</f>
        <v>No</v>
      </c>
      <c r="AD137" s="45" t="str">
        <f>IFERROR(VLOOKUP(OrdersRawTable9[[#This Row],[Order_Line_ID]],ReturnsRawTable[[#All],[Order_Line_ID]:[Return_Reason_Raw]],3,FALSE),"")</f>
        <v/>
      </c>
      <c r="AE137" s="49" t="str">
        <f>IFERROR(VLOOKUP(OrdersRawTable9[[#This Row],[Order_Line_ID]],ReturnsRawTable[[#All],[Order_Line_ID]:[Return_Date]],2,FALSE),"")</f>
        <v/>
      </c>
      <c r="AF137" s="45" t="str">
        <f>IFERROR(VLOOKUP(OrdersRawTable9[[#This Row],[Order_Line_ID]],ReturnsRawTable[[Order_Line_ID]:[Refund_Status]],4,FALSE),"")</f>
        <v/>
      </c>
      <c r="AG137" s="45" t="str">
        <f>VLOOKUP(OrdersRawTable9[[#This Row],[Order_ID]],ShipmentsTable[],6,FALSE)</f>
        <v>Late</v>
      </c>
      <c r="AH137" s="49">
        <f>VLOOKUP(OrdersRawTable9[[#This Row],[Order_ID]],ShipmentsTable[],3,FALSE)</f>
        <v>46005</v>
      </c>
    </row>
    <row r="138" spans="1:34" ht="15" customHeight="1">
      <c r="A138" s="14" t="s">
        <v>385</v>
      </c>
      <c r="B138" s="10" t="s">
        <v>386</v>
      </c>
      <c r="C138" s="20">
        <v>46021</v>
      </c>
      <c r="D138" s="10" t="s">
        <v>294</v>
      </c>
      <c r="E138" s="10" t="s">
        <v>295</v>
      </c>
      <c r="F138" s="10" t="str">
        <f>TRIM(LEFT(OrdersRawTable9[[#This Row],[Customer_Info]],FIND(",",OrdersRawTable9[[#This Row],[Customer_Info]])-1))</f>
        <v>Yara Singh</v>
      </c>
      <c r="G13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138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138" s="10">
        <f>LEN(OrdersRawTable9[[#This Row],[Customer_Info]])-LEN(SUBSTITUTE(OrdersRawTable9[[#This Row],[Customer_Info]],",",""))</f>
        <v>2</v>
      </c>
      <c r="J138" s="10" t="s">
        <v>136</v>
      </c>
      <c r="K138" s="23">
        <v>4</v>
      </c>
      <c r="L138" s="26">
        <v>141.46</v>
      </c>
      <c r="M138" s="29">
        <v>0.15</v>
      </c>
      <c r="N138" s="10" t="s">
        <v>66</v>
      </c>
      <c r="O138" s="10" t="str">
        <f>IF(TRIM(OrdersRawTable9[[#This Row],[Sales_Channel_Raw]])="Market place","Marketplace",TRIM(OrdersRawTable9[[#This Row],[Sales_Channel_Raw]]))</f>
        <v>Marketplace</v>
      </c>
      <c r="P138" s="10" t="s">
        <v>98</v>
      </c>
      <c r="Q138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138" s="15" t="s">
        <v>47</v>
      </c>
      <c r="S138" t="str">
        <f>VLOOKUP(OrdersRawTable9[[#This Row],[Customer_ID_Raw]],CustomersTable11[],4,FALSE)</f>
        <v>Alberta</v>
      </c>
      <c r="T138" t="str">
        <f>VLOOKUP(OrdersRawTable9[[#This Row],[Customer_ID_Raw]],CustomersTable11[],5,FALSE)</f>
        <v>Corporate</v>
      </c>
      <c r="U138" s="45">
        <f>VLOOKUP(OrdersRawTable9[[#This Row],[Product_ID]],ProductsTable10[],4,FALSE)</f>
        <v>78.650000000000006</v>
      </c>
      <c r="V138" t="str">
        <f>VLOOKUP(OrdersRawTable9[[#This Row],[Product_ID]],ProductsTable10[],3,FALSE)</f>
        <v>Fitness</v>
      </c>
      <c r="W138" s="45">
        <f>OrdersRawTable9[[#This Row],[Unit_Price]]*OrdersRawTable9[[#This Row],[Quantity]]</f>
        <v>565.84</v>
      </c>
      <c r="X138" s="47">
        <f>OrdersRawTable9[[#This Row],[Gross_Sales]]*OrdersRawTable9[[#This Row],[Discount_Pct]]</f>
        <v>84.876000000000005</v>
      </c>
      <c r="Y138" s="45">
        <f>OrdersRawTable9[[#This Row],[Gross_Sales]]-OrdersRawTable9[[#This Row],[Discount_Amount]]</f>
        <v>480.96400000000006</v>
      </c>
      <c r="Z138" s="45">
        <f>OrdersRawTable9[[#This Row],[Unit_Cost]]*OrdersRawTable9[[#This Row],[Quantity]]</f>
        <v>314.60000000000002</v>
      </c>
      <c r="AA138" s="45">
        <f>OrdersRawTable9[[#This Row],[Net_Sales]]-OrdersRawTable9[[#This Row],[Total_Cost]]</f>
        <v>166.36400000000003</v>
      </c>
      <c r="AB138" s="48">
        <f>IF(OrdersRawTable9[[#This Row],[Net_Sales]]=0,0,OrdersRawTable9[[#This Row],[Profit]]/OrdersRawTable9[[#This Row],[Net_Sales]])</f>
        <v>0.34589699021132564</v>
      </c>
      <c r="AC138" s="45" t="str">
        <f>IF(COUNTIF(ReturnsRawTable[Order_Line_ID],OrdersRawTable9[[#This Row],[Order_Line_ID]])&gt;0,"Yes","No")</f>
        <v>No</v>
      </c>
      <c r="AD138" s="45" t="str">
        <f>IFERROR(VLOOKUP(OrdersRawTable9[[#This Row],[Order_Line_ID]],ReturnsRawTable[[#All],[Order_Line_ID]:[Return_Reason_Raw]],3,FALSE),"")</f>
        <v/>
      </c>
      <c r="AE138" s="49" t="str">
        <f>IFERROR(VLOOKUP(OrdersRawTable9[[#This Row],[Order_Line_ID]],ReturnsRawTable[[#All],[Order_Line_ID]:[Return_Date]],2,FALSE),"")</f>
        <v/>
      </c>
      <c r="AF138" s="45" t="str">
        <f>IFERROR(VLOOKUP(OrdersRawTable9[[#This Row],[Order_Line_ID]],ReturnsRawTable[[Order_Line_ID]:[Refund_Status]],4,FALSE),"")</f>
        <v/>
      </c>
      <c r="AG138" s="45" t="str">
        <f>VLOOKUP(OrdersRawTable9[[#This Row],[Order_ID]],ShipmentsTable[],6,FALSE)</f>
        <v>On time</v>
      </c>
      <c r="AH138" s="49">
        <f>VLOOKUP(OrdersRawTable9[[#This Row],[Order_ID]],ShipmentsTable[],3,FALSE)</f>
        <v>46023</v>
      </c>
    </row>
    <row r="139" spans="1:34" ht="15" customHeight="1">
      <c r="A139" s="14" t="s">
        <v>387</v>
      </c>
      <c r="B139" s="10" t="s">
        <v>388</v>
      </c>
      <c r="C139" s="20">
        <v>45882</v>
      </c>
      <c r="D139" s="10" t="s">
        <v>389</v>
      </c>
      <c r="E139" s="10" t="s">
        <v>390</v>
      </c>
      <c r="F139" s="10" t="str">
        <f>TRIM(LEFT(OrdersRawTable9[[#This Row],[Customer_Info]],FIND(",",OrdersRawTable9[[#This Row],[Customer_Info]])-1))</f>
        <v>Adam Dubois</v>
      </c>
      <c r="G13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139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139" s="10">
        <f>LEN(OrdersRawTable9[[#This Row],[Customer_Info]])-LEN(SUBSTITUTE(OrdersRawTable9[[#This Row],[Customer_Info]],",",""))</f>
        <v>2</v>
      </c>
      <c r="J139" s="10" t="s">
        <v>196</v>
      </c>
      <c r="K139" s="23">
        <v>1</v>
      </c>
      <c r="L139" s="26">
        <v>183.73</v>
      </c>
      <c r="M139" s="29">
        <v>0</v>
      </c>
      <c r="N139" s="10" t="s">
        <v>40</v>
      </c>
      <c r="O139" s="10" t="str">
        <f>IF(TRIM(OrdersRawTable9[[#This Row],[Sales_Channel_Raw]])="Market place","Marketplace",TRIM(OrdersRawTable9[[#This Row],[Sales_Channel_Raw]]))</f>
        <v>Online</v>
      </c>
      <c r="P139" s="10"/>
      <c r="Q139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139" s="15" t="s">
        <v>47</v>
      </c>
      <c r="S139" t="str">
        <f>VLOOKUP(OrdersRawTable9[[#This Row],[Customer_ID_Raw]],CustomersTable11[],4,FALSE)</f>
        <v>Alberta</v>
      </c>
      <c r="T139" t="str">
        <f>VLOOKUP(OrdersRawTable9[[#This Row],[Customer_ID_Raw]],CustomersTable11[],5,FALSE)</f>
        <v>Small Business</v>
      </c>
      <c r="U139" s="45">
        <f>VLOOKUP(OrdersRawTable9[[#This Row],[Product_ID]],ProductsTable10[],4,FALSE)</f>
        <v>98.11</v>
      </c>
      <c r="V139" t="str">
        <f>VLOOKUP(OrdersRawTable9[[#This Row],[Product_ID]],ProductsTable10[],3,FALSE)</f>
        <v>Home</v>
      </c>
      <c r="W139" s="45">
        <f>OrdersRawTable9[[#This Row],[Unit_Price]]*OrdersRawTable9[[#This Row],[Quantity]]</f>
        <v>183.73</v>
      </c>
      <c r="X139" s="47">
        <f>OrdersRawTable9[[#This Row],[Gross_Sales]]*OrdersRawTable9[[#This Row],[Discount_Pct]]</f>
        <v>0</v>
      </c>
      <c r="Y139" s="45">
        <f>OrdersRawTable9[[#This Row],[Gross_Sales]]-OrdersRawTable9[[#This Row],[Discount_Amount]]</f>
        <v>183.73</v>
      </c>
      <c r="Z139" s="45">
        <f>OrdersRawTable9[[#This Row],[Unit_Cost]]*OrdersRawTable9[[#This Row],[Quantity]]</f>
        <v>98.11</v>
      </c>
      <c r="AA139" s="45">
        <f>OrdersRawTable9[[#This Row],[Net_Sales]]-OrdersRawTable9[[#This Row],[Total_Cost]]</f>
        <v>85.61999999999999</v>
      </c>
      <c r="AB139" s="48">
        <f>IF(OrdersRawTable9[[#This Row],[Net_Sales]]=0,0,OrdersRawTable9[[#This Row],[Profit]]/OrdersRawTable9[[#This Row],[Net_Sales]])</f>
        <v>0.46600990584009139</v>
      </c>
      <c r="AC139" s="45" t="str">
        <f>IF(COUNTIF(ReturnsRawTable[Order_Line_ID],OrdersRawTable9[[#This Row],[Order_Line_ID]])&gt;0,"Yes","No")</f>
        <v>No</v>
      </c>
      <c r="AD139" s="45" t="str">
        <f>IFERROR(VLOOKUP(OrdersRawTable9[[#This Row],[Order_Line_ID]],ReturnsRawTable[[#All],[Order_Line_ID]:[Return_Reason_Raw]],3,FALSE),"")</f>
        <v/>
      </c>
      <c r="AE139" s="49" t="str">
        <f>IFERROR(VLOOKUP(OrdersRawTable9[[#This Row],[Order_Line_ID]],ReturnsRawTable[[#All],[Order_Line_ID]:[Return_Date]],2,FALSE),"")</f>
        <v/>
      </c>
      <c r="AF139" s="45" t="str">
        <f>IFERROR(VLOOKUP(OrdersRawTable9[[#This Row],[Order_Line_ID]],ReturnsRawTable[[Order_Line_ID]:[Refund_Status]],4,FALSE),"")</f>
        <v/>
      </c>
      <c r="AG139" s="45" t="str">
        <f>VLOOKUP(OrdersRawTable9[[#This Row],[Order_ID]],ShipmentsTable[],6,FALSE)</f>
        <v>On time</v>
      </c>
      <c r="AH139" s="49">
        <f>VLOOKUP(OrdersRawTable9[[#This Row],[Order_ID]],ShipmentsTable[],3,FALSE)</f>
        <v>45886</v>
      </c>
    </row>
    <row r="140" spans="1:34" ht="15" customHeight="1">
      <c r="A140" s="14" t="s">
        <v>391</v>
      </c>
      <c r="B140" s="10" t="s">
        <v>388</v>
      </c>
      <c r="C140" s="20">
        <v>45882</v>
      </c>
      <c r="D140" s="10" t="s">
        <v>389</v>
      </c>
      <c r="E140" s="10" t="s">
        <v>390</v>
      </c>
      <c r="F140" s="10" t="str">
        <f>TRIM(LEFT(OrdersRawTable9[[#This Row],[Customer_Info]],FIND(",",OrdersRawTable9[[#This Row],[Customer_Info]])-1))</f>
        <v>Adam Dubois</v>
      </c>
      <c r="G14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140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140" s="10">
        <f>LEN(OrdersRawTable9[[#This Row],[Customer_Info]])-LEN(SUBSTITUTE(OrdersRawTable9[[#This Row],[Customer_Info]],",",""))</f>
        <v>2</v>
      </c>
      <c r="J140" s="10" t="s">
        <v>214</v>
      </c>
      <c r="K140" s="23">
        <v>2</v>
      </c>
      <c r="L140" s="26">
        <v>186.92</v>
      </c>
      <c r="M140" s="29">
        <v>0</v>
      </c>
      <c r="N140" s="10" t="s">
        <v>70</v>
      </c>
      <c r="O140" s="10" t="str">
        <f>IF(TRIM(OrdersRawTable9[[#This Row],[Sales_Channel_Raw]])="Market place","Marketplace",TRIM(OrdersRawTable9[[#This Row],[Sales_Channel_Raw]]))</f>
        <v>online</v>
      </c>
      <c r="P140" s="10" t="s">
        <v>51</v>
      </c>
      <c r="Q140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140" s="15" t="s">
        <v>52</v>
      </c>
      <c r="S140" t="str">
        <f>VLOOKUP(OrdersRawTable9[[#This Row],[Customer_ID_Raw]],CustomersTable11[],4,FALSE)</f>
        <v>Alberta</v>
      </c>
      <c r="T140" t="str">
        <f>VLOOKUP(OrdersRawTable9[[#This Row],[Customer_ID_Raw]],CustomersTable11[],5,FALSE)</f>
        <v>Small Business</v>
      </c>
      <c r="U140" s="45">
        <f>VLOOKUP(OrdersRawTable9[[#This Row],[Product_ID]],ProductsTable10[],4,FALSE)</f>
        <v>114.11</v>
      </c>
      <c r="V140" t="str">
        <f>VLOOKUP(OrdersRawTable9[[#This Row],[Product_ID]],ProductsTable10[],3,FALSE)</f>
        <v>Home</v>
      </c>
      <c r="W140" s="45">
        <f>OrdersRawTable9[[#This Row],[Unit_Price]]*OrdersRawTable9[[#This Row],[Quantity]]</f>
        <v>373.84</v>
      </c>
      <c r="X140" s="47">
        <f>OrdersRawTable9[[#This Row],[Gross_Sales]]*OrdersRawTable9[[#This Row],[Discount_Pct]]</f>
        <v>0</v>
      </c>
      <c r="Y140" s="45">
        <f>OrdersRawTable9[[#This Row],[Gross_Sales]]-OrdersRawTable9[[#This Row],[Discount_Amount]]</f>
        <v>373.84</v>
      </c>
      <c r="Z140" s="45">
        <f>OrdersRawTable9[[#This Row],[Unit_Cost]]*OrdersRawTable9[[#This Row],[Quantity]]</f>
        <v>228.22</v>
      </c>
      <c r="AA140" s="45">
        <f>OrdersRawTable9[[#This Row],[Net_Sales]]-OrdersRawTable9[[#This Row],[Total_Cost]]</f>
        <v>145.61999999999998</v>
      </c>
      <c r="AB140" s="48">
        <f>IF(OrdersRawTable9[[#This Row],[Net_Sales]]=0,0,OrdersRawTable9[[#This Row],[Profit]]/OrdersRawTable9[[#This Row],[Net_Sales]])</f>
        <v>0.38952493045153003</v>
      </c>
      <c r="AC140" s="45" t="str">
        <f>IF(COUNTIF(ReturnsRawTable[Order_Line_ID],OrdersRawTable9[[#This Row],[Order_Line_ID]])&gt;0,"Yes","No")</f>
        <v>No</v>
      </c>
      <c r="AD140" s="45" t="str">
        <f>IFERROR(VLOOKUP(OrdersRawTable9[[#This Row],[Order_Line_ID]],ReturnsRawTable[[#All],[Order_Line_ID]:[Return_Reason_Raw]],3,FALSE),"")</f>
        <v/>
      </c>
      <c r="AE140" s="49" t="str">
        <f>IFERROR(VLOOKUP(OrdersRawTable9[[#This Row],[Order_Line_ID]],ReturnsRawTable[[#All],[Order_Line_ID]:[Return_Date]],2,FALSE),"")</f>
        <v/>
      </c>
      <c r="AF140" s="45" t="str">
        <f>IFERROR(VLOOKUP(OrdersRawTable9[[#This Row],[Order_Line_ID]],ReturnsRawTable[[Order_Line_ID]:[Refund_Status]],4,FALSE),"")</f>
        <v/>
      </c>
      <c r="AG140" s="45" t="str">
        <f>VLOOKUP(OrdersRawTable9[[#This Row],[Order_ID]],ShipmentsTable[],6,FALSE)</f>
        <v>On time</v>
      </c>
      <c r="AH140" s="49">
        <f>VLOOKUP(OrdersRawTable9[[#This Row],[Order_ID]],ShipmentsTable[],3,FALSE)</f>
        <v>45886</v>
      </c>
    </row>
    <row r="141" spans="1:34" ht="15" customHeight="1">
      <c r="A141" s="14" t="s">
        <v>392</v>
      </c>
      <c r="B141" s="10" t="s">
        <v>393</v>
      </c>
      <c r="C141" s="20">
        <v>45698</v>
      </c>
      <c r="D141" s="10" t="s">
        <v>394</v>
      </c>
      <c r="E141" s="10" t="s">
        <v>395</v>
      </c>
      <c r="F141" s="10" t="str">
        <f>TRIM(LEFT(OrdersRawTable9[[#This Row],[Customer_Info]],FIND(",",OrdersRawTable9[[#This Row],[Customer_Info]])-1))</f>
        <v>Maya Martin</v>
      </c>
      <c r="G14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141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141" s="10">
        <f>LEN(OrdersRawTable9[[#This Row],[Customer_Info]])-LEN(SUBSTITUTE(OrdersRawTable9[[#This Row],[Customer_Info]],",",""))</f>
        <v>2</v>
      </c>
      <c r="J141" s="10" t="s">
        <v>93</v>
      </c>
      <c r="K141" s="23">
        <v>3</v>
      </c>
      <c r="L141" s="26">
        <v>208.89</v>
      </c>
      <c r="M141" s="29">
        <v>0</v>
      </c>
      <c r="N141" s="10" t="s">
        <v>70</v>
      </c>
      <c r="O141" s="10" t="str">
        <f>IF(TRIM(OrdersRawTable9[[#This Row],[Sales_Channel_Raw]])="Market place","Marketplace",TRIM(OrdersRawTable9[[#This Row],[Sales_Channel_Raw]]))</f>
        <v>online</v>
      </c>
      <c r="P141" s="10" t="s">
        <v>41</v>
      </c>
      <c r="Q141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141" s="15" t="s">
        <v>52</v>
      </c>
      <c r="S141" t="str">
        <f>VLOOKUP(OrdersRawTable9[[#This Row],[Customer_ID_Raw]],CustomersTable11[],4,FALSE)</f>
        <v>British Columbia</v>
      </c>
      <c r="T141" t="str">
        <f>VLOOKUP(OrdersRawTable9[[#This Row],[Customer_ID_Raw]],CustomersTable11[],5,FALSE)</f>
        <v>Small Business</v>
      </c>
      <c r="U141" s="45">
        <f>VLOOKUP(OrdersRawTable9[[#This Row],[Product_ID]],ProductsTable10[],4,FALSE)</f>
        <v>133.05000000000001</v>
      </c>
      <c r="V141" t="str">
        <f>VLOOKUP(OrdersRawTable9[[#This Row],[Product_ID]],ProductsTable10[],3,FALSE)</f>
        <v>Accessories</v>
      </c>
      <c r="W141" s="45">
        <f>OrdersRawTable9[[#This Row],[Unit_Price]]*OrdersRawTable9[[#This Row],[Quantity]]</f>
        <v>626.66999999999996</v>
      </c>
      <c r="X141" s="47">
        <f>OrdersRawTable9[[#This Row],[Gross_Sales]]*OrdersRawTable9[[#This Row],[Discount_Pct]]</f>
        <v>0</v>
      </c>
      <c r="Y141" s="45">
        <f>OrdersRawTable9[[#This Row],[Gross_Sales]]-OrdersRawTable9[[#This Row],[Discount_Amount]]</f>
        <v>626.66999999999996</v>
      </c>
      <c r="Z141" s="45">
        <f>OrdersRawTable9[[#This Row],[Unit_Cost]]*OrdersRawTable9[[#This Row],[Quantity]]</f>
        <v>399.15000000000003</v>
      </c>
      <c r="AA141" s="45">
        <f>OrdersRawTable9[[#This Row],[Net_Sales]]-OrdersRawTable9[[#This Row],[Total_Cost]]</f>
        <v>227.51999999999992</v>
      </c>
      <c r="AB141" s="48">
        <f>IF(OrdersRawTable9[[#This Row],[Net_Sales]]=0,0,OrdersRawTable9[[#This Row],[Profit]]/OrdersRawTable9[[#This Row],[Net_Sales]])</f>
        <v>0.36306189860692223</v>
      </c>
      <c r="AC141" s="45" t="str">
        <f>IF(COUNTIF(ReturnsRawTable[Order_Line_ID],OrdersRawTable9[[#This Row],[Order_Line_ID]])&gt;0,"Yes","No")</f>
        <v>No</v>
      </c>
      <c r="AD141" s="45" t="str">
        <f>IFERROR(VLOOKUP(OrdersRawTable9[[#This Row],[Order_Line_ID]],ReturnsRawTable[[#All],[Order_Line_ID]:[Return_Reason_Raw]],3,FALSE),"")</f>
        <v/>
      </c>
      <c r="AE141" s="49" t="str">
        <f>IFERROR(VLOOKUP(OrdersRawTable9[[#This Row],[Order_Line_ID]],ReturnsRawTable[[#All],[Order_Line_ID]:[Return_Date]],2,FALSE),"")</f>
        <v/>
      </c>
      <c r="AF141" s="45" t="str">
        <f>IFERROR(VLOOKUP(OrdersRawTable9[[#This Row],[Order_Line_ID]],ReturnsRawTable[[Order_Line_ID]:[Refund_Status]],4,FALSE),"")</f>
        <v/>
      </c>
      <c r="AG141" s="45" t="str">
        <f>VLOOKUP(OrdersRawTable9[[#This Row],[Order_ID]],ShipmentsTable[],6,FALSE)</f>
        <v>On time</v>
      </c>
      <c r="AH141" s="49">
        <f>VLOOKUP(OrdersRawTable9[[#This Row],[Order_ID]],ShipmentsTable[],3,FALSE)</f>
        <v>45702</v>
      </c>
    </row>
    <row r="142" spans="1:34" ht="15" customHeight="1">
      <c r="A142" s="14" t="s">
        <v>396</v>
      </c>
      <c r="B142" s="10" t="s">
        <v>397</v>
      </c>
      <c r="C142" s="20">
        <v>45874</v>
      </c>
      <c r="D142" s="10" t="s">
        <v>398</v>
      </c>
      <c r="E142" s="10" t="s">
        <v>399</v>
      </c>
      <c r="F142" s="10" t="str">
        <f>TRIM(LEFT(OrdersRawTable9[[#This Row],[Customer_Info]],FIND(",",OrdersRawTable9[[#This Row],[Customer_Info]])-1))</f>
        <v>Sofia Singh</v>
      </c>
      <c r="G14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142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142" s="10">
        <f>LEN(OrdersRawTable9[[#This Row],[Customer_Info]])-LEN(SUBSTITUTE(OrdersRawTable9[[#This Row],[Customer_Info]],",",""))</f>
        <v>2</v>
      </c>
      <c r="J142" s="10" t="s">
        <v>303</v>
      </c>
      <c r="K142" s="23">
        <v>4</v>
      </c>
      <c r="L142" s="26">
        <v>72.81</v>
      </c>
      <c r="M142" s="29">
        <v>0.1</v>
      </c>
      <c r="N142" s="10" t="s">
        <v>64</v>
      </c>
      <c r="O142" s="10" t="str">
        <f>IF(TRIM(OrdersRawTable9[[#This Row],[Sales_Channel_Raw]])="Market place","Marketplace",TRIM(OrdersRawTable9[[#This Row],[Sales_Channel_Raw]]))</f>
        <v>Retail Store</v>
      </c>
      <c r="P142" s="10" t="s">
        <v>51</v>
      </c>
      <c r="Q142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142" s="15" t="s">
        <v>67</v>
      </c>
      <c r="S142" t="str">
        <f>VLOOKUP(OrdersRawTable9[[#This Row],[Customer_ID_Raw]],CustomersTable11[],4,FALSE)</f>
        <v>British Columbia</v>
      </c>
      <c r="T142" t="str">
        <f>VLOOKUP(OrdersRawTable9[[#This Row],[Customer_ID_Raw]],CustomersTable11[],5,FALSE)</f>
        <v>Consumer</v>
      </c>
      <c r="U142" s="45">
        <f>VLOOKUP(OrdersRawTable9[[#This Row],[Product_ID]],ProductsTable10[],4,FALSE)</f>
        <v>37.99</v>
      </c>
      <c r="V142" t="str">
        <f>VLOOKUP(OrdersRawTable9[[#This Row],[Product_ID]],ProductsTable10[],3,FALSE)</f>
        <v>Accessories</v>
      </c>
      <c r="W142" s="45">
        <f>OrdersRawTable9[[#This Row],[Unit_Price]]*OrdersRawTable9[[#This Row],[Quantity]]</f>
        <v>291.24</v>
      </c>
      <c r="X142" s="47">
        <f>OrdersRawTable9[[#This Row],[Gross_Sales]]*OrdersRawTable9[[#This Row],[Discount_Pct]]</f>
        <v>29.124000000000002</v>
      </c>
      <c r="Y142" s="45">
        <f>OrdersRawTable9[[#This Row],[Gross_Sales]]-OrdersRawTable9[[#This Row],[Discount_Amount]]</f>
        <v>262.11599999999999</v>
      </c>
      <c r="Z142" s="45">
        <f>OrdersRawTable9[[#This Row],[Unit_Cost]]*OrdersRawTable9[[#This Row],[Quantity]]</f>
        <v>151.96</v>
      </c>
      <c r="AA142" s="45">
        <f>OrdersRawTable9[[#This Row],[Net_Sales]]-OrdersRawTable9[[#This Row],[Total_Cost]]</f>
        <v>110.15599999999998</v>
      </c>
      <c r="AB142" s="48">
        <f>IF(OrdersRawTable9[[#This Row],[Net_Sales]]=0,0,OrdersRawTable9[[#This Row],[Profit]]/OrdersRawTable9[[#This Row],[Net_Sales]])</f>
        <v>0.42025668024843954</v>
      </c>
      <c r="AC142" s="45" t="str">
        <f>IF(COUNTIF(ReturnsRawTable[Order_Line_ID],OrdersRawTable9[[#This Row],[Order_Line_ID]])&gt;0,"Yes","No")</f>
        <v>No</v>
      </c>
      <c r="AD142" s="45" t="str">
        <f>IFERROR(VLOOKUP(OrdersRawTable9[[#This Row],[Order_Line_ID]],ReturnsRawTable[[#All],[Order_Line_ID]:[Return_Reason_Raw]],3,FALSE),"")</f>
        <v/>
      </c>
      <c r="AE142" s="49" t="str">
        <f>IFERROR(VLOOKUP(OrdersRawTable9[[#This Row],[Order_Line_ID]],ReturnsRawTable[[#All],[Order_Line_ID]:[Return_Date]],2,FALSE),"")</f>
        <v/>
      </c>
      <c r="AF142" s="45" t="str">
        <f>IFERROR(VLOOKUP(OrdersRawTable9[[#This Row],[Order_Line_ID]],ReturnsRawTable[[Order_Line_ID]:[Refund_Status]],4,FALSE),"")</f>
        <v/>
      </c>
      <c r="AG142" s="45" t="str">
        <f>VLOOKUP(OrdersRawTable9[[#This Row],[Order_ID]],ShipmentsTable[],6,FALSE)</f>
        <v>On time</v>
      </c>
      <c r="AH142" s="49">
        <f>VLOOKUP(OrdersRawTable9[[#This Row],[Order_ID]],ShipmentsTable[],3,FALSE)</f>
        <v>45876</v>
      </c>
    </row>
    <row r="143" spans="1:34" ht="15" customHeight="1">
      <c r="A143" s="14" t="s">
        <v>400</v>
      </c>
      <c r="B143" s="10" t="s">
        <v>397</v>
      </c>
      <c r="C143" s="20">
        <v>45874</v>
      </c>
      <c r="D143" s="10" t="s">
        <v>398</v>
      </c>
      <c r="E143" s="10" t="s">
        <v>399</v>
      </c>
      <c r="F143" s="10" t="str">
        <f>TRIM(LEFT(OrdersRawTable9[[#This Row],[Customer_Info]],FIND(",",OrdersRawTable9[[#This Row],[Customer_Info]])-1))</f>
        <v>Sofia Singh</v>
      </c>
      <c r="G14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143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143" s="10">
        <f>LEN(OrdersRawTable9[[#This Row],[Customer_Info]])-LEN(SUBSTITUTE(OrdersRawTable9[[#This Row],[Customer_Info]],",",""))</f>
        <v>2</v>
      </c>
      <c r="J143" s="10" t="s">
        <v>279</v>
      </c>
      <c r="K143" s="23">
        <v>1</v>
      </c>
      <c r="L143" s="26">
        <v>52.79</v>
      </c>
      <c r="M143" s="29">
        <v>0.1</v>
      </c>
      <c r="N143" s="10" t="s">
        <v>64</v>
      </c>
      <c r="O143" s="10" t="str">
        <f>IF(TRIM(OrdersRawTable9[[#This Row],[Sales_Channel_Raw]])="Market place","Marketplace",TRIM(OrdersRawTable9[[#This Row],[Sales_Channel_Raw]]))</f>
        <v>Retail Store</v>
      </c>
      <c r="P143" s="10" t="s">
        <v>46</v>
      </c>
      <c r="Q143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143" s="15" t="s">
        <v>42</v>
      </c>
      <c r="S143" t="str">
        <f>VLOOKUP(OrdersRawTable9[[#This Row],[Customer_ID_Raw]],CustomersTable11[],4,FALSE)</f>
        <v>British Columbia</v>
      </c>
      <c r="T143" t="str">
        <f>VLOOKUP(OrdersRawTable9[[#This Row],[Customer_ID_Raw]],CustomersTable11[],5,FALSE)</f>
        <v>Consumer</v>
      </c>
      <c r="U143" s="45">
        <f>VLOOKUP(OrdersRawTable9[[#This Row],[Product_ID]],ProductsTable10[],4,FALSE)</f>
        <v>28.17</v>
      </c>
      <c r="V143" t="str">
        <f>VLOOKUP(OrdersRawTable9[[#This Row],[Product_ID]],ProductsTable10[],3,FALSE)</f>
        <v>Office</v>
      </c>
      <c r="W143" s="45">
        <f>OrdersRawTable9[[#This Row],[Unit_Price]]*OrdersRawTable9[[#This Row],[Quantity]]</f>
        <v>52.79</v>
      </c>
      <c r="X143" s="47">
        <f>OrdersRawTable9[[#This Row],[Gross_Sales]]*OrdersRawTable9[[#This Row],[Discount_Pct]]</f>
        <v>5.2789999999999999</v>
      </c>
      <c r="Y143" s="45">
        <f>OrdersRawTable9[[#This Row],[Gross_Sales]]-OrdersRawTable9[[#This Row],[Discount_Amount]]</f>
        <v>47.510999999999996</v>
      </c>
      <c r="Z143" s="45">
        <f>OrdersRawTable9[[#This Row],[Unit_Cost]]*OrdersRawTable9[[#This Row],[Quantity]]</f>
        <v>28.17</v>
      </c>
      <c r="AA143" s="45">
        <f>OrdersRawTable9[[#This Row],[Net_Sales]]-OrdersRawTable9[[#This Row],[Total_Cost]]</f>
        <v>19.340999999999994</v>
      </c>
      <c r="AB143" s="48">
        <f>IF(OrdersRawTable9[[#This Row],[Net_Sales]]=0,0,OrdersRawTable9[[#This Row],[Profit]]/OrdersRawTable9[[#This Row],[Net_Sales]])</f>
        <v>0.40708467512786506</v>
      </c>
      <c r="AC143" s="45" t="str">
        <f>IF(COUNTIF(ReturnsRawTable[Order_Line_ID],OrdersRawTable9[[#This Row],[Order_Line_ID]])&gt;0,"Yes","No")</f>
        <v>No</v>
      </c>
      <c r="AD143" s="45" t="str">
        <f>IFERROR(VLOOKUP(OrdersRawTable9[[#This Row],[Order_Line_ID]],ReturnsRawTable[[#All],[Order_Line_ID]:[Return_Reason_Raw]],3,FALSE),"")</f>
        <v/>
      </c>
      <c r="AE143" s="49" t="str">
        <f>IFERROR(VLOOKUP(OrdersRawTable9[[#This Row],[Order_Line_ID]],ReturnsRawTable[[#All],[Order_Line_ID]:[Return_Date]],2,FALSE),"")</f>
        <v/>
      </c>
      <c r="AF143" s="45" t="str">
        <f>IFERROR(VLOOKUP(OrdersRawTable9[[#This Row],[Order_Line_ID]],ReturnsRawTable[[Order_Line_ID]:[Refund_Status]],4,FALSE),"")</f>
        <v/>
      </c>
      <c r="AG143" s="45" t="str">
        <f>VLOOKUP(OrdersRawTable9[[#This Row],[Order_ID]],ShipmentsTable[],6,FALSE)</f>
        <v>On time</v>
      </c>
      <c r="AH143" s="49">
        <f>VLOOKUP(OrdersRawTable9[[#This Row],[Order_ID]],ShipmentsTable[],3,FALSE)</f>
        <v>45876</v>
      </c>
    </row>
    <row r="144" spans="1:34" ht="15" customHeight="1">
      <c r="A144" s="14" t="s">
        <v>401</v>
      </c>
      <c r="B144" s="10" t="s">
        <v>397</v>
      </c>
      <c r="C144" s="20">
        <v>45874</v>
      </c>
      <c r="D144" s="10" t="s">
        <v>398</v>
      </c>
      <c r="E144" s="10" t="s">
        <v>399</v>
      </c>
      <c r="F144" s="10" t="str">
        <f>TRIM(LEFT(OrdersRawTable9[[#This Row],[Customer_Info]],FIND(",",OrdersRawTable9[[#This Row],[Customer_Info]])-1))</f>
        <v>Sofia Singh</v>
      </c>
      <c r="G14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144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144" s="10">
        <f>LEN(OrdersRawTable9[[#This Row],[Customer_Info]])-LEN(SUBSTITUTE(OrdersRawTable9[[#This Row],[Customer_Info]],",",""))</f>
        <v>2</v>
      </c>
      <c r="J144" s="10" t="s">
        <v>220</v>
      </c>
      <c r="K144" s="23">
        <v>4</v>
      </c>
      <c r="L144" s="26">
        <v>25.01</v>
      </c>
      <c r="M144" s="29">
        <v>0.15</v>
      </c>
      <c r="N144" s="10" t="s">
        <v>64</v>
      </c>
      <c r="O144" s="10" t="str">
        <f>IF(TRIM(OrdersRawTable9[[#This Row],[Sales_Channel_Raw]])="Market place","Marketplace",TRIM(OrdersRawTable9[[#This Row],[Sales_Channel_Raw]]))</f>
        <v>Retail Store</v>
      </c>
      <c r="P144" s="10" t="s">
        <v>51</v>
      </c>
      <c r="Q144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144" s="15" t="s">
        <v>67</v>
      </c>
      <c r="S144" t="str">
        <f>VLOOKUP(OrdersRawTable9[[#This Row],[Customer_ID_Raw]],CustomersTable11[],4,FALSE)</f>
        <v>British Columbia</v>
      </c>
      <c r="T144" t="str">
        <f>VLOOKUP(OrdersRawTable9[[#This Row],[Customer_ID_Raw]],CustomersTable11[],5,FALSE)</f>
        <v>Consumer</v>
      </c>
      <c r="U144" s="45">
        <f>VLOOKUP(OrdersRawTable9[[#This Row],[Product_ID]],ProductsTable10[],4,FALSE)</f>
        <v>16.86</v>
      </c>
      <c r="V144" t="str">
        <f>VLOOKUP(OrdersRawTable9[[#This Row],[Product_ID]],ProductsTable10[],3,FALSE)</f>
        <v>Office</v>
      </c>
      <c r="W144" s="45">
        <f>OrdersRawTable9[[#This Row],[Unit_Price]]*OrdersRawTable9[[#This Row],[Quantity]]</f>
        <v>100.04</v>
      </c>
      <c r="X144" s="47">
        <f>OrdersRawTable9[[#This Row],[Gross_Sales]]*OrdersRawTable9[[#This Row],[Discount_Pct]]</f>
        <v>15.006</v>
      </c>
      <c r="Y144" s="45">
        <f>OrdersRawTable9[[#This Row],[Gross_Sales]]-OrdersRawTable9[[#This Row],[Discount_Amount]]</f>
        <v>85.034000000000006</v>
      </c>
      <c r="Z144" s="45">
        <f>OrdersRawTable9[[#This Row],[Unit_Cost]]*OrdersRawTable9[[#This Row],[Quantity]]</f>
        <v>67.44</v>
      </c>
      <c r="AA144" s="45">
        <f>OrdersRawTable9[[#This Row],[Net_Sales]]-OrdersRawTable9[[#This Row],[Total_Cost]]</f>
        <v>17.594000000000008</v>
      </c>
      <c r="AB144" s="48">
        <f>IF(OrdersRawTable9[[#This Row],[Net_Sales]]=0,0,OrdersRawTable9[[#This Row],[Profit]]/OrdersRawTable9[[#This Row],[Net_Sales]])</f>
        <v>0.20690547310487578</v>
      </c>
      <c r="AC144" s="45" t="str">
        <f>IF(COUNTIF(ReturnsRawTable[Order_Line_ID],OrdersRawTable9[[#This Row],[Order_Line_ID]])&gt;0,"Yes","No")</f>
        <v>No</v>
      </c>
      <c r="AD144" s="45" t="str">
        <f>IFERROR(VLOOKUP(OrdersRawTable9[[#This Row],[Order_Line_ID]],ReturnsRawTable[[#All],[Order_Line_ID]:[Return_Reason_Raw]],3,FALSE),"")</f>
        <v/>
      </c>
      <c r="AE144" s="49" t="str">
        <f>IFERROR(VLOOKUP(OrdersRawTable9[[#This Row],[Order_Line_ID]],ReturnsRawTable[[#All],[Order_Line_ID]:[Return_Date]],2,FALSE),"")</f>
        <v/>
      </c>
      <c r="AF144" s="45" t="str">
        <f>IFERROR(VLOOKUP(OrdersRawTable9[[#This Row],[Order_Line_ID]],ReturnsRawTable[[Order_Line_ID]:[Refund_Status]],4,FALSE),"")</f>
        <v/>
      </c>
      <c r="AG144" s="45" t="str">
        <f>VLOOKUP(OrdersRawTable9[[#This Row],[Order_ID]],ShipmentsTable[],6,FALSE)</f>
        <v>On time</v>
      </c>
      <c r="AH144" s="49">
        <f>VLOOKUP(OrdersRawTable9[[#This Row],[Order_ID]],ShipmentsTable[],3,FALSE)</f>
        <v>45876</v>
      </c>
    </row>
    <row r="145" spans="1:34" ht="15" customHeight="1">
      <c r="A145" s="14" t="s">
        <v>402</v>
      </c>
      <c r="B145" s="10" t="s">
        <v>397</v>
      </c>
      <c r="C145" s="20">
        <v>45874</v>
      </c>
      <c r="D145" s="10" t="s">
        <v>398</v>
      </c>
      <c r="E145" s="10" t="s">
        <v>399</v>
      </c>
      <c r="F145" s="10" t="str">
        <f>TRIM(LEFT(OrdersRawTable9[[#This Row],[Customer_Info]],FIND(",",OrdersRawTable9[[#This Row],[Customer_Info]])-1))</f>
        <v>Sofia Singh</v>
      </c>
      <c r="G14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145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145" s="10">
        <f>LEN(OrdersRawTable9[[#This Row],[Customer_Info]])-LEN(SUBSTITUTE(OrdersRawTable9[[#This Row],[Customer_Info]],",",""))</f>
        <v>2</v>
      </c>
      <c r="J145" s="10" t="s">
        <v>44</v>
      </c>
      <c r="K145" s="23">
        <v>4</v>
      </c>
      <c r="L145" s="26">
        <v>238.47</v>
      </c>
      <c r="M145" s="29">
        <v>0.05</v>
      </c>
      <c r="N145" s="10" t="s">
        <v>66</v>
      </c>
      <c r="O145" s="10" t="str">
        <f>IF(TRIM(OrdersRawTable9[[#This Row],[Sales_Channel_Raw]])="Market place","Marketplace",TRIM(OrdersRawTable9[[#This Row],[Sales_Channel_Raw]]))</f>
        <v>Marketplace</v>
      </c>
      <c r="P145" s="10" t="s">
        <v>58</v>
      </c>
      <c r="Q145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145" s="15" t="s">
        <v>52</v>
      </c>
      <c r="S145" t="str">
        <f>VLOOKUP(OrdersRawTable9[[#This Row],[Customer_ID_Raw]],CustomersTable11[],4,FALSE)</f>
        <v>British Columbia</v>
      </c>
      <c r="T145" t="str">
        <f>VLOOKUP(OrdersRawTable9[[#This Row],[Customer_ID_Raw]],CustomersTable11[],5,FALSE)</f>
        <v>Consumer</v>
      </c>
      <c r="U145" s="45">
        <f>VLOOKUP(OrdersRawTable9[[#This Row],[Product_ID]],ProductsTable10[],4,FALSE)</f>
        <v>127.65</v>
      </c>
      <c r="V145" t="str">
        <f>VLOOKUP(OrdersRawTable9[[#This Row],[Product_ID]],ProductsTable10[],3,FALSE)</f>
        <v>Accessories</v>
      </c>
      <c r="W145" s="45">
        <f>OrdersRawTable9[[#This Row],[Unit_Price]]*OrdersRawTable9[[#This Row],[Quantity]]</f>
        <v>953.88</v>
      </c>
      <c r="X145" s="47">
        <f>OrdersRawTable9[[#This Row],[Gross_Sales]]*OrdersRawTable9[[#This Row],[Discount_Pct]]</f>
        <v>47.694000000000003</v>
      </c>
      <c r="Y145" s="45">
        <f>OrdersRawTable9[[#This Row],[Gross_Sales]]-OrdersRawTable9[[#This Row],[Discount_Amount]]</f>
        <v>906.18600000000004</v>
      </c>
      <c r="Z145" s="45">
        <f>OrdersRawTable9[[#This Row],[Unit_Cost]]*OrdersRawTable9[[#This Row],[Quantity]]</f>
        <v>510.6</v>
      </c>
      <c r="AA145" s="45">
        <f>OrdersRawTable9[[#This Row],[Net_Sales]]-OrdersRawTable9[[#This Row],[Total_Cost]]</f>
        <v>395.58600000000001</v>
      </c>
      <c r="AB145" s="48">
        <f>IF(OrdersRawTable9[[#This Row],[Net_Sales]]=0,0,OrdersRawTable9[[#This Row],[Profit]]/OrdersRawTable9[[#This Row],[Net_Sales]])</f>
        <v>0.43653951837702193</v>
      </c>
      <c r="AC145" s="45" t="str">
        <f>IF(COUNTIF(ReturnsRawTable[Order_Line_ID],OrdersRawTable9[[#This Row],[Order_Line_ID]])&gt;0,"Yes","No")</f>
        <v>No</v>
      </c>
      <c r="AD145" s="45" t="str">
        <f>IFERROR(VLOOKUP(OrdersRawTable9[[#This Row],[Order_Line_ID]],ReturnsRawTable[[#All],[Order_Line_ID]:[Return_Reason_Raw]],3,FALSE),"")</f>
        <v/>
      </c>
      <c r="AE145" s="49" t="str">
        <f>IFERROR(VLOOKUP(OrdersRawTable9[[#This Row],[Order_Line_ID]],ReturnsRawTable[[#All],[Order_Line_ID]:[Return_Date]],2,FALSE),"")</f>
        <v/>
      </c>
      <c r="AF145" s="45" t="str">
        <f>IFERROR(VLOOKUP(OrdersRawTable9[[#This Row],[Order_Line_ID]],ReturnsRawTable[[Order_Line_ID]:[Refund_Status]],4,FALSE),"")</f>
        <v/>
      </c>
      <c r="AG145" s="45" t="str">
        <f>VLOOKUP(OrdersRawTable9[[#This Row],[Order_ID]],ShipmentsTable[],6,FALSE)</f>
        <v>On time</v>
      </c>
      <c r="AH145" s="49">
        <f>VLOOKUP(OrdersRawTable9[[#This Row],[Order_ID]],ShipmentsTable[],3,FALSE)</f>
        <v>45876</v>
      </c>
    </row>
    <row r="146" spans="1:34" ht="15" customHeight="1">
      <c r="A146" s="14" t="s">
        <v>403</v>
      </c>
      <c r="B146" s="10" t="s">
        <v>404</v>
      </c>
      <c r="C146" s="20">
        <v>45984</v>
      </c>
      <c r="D146" s="10" t="s">
        <v>405</v>
      </c>
      <c r="E146" s="10" t="s">
        <v>359</v>
      </c>
      <c r="F146" s="10" t="str">
        <f>TRIM(LEFT(OrdersRawTable9[[#This Row],[Customer_Info]],FIND(",",OrdersRawTable9[[#This Row],[Customer_Info]])-1))</f>
        <v>Yara Ali</v>
      </c>
      <c r="G14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146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146" s="10">
        <f>LEN(OrdersRawTable9[[#This Row],[Customer_Info]])-LEN(SUBSTITUTE(OrdersRawTable9[[#This Row],[Customer_Info]],",",""))</f>
        <v>2</v>
      </c>
      <c r="J146" s="10" t="s">
        <v>106</v>
      </c>
      <c r="K146" s="23">
        <v>4</v>
      </c>
      <c r="L146" s="26">
        <v>195.38</v>
      </c>
      <c r="M146" s="29">
        <v>0.1</v>
      </c>
      <c r="N146" s="10" t="s">
        <v>45</v>
      </c>
      <c r="O146" s="10" t="str">
        <f>IF(TRIM(OrdersRawTable9[[#This Row],[Sales_Channel_Raw]])="Market place","Marketplace",TRIM(OrdersRawTable9[[#This Row],[Sales_Channel_Raw]]))</f>
        <v>Retail Store</v>
      </c>
      <c r="P146" s="10" t="s">
        <v>46</v>
      </c>
      <c r="Q146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146" s="15" t="s">
        <v>67</v>
      </c>
      <c r="S146" t="str">
        <f>VLOOKUP(OrdersRawTable9[[#This Row],[Customer_ID_Raw]],CustomersTable11[],4,FALSE)</f>
        <v>Quebec</v>
      </c>
      <c r="T146" t="str">
        <f>VLOOKUP(OrdersRawTable9[[#This Row],[Customer_ID_Raw]],CustomersTable11[],5,FALSE)</f>
        <v>Consumer</v>
      </c>
      <c r="U146" s="45">
        <f>VLOOKUP(OrdersRawTable9[[#This Row],[Product_ID]],ProductsTable10[],4,FALSE)</f>
        <v>114.29</v>
      </c>
      <c r="V146" t="str">
        <f>VLOOKUP(OrdersRawTable9[[#This Row],[Product_ID]],ProductsTable10[],3,FALSE)</f>
        <v>Electronics</v>
      </c>
      <c r="W146" s="45">
        <f>OrdersRawTable9[[#This Row],[Unit_Price]]*OrdersRawTable9[[#This Row],[Quantity]]</f>
        <v>781.52</v>
      </c>
      <c r="X146" s="47">
        <f>OrdersRawTable9[[#This Row],[Gross_Sales]]*OrdersRawTable9[[#This Row],[Discount_Pct]]</f>
        <v>78.152000000000001</v>
      </c>
      <c r="Y146" s="45">
        <f>OrdersRawTable9[[#This Row],[Gross_Sales]]-OrdersRawTable9[[#This Row],[Discount_Amount]]</f>
        <v>703.36799999999994</v>
      </c>
      <c r="Z146" s="45">
        <f>OrdersRawTable9[[#This Row],[Unit_Cost]]*OrdersRawTable9[[#This Row],[Quantity]]</f>
        <v>457.16</v>
      </c>
      <c r="AA146" s="45">
        <f>OrdersRawTable9[[#This Row],[Net_Sales]]-OrdersRawTable9[[#This Row],[Total_Cost]]</f>
        <v>246.20799999999991</v>
      </c>
      <c r="AB146" s="48">
        <f>IF(OrdersRawTable9[[#This Row],[Net_Sales]]=0,0,OrdersRawTable9[[#This Row],[Profit]]/OrdersRawTable9[[#This Row],[Net_Sales]])</f>
        <v>0.35004151454146326</v>
      </c>
      <c r="AC146" s="45" t="str">
        <f>IF(COUNTIF(ReturnsRawTable[Order_Line_ID],OrdersRawTable9[[#This Row],[Order_Line_ID]])&gt;0,"Yes","No")</f>
        <v>No</v>
      </c>
      <c r="AD146" s="45" t="str">
        <f>IFERROR(VLOOKUP(OrdersRawTable9[[#This Row],[Order_Line_ID]],ReturnsRawTable[[#All],[Order_Line_ID]:[Return_Reason_Raw]],3,FALSE),"")</f>
        <v/>
      </c>
      <c r="AE146" s="49" t="str">
        <f>IFERROR(VLOOKUP(OrdersRawTable9[[#This Row],[Order_Line_ID]],ReturnsRawTable[[#All],[Order_Line_ID]:[Return_Date]],2,FALSE),"")</f>
        <v/>
      </c>
      <c r="AF146" s="45" t="str">
        <f>IFERROR(VLOOKUP(OrdersRawTable9[[#This Row],[Order_Line_ID]],ReturnsRawTable[[Order_Line_ID]:[Refund_Status]],4,FALSE),"")</f>
        <v/>
      </c>
      <c r="AG146" s="45" t="str">
        <f>VLOOKUP(OrdersRawTable9[[#This Row],[Order_ID]],ShipmentsTable[],6,FALSE)</f>
        <v>On time</v>
      </c>
      <c r="AH146" s="49">
        <f>VLOOKUP(OrdersRawTable9[[#This Row],[Order_ID]],ShipmentsTable[],3,FALSE)</f>
        <v>45988</v>
      </c>
    </row>
    <row r="147" spans="1:34" ht="15" customHeight="1">
      <c r="A147" s="14" t="s">
        <v>406</v>
      </c>
      <c r="B147" s="10" t="s">
        <v>404</v>
      </c>
      <c r="C147" s="20">
        <v>45984</v>
      </c>
      <c r="D147" s="10" t="s">
        <v>405</v>
      </c>
      <c r="E147" s="10" t="s">
        <v>359</v>
      </c>
      <c r="F147" s="10" t="str">
        <f>TRIM(LEFT(OrdersRawTable9[[#This Row],[Customer_Info]],FIND(",",OrdersRawTable9[[#This Row],[Customer_Info]])-1))</f>
        <v>Yara Ali</v>
      </c>
      <c r="G14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147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147" s="10">
        <f>LEN(OrdersRawTable9[[#This Row],[Customer_Info]])-LEN(SUBSTITUTE(OrdersRawTable9[[#This Row],[Customer_Info]],",",""))</f>
        <v>2</v>
      </c>
      <c r="J147" s="10" t="s">
        <v>57</v>
      </c>
      <c r="K147" s="23">
        <v>1</v>
      </c>
      <c r="L147" s="26">
        <v>208.81</v>
      </c>
      <c r="M147" s="29">
        <v>0.15</v>
      </c>
      <c r="N147" s="10" t="s">
        <v>70</v>
      </c>
      <c r="O147" s="10" t="str">
        <f>IF(TRIM(OrdersRawTable9[[#This Row],[Sales_Channel_Raw]])="Market place","Marketplace",TRIM(OrdersRawTable9[[#This Row],[Sales_Channel_Raw]]))</f>
        <v>online</v>
      </c>
      <c r="P147" s="10" t="s">
        <v>41</v>
      </c>
      <c r="Q147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147" s="15" t="s">
        <v>42</v>
      </c>
      <c r="S147" t="str">
        <f>VLOOKUP(OrdersRawTable9[[#This Row],[Customer_ID_Raw]],CustomersTable11[],4,FALSE)</f>
        <v>Quebec</v>
      </c>
      <c r="T147" t="str">
        <f>VLOOKUP(OrdersRawTable9[[#This Row],[Customer_ID_Raw]],CustomersTable11[],5,FALSE)</f>
        <v>Consumer</v>
      </c>
      <c r="U147" s="45">
        <f>VLOOKUP(OrdersRawTable9[[#This Row],[Product_ID]],ProductsTable10[],4,FALSE)</f>
        <v>139.04</v>
      </c>
      <c r="V147" t="str">
        <f>VLOOKUP(OrdersRawTable9[[#This Row],[Product_ID]],ProductsTable10[],3,FALSE)</f>
        <v>Fitness</v>
      </c>
      <c r="W147" s="45">
        <f>OrdersRawTable9[[#This Row],[Unit_Price]]*OrdersRawTable9[[#This Row],[Quantity]]</f>
        <v>208.81</v>
      </c>
      <c r="X147" s="47">
        <f>OrdersRawTable9[[#This Row],[Gross_Sales]]*OrdersRawTable9[[#This Row],[Discount_Pct]]</f>
        <v>31.3215</v>
      </c>
      <c r="Y147" s="45">
        <f>OrdersRawTable9[[#This Row],[Gross_Sales]]-OrdersRawTable9[[#This Row],[Discount_Amount]]</f>
        <v>177.48849999999999</v>
      </c>
      <c r="Z147" s="45">
        <f>OrdersRawTable9[[#This Row],[Unit_Cost]]*OrdersRawTable9[[#This Row],[Quantity]]</f>
        <v>139.04</v>
      </c>
      <c r="AA147" s="45">
        <f>OrdersRawTable9[[#This Row],[Net_Sales]]-OrdersRawTable9[[#This Row],[Total_Cost]]</f>
        <v>38.448499999999996</v>
      </c>
      <c r="AB147" s="48">
        <f>IF(OrdersRawTable9[[#This Row],[Net_Sales]]=0,0,OrdersRawTable9[[#This Row],[Profit]]/OrdersRawTable9[[#This Row],[Net_Sales]])</f>
        <v>0.2166253024843863</v>
      </c>
      <c r="AC147" s="45" t="str">
        <f>IF(COUNTIF(ReturnsRawTable[Order_Line_ID],OrdersRawTable9[[#This Row],[Order_Line_ID]])&gt;0,"Yes","No")</f>
        <v>No</v>
      </c>
      <c r="AD147" s="45" t="str">
        <f>IFERROR(VLOOKUP(OrdersRawTable9[[#This Row],[Order_Line_ID]],ReturnsRawTable[[#All],[Order_Line_ID]:[Return_Reason_Raw]],3,FALSE),"")</f>
        <v/>
      </c>
      <c r="AE147" s="49" t="str">
        <f>IFERROR(VLOOKUP(OrdersRawTable9[[#This Row],[Order_Line_ID]],ReturnsRawTable[[#All],[Order_Line_ID]:[Return_Date]],2,FALSE),"")</f>
        <v/>
      </c>
      <c r="AF147" s="45" t="str">
        <f>IFERROR(VLOOKUP(OrdersRawTable9[[#This Row],[Order_Line_ID]],ReturnsRawTable[[Order_Line_ID]:[Refund_Status]],4,FALSE),"")</f>
        <v/>
      </c>
      <c r="AG147" s="45" t="str">
        <f>VLOOKUP(OrdersRawTable9[[#This Row],[Order_ID]],ShipmentsTable[],6,FALSE)</f>
        <v>On time</v>
      </c>
      <c r="AH147" s="49">
        <f>VLOOKUP(OrdersRawTable9[[#This Row],[Order_ID]],ShipmentsTable[],3,FALSE)</f>
        <v>45988</v>
      </c>
    </row>
    <row r="148" spans="1:34" ht="15" customHeight="1">
      <c r="A148" s="14" t="s">
        <v>407</v>
      </c>
      <c r="B148" s="10" t="s">
        <v>404</v>
      </c>
      <c r="C148" s="20">
        <v>45984</v>
      </c>
      <c r="D148" s="10" t="s">
        <v>405</v>
      </c>
      <c r="E148" s="10" t="s">
        <v>359</v>
      </c>
      <c r="F148" s="10" t="str">
        <f>TRIM(LEFT(OrdersRawTable9[[#This Row],[Customer_Info]],FIND(",",OrdersRawTable9[[#This Row],[Customer_Info]])-1))</f>
        <v>Yara Ali</v>
      </c>
      <c r="G14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148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148" s="10">
        <f>LEN(OrdersRawTable9[[#This Row],[Customer_Info]])-LEN(SUBSTITUTE(OrdersRawTable9[[#This Row],[Customer_Info]],",",""))</f>
        <v>2</v>
      </c>
      <c r="J148" s="10" t="s">
        <v>196</v>
      </c>
      <c r="K148" s="23">
        <v>4</v>
      </c>
      <c r="L148" s="26">
        <v>183.73</v>
      </c>
      <c r="M148" s="29">
        <v>0</v>
      </c>
      <c r="N148" s="10" t="s">
        <v>50</v>
      </c>
      <c r="O148" s="10" t="str">
        <f>IF(TRIM(OrdersRawTable9[[#This Row],[Sales_Channel_Raw]])="Market place","Marketplace",TRIM(OrdersRawTable9[[#This Row],[Sales_Channel_Raw]]))</f>
        <v>Marketplace</v>
      </c>
      <c r="P148" s="10"/>
      <c r="Q148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148" s="15" t="s">
        <v>47</v>
      </c>
      <c r="S148" t="str">
        <f>VLOOKUP(OrdersRawTable9[[#This Row],[Customer_ID_Raw]],CustomersTable11[],4,FALSE)</f>
        <v>Quebec</v>
      </c>
      <c r="T148" t="str">
        <f>VLOOKUP(OrdersRawTable9[[#This Row],[Customer_ID_Raw]],CustomersTable11[],5,FALSE)</f>
        <v>Consumer</v>
      </c>
      <c r="U148" s="45">
        <f>VLOOKUP(OrdersRawTable9[[#This Row],[Product_ID]],ProductsTable10[],4,FALSE)</f>
        <v>98.11</v>
      </c>
      <c r="V148" t="str">
        <f>VLOOKUP(OrdersRawTable9[[#This Row],[Product_ID]],ProductsTable10[],3,FALSE)</f>
        <v>Home</v>
      </c>
      <c r="W148" s="45">
        <f>OrdersRawTable9[[#This Row],[Unit_Price]]*OrdersRawTable9[[#This Row],[Quantity]]</f>
        <v>734.92</v>
      </c>
      <c r="X148" s="47">
        <f>OrdersRawTable9[[#This Row],[Gross_Sales]]*OrdersRawTable9[[#This Row],[Discount_Pct]]</f>
        <v>0</v>
      </c>
      <c r="Y148" s="45">
        <f>OrdersRawTable9[[#This Row],[Gross_Sales]]-OrdersRawTable9[[#This Row],[Discount_Amount]]</f>
        <v>734.92</v>
      </c>
      <c r="Z148" s="45">
        <f>OrdersRawTable9[[#This Row],[Unit_Cost]]*OrdersRawTable9[[#This Row],[Quantity]]</f>
        <v>392.44</v>
      </c>
      <c r="AA148" s="45">
        <f>OrdersRawTable9[[#This Row],[Net_Sales]]-OrdersRawTable9[[#This Row],[Total_Cost]]</f>
        <v>342.47999999999996</v>
      </c>
      <c r="AB148" s="48">
        <f>IF(OrdersRawTable9[[#This Row],[Net_Sales]]=0,0,OrdersRawTable9[[#This Row],[Profit]]/OrdersRawTable9[[#This Row],[Net_Sales]])</f>
        <v>0.46600990584009139</v>
      </c>
      <c r="AC148" s="45" t="str">
        <f>IF(COUNTIF(ReturnsRawTable[Order_Line_ID],OrdersRawTable9[[#This Row],[Order_Line_ID]])&gt;0,"Yes","No")</f>
        <v>No</v>
      </c>
      <c r="AD148" s="45" t="str">
        <f>IFERROR(VLOOKUP(OrdersRawTable9[[#This Row],[Order_Line_ID]],ReturnsRawTable[[#All],[Order_Line_ID]:[Return_Reason_Raw]],3,FALSE),"")</f>
        <v/>
      </c>
      <c r="AE148" s="49" t="str">
        <f>IFERROR(VLOOKUP(OrdersRawTable9[[#This Row],[Order_Line_ID]],ReturnsRawTable[[#All],[Order_Line_ID]:[Return_Date]],2,FALSE),"")</f>
        <v/>
      </c>
      <c r="AF148" s="45" t="str">
        <f>IFERROR(VLOOKUP(OrdersRawTable9[[#This Row],[Order_Line_ID]],ReturnsRawTable[[Order_Line_ID]:[Refund_Status]],4,FALSE),"")</f>
        <v/>
      </c>
      <c r="AG148" s="45" t="str">
        <f>VLOOKUP(OrdersRawTable9[[#This Row],[Order_ID]],ShipmentsTable[],6,FALSE)</f>
        <v>On time</v>
      </c>
      <c r="AH148" s="49">
        <f>VLOOKUP(OrdersRawTable9[[#This Row],[Order_ID]],ShipmentsTable[],3,FALSE)</f>
        <v>45988</v>
      </c>
    </row>
    <row r="149" spans="1:34" ht="15" customHeight="1">
      <c r="A149" s="14" t="s">
        <v>408</v>
      </c>
      <c r="B149" s="10" t="s">
        <v>409</v>
      </c>
      <c r="C149" s="20">
        <v>45900</v>
      </c>
      <c r="D149" s="10" t="s">
        <v>410</v>
      </c>
      <c r="E149" s="10" t="s">
        <v>411</v>
      </c>
      <c r="F149" s="10" t="str">
        <f>TRIM(LEFT(OrdersRawTable9[[#This Row],[Customer_Info]],FIND(",",OrdersRawTable9[[#This Row],[Customer_Info]])-1))</f>
        <v>Sofia Khan</v>
      </c>
      <c r="G14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149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149" s="10">
        <f>LEN(OrdersRawTable9[[#This Row],[Customer_Info]])-LEN(SUBSTITUTE(OrdersRawTable9[[#This Row],[Customer_Info]],",",""))</f>
        <v>2</v>
      </c>
      <c r="J149" s="10" t="s">
        <v>80</v>
      </c>
      <c r="K149" s="23">
        <v>2</v>
      </c>
      <c r="L149" s="26">
        <v>142.16</v>
      </c>
      <c r="M149" s="29">
        <v>0.1</v>
      </c>
      <c r="N149" s="10" t="s">
        <v>50</v>
      </c>
      <c r="O149" s="10" t="str">
        <f>IF(TRIM(OrdersRawTable9[[#This Row],[Sales_Channel_Raw]])="Market place","Marketplace",TRIM(OrdersRawTable9[[#This Row],[Sales_Channel_Raw]]))</f>
        <v>Marketplace</v>
      </c>
      <c r="P149" s="10" t="s">
        <v>98</v>
      </c>
      <c r="Q149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149" s="15" t="s">
        <v>52</v>
      </c>
      <c r="S149" t="str">
        <f>VLOOKUP(OrdersRawTable9[[#This Row],[Customer_ID_Raw]],CustomersTable11[],4,FALSE)</f>
        <v>Alberta</v>
      </c>
      <c r="T149" t="str">
        <f>VLOOKUP(OrdersRawTable9[[#This Row],[Customer_ID_Raw]],CustomersTable11[],5,FALSE)</f>
        <v>Small Business</v>
      </c>
      <c r="U149" s="45">
        <f>VLOOKUP(OrdersRawTable9[[#This Row],[Product_ID]],ProductsTable10[],4,FALSE)</f>
        <v>85.34</v>
      </c>
      <c r="V149" t="str">
        <f>VLOOKUP(OrdersRawTable9[[#This Row],[Product_ID]],ProductsTable10[],3,FALSE)</f>
        <v>Home</v>
      </c>
      <c r="W149" s="45">
        <f>OrdersRawTable9[[#This Row],[Unit_Price]]*OrdersRawTable9[[#This Row],[Quantity]]</f>
        <v>284.32</v>
      </c>
      <c r="X149" s="47">
        <f>OrdersRawTable9[[#This Row],[Gross_Sales]]*OrdersRawTable9[[#This Row],[Discount_Pct]]</f>
        <v>28.432000000000002</v>
      </c>
      <c r="Y149" s="45">
        <f>OrdersRawTable9[[#This Row],[Gross_Sales]]-OrdersRawTable9[[#This Row],[Discount_Amount]]</f>
        <v>255.88799999999998</v>
      </c>
      <c r="Z149" s="45">
        <f>OrdersRawTable9[[#This Row],[Unit_Cost]]*OrdersRawTable9[[#This Row],[Quantity]]</f>
        <v>170.68</v>
      </c>
      <c r="AA149" s="45">
        <f>OrdersRawTable9[[#This Row],[Net_Sales]]-OrdersRawTable9[[#This Row],[Total_Cost]]</f>
        <v>85.20799999999997</v>
      </c>
      <c r="AB149" s="48">
        <f>IF(OrdersRawTable9[[#This Row],[Net_Sales]]=0,0,OrdersRawTable9[[#This Row],[Profit]]/OrdersRawTable9[[#This Row],[Net_Sales]])</f>
        <v>0.33298943287688354</v>
      </c>
      <c r="AC149" s="45" t="str">
        <f>IF(COUNTIF(ReturnsRawTable[Order_Line_ID],OrdersRawTable9[[#This Row],[Order_Line_ID]])&gt;0,"Yes","No")</f>
        <v>No</v>
      </c>
      <c r="AD149" s="45" t="str">
        <f>IFERROR(VLOOKUP(OrdersRawTable9[[#This Row],[Order_Line_ID]],ReturnsRawTable[[#All],[Order_Line_ID]:[Return_Reason_Raw]],3,FALSE),"")</f>
        <v/>
      </c>
      <c r="AE149" s="49" t="str">
        <f>IFERROR(VLOOKUP(OrdersRawTable9[[#This Row],[Order_Line_ID]],ReturnsRawTable[[#All],[Order_Line_ID]:[Return_Date]],2,FALSE),"")</f>
        <v/>
      </c>
      <c r="AF149" s="45" t="str">
        <f>IFERROR(VLOOKUP(OrdersRawTable9[[#This Row],[Order_Line_ID]],ReturnsRawTable[[Order_Line_ID]:[Refund_Status]],4,FALSE),"")</f>
        <v/>
      </c>
      <c r="AG149" s="45" t="str">
        <f>VLOOKUP(OrdersRawTable9[[#This Row],[Order_ID]],ShipmentsTable[],6,FALSE)</f>
        <v>Late</v>
      </c>
      <c r="AH149" s="49">
        <f>VLOOKUP(OrdersRawTable9[[#This Row],[Order_ID]],ShipmentsTable[],3,FALSE)</f>
        <v>45907</v>
      </c>
    </row>
    <row r="150" spans="1:34" ht="15" customHeight="1">
      <c r="A150" s="14" t="s">
        <v>412</v>
      </c>
      <c r="B150" s="10" t="s">
        <v>413</v>
      </c>
      <c r="C150" s="20">
        <v>45792</v>
      </c>
      <c r="D150" s="10" t="s">
        <v>414</v>
      </c>
      <c r="E150" s="10" t="s">
        <v>415</v>
      </c>
      <c r="F150" s="10" t="str">
        <f>TRIM(LEFT(OrdersRawTable9[[#This Row],[Customer_Info]],FIND(",",OrdersRawTable9[[#This Row],[Customer_Info]])-1))</f>
        <v>Emma Wilson</v>
      </c>
      <c r="G15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150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150" s="10">
        <f>LEN(OrdersRawTable9[[#This Row],[Customer_Info]])-LEN(SUBSTITUTE(OrdersRawTable9[[#This Row],[Customer_Info]],",",""))</f>
        <v>2</v>
      </c>
      <c r="J150" s="10" t="s">
        <v>80</v>
      </c>
      <c r="K150" s="23">
        <v>3</v>
      </c>
      <c r="L150" s="26">
        <v>142.16</v>
      </c>
      <c r="M150" s="29">
        <v>0</v>
      </c>
      <c r="N150" s="10" t="s">
        <v>50</v>
      </c>
      <c r="O150" s="10" t="str">
        <f>IF(TRIM(OrdersRawTable9[[#This Row],[Sales_Channel_Raw]])="Market place","Marketplace",TRIM(OrdersRawTable9[[#This Row],[Sales_Channel_Raw]]))</f>
        <v>Marketplace</v>
      </c>
      <c r="P150" s="10" t="s">
        <v>46</v>
      </c>
      <c r="Q150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150" s="15" t="s">
        <v>52</v>
      </c>
      <c r="S150" t="str">
        <f>VLOOKUP(OrdersRawTable9[[#This Row],[Customer_ID_Raw]],CustomersTable11[],4,FALSE)</f>
        <v>Alberta</v>
      </c>
      <c r="T150" t="str">
        <f>VLOOKUP(OrdersRawTable9[[#This Row],[Customer_ID_Raw]],CustomersTable11[],5,FALSE)</f>
        <v>Corporate</v>
      </c>
      <c r="U150" s="45">
        <f>VLOOKUP(OrdersRawTable9[[#This Row],[Product_ID]],ProductsTable10[],4,FALSE)</f>
        <v>85.34</v>
      </c>
      <c r="V150" t="str">
        <f>VLOOKUP(OrdersRawTable9[[#This Row],[Product_ID]],ProductsTable10[],3,FALSE)</f>
        <v>Home</v>
      </c>
      <c r="W150" s="45">
        <f>OrdersRawTable9[[#This Row],[Unit_Price]]*OrdersRawTable9[[#This Row],[Quantity]]</f>
        <v>426.48</v>
      </c>
      <c r="X150" s="47">
        <f>OrdersRawTable9[[#This Row],[Gross_Sales]]*OrdersRawTable9[[#This Row],[Discount_Pct]]</f>
        <v>0</v>
      </c>
      <c r="Y150" s="45">
        <f>OrdersRawTable9[[#This Row],[Gross_Sales]]-OrdersRawTable9[[#This Row],[Discount_Amount]]</f>
        <v>426.48</v>
      </c>
      <c r="Z150" s="45">
        <f>OrdersRawTable9[[#This Row],[Unit_Cost]]*OrdersRawTable9[[#This Row],[Quantity]]</f>
        <v>256.02</v>
      </c>
      <c r="AA150" s="45">
        <f>OrdersRawTable9[[#This Row],[Net_Sales]]-OrdersRawTable9[[#This Row],[Total_Cost]]</f>
        <v>170.46000000000004</v>
      </c>
      <c r="AB150" s="48">
        <f>IF(OrdersRawTable9[[#This Row],[Net_Sales]]=0,0,OrdersRawTable9[[#This Row],[Profit]]/OrdersRawTable9[[#This Row],[Net_Sales]])</f>
        <v>0.39969048958919534</v>
      </c>
      <c r="AC150" s="45" t="str">
        <f>IF(COUNTIF(ReturnsRawTable[Order_Line_ID],OrdersRawTable9[[#This Row],[Order_Line_ID]])&gt;0,"Yes","No")</f>
        <v>No</v>
      </c>
      <c r="AD150" s="45" t="str">
        <f>IFERROR(VLOOKUP(OrdersRawTable9[[#This Row],[Order_Line_ID]],ReturnsRawTable[[#All],[Order_Line_ID]:[Return_Reason_Raw]],3,FALSE),"")</f>
        <v/>
      </c>
      <c r="AE150" s="49" t="str">
        <f>IFERROR(VLOOKUP(OrdersRawTable9[[#This Row],[Order_Line_ID]],ReturnsRawTable[[#All],[Order_Line_ID]:[Return_Date]],2,FALSE),"")</f>
        <v/>
      </c>
      <c r="AF150" s="45" t="str">
        <f>IFERROR(VLOOKUP(OrdersRawTable9[[#This Row],[Order_Line_ID]],ReturnsRawTable[[Order_Line_ID]:[Refund_Status]],4,FALSE),"")</f>
        <v/>
      </c>
      <c r="AG150" s="45" t="str">
        <f>VLOOKUP(OrdersRawTable9[[#This Row],[Order_ID]],ShipmentsTable[],6,FALSE)</f>
        <v>On time</v>
      </c>
      <c r="AH150" s="49">
        <f>VLOOKUP(OrdersRawTable9[[#This Row],[Order_ID]],ShipmentsTable[],3,FALSE)</f>
        <v>45796</v>
      </c>
    </row>
    <row r="151" spans="1:34" ht="15" customHeight="1">
      <c r="A151" s="14" t="s">
        <v>416</v>
      </c>
      <c r="B151" s="10" t="s">
        <v>413</v>
      </c>
      <c r="C151" s="20">
        <v>45792</v>
      </c>
      <c r="D151" s="10" t="s">
        <v>414</v>
      </c>
      <c r="E151" s="10" t="s">
        <v>415</v>
      </c>
      <c r="F151" s="10" t="str">
        <f>TRIM(LEFT(OrdersRawTable9[[#This Row],[Customer_Info]],FIND(",",OrdersRawTable9[[#This Row],[Customer_Info]])-1))</f>
        <v>Emma Wilson</v>
      </c>
      <c r="G15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151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151" s="10">
        <f>LEN(OrdersRawTable9[[#This Row],[Customer_Info]])-LEN(SUBSTITUTE(OrdersRawTable9[[#This Row],[Customer_Info]],",",""))</f>
        <v>2</v>
      </c>
      <c r="J151" s="10" t="s">
        <v>44</v>
      </c>
      <c r="K151" s="23">
        <v>3</v>
      </c>
      <c r="L151" s="26">
        <v>238.47</v>
      </c>
      <c r="M151" s="29">
        <v>0.05</v>
      </c>
      <c r="N151" s="10" t="s">
        <v>70</v>
      </c>
      <c r="O151" s="10" t="str">
        <f>IF(TRIM(OrdersRawTable9[[#This Row],[Sales_Channel_Raw]])="Market place","Marketplace",TRIM(OrdersRawTable9[[#This Row],[Sales_Channel_Raw]]))</f>
        <v>online</v>
      </c>
      <c r="P151" s="10" t="s">
        <v>41</v>
      </c>
      <c r="Q151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151" s="15" t="s">
        <v>47</v>
      </c>
      <c r="S151" t="str">
        <f>VLOOKUP(OrdersRawTable9[[#This Row],[Customer_ID_Raw]],CustomersTable11[],4,FALSE)</f>
        <v>Alberta</v>
      </c>
      <c r="T151" t="str">
        <f>VLOOKUP(OrdersRawTable9[[#This Row],[Customer_ID_Raw]],CustomersTable11[],5,FALSE)</f>
        <v>Corporate</v>
      </c>
      <c r="U151" s="45">
        <f>VLOOKUP(OrdersRawTable9[[#This Row],[Product_ID]],ProductsTable10[],4,FALSE)</f>
        <v>127.65</v>
      </c>
      <c r="V151" t="str">
        <f>VLOOKUP(OrdersRawTable9[[#This Row],[Product_ID]],ProductsTable10[],3,FALSE)</f>
        <v>Accessories</v>
      </c>
      <c r="W151" s="45">
        <f>OrdersRawTable9[[#This Row],[Unit_Price]]*OrdersRawTable9[[#This Row],[Quantity]]</f>
        <v>715.41</v>
      </c>
      <c r="X151" s="47">
        <f>OrdersRawTable9[[#This Row],[Gross_Sales]]*OrdersRawTable9[[#This Row],[Discount_Pct]]</f>
        <v>35.770499999999998</v>
      </c>
      <c r="Y151" s="45">
        <f>OrdersRawTable9[[#This Row],[Gross_Sales]]-OrdersRawTable9[[#This Row],[Discount_Amount]]</f>
        <v>679.6395</v>
      </c>
      <c r="Z151" s="45">
        <f>OrdersRawTable9[[#This Row],[Unit_Cost]]*OrdersRawTable9[[#This Row],[Quantity]]</f>
        <v>382.95000000000005</v>
      </c>
      <c r="AA151" s="45">
        <f>OrdersRawTable9[[#This Row],[Net_Sales]]-OrdersRawTable9[[#This Row],[Total_Cost]]</f>
        <v>296.68949999999995</v>
      </c>
      <c r="AB151" s="48">
        <f>IF(OrdersRawTable9[[#This Row],[Net_Sales]]=0,0,OrdersRawTable9[[#This Row],[Profit]]/OrdersRawTable9[[#This Row],[Net_Sales]])</f>
        <v>0.43653951837702187</v>
      </c>
      <c r="AC151" s="45" t="str">
        <f>IF(COUNTIF(ReturnsRawTable[Order_Line_ID],OrdersRawTable9[[#This Row],[Order_Line_ID]])&gt;0,"Yes","No")</f>
        <v>No</v>
      </c>
      <c r="AD151" s="45" t="str">
        <f>IFERROR(VLOOKUP(OrdersRawTable9[[#This Row],[Order_Line_ID]],ReturnsRawTable[[#All],[Order_Line_ID]:[Return_Reason_Raw]],3,FALSE),"")</f>
        <v/>
      </c>
      <c r="AE151" s="49" t="str">
        <f>IFERROR(VLOOKUP(OrdersRawTable9[[#This Row],[Order_Line_ID]],ReturnsRawTable[[#All],[Order_Line_ID]:[Return_Date]],2,FALSE),"")</f>
        <v/>
      </c>
      <c r="AF151" s="45" t="str">
        <f>IFERROR(VLOOKUP(OrdersRawTable9[[#This Row],[Order_Line_ID]],ReturnsRawTable[[Order_Line_ID]:[Refund_Status]],4,FALSE),"")</f>
        <v/>
      </c>
      <c r="AG151" s="45" t="str">
        <f>VLOOKUP(OrdersRawTable9[[#This Row],[Order_ID]],ShipmentsTable[],6,FALSE)</f>
        <v>On time</v>
      </c>
      <c r="AH151" s="49">
        <f>VLOOKUP(OrdersRawTable9[[#This Row],[Order_ID]],ShipmentsTable[],3,FALSE)</f>
        <v>45796</v>
      </c>
    </row>
    <row r="152" spans="1:34" ht="15" customHeight="1">
      <c r="A152" s="14" t="s">
        <v>417</v>
      </c>
      <c r="B152" s="10" t="s">
        <v>413</v>
      </c>
      <c r="C152" s="20">
        <v>45792</v>
      </c>
      <c r="D152" s="10" t="s">
        <v>414</v>
      </c>
      <c r="E152" s="10" t="s">
        <v>415</v>
      </c>
      <c r="F152" s="10" t="str">
        <f>TRIM(LEFT(OrdersRawTable9[[#This Row],[Customer_Info]],FIND(",",OrdersRawTable9[[#This Row],[Customer_Info]])-1))</f>
        <v>Emma Wilson</v>
      </c>
      <c r="G15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152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152" s="10">
        <f>LEN(OrdersRawTable9[[#This Row],[Customer_Info]])-LEN(SUBSTITUTE(OrdersRawTable9[[#This Row],[Customer_Info]],",",""))</f>
        <v>2</v>
      </c>
      <c r="J152" s="10" t="s">
        <v>279</v>
      </c>
      <c r="K152" s="23">
        <v>1</v>
      </c>
      <c r="L152" s="26">
        <v>52.79</v>
      </c>
      <c r="M152" s="29">
        <v>0</v>
      </c>
      <c r="N152" s="10" t="s">
        <v>45</v>
      </c>
      <c r="O152" s="10" t="str">
        <f>IF(TRIM(OrdersRawTable9[[#This Row],[Sales_Channel_Raw]])="Market place","Marketplace",TRIM(OrdersRawTable9[[#This Row],[Sales_Channel_Raw]]))</f>
        <v>Retail Store</v>
      </c>
      <c r="P152" s="10"/>
      <c r="Q152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152" s="15" t="s">
        <v>47</v>
      </c>
      <c r="S152" t="str">
        <f>VLOOKUP(OrdersRawTable9[[#This Row],[Customer_ID_Raw]],CustomersTable11[],4,FALSE)</f>
        <v>Alberta</v>
      </c>
      <c r="T152" t="str">
        <f>VLOOKUP(OrdersRawTable9[[#This Row],[Customer_ID_Raw]],CustomersTable11[],5,FALSE)</f>
        <v>Corporate</v>
      </c>
      <c r="U152" s="45">
        <f>VLOOKUP(OrdersRawTable9[[#This Row],[Product_ID]],ProductsTable10[],4,FALSE)</f>
        <v>28.17</v>
      </c>
      <c r="V152" t="str">
        <f>VLOOKUP(OrdersRawTable9[[#This Row],[Product_ID]],ProductsTable10[],3,FALSE)</f>
        <v>Office</v>
      </c>
      <c r="W152" s="45">
        <f>OrdersRawTable9[[#This Row],[Unit_Price]]*OrdersRawTable9[[#This Row],[Quantity]]</f>
        <v>52.79</v>
      </c>
      <c r="X152" s="47">
        <f>OrdersRawTable9[[#This Row],[Gross_Sales]]*OrdersRawTable9[[#This Row],[Discount_Pct]]</f>
        <v>0</v>
      </c>
      <c r="Y152" s="45">
        <f>OrdersRawTable9[[#This Row],[Gross_Sales]]-OrdersRawTable9[[#This Row],[Discount_Amount]]</f>
        <v>52.79</v>
      </c>
      <c r="Z152" s="45">
        <f>OrdersRawTable9[[#This Row],[Unit_Cost]]*OrdersRawTable9[[#This Row],[Quantity]]</f>
        <v>28.17</v>
      </c>
      <c r="AA152" s="45">
        <f>OrdersRawTable9[[#This Row],[Net_Sales]]-OrdersRawTable9[[#This Row],[Total_Cost]]</f>
        <v>24.619999999999997</v>
      </c>
      <c r="AB152" s="48">
        <f>IF(OrdersRawTable9[[#This Row],[Net_Sales]]=0,0,OrdersRawTable9[[#This Row],[Profit]]/OrdersRawTable9[[#This Row],[Net_Sales]])</f>
        <v>0.46637620761507859</v>
      </c>
      <c r="AC152" s="45" t="str">
        <f>IF(COUNTIF(ReturnsRawTable[Order_Line_ID],OrdersRawTable9[[#This Row],[Order_Line_ID]])&gt;0,"Yes","No")</f>
        <v>No</v>
      </c>
      <c r="AD152" s="45" t="str">
        <f>IFERROR(VLOOKUP(OrdersRawTable9[[#This Row],[Order_Line_ID]],ReturnsRawTable[[#All],[Order_Line_ID]:[Return_Reason_Raw]],3,FALSE),"")</f>
        <v/>
      </c>
      <c r="AE152" s="49" t="str">
        <f>IFERROR(VLOOKUP(OrdersRawTable9[[#This Row],[Order_Line_ID]],ReturnsRawTable[[#All],[Order_Line_ID]:[Return_Date]],2,FALSE),"")</f>
        <v/>
      </c>
      <c r="AF152" s="45" t="str">
        <f>IFERROR(VLOOKUP(OrdersRawTable9[[#This Row],[Order_Line_ID]],ReturnsRawTable[[Order_Line_ID]:[Refund_Status]],4,FALSE),"")</f>
        <v/>
      </c>
      <c r="AG152" s="45" t="str">
        <f>VLOOKUP(OrdersRawTable9[[#This Row],[Order_ID]],ShipmentsTable[],6,FALSE)</f>
        <v>On time</v>
      </c>
      <c r="AH152" s="49">
        <f>VLOOKUP(OrdersRawTable9[[#This Row],[Order_ID]],ShipmentsTable[],3,FALSE)</f>
        <v>45796</v>
      </c>
    </row>
    <row r="153" spans="1:34" ht="15" customHeight="1">
      <c r="A153" s="14" t="s">
        <v>418</v>
      </c>
      <c r="B153" s="10" t="s">
        <v>413</v>
      </c>
      <c r="C153" s="20">
        <v>45792</v>
      </c>
      <c r="D153" s="10" t="s">
        <v>414</v>
      </c>
      <c r="E153" s="10" t="s">
        <v>415</v>
      </c>
      <c r="F153" s="10" t="str">
        <f>TRIM(LEFT(OrdersRawTable9[[#This Row],[Customer_Info]],FIND(",",OrdersRawTable9[[#This Row],[Customer_Info]])-1))</f>
        <v>Emma Wilson</v>
      </c>
      <c r="G15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153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153" s="10">
        <f>LEN(OrdersRawTable9[[#This Row],[Customer_Info]])-LEN(SUBSTITUTE(OrdersRawTable9[[#This Row],[Customer_Info]],",",""))</f>
        <v>2</v>
      </c>
      <c r="J153" s="10" t="s">
        <v>57</v>
      </c>
      <c r="K153" s="23">
        <v>2</v>
      </c>
      <c r="L153" s="26">
        <v>208.81</v>
      </c>
      <c r="M153" s="29">
        <v>0.15</v>
      </c>
      <c r="N153" s="10" t="s">
        <v>70</v>
      </c>
      <c r="O153" s="10" t="str">
        <f>IF(TRIM(OrdersRawTable9[[#This Row],[Sales_Channel_Raw]])="Market place","Marketplace",TRIM(OrdersRawTable9[[#This Row],[Sales_Channel_Raw]]))</f>
        <v>online</v>
      </c>
      <c r="P153" s="10" t="s">
        <v>46</v>
      </c>
      <c r="Q153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153" s="15" t="s">
        <v>42</v>
      </c>
      <c r="S153" t="str">
        <f>VLOOKUP(OrdersRawTable9[[#This Row],[Customer_ID_Raw]],CustomersTable11[],4,FALSE)</f>
        <v>Alberta</v>
      </c>
      <c r="T153" t="str">
        <f>VLOOKUP(OrdersRawTable9[[#This Row],[Customer_ID_Raw]],CustomersTable11[],5,FALSE)</f>
        <v>Corporate</v>
      </c>
      <c r="U153" s="45">
        <f>VLOOKUP(OrdersRawTable9[[#This Row],[Product_ID]],ProductsTable10[],4,FALSE)</f>
        <v>139.04</v>
      </c>
      <c r="V153" t="str">
        <f>VLOOKUP(OrdersRawTable9[[#This Row],[Product_ID]],ProductsTable10[],3,FALSE)</f>
        <v>Fitness</v>
      </c>
      <c r="W153" s="45">
        <f>OrdersRawTable9[[#This Row],[Unit_Price]]*OrdersRawTable9[[#This Row],[Quantity]]</f>
        <v>417.62</v>
      </c>
      <c r="X153" s="47">
        <f>OrdersRawTable9[[#This Row],[Gross_Sales]]*OrdersRawTable9[[#This Row],[Discount_Pct]]</f>
        <v>62.643000000000001</v>
      </c>
      <c r="Y153" s="45">
        <f>OrdersRawTable9[[#This Row],[Gross_Sales]]-OrdersRawTable9[[#This Row],[Discount_Amount]]</f>
        <v>354.97699999999998</v>
      </c>
      <c r="Z153" s="45">
        <f>OrdersRawTable9[[#This Row],[Unit_Cost]]*OrdersRawTable9[[#This Row],[Quantity]]</f>
        <v>278.08</v>
      </c>
      <c r="AA153" s="45">
        <f>OrdersRawTable9[[#This Row],[Net_Sales]]-OrdersRawTable9[[#This Row],[Total_Cost]]</f>
        <v>76.896999999999991</v>
      </c>
      <c r="AB153" s="48">
        <f>IF(OrdersRawTable9[[#This Row],[Net_Sales]]=0,0,OrdersRawTable9[[#This Row],[Profit]]/OrdersRawTable9[[#This Row],[Net_Sales]])</f>
        <v>0.2166253024843863</v>
      </c>
      <c r="AC153" s="45" t="str">
        <f>IF(COUNTIF(ReturnsRawTable[Order_Line_ID],OrdersRawTable9[[#This Row],[Order_Line_ID]])&gt;0,"Yes","No")</f>
        <v>No</v>
      </c>
      <c r="AD153" s="45" t="str">
        <f>IFERROR(VLOOKUP(OrdersRawTable9[[#This Row],[Order_Line_ID]],ReturnsRawTable[[#All],[Order_Line_ID]:[Return_Reason_Raw]],3,FALSE),"")</f>
        <v/>
      </c>
      <c r="AE153" s="49" t="str">
        <f>IFERROR(VLOOKUP(OrdersRawTable9[[#This Row],[Order_Line_ID]],ReturnsRawTable[[#All],[Order_Line_ID]:[Return_Date]],2,FALSE),"")</f>
        <v/>
      </c>
      <c r="AF153" s="45" t="str">
        <f>IFERROR(VLOOKUP(OrdersRawTable9[[#This Row],[Order_Line_ID]],ReturnsRawTable[[Order_Line_ID]:[Refund_Status]],4,FALSE),"")</f>
        <v/>
      </c>
      <c r="AG153" s="45" t="str">
        <f>VLOOKUP(OrdersRawTable9[[#This Row],[Order_ID]],ShipmentsTable[],6,FALSE)</f>
        <v>On time</v>
      </c>
      <c r="AH153" s="49">
        <f>VLOOKUP(OrdersRawTable9[[#This Row],[Order_ID]],ShipmentsTable[],3,FALSE)</f>
        <v>45796</v>
      </c>
    </row>
    <row r="154" spans="1:34" ht="15" customHeight="1">
      <c r="A154" s="14" t="s">
        <v>419</v>
      </c>
      <c r="B154" s="10" t="s">
        <v>420</v>
      </c>
      <c r="C154" s="20">
        <v>45667</v>
      </c>
      <c r="D154" s="10" t="s">
        <v>421</v>
      </c>
      <c r="E154" s="10" t="s">
        <v>422</v>
      </c>
      <c r="F154" s="10" t="str">
        <f>TRIM(LEFT(OrdersRawTable9[[#This Row],[Customer_Info]],FIND(",",OrdersRawTable9[[#This Row],[Customer_Info]])-1))</f>
        <v>Yara Dubois</v>
      </c>
      <c r="G15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154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154" s="10">
        <f>LEN(OrdersRawTable9[[#This Row],[Customer_Info]])-LEN(SUBSTITUTE(OrdersRawTable9[[#This Row],[Customer_Info]],",",""))</f>
        <v>2</v>
      </c>
      <c r="J154" s="10" t="s">
        <v>171</v>
      </c>
      <c r="K154" s="23">
        <v>3</v>
      </c>
      <c r="L154" s="26">
        <v>228.81</v>
      </c>
      <c r="M154" s="29">
        <v>0.05</v>
      </c>
      <c r="N154" s="10" t="s">
        <v>66</v>
      </c>
      <c r="O154" s="10" t="str">
        <f>IF(TRIM(OrdersRawTable9[[#This Row],[Sales_Channel_Raw]])="Market place","Marketplace",TRIM(OrdersRawTable9[[#This Row],[Sales_Channel_Raw]]))</f>
        <v>Marketplace</v>
      </c>
      <c r="P154" s="10" t="s">
        <v>51</v>
      </c>
      <c r="Q154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154" s="15" t="s">
        <v>101</v>
      </c>
      <c r="S154" t="str">
        <f>VLOOKUP(OrdersRawTable9[[#This Row],[Customer_ID_Raw]],CustomersTable11[],4,FALSE)</f>
        <v>Ontario</v>
      </c>
      <c r="T154" t="str">
        <f>VLOOKUP(OrdersRawTable9[[#This Row],[Customer_ID_Raw]],CustomersTable11[],5,FALSE)</f>
        <v>Consumer</v>
      </c>
      <c r="U154" s="45">
        <f>VLOOKUP(OrdersRawTable9[[#This Row],[Product_ID]],ProductsTable10[],4,FALSE)</f>
        <v>130.9</v>
      </c>
      <c r="V154" t="str">
        <f>VLOOKUP(OrdersRawTable9[[#This Row],[Product_ID]],ProductsTable10[],3,FALSE)</f>
        <v>Accessories</v>
      </c>
      <c r="W154" s="45">
        <f>OrdersRawTable9[[#This Row],[Unit_Price]]*OrdersRawTable9[[#This Row],[Quantity]]</f>
        <v>686.43000000000006</v>
      </c>
      <c r="X154" s="47">
        <f>OrdersRawTable9[[#This Row],[Gross_Sales]]*OrdersRawTable9[[#This Row],[Discount_Pct]]</f>
        <v>34.321500000000007</v>
      </c>
      <c r="Y154" s="45">
        <f>OrdersRawTable9[[#This Row],[Gross_Sales]]-OrdersRawTable9[[#This Row],[Discount_Amount]]</f>
        <v>652.10850000000005</v>
      </c>
      <c r="Z154" s="45">
        <f>OrdersRawTable9[[#This Row],[Unit_Cost]]*OrdersRawTable9[[#This Row],[Quantity]]</f>
        <v>392.70000000000005</v>
      </c>
      <c r="AA154" s="45">
        <f>OrdersRawTable9[[#This Row],[Net_Sales]]-OrdersRawTable9[[#This Row],[Total_Cost]]</f>
        <v>259.4085</v>
      </c>
      <c r="AB154" s="48">
        <f>IF(OrdersRawTable9[[#This Row],[Net_Sales]]=0,0,OrdersRawTable9[[#This Row],[Profit]]/OrdersRawTable9[[#This Row],[Net_Sales]])</f>
        <v>0.39779959929980974</v>
      </c>
      <c r="AC154" s="45" t="str">
        <f>IF(COUNTIF(ReturnsRawTable[Order_Line_ID],OrdersRawTable9[[#This Row],[Order_Line_ID]])&gt;0,"Yes","No")</f>
        <v>No</v>
      </c>
      <c r="AD154" s="45" t="str">
        <f>IFERROR(VLOOKUP(OrdersRawTable9[[#This Row],[Order_Line_ID]],ReturnsRawTable[[#All],[Order_Line_ID]:[Return_Reason_Raw]],3,FALSE),"")</f>
        <v/>
      </c>
      <c r="AE154" s="49" t="str">
        <f>IFERROR(VLOOKUP(OrdersRawTable9[[#This Row],[Order_Line_ID]],ReturnsRawTable[[#All],[Order_Line_ID]:[Return_Date]],2,FALSE),"")</f>
        <v/>
      </c>
      <c r="AF154" s="45" t="str">
        <f>IFERROR(VLOOKUP(OrdersRawTable9[[#This Row],[Order_Line_ID]],ReturnsRawTable[[Order_Line_ID]:[Refund_Status]],4,FALSE),"")</f>
        <v/>
      </c>
      <c r="AG154" s="45" t="str">
        <f>VLOOKUP(OrdersRawTable9[[#This Row],[Order_ID]],ShipmentsTable[],6,FALSE)</f>
        <v>On time</v>
      </c>
      <c r="AH154" s="49">
        <f>VLOOKUP(OrdersRawTable9[[#This Row],[Order_ID]],ShipmentsTable[],3,FALSE)</f>
        <v>45670</v>
      </c>
    </row>
    <row r="155" spans="1:34" ht="15" customHeight="1">
      <c r="A155" s="14" t="s">
        <v>423</v>
      </c>
      <c r="B155" s="10" t="s">
        <v>424</v>
      </c>
      <c r="C155" s="20">
        <v>45906</v>
      </c>
      <c r="D155" s="10" t="s">
        <v>425</v>
      </c>
      <c r="E155" s="10" t="s">
        <v>426</v>
      </c>
      <c r="F155" s="10" t="str">
        <f>TRIM(LEFT(OrdersRawTable9[[#This Row],[Customer_Info]],FIND(",",OrdersRawTable9[[#This Row],[Customer_Info]])-1))</f>
        <v>Noah Gagnon</v>
      </c>
      <c r="G15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155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155" s="10">
        <f>LEN(OrdersRawTable9[[#This Row],[Customer_Info]])-LEN(SUBSTITUTE(OrdersRawTable9[[#This Row],[Customer_Info]],",",""))</f>
        <v>2</v>
      </c>
      <c r="J155" s="10" t="s">
        <v>121</v>
      </c>
      <c r="K155" s="23">
        <v>4</v>
      </c>
      <c r="L155" s="26">
        <v>287.16000000000003</v>
      </c>
      <c r="M155" s="29">
        <v>0</v>
      </c>
      <c r="N155" s="10" t="s">
        <v>50</v>
      </c>
      <c r="O155" s="10" t="str">
        <f>IF(TRIM(OrdersRawTable9[[#This Row],[Sales_Channel_Raw]])="Market place","Marketplace",TRIM(OrdersRawTable9[[#This Row],[Sales_Channel_Raw]]))</f>
        <v>Marketplace</v>
      </c>
      <c r="P155" s="10" t="s">
        <v>98</v>
      </c>
      <c r="Q155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155" s="15" t="s">
        <v>42</v>
      </c>
      <c r="S155" t="str">
        <f>VLOOKUP(OrdersRawTable9[[#This Row],[Customer_ID_Raw]],CustomersTable11[],4,FALSE)</f>
        <v>Alberta</v>
      </c>
      <c r="T155" t="str">
        <f>VLOOKUP(OrdersRawTable9[[#This Row],[Customer_ID_Raw]],CustomersTable11[],5,FALSE)</f>
        <v>Small Business</v>
      </c>
      <c r="U155" s="45">
        <f>VLOOKUP(OrdersRawTable9[[#This Row],[Product_ID]],ProductsTable10[],4,FALSE)</f>
        <v>148.21</v>
      </c>
      <c r="V155" t="str">
        <f>VLOOKUP(OrdersRawTable9[[#This Row],[Product_ID]],ProductsTable10[],3,FALSE)</f>
        <v>Accessories</v>
      </c>
      <c r="W155" s="45">
        <f>OrdersRawTable9[[#This Row],[Unit_Price]]*OrdersRawTable9[[#This Row],[Quantity]]</f>
        <v>1148.6400000000001</v>
      </c>
      <c r="X155" s="47">
        <f>OrdersRawTable9[[#This Row],[Gross_Sales]]*OrdersRawTable9[[#This Row],[Discount_Pct]]</f>
        <v>0</v>
      </c>
      <c r="Y155" s="45">
        <f>OrdersRawTable9[[#This Row],[Gross_Sales]]-OrdersRawTable9[[#This Row],[Discount_Amount]]</f>
        <v>1148.6400000000001</v>
      </c>
      <c r="Z155" s="45">
        <f>OrdersRawTable9[[#This Row],[Unit_Cost]]*OrdersRawTable9[[#This Row],[Quantity]]</f>
        <v>592.84</v>
      </c>
      <c r="AA155" s="45">
        <f>OrdersRawTable9[[#This Row],[Net_Sales]]-OrdersRawTable9[[#This Row],[Total_Cost]]</f>
        <v>555.80000000000007</v>
      </c>
      <c r="AB155" s="48">
        <f>IF(OrdersRawTable9[[#This Row],[Net_Sales]]=0,0,OrdersRawTable9[[#This Row],[Profit]]/OrdersRawTable9[[#This Row],[Net_Sales]])</f>
        <v>0.48387658448251847</v>
      </c>
      <c r="AC155" s="45" t="str">
        <f>IF(COUNTIF(ReturnsRawTable[Order_Line_ID],OrdersRawTable9[[#This Row],[Order_Line_ID]])&gt;0,"Yes","No")</f>
        <v>No</v>
      </c>
      <c r="AD155" s="45" t="str">
        <f>IFERROR(VLOOKUP(OrdersRawTable9[[#This Row],[Order_Line_ID]],ReturnsRawTable[[#All],[Order_Line_ID]:[Return_Reason_Raw]],3,FALSE),"")</f>
        <v/>
      </c>
      <c r="AE155" s="49" t="str">
        <f>IFERROR(VLOOKUP(OrdersRawTable9[[#This Row],[Order_Line_ID]],ReturnsRawTable[[#All],[Order_Line_ID]:[Return_Date]],2,FALSE),"")</f>
        <v/>
      </c>
      <c r="AF155" s="45" t="str">
        <f>IFERROR(VLOOKUP(OrdersRawTable9[[#This Row],[Order_Line_ID]],ReturnsRawTable[[Order_Line_ID]:[Refund_Status]],4,FALSE),"")</f>
        <v/>
      </c>
      <c r="AG155" s="45" t="str">
        <f>VLOOKUP(OrdersRawTable9[[#This Row],[Order_ID]],ShipmentsTable[],6,FALSE)</f>
        <v>Late</v>
      </c>
      <c r="AH155" s="49">
        <f>VLOOKUP(OrdersRawTable9[[#This Row],[Order_ID]],ShipmentsTable[],3,FALSE)</f>
        <v>45912</v>
      </c>
    </row>
    <row r="156" spans="1:34" ht="15" customHeight="1">
      <c r="A156" s="14" t="s">
        <v>427</v>
      </c>
      <c r="B156" s="10" t="s">
        <v>424</v>
      </c>
      <c r="C156" s="20">
        <v>45906</v>
      </c>
      <c r="D156" s="10" t="s">
        <v>425</v>
      </c>
      <c r="E156" s="10" t="s">
        <v>426</v>
      </c>
      <c r="F156" s="10" t="str">
        <f>TRIM(LEFT(OrdersRawTable9[[#This Row],[Customer_Info]],FIND(",",OrdersRawTable9[[#This Row],[Customer_Info]])-1))</f>
        <v>Noah Gagnon</v>
      </c>
      <c r="G15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156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156" s="10">
        <f>LEN(OrdersRawTable9[[#This Row],[Customer_Info]])-LEN(SUBSTITUTE(OrdersRawTable9[[#This Row],[Customer_Info]],",",""))</f>
        <v>2</v>
      </c>
      <c r="J156" s="10" t="s">
        <v>428</v>
      </c>
      <c r="K156" s="23">
        <v>4</v>
      </c>
      <c r="L156" s="26">
        <v>110.88</v>
      </c>
      <c r="M156" s="29">
        <v>0.15</v>
      </c>
      <c r="N156" s="10" t="s">
        <v>50</v>
      </c>
      <c r="O156" s="10" t="str">
        <f>IF(TRIM(OrdersRawTable9[[#This Row],[Sales_Channel_Raw]])="Market place","Marketplace",TRIM(OrdersRawTable9[[#This Row],[Sales_Channel_Raw]]))</f>
        <v>Marketplace</v>
      </c>
      <c r="P156" s="10" t="s">
        <v>41</v>
      </c>
      <c r="Q156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156" s="15" t="s">
        <v>42</v>
      </c>
      <c r="S156" t="str">
        <f>VLOOKUP(OrdersRawTable9[[#This Row],[Customer_ID_Raw]],CustomersTable11[],4,FALSE)</f>
        <v>Alberta</v>
      </c>
      <c r="T156" t="str">
        <f>VLOOKUP(OrdersRawTable9[[#This Row],[Customer_ID_Raw]],CustomersTable11[],5,FALSE)</f>
        <v>Small Business</v>
      </c>
      <c r="U156" s="45">
        <f>VLOOKUP(OrdersRawTable9[[#This Row],[Product_ID]],ProductsTable10[],4,FALSE)</f>
        <v>57.09</v>
      </c>
      <c r="V156" t="str">
        <f>VLOOKUP(OrdersRawTable9[[#This Row],[Product_ID]],ProductsTable10[],3,FALSE)</f>
        <v>Electronics</v>
      </c>
      <c r="W156" s="45">
        <f>OrdersRawTable9[[#This Row],[Unit_Price]]*OrdersRawTable9[[#This Row],[Quantity]]</f>
        <v>443.52</v>
      </c>
      <c r="X156" s="47">
        <f>OrdersRawTable9[[#This Row],[Gross_Sales]]*OrdersRawTable9[[#This Row],[Discount_Pct]]</f>
        <v>66.527999999999992</v>
      </c>
      <c r="Y156" s="45">
        <f>OrdersRawTable9[[#This Row],[Gross_Sales]]-OrdersRawTable9[[#This Row],[Discount_Amount]]</f>
        <v>376.99199999999996</v>
      </c>
      <c r="Z156" s="45">
        <f>OrdersRawTable9[[#This Row],[Unit_Cost]]*OrdersRawTable9[[#This Row],[Quantity]]</f>
        <v>228.36</v>
      </c>
      <c r="AA156" s="45">
        <f>OrdersRawTable9[[#This Row],[Net_Sales]]-OrdersRawTable9[[#This Row],[Total_Cost]]</f>
        <v>148.63199999999995</v>
      </c>
      <c r="AB156" s="48">
        <f>IF(OrdersRawTable9[[#This Row],[Net_Sales]]=0,0,OrdersRawTable9[[#This Row],[Profit]]/OrdersRawTable9[[#This Row],[Net_Sales]])</f>
        <v>0.39425770308123237</v>
      </c>
      <c r="AC156" s="45" t="str">
        <f>IF(COUNTIF(ReturnsRawTable[Order_Line_ID],OrdersRawTable9[[#This Row],[Order_Line_ID]])&gt;0,"Yes","No")</f>
        <v>Yes</v>
      </c>
      <c r="AD156" s="45" t="str">
        <f>IFERROR(VLOOKUP(OrdersRawTable9[[#This Row],[Order_Line_ID]],ReturnsRawTable[[#All],[Order_Line_ID]:[Return_Reason_Raw]],3,FALSE),"")</f>
        <v>Damaged</v>
      </c>
      <c r="AE156" s="49">
        <f>IFERROR(VLOOKUP(OrdersRawTable9[[#This Row],[Order_Line_ID]],ReturnsRawTable[[#All],[Order_Line_ID]:[Return_Date]],2,FALSE),"")</f>
        <v>45915</v>
      </c>
      <c r="AF156" s="45" t="str">
        <f>IFERROR(VLOOKUP(OrdersRawTable9[[#This Row],[Order_Line_ID]],ReturnsRawTable[[Order_Line_ID]:[Refund_Status]],4,FALSE),"")</f>
        <v>Refunded</v>
      </c>
      <c r="AG156" s="45" t="str">
        <f>VLOOKUP(OrdersRawTable9[[#This Row],[Order_ID]],ShipmentsTable[],6,FALSE)</f>
        <v>Late</v>
      </c>
      <c r="AH156" s="49">
        <f>VLOOKUP(OrdersRawTable9[[#This Row],[Order_ID]],ShipmentsTable[],3,FALSE)</f>
        <v>45912</v>
      </c>
    </row>
    <row r="157" spans="1:34" ht="15" customHeight="1">
      <c r="A157" s="14" t="s">
        <v>429</v>
      </c>
      <c r="B157" s="10" t="s">
        <v>424</v>
      </c>
      <c r="C157" s="20">
        <v>45906</v>
      </c>
      <c r="D157" s="10" t="s">
        <v>425</v>
      </c>
      <c r="E157" s="10" t="s">
        <v>426</v>
      </c>
      <c r="F157" s="10" t="str">
        <f>TRIM(LEFT(OrdersRawTable9[[#This Row],[Customer_Info]],FIND(",",OrdersRawTable9[[#This Row],[Customer_Info]])-1))</f>
        <v>Noah Gagnon</v>
      </c>
      <c r="G15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157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157" s="10">
        <f>LEN(OrdersRawTable9[[#This Row],[Customer_Info]])-LEN(SUBSTITUTE(OrdersRawTable9[[#This Row],[Customer_Info]],",",""))</f>
        <v>2</v>
      </c>
      <c r="J157" s="10" t="s">
        <v>110</v>
      </c>
      <c r="K157" s="23">
        <v>1</v>
      </c>
      <c r="L157" s="26">
        <v>133.24</v>
      </c>
      <c r="M157" s="29">
        <v>0</v>
      </c>
      <c r="N157" s="10" t="s">
        <v>45</v>
      </c>
      <c r="O157" s="10" t="str">
        <f>IF(TRIM(OrdersRawTable9[[#This Row],[Sales_Channel_Raw]])="Market place","Marketplace",TRIM(OrdersRawTable9[[#This Row],[Sales_Channel_Raw]]))</f>
        <v>Retail Store</v>
      </c>
      <c r="P157" s="10" t="s">
        <v>98</v>
      </c>
      <c r="Q157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157" s="15" t="s">
        <v>67</v>
      </c>
      <c r="S157" t="str">
        <f>VLOOKUP(OrdersRawTable9[[#This Row],[Customer_ID_Raw]],CustomersTable11[],4,FALSE)</f>
        <v>Alberta</v>
      </c>
      <c r="T157" t="str">
        <f>VLOOKUP(OrdersRawTable9[[#This Row],[Customer_ID_Raw]],CustomersTable11[],5,FALSE)</f>
        <v>Small Business</v>
      </c>
      <c r="U157" s="45">
        <f>VLOOKUP(OrdersRawTable9[[#This Row],[Product_ID]],ProductsTable10[],4,FALSE)</f>
        <v>77.540000000000006</v>
      </c>
      <c r="V157" t="str">
        <f>VLOOKUP(OrdersRawTable9[[#This Row],[Product_ID]],ProductsTable10[],3,FALSE)</f>
        <v>Electronics</v>
      </c>
      <c r="W157" s="45">
        <f>OrdersRawTable9[[#This Row],[Unit_Price]]*OrdersRawTable9[[#This Row],[Quantity]]</f>
        <v>133.24</v>
      </c>
      <c r="X157" s="47">
        <f>OrdersRawTable9[[#This Row],[Gross_Sales]]*OrdersRawTable9[[#This Row],[Discount_Pct]]</f>
        <v>0</v>
      </c>
      <c r="Y157" s="45">
        <f>OrdersRawTable9[[#This Row],[Gross_Sales]]-OrdersRawTable9[[#This Row],[Discount_Amount]]</f>
        <v>133.24</v>
      </c>
      <c r="Z157" s="45">
        <f>OrdersRawTable9[[#This Row],[Unit_Cost]]*OrdersRawTable9[[#This Row],[Quantity]]</f>
        <v>77.540000000000006</v>
      </c>
      <c r="AA157" s="45">
        <f>OrdersRawTable9[[#This Row],[Net_Sales]]-OrdersRawTable9[[#This Row],[Total_Cost]]</f>
        <v>55.7</v>
      </c>
      <c r="AB157" s="48">
        <f>IF(OrdersRawTable9[[#This Row],[Net_Sales]]=0,0,OrdersRawTable9[[#This Row],[Profit]]/OrdersRawTable9[[#This Row],[Net_Sales]])</f>
        <v>0.41804262984088864</v>
      </c>
      <c r="AC157" s="45" t="str">
        <f>IF(COUNTIF(ReturnsRawTable[Order_Line_ID],OrdersRawTable9[[#This Row],[Order_Line_ID]])&gt;0,"Yes","No")</f>
        <v>No</v>
      </c>
      <c r="AD157" s="45" t="str">
        <f>IFERROR(VLOOKUP(OrdersRawTable9[[#This Row],[Order_Line_ID]],ReturnsRawTable[[#All],[Order_Line_ID]:[Return_Reason_Raw]],3,FALSE),"")</f>
        <v/>
      </c>
      <c r="AE157" s="49" t="str">
        <f>IFERROR(VLOOKUP(OrdersRawTable9[[#This Row],[Order_Line_ID]],ReturnsRawTable[[#All],[Order_Line_ID]:[Return_Date]],2,FALSE),"")</f>
        <v/>
      </c>
      <c r="AF157" s="45" t="str">
        <f>IFERROR(VLOOKUP(OrdersRawTable9[[#This Row],[Order_Line_ID]],ReturnsRawTable[[Order_Line_ID]:[Refund_Status]],4,FALSE),"")</f>
        <v/>
      </c>
      <c r="AG157" s="45" t="str">
        <f>VLOOKUP(OrdersRawTable9[[#This Row],[Order_ID]],ShipmentsTable[],6,FALSE)</f>
        <v>Late</v>
      </c>
      <c r="AH157" s="49">
        <f>VLOOKUP(OrdersRawTable9[[#This Row],[Order_ID]],ShipmentsTable[],3,FALSE)</f>
        <v>45912</v>
      </c>
    </row>
    <row r="158" spans="1:34" ht="15" customHeight="1">
      <c r="A158" s="14" t="s">
        <v>430</v>
      </c>
      <c r="B158" s="10" t="s">
        <v>431</v>
      </c>
      <c r="C158" s="20">
        <v>45904</v>
      </c>
      <c r="D158" s="10" t="s">
        <v>432</v>
      </c>
      <c r="E158" s="10" t="s">
        <v>433</v>
      </c>
      <c r="F158" s="10" t="str">
        <f>TRIM(LEFT(OrdersRawTable9[[#This Row],[Customer_Info]],FIND(",",OrdersRawTable9[[#This Row],[Customer_Info]])-1))</f>
        <v>Yara Gagnon</v>
      </c>
      <c r="G15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158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158" s="10">
        <f>LEN(OrdersRawTable9[[#This Row],[Customer_Info]])-LEN(SUBSTITUTE(OrdersRawTable9[[#This Row],[Customer_Info]],",",""))</f>
        <v>2</v>
      </c>
      <c r="J158" s="10" t="s">
        <v>110</v>
      </c>
      <c r="K158" s="23">
        <v>2</v>
      </c>
      <c r="L158" s="26">
        <v>133.24</v>
      </c>
      <c r="M158" s="29">
        <v>0.05</v>
      </c>
      <c r="N158" s="10" t="s">
        <v>40</v>
      </c>
      <c r="O158" s="10" t="str">
        <f>IF(TRIM(OrdersRawTable9[[#This Row],[Sales_Channel_Raw]])="Market place","Marketplace",TRIM(OrdersRawTable9[[#This Row],[Sales_Channel_Raw]]))</f>
        <v>Online</v>
      </c>
      <c r="P158" s="10" t="s">
        <v>51</v>
      </c>
      <c r="Q158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158" s="15" t="s">
        <v>47</v>
      </c>
      <c r="S158" t="str">
        <f>VLOOKUP(OrdersRawTable9[[#This Row],[Customer_ID_Raw]],CustomersTable11[],4,FALSE)</f>
        <v>Manitoba</v>
      </c>
      <c r="T158" t="str">
        <f>VLOOKUP(OrdersRawTable9[[#This Row],[Customer_ID_Raw]],CustomersTable11[],5,FALSE)</f>
        <v>Corporate</v>
      </c>
      <c r="U158" s="45">
        <f>VLOOKUP(OrdersRawTable9[[#This Row],[Product_ID]],ProductsTable10[],4,FALSE)</f>
        <v>77.540000000000006</v>
      </c>
      <c r="V158" t="str">
        <f>VLOOKUP(OrdersRawTable9[[#This Row],[Product_ID]],ProductsTable10[],3,FALSE)</f>
        <v>Electronics</v>
      </c>
      <c r="W158" s="45">
        <f>OrdersRawTable9[[#This Row],[Unit_Price]]*OrdersRawTable9[[#This Row],[Quantity]]</f>
        <v>266.48</v>
      </c>
      <c r="X158" s="47">
        <f>OrdersRawTable9[[#This Row],[Gross_Sales]]*OrdersRawTable9[[#This Row],[Discount_Pct]]</f>
        <v>13.324000000000002</v>
      </c>
      <c r="Y158" s="45">
        <f>OrdersRawTable9[[#This Row],[Gross_Sales]]-OrdersRawTable9[[#This Row],[Discount_Amount]]</f>
        <v>253.15600000000001</v>
      </c>
      <c r="Z158" s="45">
        <f>OrdersRawTable9[[#This Row],[Unit_Cost]]*OrdersRawTable9[[#This Row],[Quantity]]</f>
        <v>155.08000000000001</v>
      </c>
      <c r="AA158" s="45">
        <f>OrdersRawTable9[[#This Row],[Net_Sales]]-OrdersRawTable9[[#This Row],[Total_Cost]]</f>
        <v>98.075999999999993</v>
      </c>
      <c r="AB158" s="48">
        <f>IF(OrdersRawTable9[[#This Row],[Net_Sales]]=0,0,OrdersRawTable9[[#This Row],[Profit]]/OrdersRawTable9[[#This Row],[Net_Sales]])</f>
        <v>0.38741329456935641</v>
      </c>
      <c r="AC158" s="45" t="str">
        <f>IF(COUNTIF(ReturnsRawTable[Order_Line_ID],OrdersRawTable9[[#This Row],[Order_Line_ID]])&gt;0,"Yes","No")</f>
        <v>No</v>
      </c>
      <c r="AD158" s="45" t="str">
        <f>IFERROR(VLOOKUP(OrdersRawTable9[[#This Row],[Order_Line_ID]],ReturnsRawTable[[#All],[Order_Line_ID]:[Return_Reason_Raw]],3,FALSE),"")</f>
        <v/>
      </c>
      <c r="AE158" s="49" t="str">
        <f>IFERROR(VLOOKUP(OrdersRawTable9[[#This Row],[Order_Line_ID]],ReturnsRawTable[[#All],[Order_Line_ID]:[Return_Date]],2,FALSE),"")</f>
        <v/>
      </c>
      <c r="AF158" s="45" t="str">
        <f>IFERROR(VLOOKUP(OrdersRawTable9[[#This Row],[Order_Line_ID]],ReturnsRawTable[[Order_Line_ID]:[Refund_Status]],4,FALSE),"")</f>
        <v/>
      </c>
      <c r="AG158" s="45" t="str">
        <f>VLOOKUP(OrdersRawTable9[[#This Row],[Order_ID]],ShipmentsTable[],6,FALSE)</f>
        <v>Late</v>
      </c>
      <c r="AH158" s="49">
        <f>VLOOKUP(OrdersRawTable9[[#This Row],[Order_ID]],ShipmentsTable[],3,FALSE)</f>
        <v>45914</v>
      </c>
    </row>
    <row r="159" spans="1:34" ht="15" customHeight="1">
      <c r="A159" s="14" t="s">
        <v>434</v>
      </c>
      <c r="B159" s="10" t="s">
        <v>431</v>
      </c>
      <c r="C159" s="20">
        <v>45904</v>
      </c>
      <c r="D159" s="10" t="s">
        <v>432</v>
      </c>
      <c r="E159" s="10" t="s">
        <v>433</v>
      </c>
      <c r="F159" s="10" t="str">
        <f>TRIM(LEFT(OrdersRawTable9[[#This Row],[Customer_Info]],FIND(",",OrdersRawTable9[[#This Row],[Customer_Info]])-1))</f>
        <v>Yara Gagnon</v>
      </c>
      <c r="G15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159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159" s="10">
        <f>LEN(OrdersRawTable9[[#This Row],[Customer_Info]])-LEN(SUBSTITUTE(OrdersRawTable9[[#This Row],[Customer_Info]],",",""))</f>
        <v>2</v>
      </c>
      <c r="J159" s="10" t="s">
        <v>332</v>
      </c>
      <c r="K159" s="23">
        <v>1</v>
      </c>
      <c r="L159" s="26">
        <v>273.89</v>
      </c>
      <c r="M159" s="29">
        <v>0.1</v>
      </c>
      <c r="N159" s="10" t="s">
        <v>70</v>
      </c>
      <c r="O159" s="10" t="str">
        <f>IF(TRIM(OrdersRawTable9[[#This Row],[Sales_Channel_Raw]])="Market place","Marketplace",TRIM(OrdersRawTable9[[#This Row],[Sales_Channel_Raw]]))</f>
        <v>online</v>
      </c>
      <c r="P159" s="10"/>
      <c r="Q159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159" s="15" t="s">
        <v>52</v>
      </c>
      <c r="S159" t="str">
        <f>VLOOKUP(OrdersRawTable9[[#This Row],[Customer_ID_Raw]],CustomersTable11[],4,FALSE)</f>
        <v>Manitoba</v>
      </c>
      <c r="T159" t="str">
        <f>VLOOKUP(OrdersRawTable9[[#This Row],[Customer_ID_Raw]],CustomersTable11[],5,FALSE)</f>
        <v>Corporate</v>
      </c>
      <c r="U159" s="45">
        <f>VLOOKUP(OrdersRawTable9[[#This Row],[Product_ID]],ProductsTable10[],4,FALSE)</f>
        <v>140.66999999999999</v>
      </c>
      <c r="V159" t="str">
        <f>VLOOKUP(OrdersRawTable9[[#This Row],[Product_ID]],ProductsTable10[],3,FALSE)</f>
        <v>Home</v>
      </c>
      <c r="W159" s="45">
        <f>OrdersRawTable9[[#This Row],[Unit_Price]]*OrdersRawTable9[[#This Row],[Quantity]]</f>
        <v>273.89</v>
      </c>
      <c r="X159" s="47">
        <f>OrdersRawTable9[[#This Row],[Gross_Sales]]*OrdersRawTable9[[#This Row],[Discount_Pct]]</f>
        <v>27.388999999999999</v>
      </c>
      <c r="Y159" s="45">
        <f>OrdersRawTable9[[#This Row],[Gross_Sales]]-OrdersRawTable9[[#This Row],[Discount_Amount]]</f>
        <v>246.50099999999998</v>
      </c>
      <c r="Z159" s="45">
        <f>OrdersRawTable9[[#This Row],[Unit_Cost]]*OrdersRawTable9[[#This Row],[Quantity]]</f>
        <v>140.66999999999999</v>
      </c>
      <c r="AA159" s="45">
        <f>OrdersRawTable9[[#This Row],[Net_Sales]]-OrdersRawTable9[[#This Row],[Total_Cost]]</f>
        <v>105.83099999999999</v>
      </c>
      <c r="AB159" s="48">
        <f>IF(OrdersRawTable9[[#This Row],[Net_Sales]]=0,0,OrdersRawTable9[[#This Row],[Profit]]/OrdersRawTable9[[#This Row],[Net_Sales]])</f>
        <v>0.42933294388258059</v>
      </c>
      <c r="AC159" s="45" t="str">
        <f>IF(COUNTIF(ReturnsRawTable[Order_Line_ID],OrdersRawTable9[[#This Row],[Order_Line_ID]])&gt;0,"Yes","No")</f>
        <v>Yes</v>
      </c>
      <c r="AD159" s="45" t="str">
        <f>IFERROR(VLOOKUP(OrdersRawTable9[[#This Row],[Order_Line_ID]],ReturnsRawTable[[#All],[Order_Line_ID]:[Return_Reason_Raw]],3,FALSE),"")</f>
        <v>Damaged</v>
      </c>
      <c r="AE159" s="49">
        <f>IFERROR(VLOOKUP(OrdersRawTable9[[#This Row],[Order_Line_ID]],ReturnsRawTable[[#All],[Order_Line_ID]:[Return_Date]],2,FALSE),"")</f>
        <v>45924</v>
      </c>
      <c r="AF159" s="45" t="str">
        <f>IFERROR(VLOOKUP(OrdersRawTable9[[#This Row],[Order_Line_ID]],ReturnsRawTable[[Order_Line_ID]:[Refund_Status]],4,FALSE),"")</f>
        <v>Refunded</v>
      </c>
      <c r="AG159" s="45" t="str">
        <f>VLOOKUP(OrdersRawTable9[[#This Row],[Order_ID]],ShipmentsTable[],6,FALSE)</f>
        <v>Late</v>
      </c>
      <c r="AH159" s="49">
        <f>VLOOKUP(OrdersRawTable9[[#This Row],[Order_ID]],ShipmentsTable[],3,FALSE)</f>
        <v>45914</v>
      </c>
    </row>
    <row r="160" spans="1:34" ht="15" customHeight="1">
      <c r="A160" s="14" t="s">
        <v>435</v>
      </c>
      <c r="B160" s="10" t="s">
        <v>436</v>
      </c>
      <c r="C160" s="20">
        <v>45961</v>
      </c>
      <c r="D160" s="10" t="s">
        <v>437</v>
      </c>
      <c r="E160" s="10" t="s">
        <v>438</v>
      </c>
      <c r="F160" s="10" t="str">
        <f>TRIM(LEFT(OrdersRawTable9[[#This Row],[Customer_Info]],FIND(",",OrdersRawTable9[[#This Row],[Customer_Info]])-1))</f>
        <v>Sara Dubois</v>
      </c>
      <c r="G16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160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160" s="10">
        <f>LEN(OrdersRawTable9[[#This Row],[Customer_Info]])-LEN(SUBSTITUTE(OrdersRawTable9[[#This Row],[Customer_Info]],",",""))</f>
        <v>2</v>
      </c>
      <c r="J160" s="10" t="s">
        <v>428</v>
      </c>
      <c r="K160" s="23">
        <v>3</v>
      </c>
      <c r="L160" s="26">
        <v>110.88</v>
      </c>
      <c r="M160" s="29">
        <v>0.05</v>
      </c>
      <c r="N160" s="10" t="s">
        <v>40</v>
      </c>
      <c r="O160" s="10" t="str">
        <f>IF(TRIM(OrdersRawTable9[[#This Row],[Sales_Channel_Raw]])="Market place","Marketplace",TRIM(OrdersRawTable9[[#This Row],[Sales_Channel_Raw]]))</f>
        <v>Online</v>
      </c>
      <c r="P160" s="10" t="s">
        <v>41</v>
      </c>
      <c r="Q160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160" s="15" t="s">
        <v>101</v>
      </c>
      <c r="S160" t="str">
        <f>VLOOKUP(OrdersRawTable9[[#This Row],[Customer_ID_Raw]],CustomersTable11[],4,FALSE)</f>
        <v>Alberta</v>
      </c>
      <c r="T160" t="str">
        <f>VLOOKUP(OrdersRawTable9[[#This Row],[Customer_ID_Raw]],CustomersTable11[],5,FALSE)</f>
        <v>Consumer</v>
      </c>
      <c r="U160" s="45">
        <f>VLOOKUP(OrdersRawTable9[[#This Row],[Product_ID]],ProductsTable10[],4,FALSE)</f>
        <v>57.09</v>
      </c>
      <c r="V160" t="str">
        <f>VLOOKUP(OrdersRawTable9[[#This Row],[Product_ID]],ProductsTable10[],3,FALSE)</f>
        <v>Electronics</v>
      </c>
      <c r="W160" s="45">
        <f>OrdersRawTable9[[#This Row],[Unit_Price]]*OrdersRawTable9[[#This Row],[Quantity]]</f>
        <v>332.64</v>
      </c>
      <c r="X160" s="47">
        <f>OrdersRawTable9[[#This Row],[Gross_Sales]]*OrdersRawTable9[[#This Row],[Discount_Pct]]</f>
        <v>16.632000000000001</v>
      </c>
      <c r="Y160" s="45">
        <f>OrdersRawTable9[[#This Row],[Gross_Sales]]-OrdersRawTable9[[#This Row],[Discount_Amount]]</f>
        <v>316.00799999999998</v>
      </c>
      <c r="Z160" s="45">
        <f>OrdersRawTable9[[#This Row],[Unit_Cost]]*OrdersRawTable9[[#This Row],[Quantity]]</f>
        <v>171.27</v>
      </c>
      <c r="AA160" s="45">
        <f>OrdersRawTable9[[#This Row],[Net_Sales]]-OrdersRawTable9[[#This Row],[Total_Cost]]</f>
        <v>144.73799999999997</v>
      </c>
      <c r="AB160" s="48">
        <f>IF(OrdersRawTable9[[#This Row],[Net_Sales]]=0,0,OrdersRawTable9[[#This Row],[Profit]]/OrdersRawTable9[[#This Row],[Net_Sales]])</f>
        <v>0.45802005012531322</v>
      </c>
      <c r="AC160" s="45" t="str">
        <f>IF(COUNTIF(ReturnsRawTable[Order_Line_ID],OrdersRawTable9[[#This Row],[Order_Line_ID]])&gt;0,"Yes","No")</f>
        <v>No</v>
      </c>
      <c r="AD160" s="45" t="str">
        <f>IFERROR(VLOOKUP(OrdersRawTable9[[#This Row],[Order_Line_ID]],ReturnsRawTable[[#All],[Order_Line_ID]:[Return_Reason_Raw]],3,FALSE),"")</f>
        <v/>
      </c>
      <c r="AE160" s="49" t="str">
        <f>IFERROR(VLOOKUP(OrdersRawTable9[[#This Row],[Order_Line_ID]],ReturnsRawTable[[#All],[Order_Line_ID]:[Return_Date]],2,FALSE),"")</f>
        <v/>
      </c>
      <c r="AF160" s="45" t="str">
        <f>IFERROR(VLOOKUP(OrdersRawTable9[[#This Row],[Order_Line_ID]],ReturnsRawTable[[Order_Line_ID]:[Refund_Status]],4,FALSE),"")</f>
        <v/>
      </c>
      <c r="AG160" s="45" t="str">
        <f>VLOOKUP(OrdersRawTable9[[#This Row],[Order_ID]],ShipmentsTable[],6,FALSE)</f>
        <v>Late</v>
      </c>
      <c r="AH160" s="49">
        <f>VLOOKUP(OrdersRawTable9[[#This Row],[Order_ID]],ShipmentsTable[],3,FALSE)</f>
        <v>45971</v>
      </c>
    </row>
    <row r="161" spans="1:34" ht="15" customHeight="1">
      <c r="A161" s="14" t="s">
        <v>439</v>
      </c>
      <c r="B161" s="10" t="s">
        <v>436</v>
      </c>
      <c r="C161" s="20">
        <v>45961</v>
      </c>
      <c r="D161" s="10" t="s">
        <v>437</v>
      </c>
      <c r="E161" s="10" t="s">
        <v>438</v>
      </c>
      <c r="F161" s="10" t="str">
        <f>TRIM(LEFT(OrdersRawTable9[[#This Row],[Customer_Info]],FIND(",",OrdersRawTable9[[#This Row],[Customer_Info]])-1))</f>
        <v>Sara Dubois</v>
      </c>
      <c r="G16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161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161" s="10">
        <f>LEN(OrdersRawTable9[[#This Row],[Customer_Info]])-LEN(SUBSTITUTE(OrdersRawTable9[[#This Row],[Customer_Info]],",",""))</f>
        <v>2</v>
      </c>
      <c r="J161" s="10" t="s">
        <v>251</v>
      </c>
      <c r="K161" s="23">
        <v>4</v>
      </c>
      <c r="L161" s="26">
        <v>228.91</v>
      </c>
      <c r="M161" s="29">
        <v>0.1</v>
      </c>
      <c r="N161" s="10" t="s">
        <v>50</v>
      </c>
      <c r="O161" s="10" t="str">
        <f>IF(TRIM(OrdersRawTable9[[#This Row],[Sales_Channel_Raw]])="Market place","Marketplace",TRIM(OrdersRawTable9[[#This Row],[Sales_Channel_Raw]]))</f>
        <v>Marketplace</v>
      </c>
      <c r="P161" s="10"/>
      <c r="Q161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161" s="15" t="s">
        <v>67</v>
      </c>
      <c r="S161" t="str">
        <f>VLOOKUP(OrdersRawTable9[[#This Row],[Customer_ID_Raw]],CustomersTable11[],4,FALSE)</f>
        <v>Alberta</v>
      </c>
      <c r="T161" t="str">
        <f>VLOOKUP(OrdersRawTable9[[#This Row],[Customer_ID_Raw]],CustomersTable11[],5,FALSE)</f>
        <v>Consumer</v>
      </c>
      <c r="U161" s="45">
        <f>VLOOKUP(OrdersRawTable9[[#This Row],[Product_ID]],ProductsTable10[],4,FALSE)</f>
        <v>149.4</v>
      </c>
      <c r="V161" t="str">
        <f>VLOOKUP(OrdersRawTable9[[#This Row],[Product_ID]],ProductsTable10[],3,FALSE)</f>
        <v>Office</v>
      </c>
      <c r="W161" s="45">
        <f>OrdersRawTable9[[#This Row],[Unit_Price]]*OrdersRawTable9[[#This Row],[Quantity]]</f>
        <v>915.64</v>
      </c>
      <c r="X161" s="47">
        <f>OrdersRawTable9[[#This Row],[Gross_Sales]]*OrdersRawTable9[[#This Row],[Discount_Pct]]</f>
        <v>91.564000000000007</v>
      </c>
      <c r="Y161" s="45">
        <f>OrdersRawTable9[[#This Row],[Gross_Sales]]-OrdersRawTable9[[#This Row],[Discount_Amount]]</f>
        <v>824.07600000000002</v>
      </c>
      <c r="Z161" s="45">
        <f>OrdersRawTable9[[#This Row],[Unit_Cost]]*OrdersRawTable9[[#This Row],[Quantity]]</f>
        <v>597.6</v>
      </c>
      <c r="AA161" s="45">
        <f>OrdersRawTable9[[#This Row],[Net_Sales]]-OrdersRawTable9[[#This Row],[Total_Cost]]</f>
        <v>226.476</v>
      </c>
      <c r="AB161" s="48">
        <f>IF(OrdersRawTable9[[#This Row],[Net_Sales]]=0,0,OrdersRawTable9[[#This Row],[Profit]]/OrdersRawTable9[[#This Row],[Net_Sales]])</f>
        <v>0.27482416670307108</v>
      </c>
      <c r="AC161" s="45" t="str">
        <f>IF(COUNTIF(ReturnsRawTable[Order_Line_ID],OrdersRawTable9[[#This Row],[Order_Line_ID]])&gt;0,"Yes","No")</f>
        <v>Yes</v>
      </c>
      <c r="AD161" s="45" t="str">
        <f>IFERROR(VLOOKUP(OrdersRawTable9[[#This Row],[Order_Line_ID]],ReturnsRawTable[[#All],[Order_Line_ID]:[Return_Reason_Raw]],3,FALSE),"")</f>
        <v>Wrong Item</v>
      </c>
      <c r="AE161" s="49">
        <f>IFERROR(VLOOKUP(OrdersRawTable9[[#This Row],[Order_Line_ID]],ReturnsRawTable[[#All],[Order_Line_ID]:[Return_Date]],2,FALSE),"")</f>
        <v>45975</v>
      </c>
      <c r="AF161" s="45" t="str">
        <f>IFERROR(VLOOKUP(OrdersRawTable9[[#This Row],[Order_Line_ID]],ReturnsRawTable[[Order_Line_ID]:[Refund_Status]],4,FALSE),"")</f>
        <v>Refunded</v>
      </c>
      <c r="AG161" s="45" t="str">
        <f>VLOOKUP(OrdersRawTable9[[#This Row],[Order_ID]],ShipmentsTable[],6,FALSE)</f>
        <v>Late</v>
      </c>
      <c r="AH161" s="49">
        <f>VLOOKUP(OrdersRawTable9[[#This Row],[Order_ID]],ShipmentsTable[],3,FALSE)</f>
        <v>45971</v>
      </c>
    </row>
    <row r="162" spans="1:34" ht="15" customHeight="1">
      <c r="A162" s="14" t="s">
        <v>440</v>
      </c>
      <c r="B162" s="10" t="s">
        <v>436</v>
      </c>
      <c r="C162" s="20">
        <v>45961</v>
      </c>
      <c r="D162" s="10" t="s">
        <v>437</v>
      </c>
      <c r="E162" s="10" t="s">
        <v>438</v>
      </c>
      <c r="F162" s="10" t="str">
        <f>TRIM(LEFT(OrdersRawTable9[[#This Row],[Customer_Info]],FIND(",",OrdersRawTable9[[#This Row],[Customer_Info]])-1))</f>
        <v>Sara Dubois</v>
      </c>
      <c r="G16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162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162" s="10">
        <f>LEN(OrdersRawTable9[[#This Row],[Customer_Info]])-LEN(SUBSTITUTE(OrdersRawTable9[[#This Row],[Customer_Info]],",",""))</f>
        <v>2</v>
      </c>
      <c r="J162" s="10" t="s">
        <v>251</v>
      </c>
      <c r="K162" s="23">
        <v>2</v>
      </c>
      <c r="L162" s="26">
        <v>228.91</v>
      </c>
      <c r="M162" s="29">
        <v>0.05</v>
      </c>
      <c r="N162" s="10" t="s">
        <v>70</v>
      </c>
      <c r="O162" s="10" t="str">
        <f>IF(TRIM(OrdersRawTable9[[#This Row],[Sales_Channel_Raw]])="Market place","Marketplace",TRIM(OrdersRawTable9[[#This Row],[Sales_Channel_Raw]]))</f>
        <v>online</v>
      </c>
      <c r="P162" s="10"/>
      <c r="Q162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162" s="15" t="s">
        <v>42</v>
      </c>
      <c r="S162" t="str">
        <f>VLOOKUP(OrdersRawTable9[[#This Row],[Customer_ID_Raw]],CustomersTable11[],4,FALSE)</f>
        <v>Alberta</v>
      </c>
      <c r="T162" t="str">
        <f>VLOOKUP(OrdersRawTable9[[#This Row],[Customer_ID_Raw]],CustomersTable11[],5,FALSE)</f>
        <v>Consumer</v>
      </c>
      <c r="U162" s="45">
        <f>VLOOKUP(OrdersRawTable9[[#This Row],[Product_ID]],ProductsTable10[],4,FALSE)</f>
        <v>149.4</v>
      </c>
      <c r="V162" t="str">
        <f>VLOOKUP(OrdersRawTable9[[#This Row],[Product_ID]],ProductsTable10[],3,FALSE)</f>
        <v>Office</v>
      </c>
      <c r="W162" s="45">
        <f>OrdersRawTable9[[#This Row],[Unit_Price]]*OrdersRawTable9[[#This Row],[Quantity]]</f>
        <v>457.82</v>
      </c>
      <c r="X162" s="47">
        <f>OrdersRawTable9[[#This Row],[Gross_Sales]]*OrdersRawTable9[[#This Row],[Discount_Pct]]</f>
        <v>22.891000000000002</v>
      </c>
      <c r="Y162" s="45">
        <f>OrdersRawTable9[[#This Row],[Gross_Sales]]-OrdersRawTable9[[#This Row],[Discount_Amount]]</f>
        <v>434.92899999999997</v>
      </c>
      <c r="Z162" s="45">
        <f>OrdersRawTable9[[#This Row],[Unit_Cost]]*OrdersRawTable9[[#This Row],[Quantity]]</f>
        <v>298.8</v>
      </c>
      <c r="AA162" s="45">
        <f>OrdersRawTable9[[#This Row],[Net_Sales]]-OrdersRawTable9[[#This Row],[Total_Cost]]</f>
        <v>136.12899999999996</v>
      </c>
      <c r="AB162" s="48">
        <f>IF(OrdersRawTable9[[#This Row],[Net_Sales]]=0,0,OrdersRawTable9[[#This Row],[Profit]]/OrdersRawTable9[[#This Row],[Net_Sales]])</f>
        <v>0.312991315823962</v>
      </c>
      <c r="AC162" s="45" t="str">
        <f>IF(COUNTIF(ReturnsRawTable[Order_Line_ID],OrdersRawTable9[[#This Row],[Order_Line_ID]])&gt;0,"Yes","No")</f>
        <v>No</v>
      </c>
      <c r="AD162" s="45" t="str">
        <f>IFERROR(VLOOKUP(OrdersRawTable9[[#This Row],[Order_Line_ID]],ReturnsRawTable[[#All],[Order_Line_ID]:[Return_Reason_Raw]],3,FALSE),"")</f>
        <v/>
      </c>
      <c r="AE162" s="49" t="str">
        <f>IFERROR(VLOOKUP(OrdersRawTable9[[#This Row],[Order_Line_ID]],ReturnsRawTable[[#All],[Order_Line_ID]:[Return_Date]],2,FALSE),"")</f>
        <v/>
      </c>
      <c r="AF162" s="45" t="str">
        <f>IFERROR(VLOOKUP(OrdersRawTable9[[#This Row],[Order_Line_ID]],ReturnsRawTable[[Order_Line_ID]:[Refund_Status]],4,FALSE),"")</f>
        <v/>
      </c>
      <c r="AG162" s="45" t="str">
        <f>VLOOKUP(OrdersRawTable9[[#This Row],[Order_ID]],ShipmentsTable[],6,FALSE)</f>
        <v>Late</v>
      </c>
      <c r="AH162" s="49">
        <f>VLOOKUP(OrdersRawTable9[[#This Row],[Order_ID]],ShipmentsTable[],3,FALSE)</f>
        <v>45971</v>
      </c>
    </row>
    <row r="163" spans="1:34" ht="15" customHeight="1">
      <c r="A163" s="14" t="s">
        <v>441</v>
      </c>
      <c r="B163" s="10" t="s">
        <v>442</v>
      </c>
      <c r="C163" s="20">
        <v>45971</v>
      </c>
      <c r="D163" s="10" t="s">
        <v>443</v>
      </c>
      <c r="E163" s="10" t="s">
        <v>444</v>
      </c>
      <c r="F163" s="10" t="str">
        <f>TRIM(LEFT(OrdersRawTable9[[#This Row],[Customer_Info]],FIND(",",OrdersRawTable9[[#This Row],[Customer_Info]])-1))</f>
        <v>Sara Tremblay</v>
      </c>
      <c r="G16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163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163" s="10">
        <f>LEN(OrdersRawTable9[[#This Row],[Customer_Info]])-LEN(SUBSTITUTE(OrdersRawTable9[[#This Row],[Customer_Info]],",",""))</f>
        <v>2</v>
      </c>
      <c r="J163" s="10" t="s">
        <v>80</v>
      </c>
      <c r="K163" s="23">
        <v>4</v>
      </c>
      <c r="L163" s="26">
        <v>142.16</v>
      </c>
      <c r="M163" s="29">
        <v>0.1</v>
      </c>
      <c r="N163" s="10" t="s">
        <v>66</v>
      </c>
      <c r="O163" s="10" t="str">
        <f>IF(TRIM(OrdersRawTable9[[#This Row],[Sales_Channel_Raw]])="Market place","Marketplace",TRIM(OrdersRawTable9[[#This Row],[Sales_Channel_Raw]]))</f>
        <v>Marketplace</v>
      </c>
      <c r="P163" s="10" t="s">
        <v>41</v>
      </c>
      <c r="Q163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163" s="15" t="s">
        <v>47</v>
      </c>
      <c r="S163" t="str">
        <f>VLOOKUP(OrdersRawTable9[[#This Row],[Customer_ID_Raw]],CustomersTable11[],4,FALSE)</f>
        <v>Manitoba</v>
      </c>
      <c r="T163" t="str">
        <f>VLOOKUP(OrdersRawTable9[[#This Row],[Customer_ID_Raw]],CustomersTable11[],5,FALSE)</f>
        <v>Corporate</v>
      </c>
      <c r="U163" s="45">
        <f>VLOOKUP(OrdersRawTable9[[#This Row],[Product_ID]],ProductsTable10[],4,FALSE)</f>
        <v>85.34</v>
      </c>
      <c r="V163" t="str">
        <f>VLOOKUP(OrdersRawTable9[[#This Row],[Product_ID]],ProductsTable10[],3,FALSE)</f>
        <v>Home</v>
      </c>
      <c r="W163" s="45">
        <f>OrdersRawTable9[[#This Row],[Unit_Price]]*OrdersRawTable9[[#This Row],[Quantity]]</f>
        <v>568.64</v>
      </c>
      <c r="X163" s="47">
        <f>OrdersRawTable9[[#This Row],[Gross_Sales]]*OrdersRawTable9[[#This Row],[Discount_Pct]]</f>
        <v>56.864000000000004</v>
      </c>
      <c r="Y163" s="45">
        <f>OrdersRawTable9[[#This Row],[Gross_Sales]]-OrdersRawTable9[[#This Row],[Discount_Amount]]</f>
        <v>511.77599999999995</v>
      </c>
      <c r="Z163" s="45">
        <f>OrdersRawTable9[[#This Row],[Unit_Cost]]*OrdersRawTable9[[#This Row],[Quantity]]</f>
        <v>341.36</v>
      </c>
      <c r="AA163" s="45">
        <f>OrdersRawTable9[[#This Row],[Net_Sales]]-OrdersRawTable9[[#This Row],[Total_Cost]]</f>
        <v>170.41599999999994</v>
      </c>
      <c r="AB163" s="48">
        <f>IF(OrdersRawTable9[[#This Row],[Net_Sales]]=0,0,OrdersRawTable9[[#This Row],[Profit]]/OrdersRawTable9[[#This Row],[Net_Sales]])</f>
        <v>0.33298943287688354</v>
      </c>
      <c r="AC163" s="45" t="str">
        <f>IF(COUNTIF(ReturnsRawTable[Order_Line_ID],OrdersRawTable9[[#This Row],[Order_Line_ID]])&gt;0,"Yes","No")</f>
        <v>No</v>
      </c>
      <c r="AD163" s="45" t="str">
        <f>IFERROR(VLOOKUP(OrdersRawTable9[[#This Row],[Order_Line_ID]],ReturnsRawTable[[#All],[Order_Line_ID]:[Return_Reason_Raw]],3,FALSE),"")</f>
        <v/>
      </c>
      <c r="AE163" s="49" t="str">
        <f>IFERROR(VLOOKUP(OrdersRawTable9[[#This Row],[Order_Line_ID]],ReturnsRawTable[[#All],[Order_Line_ID]:[Return_Date]],2,FALSE),"")</f>
        <v/>
      </c>
      <c r="AF163" s="45" t="str">
        <f>IFERROR(VLOOKUP(OrdersRawTable9[[#This Row],[Order_Line_ID]],ReturnsRawTable[[Order_Line_ID]:[Refund_Status]],4,FALSE),"")</f>
        <v/>
      </c>
      <c r="AG163" s="45" t="str">
        <f>VLOOKUP(OrdersRawTable9[[#This Row],[Order_ID]],ShipmentsTable[],6,FALSE)</f>
        <v>Late</v>
      </c>
      <c r="AH163" s="49">
        <f>VLOOKUP(OrdersRawTable9[[#This Row],[Order_ID]],ShipmentsTable[],3,FALSE)</f>
        <v>45980</v>
      </c>
    </row>
    <row r="164" spans="1:34" ht="15" customHeight="1">
      <c r="A164" s="14" t="s">
        <v>445</v>
      </c>
      <c r="B164" s="10" t="s">
        <v>442</v>
      </c>
      <c r="C164" s="20">
        <v>45971</v>
      </c>
      <c r="D164" s="10" t="s">
        <v>443</v>
      </c>
      <c r="E164" s="10" t="s">
        <v>444</v>
      </c>
      <c r="F164" s="10" t="str">
        <f>TRIM(LEFT(OrdersRawTable9[[#This Row],[Customer_Info]],FIND(",",OrdersRawTable9[[#This Row],[Customer_Info]])-1))</f>
        <v>Sara Tremblay</v>
      </c>
      <c r="G16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164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164" s="10">
        <f>LEN(OrdersRawTable9[[#This Row],[Customer_Info]])-LEN(SUBSTITUTE(OrdersRawTable9[[#This Row],[Customer_Info]],",",""))</f>
        <v>2</v>
      </c>
      <c r="J164" s="10" t="s">
        <v>279</v>
      </c>
      <c r="K164" s="23">
        <v>4</v>
      </c>
      <c r="L164" s="26">
        <v>52.79</v>
      </c>
      <c r="M164" s="29">
        <v>0.05</v>
      </c>
      <c r="N164" s="10" t="s">
        <v>45</v>
      </c>
      <c r="O164" s="10" t="str">
        <f>IF(TRIM(OrdersRawTable9[[#This Row],[Sales_Channel_Raw]])="Market place","Marketplace",TRIM(OrdersRawTable9[[#This Row],[Sales_Channel_Raw]]))</f>
        <v>Retail Store</v>
      </c>
      <c r="P164" s="10" t="s">
        <v>58</v>
      </c>
      <c r="Q164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164" s="15" t="s">
        <v>67</v>
      </c>
      <c r="S164" t="str">
        <f>VLOOKUP(OrdersRawTable9[[#This Row],[Customer_ID_Raw]],CustomersTable11[],4,FALSE)</f>
        <v>Manitoba</v>
      </c>
      <c r="T164" t="str">
        <f>VLOOKUP(OrdersRawTable9[[#This Row],[Customer_ID_Raw]],CustomersTable11[],5,FALSE)</f>
        <v>Corporate</v>
      </c>
      <c r="U164" s="45">
        <f>VLOOKUP(OrdersRawTable9[[#This Row],[Product_ID]],ProductsTable10[],4,FALSE)</f>
        <v>28.17</v>
      </c>
      <c r="V164" t="str">
        <f>VLOOKUP(OrdersRawTable9[[#This Row],[Product_ID]],ProductsTable10[],3,FALSE)</f>
        <v>Office</v>
      </c>
      <c r="W164" s="45">
        <f>OrdersRawTable9[[#This Row],[Unit_Price]]*OrdersRawTable9[[#This Row],[Quantity]]</f>
        <v>211.16</v>
      </c>
      <c r="X164" s="47">
        <f>OrdersRawTable9[[#This Row],[Gross_Sales]]*OrdersRawTable9[[#This Row],[Discount_Pct]]</f>
        <v>10.558</v>
      </c>
      <c r="Y164" s="45">
        <f>OrdersRawTable9[[#This Row],[Gross_Sales]]-OrdersRawTable9[[#This Row],[Discount_Amount]]</f>
        <v>200.602</v>
      </c>
      <c r="Z164" s="45">
        <f>OrdersRawTable9[[#This Row],[Unit_Cost]]*OrdersRawTable9[[#This Row],[Quantity]]</f>
        <v>112.68</v>
      </c>
      <c r="AA164" s="45">
        <f>OrdersRawTable9[[#This Row],[Net_Sales]]-OrdersRawTable9[[#This Row],[Total_Cost]]</f>
        <v>87.921999999999997</v>
      </c>
      <c r="AB164" s="48">
        <f>IF(OrdersRawTable9[[#This Row],[Net_Sales]]=0,0,OrdersRawTable9[[#This Row],[Profit]]/OrdersRawTable9[[#This Row],[Net_Sales]])</f>
        <v>0.43829074485797748</v>
      </c>
      <c r="AC164" s="45" t="str">
        <f>IF(COUNTIF(ReturnsRawTable[Order_Line_ID],OrdersRawTable9[[#This Row],[Order_Line_ID]])&gt;0,"Yes","No")</f>
        <v>No</v>
      </c>
      <c r="AD164" s="45" t="str">
        <f>IFERROR(VLOOKUP(OrdersRawTable9[[#This Row],[Order_Line_ID]],ReturnsRawTable[[#All],[Order_Line_ID]:[Return_Reason_Raw]],3,FALSE),"")</f>
        <v/>
      </c>
      <c r="AE164" s="49" t="str">
        <f>IFERROR(VLOOKUP(OrdersRawTable9[[#This Row],[Order_Line_ID]],ReturnsRawTable[[#All],[Order_Line_ID]:[Return_Date]],2,FALSE),"")</f>
        <v/>
      </c>
      <c r="AF164" s="45" t="str">
        <f>IFERROR(VLOOKUP(OrdersRawTable9[[#This Row],[Order_Line_ID]],ReturnsRawTable[[Order_Line_ID]:[Refund_Status]],4,FALSE),"")</f>
        <v/>
      </c>
      <c r="AG164" s="45" t="str">
        <f>VLOOKUP(OrdersRawTable9[[#This Row],[Order_ID]],ShipmentsTable[],6,FALSE)</f>
        <v>Late</v>
      </c>
      <c r="AH164" s="49">
        <f>VLOOKUP(OrdersRawTable9[[#This Row],[Order_ID]],ShipmentsTable[],3,FALSE)</f>
        <v>45980</v>
      </c>
    </row>
    <row r="165" spans="1:34" ht="15" customHeight="1">
      <c r="A165" s="14" t="s">
        <v>446</v>
      </c>
      <c r="B165" s="10" t="s">
        <v>442</v>
      </c>
      <c r="C165" s="20">
        <v>45971</v>
      </c>
      <c r="D165" s="10" t="s">
        <v>443</v>
      </c>
      <c r="E165" s="10" t="s">
        <v>444</v>
      </c>
      <c r="F165" s="10" t="str">
        <f>TRIM(LEFT(OrdersRawTable9[[#This Row],[Customer_Info]],FIND(",",OrdersRawTable9[[#This Row],[Customer_Info]])-1))</f>
        <v>Sara Tremblay</v>
      </c>
      <c r="G16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165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165" s="10">
        <f>LEN(OrdersRawTable9[[#This Row],[Customer_Info]])-LEN(SUBSTITUTE(OrdersRawTable9[[#This Row],[Customer_Info]],",",""))</f>
        <v>2</v>
      </c>
      <c r="J165" s="10" t="s">
        <v>276</v>
      </c>
      <c r="K165" s="23">
        <v>3</v>
      </c>
      <c r="L165" s="26">
        <v>182.94</v>
      </c>
      <c r="M165" s="29">
        <v>0.1</v>
      </c>
      <c r="N165" s="10" t="s">
        <v>66</v>
      </c>
      <c r="O165" s="10" t="str">
        <f>IF(TRIM(OrdersRawTable9[[#This Row],[Sales_Channel_Raw]])="Market place","Marketplace",TRIM(OrdersRawTable9[[#This Row],[Sales_Channel_Raw]]))</f>
        <v>Marketplace</v>
      </c>
      <c r="P165" s="10" t="s">
        <v>41</v>
      </c>
      <c r="Q165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165" s="15" t="s">
        <v>101</v>
      </c>
      <c r="S165" t="str">
        <f>VLOOKUP(OrdersRawTable9[[#This Row],[Customer_ID_Raw]],CustomersTable11[],4,FALSE)</f>
        <v>Manitoba</v>
      </c>
      <c r="T165" t="str">
        <f>VLOOKUP(OrdersRawTable9[[#This Row],[Customer_ID_Raw]],CustomersTable11[],5,FALSE)</f>
        <v>Corporate</v>
      </c>
      <c r="U165" s="45">
        <f>VLOOKUP(OrdersRawTable9[[#This Row],[Product_ID]],ProductsTable10[],4,FALSE)</f>
        <v>118.95</v>
      </c>
      <c r="V165" t="str">
        <f>VLOOKUP(OrdersRawTable9[[#This Row],[Product_ID]],ProductsTable10[],3,FALSE)</f>
        <v>Fitness</v>
      </c>
      <c r="W165" s="45">
        <f>OrdersRawTable9[[#This Row],[Unit_Price]]*OrdersRawTable9[[#This Row],[Quantity]]</f>
        <v>548.81999999999994</v>
      </c>
      <c r="X165" s="47">
        <f>OrdersRawTable9[[#This Row],[Gross_Sales]]*OrdersRawTable9[[#This Row],[Discount_Pct]]</f>
        <v>54.881999999999998</v>
      </c>
      <c r="Y165" s="45">
        <f>OrdersRawTable9[[#This Row],[Gross_Sales]]-OrdersRawTable9[[#This Row],[Discount_Amount]]</f>
        <v>493.93799999999993</v>
      </c>
      <c r="Z165" s="45">
        <f>OrdersRawTable9[[#This Row],[Unit_Cost]]*OrdersRawTable9[[#This Row],[Quantity]]</f>
        <v>356.85</v>
      </c>
      <c r="AA165" s="45">
        <f>OrdersRawTable9[[#This Row],[Net_Sales]]-OrdersRawTable9[[#This Row],[Total_Cost]]</f>
        <v>137.08799999999991</v>
      </c>
      <c r="AB165" s="48">
        <f>IF(OrdersRawTable9[[#This Row],[Net_Sales]]=0,0,OrdersRawTable9[[#This Row],[Profit]]/OrdersRawTable9[[#This Row],[Net_Sales]])</f>
        <v>0.27754090594366082</v>
      </c>
      <c r="AC165" s="45" t="str">
        <f>IF(COUNTIF(ReturnsRawTable[Order_Line_ID],OrdersRawTable9[[#This Row],[Order_Line_ID]])&gt;0,"Yes","No")</f>
        <v>Yes</v>
      </c>
      <c r="AD165" s="45" t="str">
        <f>IFERROR(VLOOKUP(OrdersRawTable9[[#This Row],[Order_Line_ID]],ReturnsRawTable[[#All],[Order_Line_ID]:[Return_Reason_Raw]],3,FALSE),"")</f>
        <v>Late Delivery</v>
      </c>
      <c r="AE165" s="49">
        <f>IFERROR(VLOOKUP(OrdersRawTable9[[#This Row],[Order_Line_ID]],ReturnsRawTable[[#All],[Order_Line_ID]:[Return_Date]],2,FALSE),"")</f>
        <v>45985</v>
      </c>
      <c r="AF165" s="45" t="str">
        <f>IFERROR(VLOOKUP(OrdersRawTable9[[#This Row],[Order_Line_ID]],ReturnsRawTable[[Order_Line_ID]:[Refund_Status]],4,FALSE),"")</f>
        <v>Pending</v>
      </c>
      <c r="AG165" s="45" t="str">
        <f>VLOOKUP(OrdersRawTable9[[#This Row],[Order_ID]],ShipmentsTable[],6,FALSE)</f>
        <v>Late</v>
      </c>
      <c r="AH165" s="49">
        <f>VLOOKUP(OrdersRawTable9[[#This Row],[Order_ID]],ShipmentsTable[],3,FALSE)</f>
        <v>45980</v>
      </c>
    </row>
    <row r="166" spans="1:34" ht="15" customHeight="1">
      <c r="A166" s="14" t="s">
        <v>447</v>
      </c>
      <c r="B166" s="10" t="s">
        <v>442</v>
      </c>
      <c r="C166" s="20">
        <v>45971</v>
      </c>
      <c r="D166" s="10" t="s">
        <v>443</v>
      </c>
      <c r="E166" s="10" t="s">
        <v>444</v>
      </c>
      <c r="F166" s="10" t="str">
        <f>TRIM(LEFT(OrdersRawTable9[[#This Row],[Customer_Info]],FIND(",",OrdersRawTable9[[#This Row],[Customer_Info]])-1))</f>
        <v>Sara Tremblay</v>
      </c>
      <c r="G16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166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166" s="10">
        <f>LEN(OrdersRawTable9[[#This Row],[Customer_Info]])-LEN(SUBSTITUTE(OrdersRawTable9[[#This Row],[Customer_Info]],",",""))</f>
        <v>2</v>
      </c>
      <c r="J166" s="10" t="s">
        <v>108</v>
      </c>
      <c r="K166" s="23">
        <v>4</v>
      </c>
      <c r="L166" s="26">
        <v>33.369999999999997</v>
      </c>
      <c r="M166" s="29">
        <v>0.15</v>
      </c>
      <c r="N166" s="10" t="s">
        <v>66</v>
      </c>
      <c r="O166" s="10" t="str">
        <f>IF(TRIM(OrdersRawTable9[[#This Row],[Sales_Channel_Raw]])="Market place","Marketplace",TRIM(OrdersRawTable9[[#This Row],[Sales_Channel_Raw]]))</f>
        <v>Marketplace</v>
      </c>
      <c r="P166" s="10" t="s">
        <v>46</v>
      </c>
      <c r="Q166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166" s="15" t="s">
        <v>52</v>
      </c>
      <c r="S166" t="str">
        <f>VLOOKUP(OrdersRawTable9[[#This Row],[Customer_ID_Raw]],CustomersTable11[],4,FALSE)</f>
        <v>Manitoba</v>
      </c>
      <c r="T166" t="str">
        <f>VLOOKUP(OrdersRawTable9[[#This Row],[Customer_ID_Raw]],CustomersTable11[],5,FALSE)</f>
        <v>Corporate</v>
      </c>
      <c r="U166" s="45">
        <f>VLOOKUP(OrdersRawTable9[[#This Row],[Product_ID]],ProductsTable10[],4,FALSE)</f>
        <v>18.670000000000002</v>
      </c>
      <c r="V166" t="str">
        <f>VLOOKUP(OrdersRawTable9[[#This Row],[Product_ID]],ProductsTable10[],3,FALSE)</f>
        <v>Fitness</v>
      </c>
      <c r="W166" s="45">
        <f>OrdersRawTable9[[#This Row],[Unit_Price]]*OrdersRawTable9[[#This Row],[Quantity]]</f>
        <v>133.47999999999999</v>
      </c>
      <c r="X166" s="47">
        <f>OrdersRawTable9[[#This Row],[Gross_Sales]]*OrdersRawTable9[[#This Row],[Discount_Pct]]</f>
        <v>20.021999999999998</v>
      </c>
      <c r="Y166" s="45">
        <f>OrdersRawTable9[[#This Row],[Gross_Sales]]-OrdersRawTable9[[#This Row],[Discount_Amount]]</f>
        <v>113.458</v>
      </c>
      <c r="Z166" s="45">
        <f>OrdersRawTable9[[#This Row],[Unit_Cost]]*OrdersRawTable9[[#This Row],[Quantity]]</f>
        <v>74.680000000000007</v>
      </c>
      <c r="AA166" s="45">
        <f>OrdersRawTable9[[#This Row],[Net_Sales]]-OrdersRawTable9[[#This Row],[Total_Cost]]</f>
        <v>38.777999999999992</v>
      </c>
      <c r="AB166" s="48">
        <f>IF(OrdersRawTable9[[#This Row],[Net_Sales]]=0,0,OrdersRawTable9[[#This Row],[Profit]]/OrdersRawTable9[[#This Row],[Net_Sales]])</f>
        <v>0.34178286238079281</v>
      </c>
      <c r="AC166" s="45" t="str">
        <f>IF(COUNTIF(ReturnsRawTable[Order_Line_ID],OrdersRawTable9[[#This Row],[Order_Line_ID]])&gt;0,"Yes","No")</f>
        <v>No</v>
      </c>
      <c r="AD166" s="45" t="str">
        <f>IFERROR(VLOOKUP(OrdersRawTable9[[#This Row],[Order_Line_ID]],ReturnsRawTable[[#All],[Order_Line_ID]:[Return_Reason_Raw]],3,FALSE),"")</f>
        <v/>
      </c>
      <c r="AE166" s="49" t="str">
        <f>IFERROR(VLOOKUP(OrdersRawTable9[[#This Row],[Order_Line_ID]],ReturnsRawTable[[#All],[Order_Line_ID]:[Return_Date]],2,FALSE),"")</f>
        <v/>
      </c>
      <c r="AF166" s="45" t="str">
        <f>IFERROR(VLOOKUP(OrdersRawTable9[[#This Row],[Order_Line_ID]],ReturnsRawTable[[Order_Line_ID]:[Refund_Status]],4,FALSE),"")</f>
        <v/>
      </c>
      <c r="AG166" s="45" t="str">
        <f>VLOOKUP(OrdersRawTable9[[#This Row],[Order_ID]],ShipmentsTable[],6,FALSE)</f>
        <v>Late</v>
      </c>
      <c r="AH166" s="49">
        <f>VLOOKUP(OrdersRawTable9[[#This Row],[Order_ID]],ShipmentsTable[],3,FALSE)</f>
        <v>45980</v>
      </c>
    </row>
    <row r="167" spans="1:34" ht="15" customHeight="1">
      <c r="A167" s="14" t="s">
        <v>448</v>
      </c>
      <c r="B167" s="10" t="s">
        <v>449</v>
      </c>
      <c r="C167" s="20">
        <v>45674</v>
      </c>
      <c r="D167" s="10" t="s">
        <v>450</v>
      </c>
      <c r="E167" s="10" t="s">
        <v>451</v>
      </c>
      <c r="F167" s="10" t="str">
        <f>TRIM(LEFT(OrdersRawTable9[[#This Row],[Customer_Info]],FIND(",",OrdersRawTable9[[#This Row],[Customer_Info]])-1))</f>
        <v>Emma Tremblay</v>
      </c>
      <c r="G16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167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167" s="10">
        <f>LEN(OrdersRawTable9[[#This Row],[Customer_Info]])-LEN(SUBSTITUTE(OrdersRawTable9[[#This Row],[Customer_Info]],",",""))</f>
        <v>2</v>
      </c>
      <c r="J167" s="10" t="s">
        <v>80</v>
      </c>
      <c r="K167" s="23">
        <v>4</v>
      </c>
      <c r="L167" s="26">
        <v>142.16</v>
      </c>
      <c r="M167" s="29">
        <v>0</v>
      </c>
      <c r="N167" s="10" t="s">
        <v>70</v>
      </c>
      <c r="O167" s="10" t="str">
        <f>IF(TRIM(OrdersRawTable9[[#This Row],[Sales_Channel_Raw]])="Market place","Marketplace",TRIM(OrdersRawTable9[[#This Row],[Sales_Channel_Raw]]))</f>
        <v>online</v>
      </c>
      <c r="P167" s="10"/>
      <c r="Q167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167" s="15" t="s">
        <v>67</v>
      </c>
      <c r="S167" t="str">
        <f>VLOOKUP(OrdersRawTable9[[#This Row],[Customer_ID_Raw]],CustomersTable11[],4,FALSE)</f>
        <v>Nova Scotia</v>
      </c>
      <c r="T167" t="str">
        <f>VLOOKUP(OrdersRawTable9[[#This Row],[Customer_ID_Raw]],CustomersTable11[],5,FALSE)</f>
        <v>Consumer</v>
      </c>
      <c r="U167" s="45">
        <f>VLOOKUP(OrdersRawTable9[[#This Row],[Product_ID]],ProductsTable10[],4,FALSE)</f>
        <v>85.34</v>
      </c>
      <c r="V167" t="str">
        <f>VLOOKUP(OrdersRawTable9[[#This Row],[Product_ID]],ProductsTable10[],3,FALSE)</f>
        <v>Home</v>
      </c>
      <c r="W167" s="45">
        <f>OrdersRawTable9[[#This Row],[Unit_Price]]*OrdersRawTable9[[#This Row],[Quantity]]</f>
        <v>568.64</v>
      </c>
      <c r="X167" s="47">
        <f>OrdersRawTable9[[#This Row],[Gross_Sales]]*OrdersRawTable9[[#This Row],[Discount_Pct]]</f>
        <v>0</v>
      </c>
      <c r="Y167" s="45">
        <f>OrdersRawTable9[[#This Row],[Gross_Sales]]-OrdersRawTable9[[#This Row],[Discount_Amount]]</f>
        <v>568.64</v>
      </c>
      <c r="Z167" s="45">
        <f>OrdersRawTable9[[#This Row],[Unit_Cost]]*OrdersRawTable9[[#This Row],[Quantity]]</f>
        <v>341.36</v>
      </c>
      <c r="AA167" s="45">
        <f>OrdersRawTable9[[#This Row],[Net_Sales]]-OrdersRawTable9[[#This Row],[Total_Cost]]</f>
        <v>227.27999999999997</v>
      </c>
      <c r="AB167" s="48">
        <f>IF(OrdersRawTable9[[#This Row],[Net_Sales]]=0,0,OrdersRawTable9[[#This Row],[Profit]]/OrdersRawTable9[[#This Row],[Net_Sales]])</f>
        <v>0.39969048958919523</v>
      </c>
      <c r="AC167" s="45" t="str">
        <f>IF(COUNTIF(ReturnsRawTable[Order_Line_ID],OrdersRawTable9[[#This Row],[Order_Line_ID]])&gt;0,"Yes","No")</f>
        <v>No</v>
      </c>
      <c r="AD167" s="45" t="str">
        <f>IFERROR(VLOOKUP(OrdersRawTable9[[#This Row],[Order_Line_ID]],ReturnsRawTable[[#All],[Order_Line_ID]:[Return_Reason_Raw]],3,FALSE),"")</f>
        <v/>
      </c>
      <c r="AE167" s="49" t="str">
        <f>IFERROR(VLOOKUP(OrdersRawTable9[[#This Row],[Order_Line_ID]],ReturnsRawTable[[#All],[Order_Line_ID]:[Return_Date]],2,FALSE),"")</f>
        <v/>
      </c>
      <c r="AF167" s="45" t="str">
        <f>IFERROR(VLOOKUP(OrdersRawTable9[[#This Row],[Order_Line_ID]],ReturnsRawTable[[Order_Line_ID]:[Refund_Status]],4,FALSE),"")</f>
        <v/>
      </c>
      <c r="AG167" s="45" t="str">
        <f>VLOOKUP(OrdersRawTable9[[#This Row],[Order_ID]],ShipmentsTable[],6,FALSE)</f>
        <v>Late</v>
      </c>
      <c r="AH167" s="49">
        <f>VLOOKUP(OrdersRawTable9[[#This Row],[Order_ID]],ShipmentsTable[],3,FALSE)</f>
        <v>45680</v>
      </c>
    </row>
    <row r="168" spans="1:34" ht="15" customHeight="1">
      <c r="A168" s="14" t="s">
        <v>452</v>
      </c>
      <c r="B168" s="10" t="s">
        <v>449</v>
      </c>
      <c r="C168" s="20">
        <v>45674</v>
      </c>
      <c r="D168" s="10" t="s">
        <v>450</v>
      </c>
      <c r="E168" s="10" t="s">
        <v>451</v>
      </c>
      <c r="F168" s="10" t="str">
        <f>TRIM(LEFT(OrdersRawTable9[[#This Row],[Customer_Info]],FIND(",",OrdersRawTable9[[#This Row],[Customer_Info]])-1))</f>
        <v>Emma Tremblay</v>
      </c>
      <c r="G16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168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168" s="10">
        <f>LEN(OrdersRawTable9[[#This Row],[Customer_Info]])-LEN(SUBSTITUTE(OrdersRawTable9[[#This Row],[Customer_Info]],",",""))</f>
        <v>2</v>
      </c>
      <c r="J168" s="10" t="s">
        <v>117</v>
      </c>
      <c r="K168" s="23">
        <v>4</v>
      </c>
      <c r="L168" s="26">
        <v>251.17</v>
      </c>
      <c r="M168" s="29">
        <v>0</v>
      </c>
      <c r="N168" s="10" t="s">
        <v>45</v>
      </c>
      <c r="O168" s="10" t="str">
        <f>IF(TRIM(OrdersRawTable9[[#This Row],[Sales_Channel_Raw]])="Market place","Marketplace",TRIM(OrdersRawTable9[[#This Row],[Sales_Channel_Raw]]))</f>
        <v>Retail Store</v>
      </c>
      <c r="P168" s="10" t="s">
        <v>41</v>
      </c>
      <c r="Q168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168" s="15" t="s">
        <v>52</v>
      </c>
      <c r="S168" t="str">
        <f>VLOOKUP(OrdersRawTable9[[#This Row],[Customer_ID_Raw]],CustomersTable11[],4,FALSE)</f>
        <v>Nova Scotia</v>
      </c>
      <c r="T168" t="str">
        <f>VLOOKUP(OrdersRawTable9[[#This Row],[Customer_ID_Raw]],CustomersTable11[],5,FALSE)</f>
        <v>Consumer</v>
      </c>
      <c r="U168" s="45">
        <f>VLOOKUP(OrdersRawTable9[[#This Row],[Product_ID]],ProductsTable10[],4,FALSE)</f>
        <v>151.59</v>
      </c>
      <c r="V168" t="str">
        <f>VLOOKUP(OrdersRawTable9[[#This Row],[Product_ID]],ProductsTable10[],3,FALSE)</f>
        <v>Fitness</v>
      </c>
      <c r="W168" s="45">
        <f>OrdersRawTable9[[#This Row],[Unit_Price]]*OrdersRawTable9[[#This Row],[Quantity]]</f>
        <v>1004.68</v>
      </c>
      <c r="X168" s="47">
        <f>OrdersRawTable9[[#This Row],[Gross_Sales]]*OrdersRawTable9[[#This Row],[Discount_Pct]]</f>
        <v>0</v>
      </c>
      <c r="Y168" s="45">
        <f>OrdersRawTable9[[#This Row],[Gross_Sales]]-OrdersRawTable9[[#This Row],[Discount_Amount]]</f>
        <v>1004.68</v>
      </c>
      <c r="Z168" s="45">
        <f>OrdersRawTable9[[#This Row],[Unit_Cost]]*OrdersRawTable9[[#This Row],[Quantity]]</f>
        <v>606.36</v>
      </c>
      <c r="AA168" s="45">
        <f>OrdersRawTable9[[#This Row],[Net_Sales]]-OrdersRawTable9[[#This Row],[Total_Cost]]</f>
        <v>398.31999999999994</v>
      </c>
      <c r="AB168" s="48">
        <f>IF(OrdersRawTable9[[#This Row],[Net_Sales]]=0,0,OrdersRawTable9[[#This Row],[Profit]]/OrdersRawTable9[[#This Row],[Net_Sales]])</f>
        <v>0.39646454592507063</v>
      </c>
      <c r="AC168" s="45" t="str">
        <f>IF(COUNTIF(ReturnsRawTable[Order_Line_ID],OrdersRawTable9[[#This Row],[Order_Line_ID]])&gt;0,"Yes","No")</f>
        <v>No</v>
      </c>
      <c r="AD168" s="45" t="str">
        <f>IFERROR(VLOOKUP(OrdersRawTable9[[#This Row],[Order_Line_ID]],ReturnsRawTable[[#All],[Order_Line_ID]:[Return_Reason_Raw]],3,FALSE),"")</f>
        <v/>
      </c>
      <c r="AE168" s="49" t="str">
        <f>IFERROR(VLOOKUP(OrdersRawTable9[[#This Row],[Order_Line_ID]],ReturnsRawTable[[#All],[Order_Line_ID]:[Return_Date]],2,FALSE),"")</f>
        <v/>
      </c>
      <c r="AF168" s="45" t="str">
        <f>IFERROR(VLOOKUP(OrdersRawTable9[[#This Row],[Order_Line_ID]],ReturnsRawTable[[Order_Line_ID]:[Refund_Status]],4,FALSE),"")</f>
        <v/>
      </c>
      <c r="AG168" s="45" t="str">
        <f>VLOOKUP(OrdersRawTable9[[#This Row],[Order_ID]],ShipmentsTable[],6,FALSE)</f>
        <v>Late</v>
      </c>
      <c r="AH168" s="49">
        <f>VLOOKUP(OrdersRawTable9[[#This Row],[Order_ID]],ShipmentsTable[],3,FALSE)</f>
        <v>45680</v>
      </c>
    </row>
    <row r="169" spans="1:34" ht="15" customHeight="1">
      <c r="A169" s="14" t="s">
        <v>453</v>
      </c>
      <c r="B169" s="10" t="s">
        <v>454</v>
      </c>
      <c r="C169" s="20">
        <v>45996</v>
      </c>
      <c r="D169" s="10" t="s">
        <v>321</v>
      </c>
      <c r="E169" s="10" t="s">
        <v>322</v>
      </c>
      <c r="F169" s="10" t="str">
        <f>TRIM(LEFT(OrdersRawTable9[[#This Row],[Customer_Info]],FIND(",",OrdersRawTable9[[#This Row],[Customer_Info]])-1))</f>
        <v>Emma Brown</v>
      </c>
      <c r="G16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169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169" s="10">
        <f>LEN(OrdersRawTable9[[#This Row],[Customer_Info]])-LEN(SUBSTITUTE(OrdersRawTable9[[#This Row],[Customer_Info]],",",""))</f>
        <v>2</v>
      </c>
      <c r="J169" s="10" t="s">
        <v>63</v>
      </c>
      <c r="K169" s="23">
        <v>4</v>
      </c>
      <c r="L169" s="26">
        <v>105.38</v>
      </c>
      <c r="M169" s="29">
        <v>0</v>
      </c>
      <c r="N169" s="10" t="s">
        <v>70</v>
      </c>
      <c r="O169" s="10" t="str">
        <f>IF(TRIM(OrdersRawTable9[[#This Row],[Sales_Channel_Raw]])="Market place","Marketplace",TRIM(OrdersRawTable9[[#This Row],[Sales_Channel_Raw]]))</f>
        <v>online</v>
      </c>
      <c r="P169" s="10"/>
      <c r="Q169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169" s="15" t="s">
        <v>101</v>
      </c>
      <c r="S169" t="str">
        <f>VLOOKUP(OrdersRawTable9[[#This Row],[Customer_ID_Raw]],CustomersTable11[],4,FALSE)</f>
        <v>Ontario</v>
      </c>
      <c r="T169" t="str">
        <f>VLOOKUP(OrdersRawTable9[[#This Row],[Customer_ID_Raw]],CustomersTable11[],5,FALSE)</f>
        <v>Corporate</v>
      </c>
      <c r="U169" s="45">
        <f>VLOOKUP(OrdersRawTable9[[#This Row],[Product_ID]],ProductsTable10[],4,FALSE)</f>
        <v>67.290000000000006</v>
      </c>
      <c r="V169" t="str">
        <f>VLOOKUP(OrdersRawTable9[[#This Row],[Product_ID]],ProductsTable10[],3,FALSE)</f>
        <v>Electronics</v>
      </c>
      <c r="W169" s="45">
        <f>OrdersRawTable9[[#This Row],[Unit_Price]]*OrdersRawTable9[[#This Row],[Quantity]]</f>
        <v>421.52</v>
      </c>
      <c r="X169" s="47">
        <f>OrdersRawTable9[[#This Row],[Gross_Sales]]*OrdersRawTable9[[#This Row],[Discount_Pct]]</f>
        <v>0</v>
      </c>
      <c r="Y169" s="45">
        <f>OrdersRawTable9[[#This Row],[Gross_Sales]]-OrdersRawTable9[[#This Row],[Discount_Amount]]</f>
        <v>421.52</v>
      </c>
      <c r="Z169" s="45">
        <f>OrdersRawTable9[[#This Row],[Unit_Cost]]*OrdersRawTable9[[#This Row],[Quantity]]</f>
        <v>269.16000000000003</v>
      </c>
      <c r="AA169" s="45">
        <f>OrdersRawTable9[[#This Row],[Net_Sales]]-OrdersRawTable9[[#This Row],[Total_Cost]]</f>
        <v>152.35999999999996</v>
      </c>
      <c r="AB169" s="48">
        <f>IF(OrdersRawTable9[[#This Row],[Net_Sales]]=0,0,OrdersRawTable9[[#This Row],[Profit]]/OrdersRawTable9[[#This Row],[Net_Sales]])</f>
        <v>0.36145378629721003</v>
      </c>
      <c r="AC169" s="45" t="str">
        <f>IF(COUNTIF(ReturnsRawTable[Order_Line_ID],OrdersRawTable9[[#This Row],[Order_Line_ID]])&gt;0,"Yes","No")</f>
        <v>Yes</v>
      </c>
      <c r="AD169" s="45" t="str">
        <f>IFERROR(VLOOKUP(OrdersRawTable9[[#This Row],[Order_Line_ID]],ReturnsRawTable[[#All],[Order_Line_ID]:[Return_Reason_Raw]],3,FALSE),"")</f>
        <v>Damaged</v>
      </c>
      <c r="AE169" s="49">
        <f>IFERROR(VLOOKUP(OrdersRawTable9[[#This Row],[Order_Line_ID]],ReturnsRawTable[[#All],[Order_Line_ID]:[Return_Date]],2,FALSE),"")</f>
        <v>46019</v>
      </c>
      <c r="AF169" s="45" t="str">
        <f>IFERROR(VLOOKUP(OrdersRawTable9[[#This Row],[Order_Line_ID]],ReturnsRawTable[[Order_Line_ID]:[Refund_Status]],4,FALSE),"")</f>
        <v>Pending</v>
      </c>
      <c r="AG169" s="45" t="str">
        <f>VLOOKUP(OrdersRawTable9[[#This Row],[Order_ID]],ShipmentsTable[],6,FALSE)</f>
        <v>Late</v>
      </c>
      <c r="AH169" s="49">
        <f>VLOOKUP(OrdersRawTable9[[#This Row],[Order_ID]],ShipmentsTable[],3,FALSE)</f>
        <v>46002</v>
      </c>
    </row>
    <row r="170" spans="1:34" ht="15" customHeight="1">
      <c r="A170" s="14" t="s">
        <v>455</v>
      </c>
      <c r="B170" s="10" t="s">
        <v>454</v>
      </c>
      <c r="C170" s="20">
        <v>45996</v>
      </c>
      <c r="D170" s="10" t="s">
        <v>321</v>
      </c>
      <c r="E170" s="10" t="s">
        <v>322</v>
      </c>
      <c r="F170" s="10" t="str">
        <f>TRIM(LEFT(OrdersRawTable9[[#This Row],[Customer_Info]],FIND(",",OrdersRawTable9[[#This Row],[Customer_Info]])-1))</f>
        <v>Emma Brown</v>
      </c>
      <c r="G17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170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170" s="10">
        <f>LEN(OrdersRawTable9[[#This Row],[Customer_Info]])-LEN(SUBSTITUTE(OrdersRawTable9[[#This Row],[Customer_Info]],",",""))</f>
        <v>2</v>
      </c>
      <c r="J170" s="10" t="s">
        <v>456</v>
      </c>
      <c r="K170" s="23">
        <v>1</v>
      </c>
      <c r="L170" s="26">
        <v>275.76</v>
      </c>
      <c r="M170" s="29">
        <v>0.15</v>
      </c>
      <c r="N170" s="10" t="s">
        <v>64</v>
      </c>
      <c r="O170" s="10" t="str">
        <f>IF(TRIM(OrdersRawTable9[[#This Row],[Sales_Channel_Raw]])="Market place","Marketplace",TRIM(OrdersRawTable9[[#This Row],[Sales_Channel_Raw]]))</f>
        <v>Retail Store</v>
      </c>
      <c r="P170" s="10" t="s">
        <v>58</v>
      </c>
      <c r="Q170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170" s="15" t="s">
        <v>67</v>
      </c>
      <c r="S170" t="str">
        <f>VLOOKUP(OrdersRawTable9[[#This Row],[Customer_ID_Raw]],CustomersTable11[],4,FALSE)</f>
        <v>Ontario</v>
      </c>
      <c r="T170" t="str">
        <f>VLOOKUP(OrdersRawTable9[[#This Row],[Customer_ID_Raw]],CustomersTable11[],5,FALSE)</f>
        <v>Corporate</v>
      </c>
      <c r="U170" s="45">
        <f>VLOOKUP(OrdersRawTable9[[#This Row],[Product_ID]],ProductsTable10[],4,FALSE)</f>
        <v>156.97</v>
      </c>
      <c r="V170" t="str">
        <f>VLOOKUP(OrdersRawTable9[[#This Row],[Product_ID]],ProductsTable10[],3,FALSE)</f>
        <v>Home</v>
      </c>
      <c r="W170" s="45">
        <f>OrdersRawTable9[[#This Row],[Unit_Price]]*OrdersRawTable9[[#This Row],[Quantity]]</f>
        <v>275.76</v>
      </c>
      <c r="X170" s="47">
        <f>OrdersRawTable9[[#This Row],[Gross_Sales]]*OrdersRawTable9[[#This Row],[Discount_Pct]]</f>
        <v>41.363999999999997</v>
      </c>
      <c r="Y170" s="45">
        <f>OrdersRawTable9[[#This Row],[Gross_Sales]]-OrdersRawTable9[[#This Row],[Discount_Amount]]</f>
        <v>234.39599999999999</v>
      </c>
      <c r="Z170" s="45">
        <f>OrdersRawTable9[[#This Row],[Unit_Cost]]*OrdersRawTable9[[#This Row],[Quantity]]</f>
        <v>156.97</v>
      </c>
      <c r="AA170" s="45">
        <f>OrdersRawTable9[[#This Row],[Net_Sales]]-OrdersRawTable9[[#This Row],[Total_Cost]]</f>
        <v>77.425999999999988</v>
      </c>
      <c r="AB170" s="48">
        <f>IF(OrdersRawTable9[[#This Row],[Net_Sales]]=0,0,OrdersRawTable9[[#This Row],[Profit]]/OrdersRawTable9[[#This Row],[Net_Sales]])</f>
        <v>0.33032133654157919</v>
      </c>
      <c r="AC170" s="45" t="str">
        <f>IF(COUNTIF(ReturnsRawTable[Order_Line_ID],OrdersRawTable9[[#This Row],[Order_Line_ID]])&gt;0,"Yes","No")</f>
        <v>No</v>
      </c>
      <c r="AD170" s="45" t="str">
        <f>IFERROR(VLOOKUP(OrdersRawTable9[[#This Row],[Order_Line_ID]],ReturnsRawTable[[#All],[Order_Line_ID]:[Return_Reason_Raw]],3,FALSE),"")</f>
        <v/>
      </c>
      <c r="AE170" s="49" t="str">
        <f>IFERROR(VLOOKUP(OrdersRawTable9[[#This Row],[Order_Line_ID]],ReturnsRawTable[[#All],[Order_Line_ID]:[Return_Date]],2,FALSE),"")</f>
        <v/>
      </c>
      <c r="AF170" s="45" t="str">
        <f>IFERROR(VLOOKUP(OrdersRawTable9[[#This Row],[Order_Line_ID]],ReturnsRawTable[[Order_Line_ID]:[Refund_Status]],4,FALSE),"")</f>
        <v/>
      </c>
      <c r="AG170" s="45" t="str">
        <f>VLOOKUP(OrdersRawTable9[[#This Row],[Order_ID]],ShipmentsTable[],6,FALSE)</f>
        <v>Late</v>
      </c>
      <c r="AH170" s="49">
        <f>VLOOKUP(OrdersRawTable9[[#This Row],[Order_ID]],ShipmentsTable[],3,FALSE)</f>
        <v>46002</v>
      </c>
    </row>
    <row r="171" spans="1:34" ht="15" customHeight="1">
      <c r="A171" s="14" t="s">
        <v>457</v>
      </c>
      <c r="B171" s="10" t="s">
        <v>454</v>
      </c>
      <c r="C171" s="20">
        <v>45996</v>
      </c>
      <c r="D171" s="10" t="s">
        <v>321</v>
      </c>
      <c r="E171" s="10" t="s">
        <v>322</v>
      </c>
      <c r="F171" s="10" t="str">
        <f>TRIM(LEFT(OrdersRawTable9[[#This Row],[Customer_Info]],FIND(",",OrdersRawTable9[[#This Row],[Customer_Info]])-1))</f>
        <v>Emma Brown</v>
      </c>
      <c r="G17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171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171" s="10">
        <f>LEN(OrdersRawTable9[[#This Row],[Customer_Info]])-LEN(SUBSTITUTE(OrdersRawTable9[[#This Row],[Customer_Info]],",",""))</f>
        <v>2</v>
      </c>
      <c r="J171" s="10" t="s">
        <v>100</v>
      </c>
      <c r="K171" s="23">
        <v>3</v>
      </c>
      <c r="L171" s="26">
        <v>42.72</v>
      </c>
      <c r="M171" s="29">
        <v>0.05</v>
      </c>
      <c r="N171" s="10" t="s">
        <v>64</v>
      </c>
      <c r="O171" s="10" t="str">
        <f>IF(TRIM(OrdersRawTable9[[#This Row],[Sales_Channel_Raw]])="Market place","Marketplace",TRIM(OrdersRawTable9[[#This Row],[Sales_Channel_Raw]]))</f>
        <v>Retail Store</v>
      </c>
      <c r="P171" s="10" t="s">
        <v>98</v>
      </c>
      <c r="Q171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171" s="15" t="s">
        <v>101</v>
      </c>
      <c r="S171" t="str">
        <f>VLOOKUP(OrdersRawTable9[[#This Row],[Customer_ID_Raw]],CustomersTable11[],4,FALSE)</f>
        <v>Ontario</v>
      </c>
      <c r="T171" t="str">
        <f>VLOOKUP(OrdersRawTable9[[#This Row],[Customer_ID_Raw]],CustomersTable11[],5,FALSE)</f>
        <v>Corporate</v>
      </c>
      <c r="U171" s="45">
        <f>VLOOKUP(OrdersRawTable9[[#This Row],[Product_ID]],ProductsTable10[],4,FALSE)</f>
        <v>24.46</v>
      </c>
      <c r="V171" t="str">
        <f>VLOOKUP(OrdersRawTable9[[#This Row],[Product_ID]],ProductsTable10[],3,FALSE)</f>
        <v>Electronics</v>
      </c>
      <c r="W171" s="45">
        <f>OrdersRawTable9[[#This Row],[Unit_Price]]*OrdersRawTable9[[#This Row],[Quantity]]</f>
        <v>128.16</v>
      </c>
      <c r="X171" s="47">
        <f>OrdersRawTable9[[#This Row],[Gross_Sales]]*OrdersRawTable9[[#This Row],[Discount_Pct]]</f>
        <v>6.4080000000000004</v>
      </c>
      <c r="Y171" s="45">
        <f>OrdersRawTable9[[#This Row],[Gross_Sales]]-OrdersRawTable9[[#This Row],[Discount_Amount]]</f>
        <v>121.752</v>
      </c>
      <c r="Z171" s="45">
        <f>OrdersRawTable9[[#This Row],[Unit_Cost]]*OrdersRawTable9[[#This Row],[Quantity]]</f>
        <v>73.38</v>
      </c>
      <c r="AA171" s="45">
        <f>OrdersRawTable9[[#This Row],[Net_Sales]]-OrdersRawTable9[[#This Row],[Total_Cost]]</f>
        <v>48.372</v>
      </c>
      <c r="AB171" s="48">
        <f>IF(OrdersRawTable9[[#This Row],[Net_Sales]]=0,0,OrdersRawTable9[[#This Row],[Profit]]/OrdersRawTable9[[#This Row],[Net_Sales]])</f>
        <v>0.39729942834614629</v>
      </c>
      <c r="AC171" s="45" t="str">
        <f>IF(COUNTIF(ReturnsRawTable[Order_Line_ID],OrdersRawTable9[[#This Row],[Order_Line_ID]])&gt;0,"Yes","No")</f>
        <v>No</v>
      </c>
      <c r="AD171" s="45" t="str">
        <f>IFERROR(VLOOKUP(OrdersRawTable9[[#This Row],[Order_Line_ID]],ReturnsRawTable[[#All],[Order_Line_ID]:[Return_Reason_Raw]],3,FALSE),"")</f>
        <v/>
      </c>
      <c r="AE171" s="49" t="str">
        <f>IFERROR(VLOOKUP(OrdersRawTable9[[#This Row],[Order_Line_ID]],ReturnsRawTable[[#All],[Order_Line_ID]:[Return_Date]],2,FALSE),"")</f>
        <v/>
      </c>
      <c r="AF171" s="45" t="str">
        <f>IFERROR(VLOOKUP(OrdersRawTable9[[#This Row],[Order_Line_ID]],ReturnsRawTable[[Order_Line_ID]:[Refund_Status]],4,FALSE),"")</f>
        <v/>
      </c>
      <c r="AG171" s="45" t="str">
        <f>VLOOKUP(OrdersRawTable9[[#This Row],[Order_ID]],ShipmentsTable[],6,FALSE)</f>
        <v>Late</v>
      </c>
      <c r="AH171" s="49">
        <f>VLOOKUP(OrdersRawTable9[[#This Row],[Order_ID]],ShipmentsTable[],3,FALSE)</f>
        <v>46002</v>
      </c>
    </row>
    <row r="172" spans="1:34" ht="15" customHeight="1">
      <c r="A172" s="14" t="s">
        <v>458</v>
      </c>
      <c r="B172" s="10" t="s">
        <v>454</v>
      </c>
      <c r="C172" s="20">
        <v>45996</v>
      </c>
      <c r="D172" s="10" t="s">
        <v>321</v>
      </c>
      <c r="E172" s="10" t="s">
        <v>322</v>
      </c>
      <c r="F172" s="10" t="str">
        <f>TRIM(LEFT(OrdersRawTable9[[#This Row],[Customer_Info]],FIND(",",OrdersRawTable9[[#This Row],[Customer_Info]])-1))</f>
        <v>Emma Brown</v>
      </c>
      <c r="G17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172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172" s="10">
        <f>LEN(OrdersRawTable9[[#This Row],[Customer_Info]])-LEN(SUBSTITUTE(OrdersRawTable9[[#This Row],[Customer_Info]],",",""))</f>
        <v>2</v>
      </c>
      <c r="J172" s="10" t="s">
        <v>63</v>
      </c>
      <c r="K172" s="23">
        <v>1</v>
      </c>
      <c r="L172" s="26">
        <v>105.38</v>
      </c>
      <c r="M172" s="29">
        <v>0</v>
      </c>
      <c r="N172" s="10" t="s">
        <v>50</v>
      </c>
      <c r="O172" s="10" t="str">
        <f>IF(TRIM(OrdersRawTable9[[#This Row],[Sales_Channel_Raw]])="Market place","Marketplace",TRIM(OrdersRawTable9[[#This Row],[Sales_Channel_Raw]]))</f>
        <v>Marketplace</v>
      </c>
      <c r="P172" s="10" t="s">
        <v>58</v>
      </c>
      <c r="Q172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172" s="15" t="s">
        <v>101</v>
      </c>
      <c r="S172" t="str">
        <f>VLOOKUP(OrdersRawTable9[[#This Row],[Customer_ID_Raw]],CustomersTable11[],4,FALSE)</f>
        <v>Ontario</v>
      </c>
      <c r="T172" t="str">
        <f>VLOOKUP(OrdersRawTable9[[#This Row],[Customer_ID_Raw]],CustomersTable11[],5,FALSE)</f>
        <v>Corporate</v>
      </c>
      <c r="U172" s="45">
        <f>VLOOKUP(OrdersRawTable9[[#This Row],[Product_ID]],ProductsTable10[],4,FALSE)</f>
        <v>67.290000000000006</v>
      </c>
      <c r="V172" t="str">
        <f>VLOOKUP(OrdersRawTable9[[#This Row],[Product_ID]],ProductsTable10[],3,FALSE)</f>
        <v>Electronics</v>
      </c>
      <c r="W172" s="45">
        <f>OrdersRawTable9[[#This Row],[Unit_Price]]*OrdersRawTable9[[#This Row],[Quantity]]</f>
        <v>105.38</v>
      </c>
      <c r="X172" s="47">
        <f>OrdersRawTable9[[#This Row],[Gross_Sales]]*OrdersRawTable9[[#This Row],[Discount_Pct]]</f>
        <v>0</v>
      </c>
      <c r="Y172" s="45">
        <f>OrdersRawTable9[[#This Row],[Gross_Sales]]-OrdersRawTable9[[#This Row],[Discount_Amount]]</f>
        <v>105.38</v>
      </c>
      <c r="Z172" s="45">
        <f>OrdersRawTable9[[#This Row],[Unit_Cost]]*OrdersRawTable9[[#This Row],[Quantity]]</f>
        <v>67.290000000000006</v>
      </c>
      <c r="AA172" s="45">
        <f>OrdersRawTable9[[#This Row],[Net_Sales]]-OrdersRawTable9[[#This Row],[Total_Cost]]</f>
        <v>38.089999999999989</v>
      </c>
      <c r="AB172" s="48">
        <f>IF(OrdersRawTable9[[#This Row],[Net_Sales]]=0,0,OrdersRawTable9[[#This Row],[Profit]]/OrdersRawTable9[[#This Row],[Net_Sales]])</f>
        <v>0.36145378629721003</v>
      </c>
      <c r="AC172" s="45" t="str">
        <f>IF(COUNTIF(ReturnsRawTable[Order_Line_ID],OrdersRawTable9[[#This Row],[Order_Line_ID]])&gt;0,"Yes","No")</f>
        <v>No</v>
      </c>
      <c r="AD172" s="45" t="str">
        <f>IFERROR(VLOOKUP(OrdersRawTable9[[#This Row],[Order_Line_ID]],ReturnsRawTable[[#All],[Order_Line_ID]:[Return_Reason_Raw]],3,FALSE),"")</f>
        <v/>
      </c>
      <c r="AE172" s="49" t="str">
        <f>IFERROR(VLOOKUP(OrdersRawTable9[[#This Row],[Order_Line_ID]],ReturnsRawTable[[#All],[Order_Line_ID]:[Return_Date]],2,FALSE),"")</f>
        <v/>
      </c>
      <c r="AF172" s="45" t="str">
        <f>IFERROR(VLOOKUP(OrdersRawTable9[[#This Row],[Order_Line_ID]],ReturnsRawTable[[Order_Line_ID]:[Refund_Status]],4,FALSE),"")</f>
        <v/>
      </c>
      <c r="AG172" s="45" t="str">
        <f>VLOOKUP(OrdersRawTable9[[#This Row],[Order_ID]],ShipmentsTable[],6,FALSE)</f>
        <v>Late</v>
      </c>
      <c r="AH172" s="49">
        <f>VLOOKUP(OrdersRawTable9[[#This Row],[Order_ID]],ShipmentsTable[],3,FALSE)</f>
        <v>46002</v>
      </c>
    </row>
    <row r="173" spans="1:34" ht="15" customHeight="1">
      <c r="A173" s="14" t="s">
        <v>459</v>
      </c>
      <c r="B173" s="10" t="s">
        <v>460</v>
      </c>
      <c r="C173" s="20">
        <v>45720.041666666664</v>
      </c>
      <c r="D173" s="10" t="s">
        <v>461</v>
      </c>
      <c r="E173" s="10" t="s">
        <v>462</v>
      </c>
      <c r="F173" s="10" t="str">
        <f>TRIM(LEFT(OrdersRawTable9[[#This Row],[Customer_Info]],FIND(",",OrdersRawTable9[[#This Row],[Customer_Info]])-1))</f>
        <v>Adam Wilson</v>
      </c>
      <c r="G17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173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173" s="10">
        <f>LEN(OrdersRawTable9[[#This Row],[Customer_Info]])-LEN(SUBSTITUTE(OrdersRawTable9[[#This Row],[Customer_Info]],",",""))</f>
        <v>2</v>
      </c>
      <c r="J173" s="10" t="s">
        <v>119</v>
      </c>
      <c r="K173" s="23">
        <v>3</v>
      </c>
      <c r="L173" s="26">
        <v>103.3</v>
      </c>
      <c r="M173" s="29">
        <v>0</v>
      </c>
      <c r="N173" s="10" t="s">
        <v>70</v>
      </c>
      <c r="O173" s="10" t="str">
        <f>IF(TRIM(OrdersRawTable9[[#This Row],[Sales_Channel_Raw]])="Market place","Marketplace",TRIM(OrdersRawTable9[[#This Row],[Sales_Channel_Raw]]))</f>
        <v>online</v>
      </c>
      <c r="P173" s="10" t="s">
        <v>98</v>
      </c>
      <c r="Q173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173" s="15" t="s">
        <v>47</v>
      </c>
      <c r="S173" t="str">
        <f>VLOOKUP(OrdersRawTable9[[#This Row],[Customer_ID_Raw]],CustomersTable11[],4,FALSE)</f>
        <v>Nova Scotia</v>
      </c>
      <c r="T173" t="str">
        <f>VLOOKUP(OrdersRawTable9[[#This Row],[Customer_ID_Raw]],CustomersTable11[],5,FALSE)</f>
        <v>Consumer</v>
      </c>
      <c r="U173" s="45">
        <f>VLOOKUP(OrdersRawTable9[[#This Row],[Product_ID]],ProductsTable10[],4,FALSE)</f>
        <v>70.180000000000007</v>
      </c>
      <c r="V173" t="str">
        <f>VLOOKUP(OrdersRawTable9[[#This Row],[Product_ID]],ProductsTable10[],3,FALSE)</f>
        <v>Home</v>
      </c>
      <c r="W173" s="45">
        <f>OrdersRawTable9[[#This Row],[Unit_Price]]*OrdersRawTable9[[#This Row],[Quantity]]</f>
        <v>309.89999999999998</v>
      </c>
      <c r="X173" s="47">
        <f>OrdersRawTable9[[#This Row],[Gross_Sales]]*OrdersRawTable9[[#This Row],[Discount_Pct]]</f>
        <v>0</v>
      </c>
      <c r="Y173" s="45">
        <f>OrdersRawTable9[[#This Row],[Gross_Sales]]-OrdersRawTable9[[#This Row],[Discount_Amount]]</f>
        <v>309.89999999999998</v>
      </c>
      <c r="Z173" s="45">
        <f>OrdersRawTable9[[#This Row],[Unit_Cost]]*OrdersRawTable9[[#This Row],[Quantity]]</f>
        <v>210.54000000000002</v>
      </c>
      <c r="AA173" s="45">
        <f>OrdersRawTable9[[#This Row],[Net_Sales]]-OrdersRawTable9[[#This Row],[Total_Cost]]</f>
        <v>99.359999999999957</v>
      </c>
      <c r="AB173" s="48">
        <f>IF(OrdersRawTable9[[#This Row],[Net_Sales]]=0,0,OrdersRawTable9[[#This Row],[Profit]]/OrdersRawTable9[[#This Row],[Net_Sales]])</f>
        <v>0.32061955469506281</v>
      </c>
      <c r="AC173" s="45" t="str">
        <f>IF(COUNTIF(ReturnsRawTable[Order_Line_ID],OrdersRawTable9[[#This Row],[Order_Line_ID]])&gt;0,"Yes","No")</f>
        <v>No</v>
      </c>
      <c r="AD173" s="45" t="str">
        <f>IFERROR(VLOOKUP(OrdersRawTable9[[#This Row],[Order_Line_ID]],ReturnsRawTable[[#All],[Order_Line_ID]:[Return_Reason_Raw]],3,FALSE),"")</f>
        <v/>
      </c>
      <c r="AE173" s="49" t="str">
        <f>IFERROR(VLOOKUP(OrdersRawTable9[[#This Row],[Order_Line_ID]],ReturnsRawTable[[#All],[Order_Line_ID]:[Return_Date]],2,FALSE),"")</f>
        <v/>
      </c>
      <c r="AF173" s="45" t="str">
        <f>IFERROR(VLOOKUP(OrdersRawTable9[[#This Row],[Order_Line_ID]],ReturnsRawTable[[Order_Line_ID]:[Refund_Status]],4,FALSE),"")</f>
        <v/>
      </c>
      <c r="AG173" s="45" t="str">
        <f>VLOOKUP(OrdersRawTable9[[#This Row],[Order_ID]],ShipmentsTable[],6,FALSE)</f>
        <v>Late</v>
      </c>
      <c r="AH173" s="49">
        <f>VLOOKUP(OrdersRawTable9[[#This Row],[Order_ID]],ShipmentsTable[],3,FALSE)</f>
        <v>45725.041666666664</v>
      </c>
    </row>
    <row r="174" spans="1:34" ht="15" customHeight="1">
      <c r="A174" s="14" t="s">
        <v>463</v>
      </c>
      <c r="B174" s="10" t="s">
        <v>460</v>
      </c>
      <c r="C174" s="20">
        <v>45720.041666666664</v>
      </c>
      <c r="D174" s="10" t="s">
        <v>461</v>
      </c>
      <c r="E174" s="10" t="s">
        <v>462</v>
      </c>
      <c r="F174" s="10" t="str">
        <f>TRIM(LEFT(OrdersRawTable9[[#This Row],[Customer_Info]],FIND(",",OrdersRawTable9[[#This Row],[Customer_Info]])-1))</f>
        <v>Adam Wilson</v>
      </c>
      <c r="G17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174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174" s="10">
        <f>LEN(OrdersRawTable9[[#This Row],[Customer_Info]])-LEN(SUBSTITUTE(OrdersRawTable9[[#This Row],[Customer_Info]],",",""))</f>
        <v>2</v>
      </c>
      <c r="J174" s="10" t="s">
        <v>178</v>
      </c>
      <c r="K174" s="23">
        <v>1</v>
      </c>
      <c r="L174" s="26">
        <v>61.81</v>
      </c>
      <c r="M174" s="29">
        <v>0</v>
      </c>
      <c r="N174" s="10" t="s">
        <v>40</v>
      </c>
      <c r="O174" s="10" t="str">
        <f>IF(TRIM(OrdersRawTable9[[#This Row],[Sales_Channel_Raw]])="Market place","Marketplace",TRIM(OrdersRawTable9[[#This Row],[Sales_Channel_Raw]]))</f>
        <v>Online</v>
      </c>
      <c r="P174" s="10" t="s">
        <v>98</v>
      </c>
      <c r="Q174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174" s="15" t="s">
        <v>67</v>
      </c>
      <c r="S174" t="str">
        <f>VLOOKUP(OrdersRawTable9[[#This Row],[Customer_ID_Raw]],CustomersTable11[],4,FALSE)</f>
        <v>Nova Scotia</v>
      </c>
      <c r="T174" t="str">
        <f>VLOOKUP(OrdersRawTable9[[#This Row],[Customer_ID_Raw]],CustomersTable11[],5,FALSE)</f>
        <v>Consumer</v>
      </c>
      <c r="U174" s="45">
        <f>VLOOKUP(OrdersRawTable9[[#This Row],[Product_ID]],ProductsTable10[],4,FALSE)</f>
        <v>33.19</v>
      </c>
      <c r="V174" t="str">
        <f>VLOOKUP(OrdersRawTable9[[#This Row],[Product_ID]],ProductsTable10[],3,FALSE)</f>
        <v>Office</v>
      </c>
      <c r="W174" s="45">
        <f>OrdersRawTable9[[#This Row],[Unit_Price]]*OrdersRawTable9[[#This Row],[Quantity]]</f>
        <v>61.81</v>
      </c>
      <c r="X174" s="47">
        <f>OrdersRawTable9[[#This Row],[Gross_Sales]]*OrdersRawTable9[[#This Row],[Discount_Pct]]</f>
        <v>0</v>
      </c>
      <c r="Y174" s="45">
        <f>OrdersRawTable9[[#This Row],[Gross_Sales]]-OrdersRawTable9[[#This Row],[Discount_Amount]]</f>
        <v>61.81</v>
      </c>
      <c r="Z174" s="45">
        <f>OrdersRawTable9[[#This Row],[Unit_Cost]]*OrdersRawTable9[[#This Row],[Quantity]]</f>
        <v>33.19</v>
      </c>
      <c r="AA174" s="45">
        <f>OrdersRawTable9[[#This Row],[Net_Sales]]-OrdersRawTable9[[#This Row],[Total_Cost]]</f>
        <v>28.620000000000005</v>
      </c>
      <c r="AB174" s="48">
        <f>IF(OrdersRawTable9[[#This Row],[Net_Sales]]=0,0,OrdersRawTable9[[#This Row],[Profit]]/OrdersRawTable9[[#This Row],[Net_Sales]])</f>
        <v>0.46303187186539402</v>
      </c>
      <c r="AC174" s="45" t="str">
        <f>IF(COUNTIF(ReturnsRawTable[Order_Line_ID],OrdersRawTable9[[#This Row],[Order_Line_ID]])&gt;0,"Yes","No")</f>
        <v>No</v>
      </c>
      <c r="AD174" s="45" t="str">
        <f>IFERROR(VLOOKUP(OrdersRawTable9[[#This Row],[Order_Line_ID]],ReturnsRawTable[[#All],[Order_Line_ID]:[Return_Reason_Raw]],3,FALSE),"")</f>
        <v/>
      </c>
      <c r="AE174" s="49" t="str">
        <f>IFERROR(VLOOKUP(OrdersRawTable9[[#This Row],[Order_Line_ID]],ReturnsRawTable[[#All],[Order_Line_ID]:[Return_Date]],2,FALSE),"")</f>
        <v/>
      </c>
      <c r="AF174" s="45" t="str">
        <f>IFERROR(VLOOKUP(OrdersRawTable9[[#This Row],[Order_Line_ID]],ReturnsRawTable[[Order_Line_ID]:[Refund_Status]],4,FALSE),"")</f>
        <v/>
      </c>
      <c r="AG174" s="45" t="str">
        <f>VLOOKUP(OrdersRawTable9[[#This Row],[Order_ID]],ShipmentsTable[],6,FALSE)</f>
        <v>Late</v>
      </c>
      <c r="AH174" s="49">
        <f>VLOOKUP(OrdersRawTable9[[#This Row],[Order_ID]],ShipmentsTable[],3,FALSE)</f>
        <v>45725.041666666664</v>
      </c>
    </row>
    <row r="175" spans="1:34" ht="15" customHeight="1">
      <c r="A175" s="14" t="s">
        <v>464</v>
      </c>
      <c r="B175" s="10" t="s">
        <v>465</v>
      </c>
      <c r="C175" s="20">
        <v>45889</v>
      </c>
      <c r="D175" s="10" t="s">
        <v>290</v>
      </c>
      <c r="E175" s="10" t="s">
        <v>291</v>
      </c>
      <c r="F175" s="10" t="str">
        <f>TRIM(LEFT(OrdersRawTable9[[#This Row],[Customer_Info]],FIND(",",OrdersRawTable9[[#This Row],[Customer_Info]])-1))</f>
        <v>Ethan Dubois</v>
      </c>
      <c r="G17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175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175" s="10">
        <f>LEN(OrdersRawTable9[[#This Row],[Customer_Info]])-LEN(SUBSTITUTE(OrdersRawTable9[[#This Row],[Customer_Info]],",",""))</f>
        <v>2</v>
      </c>
      <c r="J175" s="10" t="s">
        <v>121</v>
      </c>
      <c r="K175" s="23">
        <v>2</v>
      </c>
      <c r="L175" s="26">
        <v>287.16000000000003</v>
      </c>
      <c r="M175" s="29">
        <v>0.15</v>
      </c>
      <c r="N175" s="10" t="s">
        <v>50</v>
      </c>
      <c r="O175" s="10" t="str">
        <f>IF(TRIM(OrdersRawTable9[[#This Row],[Sales_Channel_Raw]])="Market place","Marketplace",TRIM(OrdersRawTable9[[#This Row],[Sales_Channel_Raw]]))</f>
        <v>Marketplace</v>
      </c>
      <c r="P175" s="10" t="s">
        <v>58</v>
      </c>
      <c r="Q175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175" s="15" t="s">
        <v>52</v>
      </c>
      <c r="S175" t="str">
        <f>VLOOKUP(OrdersRawTable9[[#This Row],[Customer_ID_Raw]],CustomersTable11[],4,FALSE)</f>
        <v>Manitoba</v>
      </c>
      <c r="T175" t="str">
        <f>VLOOKUP(OrdersRawTable9[[#This Row],[Customer_ID_Raw]],CustomersTable11[],5,FALSE)</f>
        <v>Corporate</v>
      </c>
      <c r="U175" s="45">
        <f>VLOOKUP(OrdersRawTable9[[#This Row],[Product_ID]],ProductsTable10[],4,FALSE)</f>
        <v>148.21</v>
      </c>
      <c r="V175" t="str">
        <f>VLOOKUP(OrdersRawTable9[[#This Row],[Product_ID]],ProductsTable10[],3,FALSE)</f>
        <v>Accessories</v>
      </c>
      <c r="W175" s="45">
        <f>OrdersRawTable9[[#This Row],[Unit_Price]]*OrdersRawTable9[[#This Row],[Quantity]]</f>
        <v>574.32000000000005</v>
      </c>
      <c r="X175" s="47">
        <f>OrdersRawTable9[[#This Row],[Gross_Sales]]*OrdersRawTable9[[#This Row],[Discount_Pct]]</f>
        <v>86.14800000000001</v>
      </c>
      <c r="Y175" s="45">
        <f>OrdersRawTable9[[#This Row],[Gross_Sales]]-OrdersRawTable9[[#This Row],[Discount_Amount]]</f>
        <v>488.17200000000003</v>
      </c>
      <c r="Z175" s="45">
        <f>OrdersRawTable9[[#This Row],[Unit_Cost]]*OrdersRawTable9[[#This Row],[Quantity]]</f>
        <v>296.42</v>
      </c>
      <c r="AA175" s="45">
        <f>OrdersRawTable9[[#This Row],[Net_Sales]]-OrdersRawTable9[[#This Row],[Total_Cost]]</f>
        <v>191.75200000000001</v>
      </c>
      <c r="AB175" s="48">
        <f>IF(OrdersRawTable9[[#This Row],[Net_Sales]]=0,0,OrdersRawTable9[[#This Row],[Profit]]/OrdersRawTable9[[#This Row],[Net_Sales]])</f>
        <v>0.39279598174413938</v>
      </c>
      <c r="AC175" s="45" t="str">
        <f>IF(COUNTIF(ReturnsRawTable[Order_Line_ID],OrdersRawTable9[[#This Row],[Order_Line_ID]])&gt;0,"Yes","No")</f>
        <v>No</v>
      </c>
      <c r="AD175" s="45" t="str">
        <f>IFERROR(VLOOKUP(OrdersRawTable9[[#This Row],[Order_Line_ID]],ReturnsRawTable[[#All],[Order_Line_ID]:[Return_Reason_Raw]],3,FALSE),"")</f>
        <v/>
      </c>
      <c r="AE175" s="49" t="str">
        <f>IFERROR(VLOOKUP(OrdersRawTable9[[#This Row],[Order_Line_ID]],ReturnsRawTable[[#All],[Order_Line_ID]:[Return_Date]],2,FALSE),"")</f>
        <v/>
      </c>
      <c r="AF175" s="45" t="str">
        <f>IFERROR(VLOOKUP(OrdersRawTable9[[#This Row],[Order_Line_ID]],ReturnsRawTable[[Order_Line_ID]:[Refund_Status]],4,FALSE),"")</f>
        <v/>
      </c>
      <c r="AG175" s="45" t="str">
        <f>VLOOKUP(OrdersRawTable9[[#This Row],[Order_ID]],ShipmentsTable[],6,FALSE)</f>
        <v>On time</v>
      </c>
      <c r="AH175" s="49">
        <f>VLOOKUP(OrdersRawTable9[[#This Row],[Order_ID]],ShipmentsTable[],3,FALSE)</f>
        <v>45891</v>
      </c>
    </row>
    <row r="176" spans="1:34" ht="15" customHeight="1">
      <c r="A176" s="14" t="s">
        <v>466</v>
      </c>
      <c r="B176" s="10" t="s">
        <v>465</v>
      </c>
      <c r="C176" s="20">
        <v>45889</v>
      </c>
      <c r="D176" s="10" t="s">
        <v>290</v>
      </c>
      <c r="E176" s="10" t="s">
        <v>291</v>
      </c>
      <c r="F176" s="10" t="str">
        <f>TRIM(LEFT(OrdersRawTable9[[#This Row],[Customer_Info]],FIND(",",OrdersRawTable9[[#This Row],[Customer_Info]])-1))</f>
        <v>Ethan Dubois</v>
      </c>
      <c r="G17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176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176" s="10">
        <f>LEN(OrdersRawTable9[[#This Row],[Customer_Info]])-LEN(SUBSTITUTE(OrdersRawTable9[[#This Row],[Customer_Info]],",",""))</f>
        <v>2</v>
      </c>
      <c r="J176" s="10" t="s">
        <v>309</v>
      </c>
      <c r="K176" s="23">
        <v>4</v>
      </c>
      <c r="L176" s="26">
        <v>56.99</v>
      </c>
      <c r="M176" s="29">
        <v>0.15</v>
      </c>
      <c r="N176" s="10" t="s">
        <v>70</v>
      </c>
      <c r="O176" s="10" t="str">
        <f>IF(TRIM(OrdersRawTable9[[#This Row],[Sales_Channel_Raw]])="Market place","Marketplace",TRIM(OrdersRawTable9[[#This Row],[Sales_Channel_Raw]]))</f>
        <v>online</v>
      </c>
      <c r="P176" s="10" t="s">
        <v>58</v>
      </c>
      <c r="Q176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176" s="15" t="s">
        <v>47</v>
      </c>
      <c r="S176" t="str">
        <f>VLOOKUP(OrdersRawTable9[[#This Row],[Customer_ID_Raw]],CustomersTable11[],4,FALSE)</f>
        <v>Manitoba</v>
      </c>
      <c r="T176" t="str">
        <f>VLOOKUP(OrdersRawTable9[[#This Row],[Customer_ID_Raw]],CustomersTable11[],5,FALSE)</f>
        <v>Corporate</v>
      </c>
      <c r="U176" s="45">
        <f>VLOOKUP(OrdersRawTable9[[#This Row],[Product_ID]],ProductsTable10[],4,FALSE)</f>
        <v>33.65</v>
      </c>
      <c r="V176" t="str">
        <f>VLOOKUP(OrdersRawTable9[[#This Row],[Product_ID]],ProductsTable10[],3,FALSE)</f>
        <v>Home</v>
      </c>
      <c r="W176" s="45">
        <f>OrdersRawTable9[[#This Row],[Unit_Price]]*OrdersRawTable9[[#This Row],[Quantity]]</f>
        <v>227.96</v>
      </c>
      <c r="X176" s="47">
        <f>OrdersRawTable9[[#This Row],[Gross_Sales]]*OrdersRawTable9[[#This Row],[Discount_Pct]]</f>
        <v>34.194000000000003</v>
      </c>
      <c r="Y176" s="45">
        <f>OrdersRawTable9[[#This Row],[Gross_Sales]]-OrdersRawTable9[[#This Row],[Discount_Amount]]</f>
        <v>193.76600000000002</v>
      </c>
      <c r="Z176" s="45">
        <f>OrdersRawTable9[[#This Row],[Unit_Cost]]*OrdersRawTable9[[#This Row],[Quantity]]</f>
        <v>134.6</v>
      </c>
      <c r="AA176" s="45">
        <f>OrdersRawTable9[[#This Row],[Net_Sales]]-OrdersRawTable9[[#This Row],[Total_Cost]]</f>
        <v>59.166000000000025</v>
      </c>
      <c r="AB176" s="48">
        <f>IF(OrdersRawTable9[[#This Row],[Net_Sales]]=0,0,OrdersRawTable9[[#This Row],[Profit]]/OrdersRawTable9[[#This Row],[Net_Sales]])</f>
        <v>0.30534768741678114</v>
      </c>
      <c r="AC176" s="45" t="str">
        <f>IF(COUNTIF(ReturnsRawTable[Order_Line_ID],OrdersRawTable9[[#This Row],[Order_Line_ID]])&gt;0,"Yes","No")</f>
        <v>No</v>
      </c>
      <c r="AD176" s="45" t="str">
        <f>IFERROR(VLOOKUP(OrdersRawTable9[[#This Row],[Order_Line_ID]],ReturnsRawTable[[#All],[Order_Line_ID]:[Return_Reason_Raw]],3,FALSE),"")</f>
        <v/>
      </c>
      <c r="AE176" s="49" t="str">
        <f>IFERROR(VLOOKUP(OrdersRawTable9[[#This Row],[Order_Line_ID]],ReturnsRawTable[[#All],[Order_Line_ID]:[Return_Date]],2,FALSE),"")</f>
        <v/>
      </c>
      <c r="AF176" s="45" t="str">
        <f>IFERROR(VLOOKUP(OrdersRawTable9[[#This Row],[Order_Line_ID]],ReturnsRawTable[[Order_Line_ID]:[Refund_Status]],4,FALSE),"")</f>
        <v/>
      </c>
      <c r="AG176" s="45" t="str">
        <f>VLOOKUP(OrdersRawTable9[[#This Row],[Order_ID]],ShipmentsTable[],6,FALSE)</f>
        <v>On time</v>
      </c>
      <c r="AH176" s="49">
        <f>VLOOKUP(OrdersRawTable9[[#This Row],[Order_ID]],ShipmentsTable[],3,FALSE)</f>
        <v>45891</v>
      </c>
    </row>
    <row r="177" spans="1:34" ht="15" customHeight="1">
      <c r="A177" s="14" t="s">
        <v>467</v>
      </c>
      <c r="B177" s="10" t="s">
        <v>465</v>
      </c>
      <c r="C177" s="20">
        <v>45889</v>
      </c>
      <c r="D177" s="10" t="s">
        <v>290</v>
      </c>
      <c r="E177" s="10" t="s">
        <v>291</v>
      </c>
      <c r="F177" s="10" t="str">
        <f>TRIM(LEFT(OrdersRawTable9[[#This Row],[Customer_Info]],FIND(",",OrdersRawTable9[[#This Row],[Customer_Info]])-1))</f>
        <v>Ethan Dubois</v>
      </c>
      <c r="G17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177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177" s="10">
        <f>LEN(OrdersRawTable9[[#This Row],[Customer_Info]])-LEN(SUBSTITUTE(OrdersRawTable9[[#This Row],[Customer_Info]],",",""))</f>
        <v>2</v>
      </c>
      <c r="J177" s="10" t="s">
        <v>468</v>
      </c>
      <c r="K177" s="23">
        <v>2</v>
      </c>
      <c r="L177" s="26">
        <v>160</v>
      </c>
      <c r="M177" s="29">
        <v>0</v>
      </c>
      <c r="N177" s="10" t="s">
        <v>50</v>
      </c>
      <c r="O177" s="10" t="str">
        <f>IF(TRIM(OrdersRawTable9[[#This Row],[Sales_Channel_Raw]])="Market place","Marketplace",TRIM(OrdersRawTable9[[#This Row],[Sales_Channel_Raw]]))</f>
        <v>Marketplace</v>
      </c>
      <c r="P177" s="10"/>
      <c r="Q177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177" s="15" t="s">
        <v>101</v>
      </c>
      <c r="S177" t="str">
        <f>VLOOKUP(OrdersRawTable9[[#This Row],[Customer_ID_Raw]],CustomersTable11[],4,FALSE)</f>
        <v>Manitoba</v>
      </c>
      <c r="T177" t="str">
        <f>VLOOKUP(OrdersRawTable9[[#This Row],[Customer_ID_Raw]],CustomersTable11[],5,FALSE)</f>
        <v>Corporate</v>
      </c>
      <c r="U177" s="45">
        <f>VLOOKUP(OrdersRawTable9[[#This Row],[Product_ID]],ProductsTable10[],4,FALSE)</f>
        <v>101.58</v>
      </c>
      <c r="V177" t="str">
        <f>VLOOKUP(OrdersRawTable9[[#This Row],[Product_ID]],ProductsTable10[],3,FALSE)</f>
        <v>Fitness</v>
      </c>
      <c r="W177" s="45">
        <f>OrdersRawTable9[[#This Row],[Unit_Price]]*OrdersRawTable9[[#This Row],[Quantity]]</f>
        <v>320</v>
      </c>
      <c r="X177" s="47">
        <f>OrdersRawTable9[[#This Row],[Gross_Sales]]*OrdersRawTable9[[#This Row],[Discount_Pct]]</f>
        <v>0</v>
      </c>
      <c r="Y177" s="45">
        <f>OrdersRawTable9[[#This Row],[Gross_Sales]]-OrdersRawTable9[[#This Row],[Discount_Amount]]</f>
        <v>320</v>
      </c>
      <c r="Z177" s="45">
        <f>OrdersRawTable9[[#This Row],[Unit_Cost]]*OrdersRawTable9[[#This Row],[Quantity]]</f>
        <v>203.16</v>
      </c>
      <c r="AA177" s="45">
        <f>OrdersRawTable9[[#This Row],[Net_Sales]]-OrdersRawTable9[[#This Row],[Total_Cost]]</f>
        <v>116.84</v>
      </c>
      <c r="AB177" s="48">
        <f>IF(OrdersRawTable9[[#This Row],[Net_Sales]]=0,0,OrdersRawTable9[[#This Row],[Profit]]/OrdersRawTable9[[#This Row],[Net_Sales]])</f>
        <v>0.36512500000000003</v>
      </c>
      <c r="AC177" s="45" t="str">
        <f>IF(COUNTIF(ReturnsRawTable[Order_Line_ID],OrdersRawTable9[[#This Row],[Order_Line_ID]])&gt;0,"Yes","No")</f>
        <v>No</v>
      </c>
      <c r="AD177" s="45" t="str">
        <f>IFERROR(VLOOKUP(OrdersRawTable9[[#This Row],[Order_Line_ID]],ReturnsRawTable[[#All],[Order_Line_ID]:[Return_Reason_Raw]],3,FALSE),"")</f>
        <v/>
      </c>
      <c r="AE177" s="49" t="str">
        <f>IFERROR(VLOOKUP(OrdersRawTable9[[#This Row],[Order_Line_ID]],ReturnsRawTable[[#All],[Order_Line_ID]:[Return_Date]],2,FALSE),"")</f>
        <v/>
      </c>
      <c r="AF177" s="45" t="str">
        <f>IFERROR(VLOOKUP(OrdersRawTable9[[#This Row],[Order_Line_ID]],ReturnsRawTable[[Order_Line_ID]:[Refund_Status]],4,FALSE),"")</f>
        <v/>
      </c>
      <c r="AG177" s="45" t="str">
        <f>VLOOKUP(OrdersRawTable9[[#This Row],[Order_ID]],ShipmentsTable[],6,FALSE)</f>
        <v>On time</v>
      </c>
      <c r="AH177" s="49">
        <f>VLOOKUP(OrdersRawTable9[[#This Row],[Order_ID]],ShipmentsTable[],3,FALSE)</f>
        <v>45891</v>
      </c>
    </row>
    <row r="178" spans="1:34" ht="15" customHeight="1">
      <c r="A178" s="14" t="s">
        <v>469</v>
      </c>
      <c r="B178" s="10" t="s">
        <v>465</v>
      </c>
      <c r="C178" s="20">
        <v>45889</v>
      </c>
      <c r="D178" s="10" t="s">
        <v>290</v>
      </c>
      <c r="E178" s="10" t="s">
        <v>291</v>
      </c>
      <c r="F178" s="10" t="str">
        <f>TRIM(LEFT(OrdersRawTable9[[#This Row],[Customer_Info]],FIND(",",OrdersRawTable9[[#This Row],[Customer_Info]])-1))</f>
        <v>Ethan Dubois</v>
      </c>
      <c r="G17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178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178" s="10">
        <f>LEN(OrdersRawTable9[[#This Row],[Customer_Info]])-LEN(SUBSTITUTE(OrdersRawTable9[[#This Row],[Customer_Info]],",",""))</f>
        <v>2</v>
      </c>
      <c r="J178" s="10" t="s">
        <v>39</v>
      </c>
      <c r="K178" s="23">
        <v>3</v>
      </c>
      <c r="L178" s="26">
        <v>236.51</v>
      </c>
      <c r="M178" s="29">
        <v>0.05</v>
      </c>
      <c r="N178" s="10" t="s">
        <v>66</v>
      </c>
      <c r="O178" s="10" t="str">
        <f>IF(TRIM(OrdersRawTable9[[#This Row],[Sales_Channel_Raw]])="Market place","Marketplace",TRIM(OrdersRawTable9[[#This Row],[Sales_Channel_Raw]]))</f>
        <v>Marketplace</v>
      </c>
      <c r="P178" s="10" t="s">
        <v>41</v>
      </c>
      <c r="Q178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178" s="15" t="s">
        <v>67</v>
      </c>
      <c r="S178" t="str">
        <f>VLOOKUP(OrdersRawTable9[[#This Row],[Customer_ID_Raw]],CustomersTable11[],4,FALSE)</f>
        <v>Manitoba</v>
      </c>
      <c r="T178" t="str">
        <f>VLOOKUP(OrdersRawTable9[[#This Row],[Customer_ID_Raw]],CustomersTable11[],5,FALSE)</f>
        <v>Corporate</v>
      </c>
      <c r="U178" s="45">
        <f>VLOOKUP(OrdersRawTable9[[#This Row],[Product_ID]],ProductsTable10[],4,FALSE)</f>
        <v>142.84</v>
      </c>
      <c r="V178" t="str">
        <f>VLOOKUP(OrdersRawTable9[[#This Row],[Product_ID]],ProductsTable10[],3,FALSE)</f>
        <v>Fitness</v>
      </c>
      <c r="W178" s="45">
        <f>OrdersRawTable9[[#This Row],[Unit_Price]]*OrdersRawTable9[[#This Row],[Quantity]]</f>
        <v>709.53</v>
      </c>
      <c r="X178" s="47">
        <f>OrdersRawTable9[[#This Row],[Gross_Sales]]*OrdersRawTable9[[#This Row],[Discount_Pct]]</f>
        <v>35.476500000000001</v>
      </c>
      <c r="Y178" s="45">
        <f>OrdersRawTable9[[#This Row],[Gross_Sales]]-OrdersRawTable9[[#This Row],[Discount_Amount]]</f>
        <v>674.05349999999999</v>
      </c>
      <c r="Z178" s="45">
        <f>OrdersRawTable9[[#This Row],[Unit_Cost]]*OrdersRawTable9[[#This Row],[Quantity]]</f>
        <v>428.52</v>
      </c>
      <c r="AA178" s="45">
        <f>OrdersRawTable9[[#This Row],[Net_Sales]]-OrdersRawTable9[[#This Row],[Total_Cost]]</f>
        <v>245.5335</v>
      </c>
      <c r="AB178" s="48">
        <f>IF(OrdersRawTable9[[#This Row],[Net_Sales]]=0,0,OrdersRawTable9[[#This Row],[Profit]]/OrdersRawTable9[[#This Row],[Net_Sales]])</f>
        <v>0.36426411256673247</v>
      </c>
      <c r="AC178" s="45" t="str">
        <f>IF(COUNTIF(ReturnsRawTable[Order_Line_ID],OrdersRawTable9[[#This Row],[Order_Line_ID]])&gt;0,"Yes","No")</f>
        <v>No</v>
      </c>
      <c r="AD178" s="45" t="str">
        <f>IFERROR(VLOOKUP(OrdersRawTable9[[#This Row],[Order_Line_ID]],ReturnsRawTable[[#All],[Order_Line_ID]:[Return_Reason_Raw]],3,FALSE),"")</f>
        <v/>
      </c>
      <c r="AE178" s="49" t="str">
        <f>IFERROR(VLOOKUP(OrdersRawTable9[[#This Row],[Order_Line_ID]],ReturnsRawTable[[#All],[Order_Line_ID]:[Return_Date]],2,FALSE),"")</f>
        <v/>
      </c>
      <c r="AF178" s="45" t="str">
        <f>IFERROR(VLOOKUP(OrdersRawTable9[[#This Row],[Order_Line_ID]],ReturnsRawTable[[Order_Line_ID]:[Refund_Status]],4,FALSE),"")</f>
        <v/>
      </c>
      <c r="AG178" s="45" t="str">
        <f>VLOOKUP(OrdersRawTable9[[#This Row],[Order_ID]],ShipmentsTable[],6,FALSE)</f>
        <v>On time</v>
      </c>
      <c r="AH178" s="49">
        <f>VLOOKUP(OrdersRawTable9[[#This Row],[Order_ID]],ShipmentsTable[],3,FALSE)</f>
        <v>45891</v>
      </c>
    </row>
    <row r="179" spans="1:34" ht="15" customHeight="1">
      <c r="A179" s="14" t="s">
        <v>470</v>
      </c>
      <c r="B179" s="10" t="s">
        <v>471</v>
      </c>
      <c r="C179" s="20">
        <v>45749.041666666664</v>
      </c>
      <c r="D179" s="10" t="s">
        <v>125</v>
      </c>
      <c r="E179" s="10" t="s">
        <v>126</v>
      </c>
      <c r="F179" s="10" t="str">
        <f>TRIM(LEFT(OrdersRawTable9[[#This Row],[Customer_Info]],FIND(",",OrdersRawTable9[[#This Row],[Customer_Info]])-1))</f>
        <v>Daniel Brown</v>
      </c>
      <c r="G17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179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179" s="10">
        <f>LEN(OrdersRawTable9[[#This Row],[Customer_Info]])-LEN(SUBSTITUTE(OrdersRawTable9[[#This Row],[Customer_Info]],",",""))</f>
        <v>2</v>
      </c>
      <c r="J179" s="10" t="s">
        <v>57</v>
      </c>
      <c r="K179" s="23">
        <v>2</v>
      </c>
      <c r="L179" s="26">
        <v>208.81</v>
      </c>
      <c r="M179" s="29">
        <v>0.05</v>
      </c>
      <c r="N179" s="10" t="s">
        <v>64</v>
      </c>
      <c r="O179" s="10" t="str">
        <f>IF(TRIM(OrdersRawTable9[[#This Row],[Sales_Channel_Raw]])="Market place","Marketplace",TRIM(OrdersRawTable9[[#This Row],[Sales_Channel_Raw]]))</f>
        <v>Retail Store</v>
      </c>
      <c r="P179" s="10" t="s">
        <v>58</v>
      </c>
      <c r="Q179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179" s="15" t="s">
        <v>101</v>
      </c>
      <c r="S179" t="str">
        <f>VLOOKUP(OrdersRawTable9[[#This Row],[Customer_ID_Raw]],CustomersTable11[],4,FALSE)</f>
        <v>Ontario</v>
      </c>
      <c r="T179" t="str">
        <f>VLOOKUP(OrdersRawTable9[[#This Row],[Customer_ID_Raw]],CustomersTable11[],5,FALSE)</f>
        <v>Small Business</v>
      </c>
      <c r="U179" s="45">
        <f>VLOOKUP(OrdersRawTable9[[#This Row],[Product_ID]],ProductsTable10[],4,FALSE)</f>
        <v>139.04</v>
      </c>
      <c r="V179" t="str">
        <f>VLOOKUP(OrdersRawTable9[[#This Row],[Product_ID]],ProductsTable10[],3,FALSE)</f>
        <v>Fitness</v>
      </c>
      <c r="W179" s="45">
        <f>OrdersRawTable9[[#This Row],[Unit_Price]]*OrdersRawTable9[[#This Row],[Quantity]]</f>
        <v>417.62</v>
      </c>
      <c r="X179" s="47">
        <f>OrdersRawTable9[[#This Row],[Gross_Sales]]*OrdersRawTable9[[#This Row],[Discount_Pct]]</f>
        <v>20.881</v>
      </c>
      <c r="Y179" s="45">
        <f>OrdersRawTable9[[#This Row],[Gross_Sales]]-OrdersRawTable9[[#This Row],[Discount_Amount]]</f>
        <v>396.73900000000003</v>
      </c>
      <c r="Z179" s="45">
        <f>OrdersRawTable9[[#This Row],[Unit_Cost]]*OrdersRawTable9[[#This Row],[Quantity]]</f>
        <v>278.08</v>
      </c>
      <c r="AA179" s="45">
        <f>OrdersRawTable9[[#This Row],[Net_Sales]]-OrdersRawTable9[[#This Row],[Total_Cost]]</f>
        <v>118.65900000000005</v>
      </c>
      <c r="AB179" s="48">
        <f>IF(OrdersRawTable9[[#This Row],[Net_Sales]]=0,0,OrdersRawTable9[[#This Row],[Profit]]/OrdersRawTable9[[#This Row],[Net_Sales]])</f>
        <v>0.29908579695971416</v>
      </c>
      <c r="AC179" s="45" t="str">
        <f>IF(COUNTIF(ReturnsRawTable[Order_Line_ID],OrdersRawTable9[[#This Row],[Order_Line_ID]])&gt;0,"Yes","No")</f>
        <v>No</v>
      </c>
      <c r="AD179" s="45" t="str">
        <f>IFERROR(VLOOKUP(OrdersRawTable9[[#This Row],[Order_Line_ID]],ReturnsRawTable[[#All],[Order_Line_ID]:[Return_Reason_Raw]],3,FALSE),"")</f>
        <v/>
      </c>
      <c r="AE179" s="49" t="str">
        <f>IFERROR(VLOOKUP(OrdersRawTable9[[#This Row],[Order_Line_ID]],ReturnsRawTable[[#All],[Order_Line_ID]:[Return_Date]],2,FALSE),"")</f>
        <v/>
      </c>
      <c r="AF179" s="45" t="str">
        <f>IFERROR(VLOOKUP(OrdersRawTable9[[#This Row],[Order_Line_ID]],ReturnsRawTable[[Order_Line_ID]:[Refund_Status]],4,FALSE),"")</f>
        <v/>
      </c>
      <c r="AG179" s="45" t="str">
        <f>VLOOKUP(OrdersRawTable9[[#This Row],[Order_ID]],ShipmentsTable[],6,FALSE)</f>
        <v>On time</v>
      </c>
      <c r="AH179" s="49">
        <f>VLOOKUP(OrdersRawTable9[[#This Row],[Order_ID]],ShipmentsTable[],3,FALSE)</f>
        <v>45753.041666666664</v>
      </c>
    </row>
    <row r="180" spans="1:34" ht="15" customHeight="1">
      <c r="A180" s="14" t="s">
        <v>472</v>
      </c>
      <c r="B180" s="10" t="s">
        <v>471</v>
      </c>
      <c r="C180" s="20">
        <v>45749.041666666664</v>
      </c>
      <c r="D180" s="10" t="s">
        <v>125</v>
      </c>
      <c r="E180" s="10" t="s">
        <v>126</v>
      </c>
      <c r="F180" s="10" t="str">
        <f>TRIM(LEFT(OrdersRawTable9[[#This Row],[Customer_Info]],FIND(",",OrdersRawTable9[[#This Row],[Customer_Info]])-1))</f>
        <v>Daniel Brown</v>
      </c>
      <c r="G18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180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180" s="10">
        <f>LEN(OrdersRawTable9[[#This Row],[Customer_Info]])-LEN(SUBSTITUTE(OrdersRawTable9[[#This Row],[Customer_Info]],",",""))</f>
        <v>2</v>
      </c>
      <c r="J180" s="10" t="s">
        <v>49</v>
      </c>
      <c r="K180" s="23">
        <v>1</v>
      </c>
      <c r="L180" s="26">
        <v>300.16000000000003</v>
      </c>
      <c r="M180" s="29">
        <v>0.05</v>
      </c>
      <c r="N180" s="10" t="s">
        <v>64</v>
      </c>
      <c r="O180" s="10" t="str">
        <f>IF(TRIM(OrdersRawTable9[[#This Row],[Sales_Channel_Raw]])="Market place","Marketplace",TRIM(OrdersRawTable9[[#This Row],[Sales_Channel_Raw]]))</f>
        <v>Retail Store</v>
      </c>
      <c r="P180" s="10" t="s">
        <v>51</v>
      </c>
      <c r="Q180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180" s="15" t="s">
        <v>101</v>
      </c>
      <c r="S180" t="str">
        <f>VLOOKUP(OrdersRawTable9[[#This Row],[Customer_ID_Raw]],CustomersTable11[],4,FALSE)</f>
        <v>Ontario</v>
      </c>
      <c r="T180" t="str">
        <f>VLOOKUP(OrdersRawTable9[[#This Row],[Customer_ID_Raw]],CustomersTable11[],5,FALSE)</f>
        <v>Small Business</v>
      </c>
      <c r="U180" s="45">
        <f>VLOOKUP(OrdersRawTable9[[#This Row],[Product_ID]],ProductsTable10[],4,FALSE)</f>
        <v>158.46</v>
      </c>
      <c r="V180" t="str">
        <f>VLOOKUP(OrdersRawTable9[[#This Row],[Product_ID]],ProductsTable10[],3,FALSE)</f>
        <v>Office</v>
      </c>
      <c r="W180" s="45">
        <f>OrdersRawTable9[[#This Row],[Unit_Price]]*OrdersRawTable9[[#This Row],[Quantity]]</f>
        <v>300.16000000000003</v>
      </c>
      <c r="X180" s="47">
        <f>OrdersRawTable9[[#This Row],[Gross_Sales]]*OrdersRawTable9[[#This Row],[Discount_Pct]]</f>
        <v>15.008000000000003</v>
      </c>
      <c r="Y180" s="45">
        <f>OrdersRawTable9[[#This Row],[Gross_Sales]]-OrdersRawTable9[[#This Row],[Discount_Amount]]</f>
        <v>285.15200000000004</v>
      </c>
      <c r="Z180" s="45">
        <f>OrdersRawTable9[[#This Row],[Unit_Cost]]*OrdersRawTable9[[#This Row],[Quantity]]</f>
        <v>158.46</v>
      </c>
      <c r="AA180" s="45">
        <f>OrdersRawTable9[[#This Row],[Net_Sales]]-OrdersRawTable9[[#This Row],[Total_Cost]]</f>
        <v>126.69200000000004</v>
      </c>
      <c r="AB180" s="48">
        <f>IF(OrdersRawTable9[[#This Row],[Net_Sales]]=0,0,OrdersRawTable9[[#This Row],[Profit]]/OrdersRawTable9[[#This Row],[Net_Sales]])</f>
        <v>0.4442963752665246</v>
      </c>
      <c r="AC180" s="45" t="str">
        <f>IF(COUNTIF(ReturnsRawTable[Order_Line_ID],OrdersRawTable9[[#This Row],[Order_Line_ID]])&gt;0,"Yes","No")</f>
        <v>No</v>
      </c>
      <c r="AD180" s="45" t="str">
        <f>IFERROR(VLOOKUP(OrdersRawTable9[[#This Row],[Order_Line_ID]],ReturnsRawTable[[#All],[Order_Line_ID]:[Return_Reason_Raw]],3,FALSE),"")</f>
        <v/>
      </c>
      <c r="AE180" s="49" t="str">
        <f>IFERROR(VLOOKUP(OrdersRawTable9[[#This Row],[Order_Line_ID]],ReturnsRawTable[[#All],[Order_Line_ID]:[Return_Date]],2,FALSE),"")</f>
        <v/>
      </c>
      <c r="AF180" s="45" t="str">
        <f>IFERROR(VLOOKUP(OrdersRawTable9[[#This Row],[Order_Line_ID]],ReturnsRawTable[[Order_Line_ID]:[Refund_Status]],4,FALSE),"")</f>
        <v/>
      </c>
      <c r="AG180" s="45" t="str">
        <f>VLOOKUP(OrdersRawTable9[[#This Row],[Order_ID]],ShipmentsTable[],6,FALSE)</f>
        <v>On time</v>
      </c>
      <c r="AH180" s="49">
        <f>VLOOKUP(OrdersRawTable9[[#This Row],[Order_ID]],ShipmentsTable[],3,FALSE)</f>
        <v>45753.041666666664</v>
      </c>
    </row>
    <row r="181" spans="1:34" ht="15" customHeight="1">
      <c r="A181" s="14" t="s">
        <v>473</v>
      </c>
      <c r="B181" s="10" t="s">
        <v>474</v>
      </c>
      <c r="C181" s="20">
        <v>45953</v>
      </c>
      <c r="D181" s="10" t="s">
        <v>475</v>
      </c>
      <c r="E181" s="10" t="s">
        <v>476</v>
      </c>
      <c r="F181" s="10" t="str">
        <f>TRIM(LEFT(OrdersRawTable9[[#This Row],[Customer_Info]],FIND(",",OrdersRawTable9[[#This Row],[Customer_Info]])-1))</f>
        <v>Daniel Martin</v>
      </c>
      <c r="G18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181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181" s="10">
        <f>LEN(OrdersRawTable9[[#This Row],[Customer_Info]])-LEN(SUBSTITUTE(OrdersRawTable9[[#This Row],[Customer_Info]],",",""))</f>
        <v>2</v>
      </c>
      <c r="J181" s="10" t="s">
        <v>238</v>
      </c>
      <c r="K181" s="23">
        <v>1</v>
      </c>
      <c r="L181" s="26">
        <v>82.77</v>
      </c>
      <c r="M181" s="29">
        <v>0.05</v>
      </c>
      <c r="N181" s="10" t="s">
        <v>50</v>
      </c>
      <c r="O181" s="10" t="str">
        <f>IF(TRIM(OrdersRawTable9[[#This Row],[Sales_Channel_Raw]])="Market place","Marketplace",TRIM(OrdersRawTable9[[#This Row],[Sales_Channel_Raw]]))</f>
        <v>Marketplace</v>
      </c>
      <c r="P181" s="10" t="s">
        <v>51</v>
      </c>
      <c r="Q181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181" s="15" t="s">
        <v>47</v>
      </c>
      <c r="S181" t="str">
        <f>VLOOKUP(OrdersRawTable9[[#This Row],[Customer_ID_Raw]],CustomersTable11[],4,FALSE)</f>
        <v>Quebec</v>
      </c>
      <c r="T181" t="str">
        <f>VLOOKUP(OrdersRawTable9[[#This Row],[Customer_ID_Raw]],CustomersTable11[],5,FALSE)</f>
        <v>Consumer</v>
      </c>
      <c r="U181" s="45">
        <f>VLOOKUP(OrdersRawTable9[[#This Row],[Product_ID]],ProductsTable10[],4,FALSE)</f>
        <v>46.51</v>
      </c>
      <c r="V181" t="str">
        <f>VLOOKUP(OrdersRawTable9[[#This Row],[Product_ID]],ProductsTable10[],3,FALSE)</f>
        <v>Office</v>
      </c>
      <c r="W181" s="45">
        <f>OrdersRawTable9[[#This Row],[Unit_Price]]*OrdersRawTable9[[#This Row],[Quantity]]</f>
        <v>82.77</v>
      </c>
      <c r="X181" s="47">
        <f>OrdersRawTable9[[#This Row],[Gross_Sales]]*OrdersRawTable9[[#This Row],[Discount_Pct]]</f>
        <v>4.1384999999999996</v>
      </c>
      <c r="Y181" s="45">
        <f>OrdersRawTable9[[#This Row],[Gross_Sales]]-OrdersRawTable9[[#This Row],[Discount_Amount]]</f>
        <v>78.631500000000003</v>
      </c>
      <c r="Z181" s="45">
        <f>OrdersRawTable9[[#This Row],[Unit_Cost]]*OrdersRawTable9[[#This Row],[Quantity]]</f>
        <v>46.51</v>
      </c>
      <c r="AA181" s="45">
        <f>OrdersRawTable9[[#This Row],[Net_Sales]]-OrdersRawTable9[[#This Row],[Total_Cost]]</f>
        <v>32.121500000000005</v>
      </c>
      <c r="AB181" s="48">
        <f>IF(OrdersRawTable9[[#This Row],[Net_Sales]]=0,0,OrdersRawTable9[[#This Row],[Profit]]/OrdersRawTable9[[#This Row],[Net_Sales]])</f>
        <v>0.40850676891576537</v>
      </c>
      <c r="AC181" s="45" t="str">
        <f>IF(COUNTIF(ReturnsRawTable[Order_Line_ID],OrdersRawTable9[[#This Row],[Order_Line_ID]])&gt;0,"Yes","No")</f>
        <v>No</v>
      </c>
      <c r="AD181" s="45" t="str">
        <f>IFERROR(VLOOKUP(OrdersRawTable9[[#This Row],[Order_Line_ID]],ReturnsRawTable[[#All],[Order_Line_ID]:[Return_Reason_Raw]],3,FALSE),"")</f>
        <v/>
      </c>
      <c r="AE181" s="49" t="str">
        <f>IFERROR(VLOOKUP(OrdersRawTable9[[#This Row],[Order_Line_ID]],ReturnsRawTable[[#All],[Order_Line_ID]:[Return_Date]],2,FALSE),"")</f>
        <v/>
      </c>
      <c r="AF181" s="45" t="str">
        <f>IFERROR(VLOOKUP(OrdersRawTable9[[#This Row],[Order_Line_ID]],ReturnsRawTable[[Order_Line_ID]:[Refund_Status]],4,FALSE),"")</f>
        <v/>
      </c>
      <c r="AG181" s="45" t="str">
        <f>VLOOKUP(OrdersRawTable9[[#This Row],[Order_ID]],ShipmentsTable[],6,FALSE)</f>
        <v>On time</v>
      </c>
      <c r="AH181" s="49">
        <f>VLOOKUP(OrdersRawTable9[[#This Row],[Order_ID]],ShipmentsTable[],3,FALSE)</f>
        <v>45955</v>
      </c>
    </row>
    <row r="182" spans="1:34" ht="15" customHeight="1">
      <c r="A182" s="14" t="s">
        <v>477</v>
      </c>
      <c r="B182" s="10" t="s">
        <v>474</v>
      </c>
      <c r="C182" s="20">
        <v>45953</v>
      </c>
      <c r="D182" s="10" t="s">
        <v>475</v>
      </c>
      <c r="E182" s="10" t="s">
        <v>476</v>
      </c>
      <c r="F182" s="10" t="str">
        <f>TRIM(LEFT(OrdersRawTable9[[#This Row],[Customer_Info]],FIND(",",OrdersRawTable9[[#This Row],[Customer_Info]])-1))</f>
        <v>Daniel Martin</v>
      </c>
      <c r="G18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182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182" s="10">
        <f>LEN(OrdersRawTable9[[#This Row],[Customer_Info]])-LEN(SUBSTITUTE(OrdersRawTable9[[#This Row],[Customer_Info]],",",""))</f>
        <v>2</v>
      </c>
      <c r="J182" s="10" t="s">
        <v>276</v>
      </c>
      <c r="K182" s="23">
        <v>1</v>
      </c>
      <c r="L182" s="26">
        <v>182.94</v>
      </c>
      <c r="M182" s="29">
        <v>0</v>
      </c>
      <c r="N182" s="10" t="s">
        <v>45</v>
      </c>
      <c r="O182" s="10" t="str">
        <f>IF(TRIM(OrdersRawTable9[[#This Row],[Sales_Channel_Raw]])="Market place","Marketplace",TRIM(OrdersRawTable9[[#This Row],[Sales_Channel_Raw]]))</f>
        <v>Retail Store</v>
      </c>
      <c r="P182" s="10"/>
      <c r="Q182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182" s="15" t="s">
        <v>42</v>
      </c>
      <c r="S182" t="str">
        <f>VLOOKUP(OrdersRawTable9[[#This Row],[Customer_ID_Raw]],CustomersTable11[],4,FALSE)</f>
        <v>Quebec</v>
      </c>
      <c r="T182" t="str">
        <f>VLOOKUP(OrdersRawTable9[[#This Row],[Customer_ID_Raw]],CustomersTable11[],5,FALSE)</f>
        <v>Consumer</v>
      </c>
      <c r="U182" s="45">
        <f>VLOOKUP(OrdersRawTable9[[#This Row],[Product_ID]],ProductsTable10[],4,FALSE)</f>
        <v>118.95</v>
      </c>
      <c r="V182" t="str">
        <f>VLOOKUP(OrdersRawTable9[[#This Row],[Product_ID]],ProductsTable10[],3,FALSE)</f>
        <v>Fitness</v>
      </c>
      <c r="W182" s="45">
        <f>OrdersRawTable9[[#This Row],[Unit_Price]]*OrdersRawTable9[[#This Row],[Quantity]]</f>
        <v>182.94</v>
      </c>
      <c r="X182" s="47">
        <f>OrdersRawTable9[[#This Row],[Gross_Sales]]*OrdersRawTable9[[#This Row],[Discount_Pct]]</f>
        <v>0</v>
      </c>
      <c r="Y182" s="45">
        <f>OrdersRawTable9[[#This Row],[Gross_Sales]]-OrdersRawTable9[[#This Row],[Discount_Amount]]</f>
        <v>182.94</v>
      </c>
      <c r="Z182" s="45">
        <f>OrdersRawTable9[[#This Row],[Unit_Cost]]*OrdersRawTable9[[#This Row],[Quantity]]</f>
        <v>118.95</v>
      </c>
      <c r="AA182" s="45">
        <f>OrdersRawTable9[[#This Row],[Net_Sales]]-OrdersRawTable9[[#This Row],[Total_Cost]]</f>
        <v>63.989999999999995</v>
      </c>
      <c r="AB182" s="48">
        <f>IF(OrdersRawTable9[[#This Row],[Net_Sales]]=0,0,OrdersRawTable9[[#This Row],[Profit]]/OrdersRawTable9[[#This Row],[Net_Sales]])</f>
        <v>0.34978681534929484</v>
      </c>
      <c r="AC182" s="45" t="str">
        <f>IF(COUNTIF(ReturnsRawTable[Order_Line_ID],OrdersRawTable9[[#This Row],[Order_Line_ID]])&gt;0,"Yes","No")</f>
        <v>No</v>
      </c>
      <c r="AD182" s="45" t="str">
        <f>IFERROR(VLOOKUP(OrdersRawTable9[[#This Row],[Order_Line_ID]],ReturnsRawTable[[#All],[Order_Line_ID]:[Return_Reason_Raw]],3,FALSE),"")</f>
        <v/>
      </c>
      <c r="AE182" s="49" t="str">
        <f>IFERROR(VLOOKUP(OrdersRawTable9[[#This Row],[Order_Line_ID]],ReturnsRawTable[[#All],[Order_Line_ID]:[Return_Date]],2,FALSE),"")</f>
        <v/>
      </c>
      <c r="AF182" s="45" t="str">
        <f>IFERROR(VLOOKUP(OrdersRawTable9[[#This Row],[Order_Line_ID]],ReturnsRawTable[[Order_Line_ID]:[Refund_Status]],4,FALSE),"")</f>
        <v/>
      </c>
      <c r="AG182" s="45" t="str">
        <f>VLOOKUP(OrdersRawTable9[[#This Row],[Order_ID]],ShipmentsTable[],6,FALSE)</f>
        <v>On time</v>
      </c>
      <c r="AH182" s="49">
        <f>VLOOKUP(OrdersRawTable9[[#This Row],[Order_ID]],ShipmentsTable[],3,FALSE)</f>
        <v>45955</v>
      </c>
    </row>
    <row r="183" spans="1:34" ht="15" customHeight="1">
      <c r="A183" s="14" t="s">
        <v>478</v>
      </c>
      <c r="B183" s="10" t="s">
        <v>474</v>
      </c>
      <c r="C183" s="20">
        <v>45953</v>
      </c>
      <c r="D183" s="10" t="s">
        <v>475</v>
      </c>
      <c r="E183" s="10" t="s">
        <v>476</v>
      </c>
      <c r="F183" s="10" t="str">
        <f>TRIM(LEFT(OrdersRawTable9[[#This Row],[Customer_Info]],FIND(",",OrdersRawTable9[[#This Row],[Customer_Info]])-1))</f>
        <v>Daniel Martin</v>
      </c>
      <c r="G18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183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183" s="10">
        <f>LEN(OrdersRawTable9[[#This Row],[Customer_Info]])-LEN(SUBSTITUTE(OrdersRawTable9[[#This Row],[Customer_Info]],",",""))</f>
        <v>2</v>
      </c>
      <c r="J183" s="10" t="s">
        <v>456</v>
      </c>
      <c r="K183" s="23">
        <v>1</v>
      </c>
      <c r="L183" s="26">
        <v>275.76</v>
      </c>
      <c r="M183" s="29">
        <v>0.05</v>
      </c>
      <c r="N183" s="10" t="s">
        <v>64</v>
      </c>
      <c r="O183" s="10" t="str">
        <f>IF(TRIM(OrdersRawTable9[[#This Row],[Sales_Channel_Raw]])="Market place","Marketplace",TRIM(OrdersRawTable9[[#This Row],[Sales_Channel_Raw]]))</f>
        <v>Retail Store</v>
      </c>
      <c r="P183" s="10" t="s">
        <v>51</v>
      </c>
      <c r="Q183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183" s="15" t="s">
        <v>42</v>
      </c>
      <c r="S183" t="str">
        <f>VLOOKUP(OrdersRawTable9[[#This Row],[Customer_ID_Raw]],CustomersTable11[],4,FALSE)</f>
        <v>Quebec</v>
      </c>
      <c r="T183" t="str">
        <f>VLOOKUP(OrdersRawTable9[[#This Row],[Customer_ID_Raw]],CustomersTable11[],5,FALSE)</f>
        <v>Consumer</v>
      </c>
      <c r="U183" s="45">
        <f>VLOOKUP(OrdersRawTable9[[#This Row],[Product_ID]],ProductsTable10[],4,FALSE)</f>
        <v>156.97</v>
      </c>
      <c r="V183" t="str">
        <f>VLOOKUP(OrdersRawTable9[[#This Row],[Product_ID]],ProductsTable10[],3,FALSE)</f>
        <v>Home</v>
      </c>
      <c r="W183" s="45">
        <f>OrdersRawTable9[[#This Row],[Unit_Price]]*OrdersRawTable9[[#This Row],[Quantity]]</f>
        <v>275.76</v>
      </c>
      <c r="X183" s="47">
        <f>OrdersRawTable9[[#This Row],[Gross_Sales]]*OrdersRawTable9[[#This Row],[Discount_Pct]]</f>
        <v>13.788</v>
      </c>
      <c r="Y183" s="45">
        <f>OrdersRawTable9[[#This Row],[Gross_Sales]]-OrdersRawTable9[[#This Row],[Discount_Amount]]</f>
        <v>261.97199999999998</v>
      </c>
      <c r="Z183" s="45">
        <f>OrdersRawTable9[[#This Row],[Unit_Cost]]*OrdersRawTable9[[#This Row],[Quantity]]</f>
        <v>156.97</v>
      </c>
      <c r="AA183" s="45">
        <f>OrdersRawTable9[[#This Row],[Net_Sales]]-OrdersRawTable9[[#This Row],[Total_Cost]]</f>
        <v>105.00199999999998</v>
      </c>
      <c r="AB183" s="48">
        <f>IF(OrdersRawTable9[[#This Row],[Net_Sales]]=0,0,OrdersRawTable9[[#This Row],[Profit]]/OrdersRawTable9[[#This Row],[Net_Sales]])</f>
        <v>0.40081382743193927</v>
      </c>
      <c r="AC183" s="45" t="str">
        <f>IF(COUNTIF(ReturnsRawTable[Order_Line_ID],OrdersRawTable9[[#This Row],[Order_Line_ID]])&gt;0,"Yes","No")</f>
        <v>No</v>
      </c>
      <c r="AD183" s="45" t="str">
        <f>IFERROR(VLOOKUP(OrdersRawTable9[[#This Row],[Order_Line_ID]],ReturnsRawTable[[#All],[Order_Line_ID]:[Return_Reason_Raw]],3,FALSE),"")</f>
        <v/>
      </c>
      <c r="AE183" s="49" t="str">
        <f>IFERROR(VLOOKUP(OrdersRawTable9[[#This Row],[Order_Line_ID]],ReturnsRawTable[[#All],[Order_Line_ID]:[Return_Date]],2,FALSE),"")</f>
        <v/>
      </c>
      <c r="AF183" s="45" t="str">
        <f>IFERROR(VLOOKUP(OrdersRawTable9[[#This Row],[Order_Line_ID]],ReturnsRawTable[[Order_Line_ID]:[Refund_Status]],4,FALSE),"")</f>
        <v/>
      </c>
      <c r="AG183" s="45" t="str">
        <f>VLOOKUP(OrdersRawTable9[[#This Row],[Order_ID]],ShipmentsTable[],6,FALSE)</f>
        <v>On time</v>
      </c>
      <c r="AH183" s="49">
        <f>VLOOKUP(OrdersRawTable9[[#This Row],[Order_ID]],ShipmentsTable[],3,FALSE)</f>
        <v>45955</v>
      </c>
    </row>
    <row r="184" spans="1:34" ht="15" customHeight="1">
      <c r="A184" s="14" t="s">
        <v>479</v>
      </c>
      <c r="B184" s="10" t="s">
        <v>480</v>
      </c>
      <c r="C184" s="20">
        <v>45742.041666666664</v>
      </c>
      <c r="D184" s="10" t="s">
        <v>335</v>
      </c>
      <c r="E184" s="10" t="s">
        <v>336</v>
      </c>
      <c r="F184" s="10" t="str">
        <f>TRIM(LEFT(OrdersRawTable9[[#This Row],[Customer_Info]],FIND(",",OrdersRawTable9[[#This Row],[Customer_Info]])-1))</f>
        <v>Liam Singh</v>
      </c>
      <c r="G18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184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184" s="10">
        <f>LEN(OrdersRawTable9[[#This Row],[Customer_Info]])-LEN(SUBSTITUTE(OrdersRawTable9[[#This Row],[Customer_Info]],",",""))</f>
        <v>2</v>
      </c>
      <c r="J184" s="10" t="s">
        <v>39</v>
      </c>
      <c r="K184" s="23">
        <v>3</v>
      </c>
      <c r="L184" s="26">
        <v>236.51</v>
      </c>
      <c r="M184" s="29">
        <v>0.1</v>
      </c>
      <c r="N184" s="10" t="s">
        <v>40</v>
      </c>
      <c r="O184" s="10" t="str">
        <f>IF(TRIM(OrdersRawTable9[[#This Row],[Sales_Channel_Raw]])="Market place","Marketplace",TRIM(OrdersRawTable9[[#This Row],[Sales_Channel_Raw]]))</f>
        <v>Online</v>
      </c>
      <c r="P184" s="10" t="s">
        <v>58</v>
      </c>
      <c r="Q184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184" s="15" t="s">
        <v>67</v>
      </c>
      <c r="S184" t="str">
        <f>VLOOKUP(OrdersRawTable9[[#This Row],[Customer_ID_Raw]],CustomersTable11[],4,FALSE)</f>
        <v>British Columbia</v>
      </c>
      <c r="T184" t="str">
        <f>VLOOKUP(OrdersRawTable9[[#This Row],[Customer_ID_Raw]],CustomersTable11[],5,FALSE)</f>
        <v>Corporate</v>
      </c>
      <c r="U184" s="45">
        <f>VLOOKUP(OrdersRawTable9[[#This Row],[Product_ID]],ProductsTable10[],4,FALSE)</f>
        <v>142.84</v>
      </c>
      <c r="V184" t="str">
        <f>VLOOKUP(OrdersRawTable9[[#This Row],[Product_ID]],ProductsTable10[],3,FALSE)</f>
        <v>Fitness</v>
      </c>
      <c r="W184" s="45">
        <f>OrdersRawTable9[[#This Row],[Unit_Price]]*OrdersRawTable9[[#This Row],[Quantity]]</f>
        <v>709.53</v>
      </c>
      <c r="X184" s="47">
        <f>OrdersRawTable9[[#This Row],[Gross_Sales]]*OrdersRawTable9[[#This Row],[Discount_Pct]]</f>
        <v>70.953000000000003</v>
      </c>
      <c r="Y184" s="45">
        <f>OrdersRawTable9[[#This Row],[Gross_Sales]]-OrdersRawTable9[[#This Row],[Discount_Amount]]</f>
        <v>638.577</v>
      </c>
      <c r="Z184" s="45">
        <f>OrdersRawTable9[[#This Row],[Unit_Cost]]*OrdersRawTable9[[#This Row],[Quantity]]</f>
        <v>428.52</v>
      </c>
      <c r="AA184" s="45">
        <f>OrdersRawTable9[[#This Row],[Net_Sales]]-OrdersRawTable9[[#This Row],[Total_Cost]]</f>
        <v>210.05700000000002</v>
      </c>
      <c r="AB184" s="48">
        <f>IF(OrdersRawTable9[[#This Row],[Net_Sales]]=0,0,OrdersRawTable9[[#This Row],[Profit]]/OrdersRawTable9[[#This Row],[Net_Sales]])</f>
        <v>0.32894545215377319</v>
      </c>
      <c r="AC184" s="45" t="str">
        <f>IF(COUNTIF(ReturnsRawTable[Order_Line_ID],OrdersRawTable9[[#This Row],[Order_Line_ID]])&gt;0,"Yes","No")</f>
        <v>No</v>
      </c>
      <c r="AD184" s="45" t="str">
        <f>IFERROR(VLOOKUP(OrdersRawTable9[[#This Row],[Order_Line_ID]],ReturnsRawTable[[#All],[Order_Line_ID]:[Return_Reason_Raw]],3,FALSE),"")</f>
        <v/>
      </c>
      <c r="AE184" s="49" t="str">
        <f>IFERROR(VLOOKUP(OrdersRawTable9[[#This Row],[Order_Line_ID]],ReturnsRawTable[[#All],[Order_Line_ID]:[Return_Date]],2,FALSE),"")</f>
        <v/>
      </c>
      <c r="AF184" s="45" t="str">
        <f>IFERROR(VLOOKUP(OrdersRawTable9[[#This Row],[Order_Line_ID]],ReturnsRawTable[[Order_Line_ID]:[Refund_Status]],4,FALSE),"")</f>
        <v/>
      </c>
      <c r="AG184" s="45" t="str">
        <f>VLOOKUP(OrdersRawTable9[[#This Row],[Order_ID]],ShipmentsTable[],6,FALSE)</f>
        <v>On time</v>
      </c>
      <c r="AH184" s="49">
        <f>VLOOKUP(OrdersRawTable9[[#This Row],[Order_ID]],ShipmentsTable[],3,FALSE)</f>
        <v>45745.041666666664</v>
      </c>
    </row>
    <row r="185" spans="1:34" ht="15" customHeight="1">
      <c r="A185" s="14" t="s">
        <v>481</v>
      </c>
      <c r="B185" s="10" t="s">
        <v>480</v>
      </c>
      <c r="C185" s="20">
        <v>45742.041666666664</v>
      </c>
      <c r="D185" s="10" t="s">
        <v>335</v>
      </c>
      <c r="E185" s="10" t="s">
        <v>336</v>
      </c>
      <c r="F185" s="10" t="str">
        <f>TRIM(LEFT(OrdersRawTable9[[#This Row],[Customer_Info]],FIND(",",OrdersRawTable9[[#This Row],[Customer_Info]])-1))</f>
        <v>Liam Singh</v>
      </c>
      <c r="G18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185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185" s="10">
        <f>LEN(OrdersRawTable9[[#This Row],[Customer_Info]])-LEN(SUBSTITUTE(OrdersRawTable9[[#This Row],[Customer_Info]],",",""))</f>
        <v>2</v>
      </c>
      <c r="J185" s="10" t="s">
        <v>303</v>
      </c>
      <c r="K185" s="23">
        <v>4</v>
      </c>
      <c r="L185" s="26">
        <v>72.81</v>
      </c>
      <c r="M185" s="29">
        <v>0.1</v>
      </c>
      <c r="N185" s="10" t="s">
        <v>50</v>
      </c>
      <c r="O185" s="10" t="str">
        <f>IF(TRIM(OrdersRawTable9[[#This Row],[Sales_Channel_Raw]])="Market place","Marketplace",TRIM(OrdersRawTable9[[#This Row],[Sales_Channel_Raw]]))</f>
        <v>Marketplace</v>
      </c>
      <c r="P185" s="10" t="s">
        <v>51</v>
      </c>
      <c r="Q185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185" s="15" t="s">
        <v>47</v>
      </c>
      <c r="S185" t="str">
        <f>VLOOKUP(OrdersRawTable9[[#This Row],[Customer_ID_Raw]],CustomersTable11[],4,FALSE)</f>
        <v>British Columbia</v>
      </c>
      <c r="T185" t="str">
        <f>VLOOKUP(OrdersRawTable9[[#This Row],[Customer_ID_Raw]],CustomersTable11[],5,FALSE)</f>
        <v>Corporate</v>
      </c>
      <c r="U185" s="45">
        <f>VLOOKUP(OrdersRawTable9[[#This Row],[Product_ID]],ProductsTable10[],4,FALSE)</f>
        <v>37.99</v>
      </c>
      <c r="V185" t="str">
        <f>VLOOKUP(OrdersRawTable9[[#This Row],[Product_ID]],ProductsTable10[],3,FALSE)</f>
        <v>Accessories</v>
      </c>
      <c r="W185" s="45">
        <f>OrdersRawTable9[[#This Row],[Unit_Price]]*OrdersRawTable9[[#This Row],[Quantity]]</f>
        <v>291.24</v>
      </c>
      <c r="X185" s="47">
        <f>OrdersRawTable9[[#This Row],[Gross_Sales]]*OrdersRawTable9[[#This Row],[Discount_Pct]]</f>
        <v>29.124000000000002</v>
      </c>
      <c r="Y185" s="45">
        <f>OrdersRawTable9[[#This Row],[Gross_Sales]]-OrdersRawTable9[[#This Row],[Discount_Amount]]</f>
        <v>262.11599999999999</v>
      </c>
      <c r="Z185" s="45">
        <f>OrdersRawTable9[[#This Row],[Unit_Cost]]*OrdersRawTable9[[#This Row],[Quantity]]</f>
        <v>151.96</v>
      </c>
      <c r="AA185" s="45">
        <f>OrdersRawTable9[[#This Row],[Net_Sales]]-OrdersRawTable9[[#This Row],[Total_Cost]]</f>
        <v>110.15599999999998</v>
      </c>
      <c r="AB185" s="48">
        <f>IF(OrdersRawTable9[[#This Row],[Net_Sales]]=0,0,OrdersRawTable9[[#This Row],[Profit]]/OrdersRawTable9[[#This Row],[Net_Sales]])</f>
        <v>0.42025668024843954</v>
      </c>
      <c r="AC185" s="45" t="str">
        <f>IF(COUNTIF(ReturnsRawTable[Order_Line_ID],OrdersRawTable9[[#This Row],[Order_Line_ID]])&gt;0,"Yes","No")</f>
        <v>No</v>
      </c>
      <c r="AD185" s="45" t="str">
        <f>IFERROR(VLOOKUP(OrdersRawTable9[[#This Row],[Order_Line_ID]],ReturnsRawTable[[#All],[Order_Line_ID]:[Return_Reason_Raw]],3,FALSE),"")</f>
        <v/>
      </c>
      <c r="AE185" s="49" t="str">
        <f>IFERROR(VLOOKUP(OrdersRawTable9[[#This Row],[Order_Line_ID]],ReturnsRawTable[[#All],[Order_Line_ID]:[Return_Date]],2,FALSE),"")</f>
        <v/>
      </c>
      <c r="AF185" s="45" t="str">
        <f>IFERROR(VLOOKUP(OrdersRawTable9[[#This Row],[Order_Line_ID]],ReturnsRawTable[[Order_Line_ID]:[Refund_Status]],4,FALSE),"")</f>
        <v/>
      </c>
      <c r="AG185" s="45" t="str">
        <f>VLOOKUP(OrdersRawTable9[[#This Row],[Order_ID]],ShipmentsTable[],6,FALSE)</f>
        <v>On time</v>
      </c>
      <c r="AH185" s="49">
        <f>VLOOKUP(OrdersRawTable9[[#This Row],[Order_ID]],ShipmentsTable[],3,FALSE)</f>
        <v>45745.041666666664</v>
      </c>
    </row>
    <row r="186" spans="1:34" ht="15" customHeight="1">
      <c r="A186" s="14" t="s">
        <v>482</v>
      </c>
      <c r="B186" s="10" t="s">
        <v>480</v>
      </c>
      <c r="C186" s="20">
        <v>45742.041666666664</v>
      </c>
      <c r="D186" s="10" t="s">
        <v>335</v>
      </c>
      <c r="E186" s="10" t="s">
        <v>336</v>
      </c>
      <c r="F186" s="10" t="str">
        <f>TRIM(LEFT(OrdersRawTable9[[#This Row],[Customer_Info]],FIND(",",OrdersRawTable9[[#This Row],[Customer_Info]])-1))</f>
        <v>Liam Singh</v>
      </c>
      <c r="G18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186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186" s="10">
        <f>LEN(OrdersRawTable9[[#This Row],[Customer_Info]])-LEN(SUBSTITUTE(OrdersRawTable9[[#This Row],[Customer_Info]],",",""))</f>
        <v>2</v>
      </c>
      <c r="J186" s="10" t="s">
        <v>178</v>
      </c>
      <c r="K186" s="23">
        <v>2</v>
      </c>
      <c r="L186" s="26">
        <v>61.81</v>
      </c>
      <c r="M186" s="29">
        <v>0.1</v>
      </c>
      <c r="N186" s="10" t="s">
        <v>50</v>
      </c>
      <c r="O186" s="10" t="str">
        <f>IF(TRIM(OrdersRawTable9[[#This Row],[Sales_Channel_Raw]])="Market place","Marketplace",TRIM(OrdersRawTable9[[#This Row],[Sales_Channel_Raw]]))</f>
        <v>Marketplace</v>
      </c>
      <c r="P186" s="10"/>
      <c r="Q186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186" s="15" t="s">
        <v>42</v>
      </c>
      <c r="S186" t="str">
        <f>VLOOKUP(OrdersRawTable9[[#This Row],[Customer_ID_Raw]],CustomersTable11[],4,FALSE)</f>
        <v>British Columbia</v>
      </c>
      <c r="T186" t="str">
        <f>VLOOKUP(OrdersRawTable9[[#This Row],[Customer_ID_Raw]],CustomersTable11[],5,FALSE)</f>
        <v>Corporate</v>
      </c>
      <c r="U186" s="45">
        <f>VLOOKUP(OrdersRawTable9[[#This Row],[Product_ID]],ProductsTable10[],4,FALSE)</f>
        <v>33.19</v>
      </c>
      <c r="V186" t="str">
        <f>VLOOKUP(OrdersRawTable9[[#This Row],[Product_ID]],ProductsTable10[],3,FALSE)</f>
        <v>Office</v>
      </c>
      <c r="W186" s="45">
        <f>OrdersRawTable9[[#This Row],[Unit_Price]]*OrdersRawTable9[[#This Row],[Quantity]]</f>
        <v>123.62</v>
      </c>
      <c r="X186" s="47">
        <f>OrdersRawTable9[[#This Row],[Gross_Sales]]*OrdersRawTable9[[#This Row],[Discount_Pct]]</f>
        <v>12.362000000000002</v>
      </c>
      <c r="Y186" s="45">
        <f>OrdersRawTable9[[#This Row],[Gross_Sales]]-OrdersRawTable9[[#This Row],[Discount_Amount]]</f>
        <v>111.25800000000001</v>
      </c>
      <c r="Z186" s="45">
        <f>OrdersRawTable9[[#This Row],[Unit_Cost]]*OrdersRawTable9[[#This Row],[Quantity]]</f>
        <v>66.38</v>
      </c>
      <c r="AA186" s="45">
        <f>OrdersRawTable9[[#This Row],[Net_Sales]]-OrdersRawTable9[[#This Row],[Total_Cost]]</f>
        <v>44.878000000000014</v>
      </c>
      <c r="AB186" s="48">
        <f>IF(OrdersRawTable9[[#This Row],[Net_Sales]]=0,0,OrdersRawTable9[[#This Row],[Profit]]/OrdersRawTable9[[#This Row],[Net_Sales]])</f>
        <v>0.40336874651710447</v>
      </c>
      <c r="AC186" s="45" t="str">
        <f>IF(COUNTIF(ReturnsRawTable[Order_Line_ID],OrdersRawTable9[[#This Row],[Order_Line_ID]])&gt;0,"Yes","No")</f>
        <v>No</v>
      </c>
      <c r="AD186" s="45" t="str">
        <f>IFERROR(VLOOKUP(OrdersRawTable9[[#This Row],[Order_Line_ID]],ReturnsRawTable[[#All],[Order_Line_ID]:[Return_Reason_Raw]],3,FALSE),"")</f>
        <v/>
      </c>
      <c r="AE186" s="49" t="str">
        <f>IFERROR(VLOOKUP(OrdersRawTable9[[#This Row],[Order_Line_ID]],ReturnsRawTable[[#All],[Order_Line_ID]:[Return_Date]],2,FALSE),"")</f>
        <v/>
      </c>
      <c r="AF186" s="45" t="str">
        <f>IFERROR(VLOOKUP(OrdersRawTable9[[#This Row],[Order_Line_ID]],ReturnsRawTable[[Order_Line_ID]:[Refund_Status]],4,FALSE),"")</f>
        <v/>
      </c>
      <c r="AG186" s="45" t="str">
        <f>VLOOKUP(OrdersRawTable9[[#This Row],[Order_ID]],ShipmentsTable[],6,FALSE)</f>
        <v>On time</v>
      </c>
      <c r="AH186" s="49">
        <f>VLOOKUP(OrdersRawTable9[[#This Row],[Order_ID]],ShipmentsTable[],3,FALSE)</f>
        <v>45745.041666666664</v>
      </c>
    </row>
    <row r="187" spans="1:34" ht="15" customHeight="1">
      <c r="A187" s="14" t="s">
        <v>483</v>
      </c>
      <c r="B187" s="10" t="s">
        <v>484</v>
      </c>
      <c r="C187" s="20">
        <v>45711</v>
      </c>
      <c r="D187" s="10" t="s">
        <v>485</v>
      </c>
      <c r="E187" s="10" t="s">
        <v>234</v>
      </c>
      <c r="F187" s="10" t="str">
        <f>TRIM(LEFT(OrdersRawTable9[[#This Row],[Customer_Info]],FIND(",",OrdersRawTable9[[#This Row],[Customer_Info]])-1))</f>
        <v>Omar Gagnon</v>
      </c>
      <c r="G18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187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187" s="10">
        <f>LEN(OrdersRawTable9[[#This Row],[Customer_Info]])-LEN(SUBSTITUTE(OrdersRawTable9[[#This Row],[Customer_Info]],",",""))</f>
        <v>2</v>
      </c>
      <c r="J187" s="10" t="s">
        <v>241</v>
      </c>
      <c r="K187" s="23">
        <v>1</v>
      </c>
      <c r="L187" s="26">
        <v>300.56</v>
      </c>
      <c r="M187" s="29">
        <v>0</v>
      </c>
      <c r="N187" s="10" t="s">
        <v>70</v>
      </c>
      <c r="O187" s="10" t="str">
        <f>IF(TRIM(OrdersRawTable9[[#This Row],[Sales_Channel_Raw]])="Market place","Marketplace",TRIM(OrdersRawTable9[[#This Row],[Sales_Channel_Raw]]))</f>
        <v>online</v>
      </c>
      <c r="P187" s="10" t="s">
        <v>51</v>
      </c>
      <c r="Q187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187" s="15" t="s">
        <v>67</v>
      </c>
      <c r="S187" t="str">
        <f>VLOOKUP(OrdersRawTable9[[#This Row],[Customer_ID_Raw]],CustomersTable11[],4,FALSE)</f>
        <v>Manitoba</v>
      </c>
      <c r="T187" t="str">
        <f>VLOOKUP(OrdersRawTable9[[#This Row],[Customer_ID_Raw]],CustomersTable11[],5,FALSE)</f>
        <v>Small Business</v>
      </c>
      <c r="U187" s="45">
        <f>VLOOKUP(OrdersRawTable9[[#This Row],[Product_ID]],ProductsTable10[],4,FALSE)</f>
        <v>158.86000000000001</v>
      </c>
      <c r="V187" t="str">
        <f>VLOOKUP(OrdersRawTable9[[#This Row],[Product_ID]],ProductsTable10[],3,FALSE)</f>
        <v>Accessories</v>
      </c>
      <c r="W187" s="45">
        <f>OrdersRawTable9[[#This Row],[Unit_Price]]*OrdersRawTable9[[#This Row],[Quantity]]</f>
        <v>300.56</v>
      </c>
      <c r="X187" s="47">
        <f>OrdersRawTable9[[#This Row],[Gross_Sales]]*OrdersRawTable9[[#This Row],[Discount_Pct]]</f>
        <v>0</v>
      </c>
      <c r="Y187" s="45">
        <f>OrdersRawTable9[[#This Row],[Gross_Sales]]-OrdersRawTable9[[#This Row],[Discount_Amount]]</f>
        <v>300.56</v>
      </c>
      <c r="Z187" s="45">
        <f>OrdersRawTable9[[#This Row],[Unit_Cost]]*OrdersRawTable9[[#This Row],[Quantity]]</f>
        <v>158.86000000000001</v>
      </c>
      <c r="AA187" s="45">
        <f>OrdersRawTable9[[#This Row],[Net_Sales]]-OrdersRawTable9[[#This Row],[Total_Cost]]</f>
        <v>141.69999999999999</v>
      </c>
      <c r="AB187" s="48">
        <f>IF(OrdersRawTable9[[#This Row],[Net_Sales]]=0,0,OrdersRawTable9[[#This Row],[Profit]]/OrdersRawTable9[[#This Row],[Net_Sales]])</f>
        <v>0.47145328719723179</v>
      </c>
      <c r="AC187" s="45" t="str">
        <f>IF(COUNTIF(ReturnsRawTable[Order_Line_ID],OrdersRawTable9[[#This Row],[Order_Line_ID]])&gt;0,"Yes","No")</f>
        <v>Yes</v>
      </c>
      <c r="AD187" s="45" t="str">
        <f>IFERROR(VLOOKUP(OrdersRawTable9[[#This Row],[Order_Line_ID]],ReturnsRawTable[[#All],[Order_Line_ID]:[Return_Reason_Raw]],3,FALSE),"")</f>
        <v>Late Delivery</v>
      </c>
      <c r="AE187" s="49">
        <f>IFERROR(VLOOKUP(OrdersRawTable9[[#This Row],[Order_Line_ID]],ReturnsRawTable[[#All],[Order_Line_ID]:[Return_Date]],2,FALSE),"")</f>
        <v>45734.041666666664</v>
      </c>
      <c r="AF187" s="45" t="str">
        <f>IFERROR(VLOOKUP(OrdersRawTable9[[#This Row],[Order_Line_ID]],ReturnsRawTable[[Order_Line_ID]:[Refund_Status]],4,FALSE),"")</f>
        <v>Refunded</v>
      </c>
      <c r="AG187" s="45" t="str">
        <f>VLOOKUP(OrdersRawTable9[[#This Row],[Order_ID]],ShipmentsTable[],6,FALSE)</f>
        <v>Late</v>
      </c>
      <c r="AH187" s="49">
        <f>VLOOKUP(OrdersRawTable9[[#This Row],[Order_ID]],ShipmentsTable[],3,FALSE)</f>
        <v>45720.041666666664</v>
      </c>
    </row>
    <row r="188" spans="1:34" ht="15" customHeight="1">
      <c r="A188" s="14" t="s">
        <v>486</v>
      </c>
      <c r="B188" s="10" t="s">
        <v>484</v>
      </c>
      <c r="C188" s="20">
        <v>45711</v>
      </c>
      <c r="D188" s="10" t="s">
        <v>485</v>
      </c>
      <c r="E188" s="10" t="s">
        <v>234</v>
      </c>
      <c r="F188" s="10" t="str">
        <f>TRIM(LEFT(OrdersRawTable9[[#This Row],[Customer_Info]],FIND(",",OrdersRawTable9[[#This Row],[Customer_Info]])-1))</f>
        <v>Omar Gagnon</v>
      </c>
      <c r="G18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188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188" s="10">
        <f>LEN(OrdersRawTable9[[#This Row],[Customer_Info]])-LEN(SUBSTITUTE(OrdersRawTable9[[#This Row],[Customer_Info]],",",""))</f>
        <v>2</v>
      </c>
      <c r="J188" s="10" t="s">
        <v>63</v>
      </c>
      <c r="K188" s="23">
        <v>4</v>
      </c>
      <c r="L188" s="26">
        <v>105.38</v>
      </c>
      <c r="M188" s="29">
        <v>0.15</v>
      </c>
      <c r="N188" s="10" t="s">
        <v>66</v>
      </c>
      <c r="O188" s="10" t="str">
        <f>IF(TRIM(OrdersRawTable9[[#This Row],[Sales_Channel_Raw]])="Market place","Marketplace",TRIM(OrdersRawTable9[[#This Row],[Sales_Channel_Raw]]))</f>
        <v>Marketplace</v>
      </c>
      <c r="P188" s="10" t="s">
        <v>41</v>
      </c>
      <c r="Q188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188" s="15" t="s">
        <v>47</v>
      </c>
      <c r="S188" t="str">
        <f>VLOOKUP(OrdersRawTable9[[#This Row],[Customer_ID_Raw]],CustomersTable11[],4,FALSE)</f>
        <v>Manitoba</v>
      </c>
      <c r="T188" t="str">
        <f>VLOOKUP(OrdersRawTable9[[#This Row],[Customer_ID_Raw]],CustomersTable11[],5,FALSE)</f>
        <v>Small Business</v>
      </c>
      <c r="U188" s="45">
        <f>VLOOKUP(OrdersRawTable9[[#This Row],[Product_ID]],ProductsTable10[],4,FALSE)</f>
        <v>67.290000000000006</v>
      </c>
      <c r="V188" t="str">
        <f>VLOOKUP(OrdersRawTable9[[#This Row],[Product_ID]],ProductsTable10[],3,FALSE)</f>
        <v>Electronics</v>
      </c>
      <c r="W188" s="45">
        <f>OrdersRawTable9[[#This Row],[Unit_Price]]*OrdersRawTable9[[#This Row],[Quantity]]</f>
        <v>421.52</v>
      </c>
      <c r="X188" s="47">
        <f>OrdersRawTable9[[#This Row],[Gross_Sales]]*OrdersRawTable9[[#This Row],[Discount_Pct]]</f>
        <v>63.227999999999994</v>
      </c>
      <c r="Y188" s="45">
        <f>OrdersRawTable9[[#This Row],[Gross_Sales]]-OrdersRawTable9[[#This Row],[Discount_Amount]]</f>
        <v>358.29199999999997</v>
      </c>
      <c r="Z188" s="45">
        <f>OrdersRawTable9[[#This Row],[Unit_Cost]]*OrdersRawTable9[[#This Row],[Quantity]]</f>
        <v>269.16000000000003</v>
      </c>
      <c r="AA188" s="45">
        <f>OrdersRawTable9[[#This Row],[Net_Sales]]-OrdersRawTable9[[#This Row],[Total_Cost]]</f>
        <v>89.131999999999948</v>
      </c>
      <c r="AB188" s="48">
        <f>IF(OrdersRawTable9[[#This Row],[Net_Sales]]=0,0,OrdersRawTable9[[#This Row],[Profit]]/OrdersRawTable9[[#This Row],[Net_Sales]])</f>
        <v>0.24876916034965882</v>
      </c>
      <c r="AC188" s="45" t="str">
        <f>IF(COUNTIF(ReturnsRawTable[Order_Line_ID],OrdersRawTable9[[#This Row],[Order_Line_ID]])&gt;0,"Yes","No")</f>
        <v>No</v>
      </c>
      <c r="AD188" s="45" t="str">
        <f>IFERROR(VLOOKUP(OrdersRawTable9[[#This Row],[Order_Line_ID]],ReturnsRawTable[[#All],[Order_Line_ID]:[Return_Reason_Raw]],3,FALSE),"")</f>
        <v/>
      </c>
      <c r="AE188" s="49" t="str">
        <f>IFERROR(VLOOKUP(OrdersRawTable9[[#This Row],[Order_Line_ID]],ReturnsRawTable[[#All],[Order_Line_ID]:[Return_Date]],2,FALSE),"")</f>
        <v/>
      </c>
      <c r="AF188" s="45" t="str">
        <f>IFERROR(VLOOKUP(OrdersRawTable9[[#This Row],[Order_Line_ID]],ReturnsRawTable[[Order_Line_ID]:[Refund_Status]],4,FALSE),"")</f>
        <v/>
      </c>
      <c r="AG188" s="45" t="str">
        <f>VLOOKUP(OrdersRawTable9[[#This Row],[Order_ID]],ShipmentsTable[],6,FALSE)</f>
        <v>Late</v>
      </c>
      <c r="AH188" s="49">
        <f>VLOOKUP(OrdersRawTable9[[#This Row],[Order_ID]],ShipmentsTable[],3,FALSE)</f>
        <v>45720.041666666664</v>
      </c>
    </row>
    <row r="189" spans="1:34" ht="15" customHeight="1">
      <c r="A189" s="14" t="s">
        <v>487</v>
      </c>
      <c r="B189" s="10" t="s">
        <v>484</v>
      </c>
      <c r="C189" s="20">
        <v>45711</v>
      </c>
      <c r="D189" s="10" t="s">
        <v>485</v>
      </c>
      <c r="E189" s="10" t="s">
        <v>234</v>
      </c>
      <c r="F189" s="10" t="str">
        <f>TRIM(LEFT(OrdersRawTable9[[#This Row],[Customer_Info]],FIND(",",OrdersRawTable9[[#This Row],[Customer_Info]])-1))</f>
        <v>Omar Gagnon</v>
      </c>
      <c r="G18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189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189" s="10">
        <f>LEN(OrdersRawTable9[[#This Row],[Customer_Info]])-LEN(SUBSTITUTE(OrdersRawTable9[[#This Row],[Customer_Info]],",",""))</f>
        <v>2</v>
      </c>
      <c r="J189" s="10" t="s">
        <v>196</v>
      </c>
      <c r="K189" s="23">
        <v>4</v>
      </c>
      <c r="L189" s="26">
        <v>183.73</v>
      </c>
      <c r="M189" s="29">
        <v>0</v>
      </c>
      <c r="N189" s="10" t="s">
        <v>40</v>
      </c>
      <c r="O189" s="10" t="str">
        <f>IF(TRIM(OrdersRawTable9[[#This Row],[Sales_Channel_Raw]])="Market place","Marketplace",TRIM(OrdersRawTable9[[#This Row],[Sales_Channel_Raw]]))</f>
        <v>Online</v>
      </c>
      <c r="P189" s="10" t="s">
        <v>98</v>
      </c>
      <c r="Q189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189" s="15" t="s">
        <v>47</v>
      </c>
      <c r="S189" t="str">
        <f>VLOOKUP(OrdersRawTable9[[#This Row],[Customer_ID_Raw]],CustomersTable11[],4,FALSE)</f>
        <v>Manitoba</v>
      </c>
      <c r="T189" t="str">
        <f>VLOOKUP(OrdersRawTable9[[#This Row],[Customer_ID_Raw]],CustomersTable11[],5,FALSE)</f>
        <v>Small Business</v>
      </c>
      <c r="U189" s="45">
        <f>VLOOKUP(OrdersRawTable9[[#This Row],[Product_ID]],ProductsTable10[],4,FALSE)</f>
        <v>98.11</v>
      </c>
      <c r="V189" t="str">
        <f>VLOOKUP(OrdersRawTable9[[#This Row],[Product_ID]],ProductsTable10[],3,FALSE)</f>
        <v>Home</v>
      </c>
      <c r="W189" s="45">
        <f>OrdersRawTable9[[#This Row],[Unit_Price]]*OrdersRawTable9[[#This Row],[Quantity]]</f>
        <v>734.92</v>
      </c>
      <c r="X189" s="47">
        <f>OrdersRawTable9[[#This Row],[Gross_Sales]]*OrdersRawTable9[[#This Row],[Discount_Pct]]</f>
        <v>0</v>
      </c>
      <c r="Y189" s="45">
        <f>OrdersRawTable9[[#This Row],[Gross_Sales]]-OrdersRawTable9[[#This Row],[Discount_Amount]]</f>
        <v>734.92</v>
      </c>
      <c r="Z189" s="45">
        <f>OrdersRawTable9[[#This Row],[Unit_Cost]]*OrdersRawTable9[[#This Row],[Quantity]]</f>
        <v>392.44</v>
      </c>
      <c r="AA189" s="45">
        <f>OrdersRawTable9[[#This Row],[Net_Sales]]-OrdersRawTable9[[#This Row],[Total_Cost]]</f>
        <v>342.47999999999996</v>
      </c>
      <c r="AB189" s="48">
        <f>IF(OrdersRawTable9[[#This Row],[Net_Sales]]=0,0,OrdersRawTable9[[#This Row],[Profit]]/OrdersRawTable9[[#This Row],[Net_Sales]])</f>
        <v>0.46600990584009139</v>
      </c>
      <c r="AC189" s="45" t="str">
        <f>IF(COUNTIF(ReturnsRawTable[Order_Line_ID],OrdersRawTable9[[#This Row],[Order_Line_ID]])&gt;0,"Yes","No")</f>
        <v>No</v>
      </c>
      <c r="AD189" s="45" t="str">
        <f>IFERROR(VLOOKUP(OrdersRawTable9[[#This Row],[Order_Line_ID]],ReturnsRawTable[[#All],[Order_Line_ID]:[Return_Reason_Raw]],3,FALSE),"")</f>
        <v/>
      </c>
      <c r="AE189" s="49" t="str">
        <f>IFERROR(VLOOKUP(OrdersRawTable9[[#This Row],[Order_Line_ID]],ReturnsRawTable[[#All],[Order_Line_ID]:[Return_Date]],2,FALSE),"")</f>
        <v/>
      </c>
      <c r="AF189" s="45" t="str">
        <f>IFERROR(VLOOKUP(OrdersRawTable9[[#This Row],[Order_Line_ID]],ReturnsRawTable[[Order_Line_ID]:[Refund_Status]],4,FALSE),"")</f>
        <v/>
      </c>
      <c r="AG189" s="45" t="str">
        <f>VLOOKUP(OrdersRawTable9[[#This Row],[Order_ID]],ShipmentsTable[],6,FALSE)</f>
        <v>Late</v>
      </c>
      <c r="AH189" s="49">
        <f>VLOOKUP(OrdersRawTable9[[#This Row],[Order_ID]],ShipmentsTable[],3,FALSE)</f>
        <v>45720.041666666664</v>
      </c>
    </row>
    <row r="190" spans="1:34" ht="15" customHeight="1">
      <c r="A190" s="14" t="s">
        <v>488</v>
      </c>
      <c r="B190" s="10" t="s">
        <v>489</v>
      </c>
      <c r="C190" s="20">
        <v>45851</v>
      </c>
      <c r="D190" s="10" t="s">
        <v>490</v>
      </c>
      <c r="E190" s="10" t="s">
        <v>491</v>
      </c>
      <c r="F190" s="10" t="str">
        <f>TRIM(LEFT(OrdersRawTable9[[#This Row],[Customer_Info]],FIND(",",OrdersRawTable9[[#This Row],[Customer_Info]])-1))</f>
        <v>Adam Gagnon</v>
      </c>
      <c r="G19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190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190" s="10">
        <f>LEN(OrdersRawTable9[[#This Row],[Customer_Info]])-LEN(SUBSTITUTE(OrdersRawTable9[[#This Row],[Customer_Info]],",",""))</f>
        <v>2</v>
      </c>
      <c r="J190" s="10" t="s">
        <v>57</v>
      </c>
      <c r="K190" s="23">
        <v>4</v>
      </c>
      <c r="L190" s="26">
        <v>208.81</v>
      </c>
      <c r="M190" s="29">
        <v>0.15</v>
      </c>
      <c r="N190" s="10" t="s">
        <v>45</v>
      </c>
      <c r="O190" s="10" t="str">
        <f>IF(TRIM(OrdersRawTable9[[#This Row],[Sales_Channel_Raw]])="Market place","Marketplace",TRIM(OrdersRawTable9[[#This Row],[Sales_Channel_Raw]]))</f>
        <v>Retail Store</v>
      </c>
      <c r="P190" s="10" t="s">
        <v>58</v>
      </c>
      <c r="Q190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190" s="15" t="s">
        <v>42</v>
      </c>
      <c r="S190" t="str">
        <f>VLOOKUP(OrdersRawTable9[[#This Row],[Customer_ID_Raw]],CustomersTable11[],4,FALSE)</f>
        <v>Alberta</v>
      </c>
      <c r="T190" t="str">
        <f>VLOOKUP(OrdersRawTable9[[#This Row],[Customer_ID_Raw]],CustomersTable11[],5,FALSE)</f>
        <v>Consumer</v>
      </c>
      <c r="U190" s="45">
        <f>VLOOKUP(OrdersRawTable9[[#This Row],[Product_ID]],ProductsTable10[],4,FALSE)</f>
        <v>139.04</v>
      </c>
      <c r="V190" t="str">
        <f>VLOOKUP(OrdersRawTable9[[#This Row],[Product_ID]],ProductsTable10[],3,FALSE)</f>
        <v>Fitness</v>
      </c>
      <c r="W190" s="45">
        <f>OrdersRawTable9[[#This Row],[Unit_Price]]*OrdersRawTable9[[#This Row],[Quantity]]</f>
        <v>835.24</v>
      </c>
      <c r="X190" s="47">
        <f>OrdersRawTable9[[#This Row],[Gross_Sales]]*OrdersRawTable9[[#This Row],[Discount_Pct]]</f>
        <v>125.286</v>
      </c>
      <c r="Y190" s="45">
        <f>OrdersRawTable9[[#This Row],[Gross_Sales]]-OrdersRawTable9[[#This Row],[Discount_Amount]]</f>
        <v>709.95399999999995</v>
      </c>
      <c r="Z190" s="45">
        <f>OrdersRawTable9[[#This Row],[Unit_Cost]]*OrdersRawTable9[[#This Row],[Quantity]]</f>
        <v>556.16</v>
      </c>
      <c r="AA190" s="45">
        <f>OrdersRawTable9[[#This Row],[Net_Sales]]-OrdersRawTable9[[#This Row],[Total_Cost]]</f>
        <v>153.79399999999998</v>
      </c>
      <c r="AB190" s="48">
        <f>IF(OrdersRawTable9[[#This Row],[Net_Sales]]=0,0,OrdersRawTable9[[#This Row],[Profit]]/OrdersRawTable9[[#This Row],[Net_Sales]])</f>
        <v>0.2166253024843863</v>
      </c>
      <c r="AC190" s="45" t="str">
        <f>IF(COUNTIF(ReturnsRawTable[Order_Line_ID],OrdersRawTable9[[#This Row],[Order_Line_ID]])&gt;0,"Yes","No")</f>
        <v>No</v>
      </c>
      <c r="AD190" s="45" t="str">
        <f>IFERROR(VLOOKUP(OrdersRawTable9[[#This Row],[Order_Line_ID]],ReturnsRawTable[[#All],[Order_Line_ID]:[Return_Reason_Raw]],3,FALSE),"")</f>
        <v/>
      </c>
      <c r="AE190" s="49" t="str">
        <f>IFERROR(VLOOKUP(OrdersRawTable9[[#This Row],[Order_Line_ID]],ReturnsRawTable[[#All],[Order_Line_ID]:[Return_Date]],2,FALSE),"")</f>
        <v/>
      </c>
      <c r="AF190" s="45" t="str">
        <f>IFERROR(VLOOKUP(OrdersRawTable9[[#This Row],[Order_Line_ID]],ReturnsRawTable[[Order_Line_ID]:[Refund_Status]],4,FALSE),"")</f>
        <v/>
      </c>
      <c r="AG190" s="45" t="str">
        <f>VLOOKUP(OrdersRawTable9[[#This Row],[Order_ID]],ShipmentsTable[],6,FALSE)</f>
        <v>On time</v>
      </c>
      <c r="AH190" s="49">
        <f>VLOOKUP(OrdersRawTable9[[#This Row],[Order_ID]],ShipmentsTable[],3,FALSE)</f>
        <v>45852</v>
      </c>
    </row>
    <row r="191" spans="1:34" ht="15" customHeight="1">
      <c r="A191" s="14" t="s">
        <v>492</v>
      </c>
      <c r="B191" s="10" t="s">
        <v>493</v>
      </c>
      <c r="C191" s="20">
        <v>45703</v>
      </c>
      <c r="D191" s="10" t="s">
        <v>268</v>
      </c>
      <c r="E191" s="10" t="s">
        <v>269</v>
      </c>
      <c r="F191" s="10" t="str">
        <f>TRIM(LEFT(OrdersRawTable9[[#This Row],[Customer_Info]],FIND(",",OrdersRawTable9[[#This Row],[Customer_Info]])-1))</f>
        <v>Emma Khan</v>
      </c>
      <c r="G19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191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191" s="10">
        <f>LEN(OrdersRawTable9[[#This Row],[Customer_Info]])-LEN(SUBSTITUTE(OrdersRawTable9[[#This Row],[Customer_Info]],",",""))</f>
        <v>2</v>
      </c>
      <c r="J191" s="10" t="s">
        <v>204</v>
      </c>
      <c r="K191" s="23">
        <v>2</v>
      </c>
      <c r="L191" s="26">
        <v>244.25</v>
      </c>
      <c r="M191" s="29">
        <v>0</v>
      </c>
      <c r="N191" s="10" t="s">
        <v>50</v>
      </c>
      <c r="O191" s="10" t="str">
        <f>IF(TRIM(OrdersRawTable9[[#This Row],[Sales_Channel_Raw]])="Market place","Marketplace",TRIM(OrdersRawTable9[[#This Row],[Sales_Channel_Raw]]))</f>
        <v>Marketplace</v>
      </c>
      <c r="P191" s="10" t="s">
        <v>41</v>
      </c>
      <c r="Q191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191" s="15" t="s">
        <v>42</v>
      </c>
      <c r="S191" t="str">
        <f>VLOOKUP(OrdersRawTable9[[#This Row],[Customer_ID_Raw]],CustomersTable11[],4,FALSE)</f>
        <v>Ontario</v>
      </c>
      <c r="T191" t="str">
        <f>VLOOKUP(OrdersRawTable9[[#This Row],[Customer_ID_Raw]],CustomersTable11[],5,FALSE)</f>
        <v>Consumer</v>
      </c>
      <c r="U191" s="45">
        <f>VLOOKUP(OrdersRawTable9[[#This Row],[Product_ID]],ProductsTable10[],4,FALSE)</f>
        <v>150.96</v>
      </c>
      <c r="V191" t="str">
        <f>VLOOKUP(OrdersRawTable9[[#This Row],[Product_ID]],ProductsTable10[],3,FALSE)</f>
        <v>Office</v>
      </c>
      <c r="W191" s="45">
        <f>OrdersRawTable9[[#This Row],[Unit_Price]]*OrdersRawTable9[[#This Row],[Quantity]]</f>
        <v>488.5</v>
      </c>
      <c r="X191" s="47">
        <f>OrdersRawTable9[[#This Row],[Gross_Sales]]*OrdersRawTable9[[#This Row],[Discount_Pct]]</f>
        <v>0</v>
      </c>
      <c r="Y191" s="45">
        <f>OrdersRawTable9[[#This Row],[Gross_Sales]]-OrdersRawTable9[[#This Row],[Discount_Amount]]</f>
        <v>488.5</v>
      </c>
      <c r="Z191" s="45">
        <f>OrdersRawTable9[[#This Row],[Unit_Cost]]*OrdersRawTable9[[#This Row],[Quantity]]</f>
        <v>301.92</v>
      </c>
      <c r="AA191" s="45">
        <f>OrdersRawTable9[[#This Row],[Net_Sales]]-OrdersRawTable9[[#This Row],[Total_Cost]]</f>
        <v>186.57999999999998</v>
      </c>
      <c r="AB191" s="48">
        <f>IF(OrdersRawTable9[[#This Row],[Net_Sales]]=0,0,OrdersRawTable9[[#This Row],[Profit]]/OrdersRawTable9[[#This Row],[Net_Sales]])</f>
        <v>0.38194472876151481</v>
      </c>
      <c r="AC191" s="45" t="str">
        <f>IF(COUNTIF(ReturnsRawTable[Order_Line_ID],OrdersRawTable9[[#This Row],[Order_Line_ID]])&gt;0,"Yes","No")</f>
        <v>No</v>
      </c>
      <c r="AD191" s="45" t="str">
        <f>IFERROR(VLOOKUP(OrdersRawTable9[[#This Row],[Order_Line_ID]],ReturnsRawTable[[#All],[Order_Line_ID]:[Return_Reason_Raw]],3,FALSE),"")</f>
        <v/>
      </c>
      <c r="AE191" s="49" t="str">
        <f>IFERROR(VLOOKUP(OrdersRawTable9[[#This Row],[Order_Line_ID]],ReturnsRawTable[[#All],[Order_Line_ID]:[Return_Date]],2,FALSE),"")</f>
        <v/>
      </c>
      <c r="AF191" s="45" t="str">
        <f>IFERROR(VLOOKUP(OrdersRawTable9[[#This Row],[Order_Line_ID]],ReturnsRawTable[[Order_Line_ID]:[Refund_Status]],4,FALSE),"")</f>
        <v/>
      </c>
      <c r="AG191" s="45" t="str">
        <f>VLOOKUP(OrdersRawTable9[[#This Row],[Order_ID]],ShipmentsTable[],6,FALSE)</f>
        <v>On time</v>
      </c>
      <c r="AH191" s="49">
        <f>VLOOKUP(OrdersRawTable9[[#This Row],[Order_ID]],ShipmentsTable[],3,FALSE)</f>
        <v>45707</v>
      </c>
    </row>
    <row r="192" spans="1:34" ht="15" customHeight="1">
      <c r="A192" s="14" t="s">
        <v>494</v>
      </c>
      <c r="B192" s="10" t="s">
        <v>493</v>
      </c>
      <c r="C192" s="20">
        <v>45703</v>
      </c>
      <c r="D192" s="10" t="s">
        <v>268</v>
      </c>
      <c r="E192" s="10" t="s">
        <v>269</v>
      </c>
      <c r="F192" s="10" t="str">
        <f>TRIM(LEFT(OrdersRawTable9[[#This Row],[Customer_Info]],FIND(",",OrdersRawTable9[[#This Row],[Customer_Info]])-1))</f>
        <v>Emma Khan</v>
      </c>
      <c r="G19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192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192" s="10">
        <f>LEN(OrdersRawTable9[[#This Row],[Customer_Info]])-LEN(SUBSTITUTE(OrdersRawTable9[[#This Row],[Customer_Info]],",",""))</f>
        <v>2</v>
      </c>
      <c r="J192" s="10" t="s">
        <v>495</v>
      </c>
      <c r="K192" s="23">
        <v>3</v>
      </c>
      <c r="L192" s="26">
        <v>207.71</v>
      </c>
      <c r="M192" s="29">
        <v>0.15</v>
      </c>
      <c r="N192" s="10" t="s">
        <v>40</v>
      </c>
      <c r="O192" s="10" t="str">
        <f>IF(TRIM(OrdersRawTable9[[#This Row],[Sales_Channel_Raw]])="Market place","Marketplace",TRIM(OrdersRawTable9[[#This Row],[Sales_Channel_Raw]]))</f>
        <v>Online</v>
      </c>
      <c r="P192" s="10" t="s">
        <v>58</v>
      </c>
      <c r="Q192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192" s="15" t="s">
        <v>42</v>
      </c>
      <c r="S192" t="str">
        <f>VLOOKUP(OrdersRawTable9[[#This Row],[Customer_ID_Raw]],CustomersTable11[],4,FALSE)</f>
        <v>Ontario</v>
      </c>
      <c r="T192" t="str">
        <f>VLOOKUP(OrdersRawTable9[[#This Row],[Customer_ID_Raw]],CustomersTable11[],5,FALSE)</f>
        <v>Consumer</v>
      </c>
      <c r="U192" s="45">
        <f>VLOOKUP(OrdersRawTable9[[#This Row],[Product_ID]],ProductsTable10[],4,FALSE)</f>
        <v>132.97</v>
      </c>
      <c r="V192" t="str">
        <f>VLOOKUP(OrdersRawTable9[[#This Row],[Product_ID]],ProductsTable10[],3,FALSE)</f>
        <v>Home</v>
      </c>
      <c r="W192" s="45">
        <f>OrdersRawTable9[[#This Row],[Unit_Price]]*OrdersRawTable9[[#This Row],[Quantity]]</f>
        <v>623.13</v>
      </c>
      <c r="X192" s="47">
        <f>OrdersRawTable9[[#This Row],[Gross_Sales]]*OrdersRawTable9[[#This Row],[Discount_Pct]]</f>
        <v>93.469499999999996</v>
      </c>
      <c r="Y192" s="45">
        <f>OrdersRawTable9[[#This Row],[Gross_Sales]]-OrdersRawTable9[[#This Row],[Discount_Amount]]</f>
        <v>529.66049999999996</v>
      </c>
      <c r="Z192" s="45">
        <f>OrdersRawTable9[[#This Row],[Unit_Cost]]*OrdersRawTable9[[#This Row],[Quantity]]</f>
        <v>398.90999999999997</v>
      </c>
      <c r="AA192" s="45">
        <f>OrdersRawTable9[[#This Row],[Net_Sales]]-OrdersRawTable9[[#This Row],[Total_Cost]]</f>
        <v>130.75049999999999</v>
      </c>
      <c r="AB192" s="48">
        <f>IF(OrdersRawTable9[[#This Row],[Net_Sales]]=0,0,OrdersRawTable9[[#This Row],[Profit]]/OrdersRawTable9[[#This Row],[Net_Sales]])</f>
        <v>0.24685718493261249</v>
      </c>
      <c r="AC192" s="45" t="str">
        <f>IF(COUNTIF(ReturnsRawTable[Order_Line_ID],OrdersRawTable9[[#This Row],[Order_Line_ID]])&gt;0,"Yes","No")</f>
        <v>Yes</v>
      </c>
      <c r="AD192" s="45" t="str">
        <f>IFERROR(VLOOKUP(OrdersRawTable9[[#This Row],[Order_Line_ID]],ReturnsRawTable[[#All],[Order_Line_ID]:[Return_Reason_Raw]],3,FALSE),"")</f>
        <v>Damaged</v>
      </c>
      <c r="AE192" s="49">
        <f>IFERROR(VLOOKUP(OrdersRawTable9[[#This Row],[Order_Line_ID]],ReturnsRawTable[[#All],[Order_Line_ID]:[Return_Date]],2,FALSE),"")</f>
        <v>45727.041666666664</v>
      </c>
      <c r="AF192" s="45" t="str">
        <f>IFERROR(VLOOKUP(OrdersRawTable9[[#This Row],[Order_Line_ID]],ReturnsRawTable[[Order_Line_ID]:[Refund_Status]],4,FALSE),"")</f>
        <v>Refunded</v>
      </c>
      <c r="AG192" s="45" t="str">
        <f>VLOOKUP(OrdersRawTable9[[#This Row],[Order_ID]],ShipmentsTable[],6,FALSE)</f>
        <v>On time</v>
      </c>
      <c r="AH192" s="49">
        <f>VLOOKUP(OrdersRawTable9[[#This Row],[Order_ID]],ShipmentsTable[],3,FALSE)</f>
        <v>45707</v>
      </c>
    </row>
    <row r="193" spans="1:34" ht="15" customHeight="1">
      <c r="A193" s="14" t="s">
        <v>496</v>
      </c>
      <c r="B193" s="10" t="s">
        <v>493</v>
      </c>
      <c r="C193" s="20">
        <v>45703</v>
      </c>
      <c r="D193" s="10" t="s">
        <v>268</v>
      </c>
      <c r="E193" s="10" t="s">
        <v>269</v>
      </c>
      <c r="F193" s="10" t="str">
        <f>TRIM(LEFT(OrdersRawTable9[[#This Row],[Customer_Info]],FIND(",",OrdersRawTable9[[#This Row],[Customer_Info]])-1))</f>
        <v>Emma Khan</v>
      </c>
      <c r="G19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193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193" s="10">
        <f>LEN(OrdersRawTable9[[#This Row],[Customer_Info]])-LEN(SUBSTITUTE(OrdersRawTable9[[#This Row],[Customer_Info]],",",""))</f>
        <v>2</v>
      </c>
      <c r="J193" s="10" t="s">
        <v>468</v>
      </c>
      <c r="K193" s="23">
        <v>1</v>
      </c>
      <c r="L193" s="26">
        <v>160</v>
      </c>
      <c r="M193" s="29">
        <v>0</v>
      </c>
      <c r="N193" s="10" t="s">
        <v>70</v>
      </c>
      <c r="O193" s="10" t="str">
        <f>IF(TRIM(OrdersRawTable9[[#This Row],[Sales_Channel_Raw]])="Market place","Marketplace",TRIM(OrdersRawTable9[[#This Row],[Sales_Channel_Raw]]))</f>
        <v>online</v>
      </c>
      <c r="P193" s="10" t="s">
        <v>51</v>
      </c>
      <c r="Q193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193" s="15" t="s">
        <v>67</v>
      </c>
      <c r="S193" t="str">
        <f>VLOOKUP(OrdersRawTable9[[#This Row],[Customer_ID_Raw]],CustomersTable11[],4,FALSE)</f>
        <v>Ontario</v>
      </c>
      <c r="T193" t="str">
        <f>VLOOKUP(OrdersRawTable9[[#This Row],[Customer_ID_Raw]],CustomersTable11[],5,FALSE)</f>
        <v>Consumer</v>
      </c>
      <c r="U193" s="45">
        <f>VLOOKUP(OrdersRawTable9[[#This Row],[Product_ID]],ProductsTable10[],4,FALSE)</f>
        <v>101.58</v>
      </c>
      <c r="V193" t="str">
        <f>VLOOKUP(OrdersRawTable9[[#This Row],[Product_ID]],ProductsTable10[],3,FALSE)</f>
        <v>Fitness</v>
      </c>
      <c r="W193" s="45">
        <f>OrdersRawTable9[[#This Row],[Unit_Price]]*OrdersRawTable9[[#This Row],[Quantity]]</f>
        <v>160</v>
      </c>
      <c r="X193" s="47">
        <f>OrdersRawTable9[[#This Row],[Gross_Sales]]*OrdersRawTable9[[#This Row],[Discount_Pct]]</f>
        <v>0</v>
      </c>
      <c r="Y193" s="45">
        <f>OrdersRawTable9[[#This Row],[Gross_Sales]]-OrdersRawTable9[[#This Row],[Discount_Amount]]</f>
        <v>160</v>
      </c>
      <c r="Z193" s="45">
        <f>OrdersRawTable9[[#This Row],[Unit_Cost]]*OrdersRawTable9[[#This Row],[Quantity]]</f>
        <v>101.58</v>
      </c>
      <c r="AA193" s="45">
        <f>OrdersRawTable9[[#This Row],[Net_Sales]]-OrdersRawTable9[[#This Row],[Total_Cost]]</f>
        <v>58.42</v>
      </c>
      <c r="AB193" s="48">
        <f>IF(OrdersRawTable9[[#This Row],[Net_Sales]]=0,0,OrdersRawTable9[[#This Row],[Profit]]/OrdersRawTable9[[#This Row],[Net_Sales]])</f>
        <v>0.36512500000000003</v>
      </c>
      <c r="AC193" s="45" t="str">
        <f>IF(COUNTIF(ReturnsRawTable[Order_Line_ID],OrdersRawTable9[[#This Row],[Order_Line_ID]])&gt;0,"Yes","No")</f>
        <v>Yes</v>
      </c>
      <c r="AD193" s="45" t="str">
        <f>IFERROR(VLOOKUP(OrdersRawTable9[[#This Row],[Order_Line_ID]],ReturnsRawTable[[#All],[Order_Line_ID]:[Return_Reason_Raw]],3,FALSE),"")</f>
        <v>Changed Mind</v>
      </c>
      <c r="AE193" s="49">
        <f>IFERROR(VLOOKUP(OrdersRawTable9[[#This Row],[Order_Line_ID]],ReturnsRawTable[[#All],[Order_Line_ID]:[Return_Date]],2,FALSE),"")</f>
        <v>45722.041666666664</v>
      </c>
      <c r="AF193" s="45" t="str">
        <f>IFERROR(VLOOKUP(OrdersRawTable9[[#This Row],[Order_Line_ID]],ReturnsRawTable[[Order_Line_ID]:[Refund_Status]],4,FALSE),"")</f>
        <v>Pending</v>
      </c>
      <c r="AG193" s="45" t="str">
        <f>VLOOKUP(OrdersRawTable9[[#This Row],[Order_ID]],ShipmentsTable[],6,FALSE)</f>
        <v>On time</v>
      </c>
      <c r="AH193" s="49">
        <f>VLOOKUP(OrdersRawTable9[[#This Row],[Order_ID]],ShipmentsTable[],3,FALSE)</f>
        <v>45707</v>
      </c>
    </row>
    <row r="194" spans="1:34" ht="15" customHeight="1">
      <c r="A194" s="14" t="s">
        <v>497</v>
      </c>
      <c r="B194" s="10" t="s">
        <v>498</v>
      </c>
      <c r="C194" s="20">
        <v>45823</v>
      </c>
      <c r="D194" s="10" t="s">
        <v>499</v>
      </c>
      <c r="E194" s="10" t="s">
        <v>500</v>
      </c>
      <c r="F194" s="10" t="str">
        <f>TRIM(LEFT(OrdersRawTable9[[#This Row],[Customer_Info]],FIND(",",OrdersRawTable9[[#This Row],[Customer_Info]])-1))</f>
        <v>Omar Martin</v>
      </c>
      <c r="G19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194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194" s="10">
        <f>LEN(OrdersRawTable9[[#This Row],[Customer_Info]])-LEN(SUBSTITUTE(OrdersRawTable9[[#This Row],[Customer_Info]],",",""))</f>
        <v>2</v>
      </c>
      <c r="J194" s="10" t="s">
        <v>57</v>
      </c>
      <c r="K194" s="23">
        <v>4</v>
      </c>
      <c r="L194" s="26">
        <v>208.81</v>
      </c>
      <c r="M194" s="29">
        <v>0.05</v>
      </c>
      <c r="N194" s="10" t="s">
        <v>66</v>
      </c>
      <c r="O194" s="10" t="str">
        <f>IF(TRIM(OrdersRawTable9[[#This Row],[Sales_Channel_Raw]])="Market place","Marketplace",TRIM(OrdersRawTable9[[#This Row],[Sales_Channel_Raw]]))</f>
        <v>Marketplace</v>
      </c>
      <c r="P194" s="10" t="s">
        <v>51</v>
      </c>
      <c r="Q194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194" s="15" t="s">
        <v>101</v>
      </c>
      <c r="S194" t="str">
        <f>VLOOKUP(OrdersRawTable9[[#This Row],[Customer_ID_Raw]],CustomersTable11[],4,FALSE)</f>
        <v>Alberta</v>
      </c>
      <c r="T194" t="str">
        <f>VLOOKUP(OrdersRawTable9[[#This Row],[Customer_ID_Raw]],CustomersTable11[],5,FALSE)</f>
        <v>Consumer</v>
      </c>
      <c r="U194" s="45">
        <f>VLOOKUP(OrdersRawTable9[[#This Row],[Product_ID]],ProductsTable10[],4,FALSE)</f>
        <v>139.04</v>
      </c>
      <c r="V194" t="str">
        <f>VLOOKUP(OrdersRawTable9[[#This Row],[Product_ID]],ProductsTable10[],3,FALSE)</f>
        <v>Fitness</v>
      </c>
      <c r="W194" s="45">
        <f>OrdersRawTable9[[#This Row],[Unit_Price]]*OrdersRawTable9[[#This Row],[Quantity]]</f>
        <v>835.24</v>
      </c>
      <c r="X194" s="47">
        <f>OrdersRawTable9[[#This Row],[Gross_Sales]]*OrdersRawTable9[[#This Row],[Discount_Pct]]</f>
        <v>41.762</v>
      </c>
      <c r="Y194" s="45">
        <f>OrdersRawTable9[[#This Row],[Gross_Sales]]-OrdersRawTable9[[#This Row],[Discount_Amount]]</f>
        <v>793.47800000000007</v>
      </c>
      <c r="Z194" s="45">
        <f>OrdersRawTable9[[#This Row],[Unit_Cost]]*OrdersRawTable9[[#This Row],[Quantity]]</f>
        <v>556.16</v>
      </c>
      <c r="AA194" s="45">
        <f>OrdersRawTable9[[#This Row],[Net_Sales]]-OrdersRawTable9[[#This Row],[Total_Cost]]</f>
        <v>237.3180000000001</v>
      </c>
      <c r="AB194" s="48">
        <f>IF(OrdersRawTable9[[#This Row],[Net_Sales]]=0,0,OrdersRawTable9[[#This Row],[Profit]]/OrdersRawTable9[[#This Row],[Net_Sales]])</f>
        <v>0.29908579695971416</v>
      </c>
      <c r="AC194" s="45" t="str">
        <f>IF(COUNTIF(ReturnsRawTable[Order_Line_ID],OrdersRawTable9[[#This Row],[Order_Line_ID]])&gt;0,"Yes","No")</f>
        <v>No</v>
      </c>
      <c r="AD194" s="45" t="str">
        <f>IFERROR(VLOOKUP(OrdersRawTable9[[#This Row],[Order_Line_ID]],ReturnsRawTable[[#All],[Order_Line_ID]:[Return_Reason_Raw]],3,FALSE),"")</f>
        <v/>
      </c>
      <c r="AE194" s="49" t="str">
        <f>IFERROR(VLOOKUP(OrdersRawTable9[[#This Row],[Order_Line_ID]],ReturnsRawTable[[#All],[Order_Line_ID]:[Return_Date]],2,FALSE),"")</f>
        <v/>
      </c>
      <c r="AF194" s="45" t="str">
        <f>IFERROR(VLOOKUP(OrdersRawTable9[[#This Row],[Order_Line_ID]],ReturnsRawTable[[Order_Line_ID]:[Refund_Status]],4,FALSE),"")</f>
        <v/>
      </c>
      <c r="AG194" s="45" t="str">
        <f>VLOOKUP(OrdersRawTable9[[#This Row],[Order_ID]],ShipmentsTable[],6,FALSE)</f>
        <v>On time</v>
      </c>
      <c r="AH194" s="49">
        <f>VLOOKUP(OrdersRawTable9[[#This Row],[Order_ID]],ShipmentsTable[],3,FALSE)</f>
        <v>45825</v>
      </c>
    </row>
    <row r="195" spans="1:34" ht="15" customHeight="1">
      <c r="A195" s="14" t="s">
        <v>501</v>
      </c>
      <c r="B195" s="10" t="s">
        <v>502</v>
      </c>
      <c r="C195" s="20">
        <v>45864</v>
      </c>
      <c r="D195" s="10" t="s">
        <v>503</v>
      </c>
      <c r="E195" s="10" t="s">
        <v>504</v>
      </c>
      <c r="F195" s="10" t="str">
        <f>TRIM(LEFT(OrdersRawTable9[[#This Row],[Customer_Info]],FIND(",",OrdersRawTable9[[#This Row],[Customer_Info]])-1))</f>
        <v>Omar Gagnon</v>
      </c>
      <c r="G19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195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195" s="10">
        <f>LEN(OrdersRawTable9[[#This Row],[Customer_Info]])-LEN(SUBSTITUTE(OrdersRawTable9[[#This Row],[Customer_Info]],",",""))</f>
        <v>2</v>
      </c>
      <c r="J195" s="10" t="s">
        <v>196</v>
      </c>
      <c r="K195" s="23">
        <v>2</v>
      </c>
      <c r="L195" s="26">
        <v>183.73</v>
      </c>
      <c r="M195" s="29">
        <v>0.15</v>
      </c>
      <c r="N195" s="10" t="s">
        <v>45</v>
      </c>
      <c r="O195" s="10" t="str">
        <f>IF(TRIM(OrdersRawTable9[[#This Row],[Sales_Channel_Raw]])="Market place","Marketplace",TRIM(OrdersRawTable9[[#This Row],[Sales_Channel_Raw]]))</f>
        <v>Retail Store</v>
      </c>
      <c r="P195" s="10" t="s">
        <v>58</v>
      </c>
      <c r="Q195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195" s="15" t="s">
        <v>42</v>
      </c>
      <c r="S195" t="str">
        <f>VLOOKUP(OrdersRawTable9[[#This Row],[Customer_ID_Raw]],CustomersTable11[],4,FALSE)</f>
        <v>Quebec</v>
      </c>
      <c r="T195" t="str">
        <f>VLOOKUP(OrdersRawTable9[[#This Row],[Customer_ID_Raw]],CustomersTable11[],5,FALSE)</f>
        <v>Corporate</v>
      </c>
      <c r="U195" s="45">
        <f>VLOOKUP(OrdersRawTable9[[#This Row],[Product_ID]],ProductsTable10[],4,FALSE)</f>
        <v>98.11</v>
      </c>
      <c r="V195" t="str">
        <f>VLOOKUP(OrdersRawTable9[[#This Row],[Product_ID]],ProductsTable10[],3,FALSE)</f>
        <v>Home</v>
      </c>
      <c r="W195" s="45">
        <f>OrdersRawTable9[[#This Row],[Unit_Price]]*OrdersRawTable9[[#This Row],[Quantity]]</f>
        <v>367.46</v>
      </c>
      <c r="X195" s="47">
        <f>OrdersRawTable9[[#This Row],[Gross_Sales]]*OrdersRawTable9[[#This Row],[Discount_Pct]]</f>
        <v>55.118999999999993</v>
      </c>
      <c r="Y195" s="45">
        <f>OrdersRawTable9[[#This Row],[Gross_Sales]]-OrdersRawTable9[[#This Row],[Discount_Amount]]</f>
        <v>312.34100000000001</v>
      </c>
      <c r="Z195" s="45">
        <f>OrdersRawTable9[[#This Row],[Unit_Cost]]*OrdersRawTable9[[#This Row],[Quantity]]</f>
        <v>196.22</v>
      </c>
      <c r="AA195" s="45">
        <f>OrdersRawTable9[[#This Row],[Net_Sales]]-OrdersRawTable9[[#This Row],[Total_Cost]]</f>
        <v>116.12100000000001</v>
      </c>
      <c r="AB195" s="48">
        <f>IF(OrdersRawTable9[[#This Row],[Net_Sales]]=0,0,OrdersRawTable9[[#This Row],[Profit]]/OrdersRawTable9[[#This Row],[Net_Sales]])</f>
        <v>0.37177635981187229</v>
      </c>
      <c r="AC195" s="45" t="str">
        <f>IF(COUNTIF(ReturnsRawTable[Order_Line_ID],OrdersRawTable9[[#This Row],[Order_Line_ID]])&gt;0,"Yes","No")</f>
        <v>No</v>
      </c>
      <c r="AD195" s="45" t="str">
        <f>IFERROR(VLOOKUP(OrdersRawTable9[[#This Row],[Order_Line_ID]],ReturnsRawTable[[#All],[Order_Line_ID]:[Return_Reason_Raw]],3,FALSE),"")</f>
        <v/>
      </c>
      <c r="AE195" s="49" t="str">
        <f>IFERROR(VLOOKUP(OrdersRawTable9[[#This Row],[Order_Line_ID]],ReturnsRawTable[[#All],[Order_Line_ID]:[Return_Date]],2,FALSE),"")</f>
        <v/>
      </c>
      <c r="AF195" s="45" t="str">
        <f>IFERROR(VLOOKUP(OrdersRawTable9[[#This Row],[Order_Line_ID]],ReturnsRawTable[[Order_Line_ID]:[Refund_Status]],4,FALSE),"")</f>
        <v/>
      </c>
      <c r="AG195" s="45" t="str">
        <f>VLOOKUP(OrdersRawTable9[[#This Row],[Order_ID]],ShipmentsTable[],6,FALSE)</f>
        <v>Late</v>
      </c>
      <c r="AH195" s="49">
        <f>VLOOKUP(OrdersRawTable9[[#This Row],[Order_ID]],ShipmentsTable[],3,FALSE)</f>
        <v>45872</v>
      </c>
    </row>
    <row r="196" spans="1:34" ht="15" customHeight="1">
      <c r="A196" s="14" t="s">
        <v>505</v>
      </c>
      <c r="B196" s="10" t="s">
        <v>506</v>
      </c>
      <c r="C196" s="20">
        <v>45708</v>
      </c>
      <c r="D196" s="10" t="s">
        <v>507</v>
      </c>
      <c r="E196" s="10" t="s">
        <v>508</v>
      </c>
      <c r="F196" s="10" t="str">
        <f>TRIM(LEFT(OrdersRawTable9[[#This Row],[Customer_Info]],FIND(",",OrdersRawTable9[[#This Row],[Customer_Info]])-1))</f>
        <v>Sofia Singh</v>
      </c>
      <c r="G19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196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196" s="10">
        <f>LEN(OrdersRawTable9[[#This Row],[Customer_Info]])-LEN(SUBSTITUTE(OrdersRawTable9[[#This Row],[Customer_Info]],",",""))</f>
        <v>2</v>
      </c>
      <c r="J196" s="10" t="s">
        <v>180</v>
      </c>
      <c r="K196" s="23">
        <v>2</v>
      </c>
      <c r="L196" s="26">
        <v>91.75</v>
      </c>
      <c r="M196" s="29">
        <v>0</v>
      </c>
      <c r="N196" s="10" t="s">
        <v>50</v>
      </c>
      <c r="O196" s="10" t="str">
        <f>IF(TRIM(OrdersRawTable9[[#This Row],[Sales_Channel_Raw]])="Market place","Marketplace",TRIM(OrdersRawTable9[[#This Row],[Sales_Channel_Raw]]))</f>
        <v>Marketplace</v>
      </c>
      <c r="P196" s="10" t="s">
        <v>51</v>
      </c>
      <c r="Q196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196" s="15" t="s">
        <v>42</v>
      </c>
      <c r="S196" t="str">
        <f>VLOOKUP(OrdersRawTable9[[#This Row],[Customer_ID_Raw]],CustomersTable11[],4,FALSE)</f>
        <v>Quebec</v>
      </c>
      <c r="T196" t="str">
        <f>VLOOKUP(OrdersRawTable9[[#This Row],[Customer_ID_Raw]],CustomersTable11[],5,FALSE)</f>
        <v>Small Business</v>
      </c>
      <c r="U196" s="45">
        <f>VLOOKUP(OrdersRawTable9[[#This Row],[Product_ID]],ProductsTable10[],4,FALSE)</f>
        <v>58.27</v>
      </c>
      <c r="V196" t="str">
        <f>VLOOKUP(OrdersRawTable9[[#This Row],[Product_ID]],ProductsTable10[],3,FALSE)</f>
        <v>Home</v>
      </c>
      <c r="W196" s="45">
        <f>OrdersRawTable9[[#This Row],[Unit_Price]]*OrdersRawTable9[[#This Row],[Quantity]]</f>
        <v>183.5</v>
      </c>
      <c r="X196" s="47">
        <f>OrdersRawTable9[[#This Row],[Gross_Sales]]*OrdersRawTable9[[#This Row],[Discount_Pct]]</f>
        <v>0</v>
      </c>
      <c r="Y196" s="45">
        <f>OrdersRawTable9[[#This Row],[Gross_Sales]]-OrdersRawTable9[[#This Row],[Discount_Amount]]</f>
        <v>183.5</v>
      </c>
      <c r="Z196" s="45">
        <f>OrdersRawTable9[[#This Row],[Unit_Cost]]*OrdersRawTable9[[#This Row],[Quantity]]</f>
        <v>116.54</v>
      </c>
      <c r="AA196" s="45">
        <f>OrdersRawTable9[[#This Row],[Net_Sales]]-OrdersRawTable9[[#This Row],[Total_Cost]]</f>
        <v>66.959999999999994</v>
      </c>
      <c r="AB196" s="48">
        <f>IF(OrdersRawTable9[[#This Row],[Net_Sales]]=0,0,OrdersRawTable9[[#This Row],[Profit]]/OrdersRawTable9[[#This Row],[Net_Sales]])</f>
        <v>0.3649046321525885</v>
      </c>
      <c r="AC196" s="45" t="str">
        <f>IF(COUNTIF(ReturnsRawTable[Order_Line_ID],OrdersRawTable9[[#This Row],[Order_Line_ID]])&gt;0,"Yes","No")</f>
        <v>No</v>
      </c>
      <c r="AD196" s="45" t="str">
        <f>IFERROR(VLOOKUP(OrdersRawTable9[[#This Row],[Order_Line_ID]],ReturnsRawTable[[#All],[Order_Line_ID]:[Return_Reason_Raw]],3,FALSE),"")</f>
        <v/>
      </c>
      <c r="AE196" s="49" t="str">
        <f>IFERROR(VLOOKUP(OrdersRawTable9[[#This Row],[Order_Line_ID]],ReturnsRawTable[[#All],[Order_Line_ID]:[Return_Date]],2,FALSE),"")</f>
        <v/>
      </c>
      <c r="AF196" s="45" t="str">
        <f>IFERROR(VLOOKUP(OrdersRawTable9[[#This Row],[Order_Line_ID]],ReturnsRawTable[[Order_Line_ID]:[Refund_Status]],4,FALSE),"")</f>
        <v/>
      </c>
      <c r="AG196" s="45" t="str">
        <f>VLOOKUP(OrdersRawTable9[[#This Row],[Order_ID]],ShipmentsTable[],6,FALSE)</f>
        <v>On time</v>
      </c>
      <c r="AH196" s="49">
        <f>VLOOKUP(OrdersRawTable9[[#This Row],[Order_ID]],ShipmentsTable[],3,FALSE)</f>
        <v>45709</v>
      </c>
    </row>
    <row r="197" spans="1:34" ht="15" customHeight="1">
      <c r="A197" s="14" t="s">
        <v>509</v>
      </c>
      <c r="B197" s="10" t="s">
        <v>506</v>
      </c>
      <c r="C197" s="20">
        <v>45708</v>
      </c>
      <c r="D197" s="10" t="s">
        <v>507</v>
      </c>
      <c r="E197" s="10" t="s">
        <v>508</v>
      </c>
      <c r="F197" s="10" t="str">
        <f>TRIM(LEFT(OrdersRawTable9[[#This Row],[Customer_Info]],FIND(",",OrdersRawTable9[[#This Row],[Customer_Info]])-1))</f>
        <v>Sofia Singh</v>
      </c>
      <c r="G19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197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197" s="10">
        <f>LEN(OrdersRawTable9[[#This Row],[Customer_Info]])-LEN(SUBSTITUTE(OrdersRawTable9[[#This Row],[Customer_Info]],",",""))</f>
        <v>2</v>
      </c>
      <c r="J197" s="10" t="s">
        <v>117</v>
      </c>
      <c r="K197" s="23">
        <v>4</v>
      </c>
      <c r="L197" s="26">
        <v>251.17</v>
      </c>
      <c r="M197" s="29">
        <v>0</v>
      </c>
      <c r="N197" s="10" t="s">
        <v>50</v>
      </c>
      <c r="O197" s="10" t="str">
        <f>IF(TRIM(OrdersRawTable9[[#This Row],[Sales_Channel_Raw]])="Market place","Marketplace",TRIM(OrdersRawTable9[[#This Row],[Sales_Channel_Raw]]))</f>
        <v>Marketplace</v>
      </c>
      <c r="P197" s="10" t="s">
        <v>58</v>
      </c>
      <c r="Q197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197" s="15" t="s">
        <v>52</v>
      </c>
      <c r="S197" t="str">
        <f>VLOOKUP(OrdersRawTable9[[#This Row],[Customer_ID_Raw]],CustomersTable11[],4,FALSE)</f>
        <v>Quebec</v>
      </c>
      <c r="T197" t="str">
        <f>VLOOKUP(OrdersRawTable9[[#This Row],[Customer_ID_Raw]],CustomersTable11[],5,FALSE)</f>
        <v>Small Business</v>
      </c>
      <c r="U197" s="45">
        <f>VLOOKUP(OrdersRawTable9[[#This Row],[Product_ID]],ProductsTable10[],4,FALSE)</f>
        <v>151.59</v>
      </c>
      <c r="V197" t="str">
        <f>VLOOKUP(OrdersRawTable9[[#This Row],[Product_ID]],ProductsTable10[],3,FALSE)</f>
        <v>Fitness</v>
      </c>
      <c r="W197" s="45">
        <f>OrdersRawTable9[[#This Row],[Unit_Price]]*OrdersRawTable9[[#This Row],[Quantity]]</f>
        <v>1004.68</v>
      </c>
      <c r="X197" s="47">
        <f>OrdersRawTable9[[#This Row],[Gross_Sales]]*OrdersRawTable9[[#This Row],[Discount_Pct]]</f>
        <v>0</v>
      </c>
      <c r="Y197" s="45">
        <f>OrdersRawTable9[[#This Row],[Gross_Sales]]-OrdersRawTable9[[#This Row],[Discount_Amount]]</f>
        <v>1004.68</v>
      </c>
      <c r="Z197" s="45">
        <f>OrdersRawTable9[[#This Row],[Unit_Cost]]*OrdersRawTable9[[#This Row],[Quantity]]</f>
        <v>606.36</v>
      </c>
      <c r="AA197" s="45">
        <f>OrdersRawTable9[[#This Row],[Net_Sales]]-OrdersRawTable9[[#This Row],[Total_Cost]]</f>
        <v>398.31999999999994</v>
      </c>
      <c r="AB197" s="48">
        <f>IF(OrdersRawTable9[[#This Row],[Net_Sales]]=0,0,OrdersRawTable9[[#This Row],[Profit]]/OrdersRawTable9[[#This Row],[Net_Sales]])</f>
        <v>0.39646454592507063</v>
      </c>
      <c r="AC197" s="45" t="str">
        <f>IF(COUNTIF(ReturnsRawTable[Order_Line_ID],OrdersRawTable9[[#This Row],[Order_Line_ID]])&gt;0,"Yes","No")</f>
        <v>No</v>
      </c>
      <c r="AD197" s="45" t="str">
        <f>IFERROR(VLOOKUP(OrdersRawTable9[[#This Row],[Order_Line_ID]],ReturnsRawTable[[#All],[Order_Line_ID]:[Return_Reason_Raw]],3,FALSE),"")</f>
        <v/>
      </c>
      <c r="AE197" s="49" t="str">
        <f>IFERROR(VLOOKUP(OrdersRawTable9[[#This Row],[Order_Line_ID]],ReturnsRawTable[[#All],[Order_Line_ID]:[Return_Date]],2,FALSE),"")</f>
        <v/>
      </c>
      <c r="AF197" s="45" t="str">
        <f>IFERROR(VLOOKUP(OrdersRawTable9[[#This Row],[Order_Line_ID]],ReturnsRawTable[[Order_Line_ID]:[Refund_Status]],4,FALSE),"")</f>
        <v/>
      </c>
      <c r="AG197" s="45" t="str">
        <f>VLOOKUP(OrdersRawTable9[[#This Row],[Order_ID]],ShipmentsTable[],6,FALSE)</f>
        <v>On time</v>
      </c>
      <c r="AH197" s="49">
        <f>VLOOKUP(OrdersRawTable9[[#This Row],[Order_ID]],ShipmentsTable[],3,FALSE)</f>
        <v>45709</v>
      </c>
    </row>
    <row r="198" spans="1:34" ht="15" customHeight="1">
      <c r="A198" s="14" t="s">
        <v>510</v>
      </c>
      <c r="B198" s="10" t="s">
        <v>511</v>
      </c>
      <c r="C198" s="20">
        <v>45823</v>
      </c>
      <c r="D198" s="10" t="s">
        <v>512</v>
      </c>
      <c r="E198" s="10" t="s">
        <v>513</v>
      </c>
      <c r="F198" s="10" t="str">
        <f>TRIM(LEFT(OrdersRawTable9[[#This Row],[Customer_Info]],FIND(",",OrdersRawTable9[[#This Row],[Customer_Info]])-1))</f>
        <v>Daniel Brown</v>
      </c>
      <c r="G19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198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198" s="10">
        <f>LEN(OrdersRawTable9[[#This Row],[Customer_Info]])-LEN(SUBSTITUTE(OrdersRawTable9[[#This Row],[Customer_Info]],",",""))</f>
        <v>2</v>
      </c>
      <c r="J198" s="10" t="s">
        <v>49</v>
      </c>
      <c r="K198" s="23">
        <v>1</v>
      </c>
      <c r="L198" s="26">
        <v>300.16000000000003</v>
      </c>
      <c r="M198" s="29">
        <v>0</v>
      </c>
      <c r="N198" s="10" t="s">
        <v>70</v>
      </c>
      <c r="O198" s="10" t="str">
        <f>IF(TRIM(OrdersRawTable9[[#This Row],[Sales_Channel_Raw]])="Market place","Marketplace",TRIM(OrdersRawTable9[[#This Row],[Sales_Channel_Raw]]))</f>
        <v>online</v>
      </c>
      <c r="P198" s="10" t="s">
        <v>58</v>
      </c>
      <c r="Q198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198" s="15" t="s">
        <v>52</v>
      </c>
      <c r="S198" t="str">
        <f>VLOOKUP(OrdersRawTable9[[#This Row],[Customer_ID_Raw]],CustomersTable11[],4,FALSE)</f>
        <v>Alberta</v>
      </c>
      <c r="T198" t="str">
        <f>VLOOKUP(OrdersRawTable9[[#This Row],[Customer_ID_Raw]],CustomersTable11[],5,FALSE)</f>
        <v>Small Business</v>
      </c>
      <c r="U198" s="45">
        <f>VLOOKUP(OrdersRawTable9[[#This Row],[Product_ID]],ProductsTable10[],4,FALSE)</f>
        <v>158.46</v>
      </c>
      <c r="V198" t="str">
        <f>VLOOKUP(OrdersRawTable9[[#This Row],[Product_ID]],ProductsTable10[],3,FALSE)</f>
        <v>Office</v>
      </c>
      <c r="W198" s="45">
        <f>OrdersRawTable9[[#This Row],[Unit_Price]]*OrdersRawTable9[[#This Row],[Quantity]]</f>
        <v>300.16000000000003</v>
      </c>
      <c r="X198" s="47">
        <f>OrdersRawTable9[[#This Row],[Gross_Sales]]*OrdersRawTable9[[#This Row],[Discount_Pct]]</f>
        <v>0</v>
      </c>
      <c r="Y198" s="45">
        <f>OrdersRawTable9[[#This Row],[Gross_Sales]]-OrdersRawTable9[[#This Row],[Discount_Amount]]</f>
        <v>300.16000000000003</v>
      </c>
      <c r="Z198" s="45">
        <f>OrdersRawTable9[[#This Row],[Unit_Cost]]*OrdersRawTable9[[#This Row],[Quantity]]</f>
        <v>158.46</v>
      </c>
      <c r="AA198" s="45">
        <f>OrdersRawTable9[[#This Row],[Net_Sales]]-OrdersRawTable9[[#This Row],[Total_Cost]]</f>
        <v>141.70000000000002</v>
      </c>
      <c r="AB198" s="48">
        <f>IF(OrdersRawTable9[[#This Row],[Net_Sales]]=0,0,OrdersRawTable9[[#This Row],[Profit]]/OrdersRawTable9[[#This Row],[Net_Sales]])</f>
        <v>0.47208155650319833</v>
      </c>
      <c r="AC198" s="45" t="str">
        <f>IF(COUNTIF(ReturnsRawTable[Order_Line_ID],OrdersRawTable9[[#This Row],[Order_Line_ID]])&gt;0,"Yes","No")</f>
        <v>No</v>
      </c>
      <c r="AD198" s="45" t="str">
        <f>IFERROR(VLOOKUP(OrdersRawTable9[[#This Row],[Order_Line_ID]],ReturnsRawTable[[#All],[Order_Line_ID]:[Return_Reason_Raw]],3,FALSE),"")</f>
        <v/>
      </c>
      <c r="AE198" s="49" t="str">
        <f>IFERROR(VLOOKUP(OrdersRawTable9[[#This Row],[Order_Line_ID]],ReturnsRawTable[[#All],[Order_Line_ID]:[Return_Date]],2,FALSE),"")</f>
        <v/>
      </c>
      <c r="AF198" s="45" t="str">
        <f>IFERROR(VLOOKUP(OrdersRawTable9[[#This Row],[Order_Line_ID]],ReturnsRawTable[[Order_Line_ID]:[Refund_Status]],4,FALSE),"")</f>
        <v/>
      </c>
      <c r="AG198" s="45" t="str">
        <f>VLOOKUP(OrdersRawTable9[[#This Row],[Order_ID]],ShipmentsTable[],6,FALSE)</f>
        <v>Late</v>
      </c>
      <c r="AH198" s="49">
        <f>VLOOKUP(OrdersRawTable9[[#This Row],[Order_ID]],ShipmentsTable[],3,FALSE)</f>
        <v>45830</v>
      </c>
    </row>
    <row r="199" spans="1:34" ht="15" customHeight="1">
      <c r="A199" s="14" t="s">
        <v>514</v>
      </c>
      <c r="B199" s="10" t="s">
        <v>511</v>
      </c>
      <c r="C199" s="20">
        <v>45823</v>
      </c>
      <c r="D199" s="10" t="s">
        <v>512</v>
      </c>
      <c r="E199" s="10" t="s">
        <v>513</v>
      </c>
      <c r="F199" s="10" t="str">
        <f>TRIM(LEFT(OrdersRawTable9[[#This Row],[Customer_Info]],FIND(",",OrdersRawTable9[[#This Row],[Customer_Info]])-1))</f>
        <v>Daniel Brown</v>
      </c>
      <c r="G19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199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199" s="10">
        <f>LEN(OrdersRawTable9[[#This Row],[Customer_Info]])-LEN(SUBSTITUTE(OrdersRawTable9[[#This Row],[Customer_Info]],",",""))</f>
        <v>2</v>
      </c>
      <c r="J199" s="10" t="s">
        <v>128</v>
      </c>
      <c r="K199" s="23">
        <v>4</v>
      </c>
      <c r="L199" s="26">
        <v>25.15</v>
      </c>
      <c r="M199" s="29">
        <v>0.15</v>
      </c>
      <c r="N199" s="10" t="s">
        <v>50</v>
      </c>
      <c r="O199" s="10" t="str">
        <f>IF(TRIM(OrdersRawTable9[[#This Row],[Sales_Channel_Raw]])="Market place","Marketplace",TRIM(OrdersRawTable9[[#This Row],[Sales_Channel_Raw]]))</f>
        <v>Marketplace</v>
      </c>
      <c r="P199" s="10" t="s">
        <v>58</v>
      </c>
      <c r="Q199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199" s="15" t="s">
        <v>42</v>
      </c>
      <c r="S199" t="str">
        <f>VLOOKUP(OrdersRawTable9[[#This Row],[Customer_ID_Raw]],CustomersTable11[],4,FALSE)</f>
        <v>Alberta</v>
      </c>
      <c r="T199" t="str">
        <f>VLOOKUP(OrdersRawTable9[[#This Row],[Customer_ID_Raw]],CustomersTable11[],5,FALSE)</f>
        <v>Small Business</v>
      </c>
      <c r="U199" s="45">
        <f>VLOOKUP(OrdersRawTable9[[#This Row],[Product_ID]],ProductsTable10[],4,FALSE)</f>
        <v>14.24</v>
      </c>
      <c r="V199" t="str">
        <f>VLOOKUP(OrdersRawTable9[[#This Row],[Product_ID]],ProductsTable10[],3,FALSE)</f>
        <v>Electronics</v>
      </c>
      <c r="W199" s="45">
        <f>OrdersRawTable9[[#This Row],[Unit_Price]]*OrdersRawTable9[[#This Row],[Quantity]]</f>
        <v>100.6</v>
      </c>
      <c r="X199" s="47">
        <f>OrdersRawTable9[[#This Row],[Gross_Sales]]*OrdersRawTable9[[#This Row],[Discount_Pct]]</f>
        <v>15.089999999999998</v>
      </c>
      <c r="Y199" s="45">
        <f>OrdersRawTable9[[#This Row],[Gross_Sales]]-OrdersRawTable9[[#This Row],[Discount_Amount]]</f>
        <v>85.509999999999991</v>
      </c>
      <c r="Z199" s="45">
        <f>OrdersRawTable9[[#This Row],[Unit_Cost]]*OrdersRawTable9[[#This Row],[Quantity]]</f>
        <v>56.96</v>
      </c>
      <c r="AA199" s="45">
        <f>OrdersRawTable9[[#This Row],[Net_Sales]]-OrdersRawTable9[[#This Row],[Total_Cost]]</f>
        <v>28.54999999999999</v>
      </c>
      <c r="AB199" s="48">
        <f>IF(OrdersRawTable9[[#This Row],[Net_Sales]]=0,0,OrdersRawTable9[[#This Row],[Profit]]/OrdersRawTable9[[#This Row],[Net_Sales]])</f>
        <v>0.33387907847035425</v>
      </c>
      <c r="AC199" s="45" t="str">
        <f>IF(COUNTIF(ReturnsRawTable[Order_Line_ID],OrdersRawTable9[[#This Row],[Order_Line_ID]])&gt;0,"Yes","No")</f>
        <v>No</v>
      </c>
      <c r="AD199" s="45" t="str">
        <f>IFERROR(VLOOKUP(OrdersRawTable9[[#This Row],[Order_Line_ID]],ReturnsRawTable[[#All],[Order_Line_ID]:[Return_Reason_Raw]],3,FALSE),"")</f>
        <v/>
      </c>
      <c r="AE199" s="49" t="str">
        <f>IFERROR(VLOOKUP(OrdersRawTable9[[#This Row],[Order_Line_ID]],ReturnsRawTable[[#All],[Order_Line_ID]:[Return_Date]],2,FALSE),"")</f>
        <v/>
      </c>
      <c r="AF199" s="45" t="str">
        <f>IFERROR(VLOOKUP(OrdersRawTable9[[#This Row],[Order_Line_ID]],ReturnsRawTable[[Order_Line_ID]:[Refund_Status]],4,FALSE),"")</f>
        <v/>
      </c>
      <c r="AG199" s="45" t="str">
        <f>VLOOKUP(OrdersRawTable9[[#This Row],[Order_ID]],ShipmentsTable[],6,FALSE)</f>
        <v>Late</v>
      </c>
      <c r="AH199" s="49">
        <f>VLOOKUP(OrdersRawTable9[[#This Row],[Order_ID]],ShipmentsTable[],3,FALSE)</f>
        <v>45830</v>
      </c>
    </row>
    <row r="200" spans="1:34" ht="15" customHeight="1">
      <c r="A200" s="14" t="s">
        <v>515</v>
      </c>
      <c r="B200" s="10" t="s">
        <v>516</v>
      </c>
      <c r="C200" s="20">
        <v>45664</v>
      </c>
      <c r="D200" s="10" t="s">
        <v>517</v>
      </c>
      <c r="E200" s="10" t="s">
        <v>518</v>
      </c>
      <c r="F200" s="10" t="str">
        <f>TRIM(LEFT(OrdersRawTable9[[#This Row],[Customer_Info]],FIND(",",OrdersRawTable9[[#This Row],[Customer_Info]])-1))</f>
        <v>Sara Singh</v>
      </c>
      <c r="G20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200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00" s="10">
        <f>LEN(OrdersRawTable9[[#This Row],[Customer_Info]])-LEN(SUBSTITUTE(OrdersRawTable9[[#This Row],[Customer_Info]],",",""))</f>
        <v>2</v>
      </c>
      <c r="J200" s="10" t="s">
        <v>93</v>
      </c>
      <c r="K200" s="23">
        <v>3</v>
      </c>
      <c r="L200" s="26">
        <v>208.89</v>
      </c>
      <c r="M200" s="29">
        <v>0</v>
      </c>
      <c r="N200" s="10" t="s">
        <v>66</v>
      </c>
      <c r="O200" s="10" t="str">
        <f>IF(TRIM(OrdersRawTable9[[#This Row],[Sales_Channel_Raw]])="Market place","Marketplace",TRIM(OrdersRawTable9[[#This Row],[Sales_Channel_Raw]]))</f>
        <v>Marketplace</v>
      </c>
      <c r="P200" s="10" t="s">
        <v>51</v>
      </c>
      <c r="Q200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200" s="15" t="s">
        <v>67</v>
      </c>
      <c r="S200" t="str">
        <f>VLOOKUP(OrdersRawTable9[[#This Row],[Customer_ID_Raw]],CustomersTable11[],4,FALSE)</f>
        <v>British Columbia</v>
      </c>
      <c r="T200" t="str">
        <f>VLOOKUP(OrdersRawTable9[[#This Row],[Customer_ID_Raw]],CustomersTable11[],5,FALSE)</f>
        <v>Small Business</v>
      </c>
      <c r="U200" s="45">
        <f>VLOOKUP(OrdersRawTable9[[#This Row],[Product_ID]],ProductsTable10[],4,FALSE)</f>
        <v>133.05000000000001</v>
      </c>
      <c r="V200" t="str">
        <f>VLOOKUP(OrdersRawTable9[[#This Row],[Product_ID]],ProductsTable10[],3,FALSE)</f>
        <v>Accessories</v>
      </c>
      <c r="W200" s="45">
        <f>OrdersRawTable9[[#This Row],[Unit_Price]]*OrdersRawTable9[[#This Row],[Quantity]]</f>
        <v>626.66999999999996</v>
      </c>
      <c r="X200" s="47">
        <f>OrdersRawTable9[[#This Row],[Gross_Sales]]*OrdersRawTable9[[#This Row],[Discount_Pct]]</f>
        <v>0</v>
      </c>
      <c r="Y200" s="45">
        <f>OrdersRawTable9[[#This Row],[Gross_Sales]]-OrdersRawTable9[[#This Row],[Discount_Amount]]</f>
        <v>626.66999999999996</v>
      </c>
      <c r="Z200" s="45">
        <f>OrdersRawTable9[[#This Row],[Unit_Cost]]*OrdersRawTable9[[#This Row],[Quantity]]</f>
        <v>399.15000000000003</v>
      </c>
      <c r="AA200" s="45">
        <f>OrdersRawTable9[[#This Row],[Net_Sales]]-OrdersRawTable9[[#This Row],[Total_Cost]]</f>
        <v>227.51999999999992</v>
      </c>
      <c r="AB200" s="48">
        <f>IF(OrdersRawTable9[[#This Row],[Net_Sales]]=0,0,OrdersRawTable9[[#This Row],[Profit]]/OrdersRawTable9[[#This Row],[Net_Sales]])</f>
        <v>0.36306189860692223</v>
      </c>
      <c r="AC200" s="45" t="str">
        <f>IF(COUNTIF(ReturnsRawTable[Order_Line_ID],OrdersRawTable9[[#This Row],[Order_Line_ID]])&gt;0,"Yes","No")</f>
        <v>No</v>
      </c>
      <c r="AD200" s="45" t="str">
        <f>IFERROR(VLOOKUP(OrdersRawTable9[[#This Row],[Order_Line_ID]],ReturnsRawTable[[#All],[Order_Line_ID]:[Return_Reason_Raw]],3,FALSE),"")</f>
        <v/>
      </c>
      <c r="AE200" s="49" t="str">
        <f>IFERROR(VLOOKUP(OrdersRawTable9[[#This Row],[Order_Line_ID]],ReturnsRawTable[[#All],[Order_Line_ID]:[Return_Date]],2,FALSE),"")</f>
        <v/>
      </c>
      <c r="AF200" s="45" t="str">
        <f>IFERROR(VLOOKUP(OrdersRawTable9[[#This Row],[Order_Line_ID]],ReturnsRawTable[[Order_Line_ID]:[Refund_Status]],4,FALSE),"")</f>
        <v/>
      </c>
      <c r="AG200" s="45" t="str">
        <f>VLOOKUP(OrdersRawTable9[[#This Row],[Order_ID]],ShipmentsTable[],6,FALSE)</f>
        <v>Late</v>
      </c>
      <c r="AH200" s="49">
        <f>VLOOKUP(OrdersRawTable9[[#This Row],[Order_ID]],ShipmentsTable[],3,FALSE)</f>
        <v>45673</v>
      </c>
    </row>
    <row r="201" spans="1:34" ht="15" customHeight="1">
      <c r="A201" s="14" t="s">
        <v>519</v>
      </c>
      <c r="B201" s="10" t="s">
        <v>520</v>
      </c>
      <c r="C201" s="20">
        <v>45783</v>
      </c>
      <c r="D201" s="10" t="s">
        <v>475</v>
      </c>
      <c r="E201" s="10" t="s">
        <v>476</v>
      </c>
      <c r="F201" s="10" t="str">
        <f>TRIM(LEFT(OrdersRawTable9[[#This Row],[Customer_Info]],FIND(",",OrdersRawTable9[[#This Row],[Customer_Info]])-1))</f>
        <v>Daniel Martin</v>
      </c>
      <c r="G20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201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201" s="10">
        <f>LEN(OrdersRawTable9[[#This Row],[Customer_Info]])-LEN(SUBSTITUTE(OrdersRawTable9[[#This Row],[Customer_Info]],",",""))</f>
        <v>2</v>
      </c>
      <c r="J201" s="10" t="s">
        <v>521</v>
      </c>
      <c r="K201" s="23">
        <v>1</v>
      </c>
      <c r="L201" s="26">
        <v>37.82</v>
      </c>
      <c r="M201" s="29">
        <v>0</v>
      </c>
      <c r="N201" s="10" t="s">
        <v>70</v>
      </c>
      <c r="O201" s="10" t="str">
        <f>IF(TRIM(OrdersRawTable9[[#This Row],[Sales_Channel_Raw]])="Market place","Marketplace",TRIM(OrdersRawTable9[[#This Row],[Sales_Channel_Raw]]))</f>
        <v>online</v>
      </c>
      <c r="P201" s="10" t="s">
        <v>46</v>
      </c>
      <c r="Q201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201" s="15" t="s">
        <v>52</v>
      </c>
      <c r="S201" t="str">
        <f>VLOOKUP(OrdersRawTable9[[#This Row],[Customer_ID_Raw]],CustomersTable11[],4,FALSE)</f>
        <v>Quebec</v>
      </c>
      <c r="T201" t="str">
        <f>VLOOKUP(OrdersRawTable9[[#This Row],[Customer_ID_Raw]],CustomersTable11[],5,FALSE)</f>
        <v>Consumer</v>
      </c>
      <c r="U201" s="45">
        <f>VLOOKUP(OrdersRawTable9[[#This Row],[Product_ID]],ProductsTable10[],4,FALSE)</f>
        <v>24.76</v>
      </c>
      <c r="V201" t="str">
        <f>VLOOKUP(OrdersRawTable9[[#This Row],[Product_ID]],ProductsTable10[],3,FALSE)</f>
        <v>Electronics</v>
      </c>
      <c r="W201" s="45">
        <f>OrdersRawTable9[[#This Row],[Unit_Price]]*OrdersRawTable9[[#This Row],[Quantity]]</f>
        <v>37.82</v>
      </c>
      <c r="X201" s="47">
        <f>OrdersRawTable9[[#This Row],[Gross_Sales]]*OrdersRawTable9[[#This Row],[Discount_Pct]]</f>
        <v>0</v>
      </c>
      <c r="Y201" s="45">
        <f>OrdersRawTable9[[#This Row],[Gross_Sales]]-OrdersRawTable9[[#This Row],[Discount_Amount]]</f>
        <v>37.82</v>
      </c>
      <c r="Z201" s="45">
        <f>OrdersRawTable9[[#This Row],[Unit_Cost]]*OrdersRawTable9[[#This Row],[Quantity]]</f>
        <v>24.76</v>
      </c>
      <c r="AA201" s="45">
        <f>OrdersRawTable9[[#This Row],[Net_Sales]]-OrdersRawTable9[[#This Row],[Total_Cost]]</f>
        <v>13.059999999999999</v>
      </c>
      <c r="AB201" s="48">
        <f>IF(OrdersRawTable9[[#This Row],[Net_Sales]]=0,0,OrdersRawTable9[[#This Row],[Profit]]/OrdersRawTable9[[#This Row],[Net_Sales]])</f>
        <v>0.34531993654151238</v>
      </c>
      <c r="AC201" s="45" t="str">
        <f>IF(COUNTIF(ReturnsRawTable[Order_Line_ID],OrdersRawTable9[[#This Row],[Order_Line_ID]])&gt;0,"Yes","No")</f>
        <v>No</v>
      </c>
      <c r="AD201" s="45" t="str">
        <f>IFERROR(VLOOKUP(OrdersRawTable9[[#This Row],[Order_Line_ID]],ReturnsRawTable[[#All],[Order_Line_ID]:[Return_Reason_Raw]],3,FALSE),"")</f>
        <v/>
      </c>
      <c r="AE201" s="49" t="str">
        <f>IFERROR(VLOOKUP(OrdersRawTable9[[#This Row],[Order_Line_ID]],ReturnsRawTable[[#All],[Order_Line_ID]:[Return_Date]],2,FALSE),"")</f>
        <v/>
      </c>
      <c r="AF201" s="45" t="str">
        <f>IFERROR(VLOOKUP(OrdersRawTable9[[#This Row],[Order_Line_ID]],ReturnsRawTable[[Order_Line_ID]:[Refund_Status]],4,FALSE),"")</f>
        <v/>
      </c>
      <c r="AG201" s="45" t="str">
        <f>VLOOKUP(OrdersRawTable9[[#This Row],[Order_ID]],ShipmentsTable[],6,FALSE)</f>
        <v>On time</v>
      </c>
      <c r="AH201" s="49">
        <f>VLOOKUP(OrdersRawTable9[[#This Row],[Order_ID]],ShipmentsTable[],3,FALSE)</f>
        <v>45786</v>
      </c>
    </row>
    <row r="202" spans="1:34" ht="15" customHeight="1">
      <c r="A202" s="14" t="s">
        <v>522</v>
      </c>
      <c r="B202" s="10" t="s">
        <v>520</v>
      </c>
      <c r="C202" s="20">
        <v>45783</v>
      </c>
      <c r="D202" s="10" t="s">
        <v>475</v>
      </c>
      <c r="E202" s="10" t="s">
        <v>476</v>
      </c>
      <c r="F202" s="10" t="str">
        <f>TRIM(LEFT(OrdersRawTable9[[#This Row],[Customer_Info]],FIND(",",OrdersRawTable9[[#This Row],[Customer_Info]])-1))</f>
        <v>Daniel Martin</v>
      </c>
      <c r="G20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202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202" s="10">
        <f>LEN(OrdersRawTable9[[#This Row],[Customer_Info]])-LEN(SUBSTITUTE(OrdersRawTable9[[#This Row],[Customer_Info]],",",""))</f>
        <v>2</v>
      </c>
      <c r="J202" s="10" t="s">
        <v>171</v>
      </c>
      <c r="K202" s="23">
        <v>2</v>
      </c>
      <c r="L202" s="26">
        <v>228.81</v>
      </c>
      <c r="M202" s="29">
        <v>0</v>
      </c>
      <c r="N202" s="10" t="s">
        <v>50</v>
      </c>
      <c r="O202" s="10" t="str">
        <f>IF(TRIM(OrdersRawTable9[[#This Row],[Sales_Channel_Raw]])="Market place","Marketplace",TRIM(OrdersRawTable9[[#This Row],[Sales_Channel_Raw]]))</f>
        <v>Marketplace</v>
      </c>
      <c r="P202" s="10"/>
      <c r="Q202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202" s="15" t="s">
        <v>67</v>
      </c>
      <c r="S202" t="str">
        <f>VLOOKUP(OrdersRawTable9[[#This Row],[Customer_ID_Raw]],CustomersTable11[],4,FALSE)</f>
        <v>Quebec</v>
      </c>
      <c r="T202" t="str">
        <f>VLOOKUP(OrdersRawTable9[[#This Row],[Customer_ID_Raw]],CustomersTable11[],5,FALSE)</f>
        <v>Consumer</v>
      </c>
      <c r="U202" s="45">
        <f>VLOOKUP(OrdersRawTable9[[#This Row],[Product_ID]],ProductsTable10[],4,FALSE)</f>
        <v>130.9</v>
      </c>
      <c r="V202" t="str">
        <f>VLOOKUP(OrdersRawTable9[[#This Row],[Product_ID]],ProductsTable10[],3,FALSE)</f>
        <v>Accessories</v>
      </c>
      <c r="W202" s="45">
        <f>OrdersRawTable9[[#This Row],[Unit_Price]]*OrdersRawTable9[[#This Row],[Quantity]]</f>
        <v>457.62</v>
      </c>
      <c r="X202" s="47">
        <f>OrdersRawTable9[[#This Row],[Gross_Sales]]*OrdersRawTable9[[#This Row],[Discount_Pct]]</f>
        <v>0</v>
      </c>
      <c r="Y202" s="45">
        <f>OrdersRawTable9[[#This Row],[Gross_Sales]]-OrdersRawTable9[[#This Row],[Discount_Amount]]</f>
        <v>457.62</v>
      </c>
      <c r="Z202" s="45">
        <f>OrdersRawTable9[[#This Row],[Unit_Cost]]*OrdersRawTable9[[#This Row],[Quantity]]</f>
        <v>261.8</v>
      </c>
      <c r="AA202" s="45">
        <f>OrdersRawTable9[[#This Row],[Net_Sales]]-OrdersRawTable9[[#This Row],[Total_Cost]]</f>
        <v>195.82</v>
      </c>
      <c r="AB202" s="48">
        <f>IF(OrdersRawTable9[[#This Row],[Net_Sales]]=0,0,OrdersRawTable9[[#This Row],[Profit]]/OrdersRawTable9[[#This Row],[Net_Sales]])</f>
        <v>0.42790961933481925</v>
      </c>
      <c r="AC202" s="45" t="str">
        <f>IF(COUNTIF(ReturnsRawTable[Order_Line_ID],OrdersRawTable9[[#This Row],[Order_Line_ID]])&gt;0,"Yes","No")</f>
        <v>No</v>
      </c>
      <c r="AD202" s="45" t="str">
        <f>IFERROR(VLOOKUP(OrdersRawTable9[[#This Row],[Order_Line_ID]],ReturnsRawTable[[#All],[Order_Line_ID]:[Return_Reason_Raw]],3,FALSE),"")</f>
        <v/>
      </c>
      <c r="AE202" s="49" t="str">
        <f>IFERROR(VLOOKUP(OrdersRawTable9[[#This Row],[Order_Line_ID]],ReturnsRawTable[[#All],[Order_Line_ID]:[Return_Date]],2,FALSE),"")</f>
        <v/>
      </c>
      <c r="AF202" s="45" t="str">
        <f>IFERROR(VLOOKUP(OrdersRawTable9[[#This Row],[Order_Line_ID]],ReturnsRawTable[[Order_Line_ID]:[Refund_Status]],4,FALSE),"")</f>
        <v/>
      </c>
      <c r="AG202" s="45" t="str">
        <f>VLOOKUP(OrdersRawTable9[[#This Row],[Order_ID]],ShipmentsTable[],6,FALSE)</f>
        <v>On time</v>
      </c>
      <c r="AH202" s="49">
        <f>VLOOKUP(OrdersRawTable9[[#This Row],[Order_ID]],ShipmentsTable[],3,FALSE)</f>
        <v>45786</v>
      </c>
    </row>
    <row r="203" spans="1:34" ht="15" customHeight="1">
      <c r="A203" s="14" t="s">
        <v>523</v>
      </c>
      <c r="B203" s="10" t="s">
        <v>524</v>
      </c>
      <c r="C203" s="20">
        <v>45912</v>
      </c>
      <c r="D203" s="10" t="s">
        <v>525</v>
      </c>
      <c r="E203" s="10" t="s">
        <v>526</v>
      </c>
      <c r="F203" s="10" t="str">
        <f>TRIM(LEFT(OrdersRawTable9[[#This Row],[Customer_Info]],FIND(",",OrdersRawTable9[[#This Row],[Customer_Info]])-1))</f>
        <v>Yara Johnson</v>
      </c>
      <c r="G20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203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203" s="10">
        <f>LEN(OrdersRawTable9[[#This Row],[Customer_Info]])-LEN(SUBSTITUTE(OrdersRawTable9[[#This Row],[Customer_Info]],",",""))</f>
        <v>2</v>
      </c>
      <c r="J203" s="10" t="s">
        <v>69</v>
      </c>
      <c r="K203" s="23">
        <v>2</v>
      </c>
      <c r="L203" s="26">
        <v>75.75</v>
      </c>
      <c r="M203" s="29">
        <v>0.15</v>
      </c>
      <c r="N203" s="10" t="s">
        <v>70</v>
      </c>
      <c r="O203" s="10" t="str">
        <f>IF(TRIM(OrdersRawTable9[[#This Row],[Sales_Channel_Raw]])="Market place","Marketplace",TRIM(OrdersRawTable9[[#This Row],[Sales_Channel_Raw]]))</f>
        <v>online</v>
      </c>
      <c r="P203" s="10" t="s">
        <v>58</v>
      </c>
      <c r="Q203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203" s="15" t="s">
        <v>67</v>
      </c>
      <c r="S203" t="str">
        <f>VLOOKUP(OrdersRawTable9[[#This Row],[Customer_ID_Raw]],CustomersTable11[],4,FALSE)</f>
        <v>British Columbia</v>
      </c>
      <c r="T203" t="str">
        <f>VLOOKUP(OrdersRawTable9[[#This Row],[Customer_ID_Raw]],CustomersTable11[],5,FALSE)</f>
        <v>Corporate</v>
      </c>
      <c r="U203" s="45">
        <f>VLOOKUP(OrdersRawTable9[[#This Row],[Product_ID]],ProductsTable10[],4,FALSE)</f>
        <v>42.37</v>
      </c>
      <c r="V203" t="str">
        <f>VLOOKUP(OrdersRawTable9[[#This Row],[Product_ID]],ProductsTable10[],3,FALSE)</f>
        <v>Office</v>
      </c>
      <c r="W203" s="45">
        <f>OrdersRawTable9[[#This Row],[Unit_Price]]*OrdersRawTable9[[#This Row],[Quantity]]</f>
        <v>151.5</v>
      </c>
      <c r="X203" s="47">
        <f>OrdersRawTable9[[#This Row],[Gross_Sales]]*OrdersRawTable9[[#This Row],[Discount_Pct]]</f>
        <v>22.724999999999998</v>
      </c>
      <c r="Y203" s="45">
        <f>OrdersRawTable9[[#This Row],[Gross_Sales]]-OrdersRawTable9[[#This Row],[Discount_Amount]]</f>
        <v>128.77500000000001</v>
      </c>
      <c r="Z203" s="45">
        <f>OrdersRawTable9[[#This Row],[Unit_Cost]]*OrdersRawTable9[[#This Row],[Quantity]]</f>
        <v>84.74</v>
      </c>
      <c r="AA203" s="45">
        <f>OrdersRawTable9[[#This Row],[Net_Sales]]-OrdersRawTable9[[#This Row],[Total_Cost]]</f>
        <v>44.035000000000011</v>
      </c>
      <c r="AB203" s="48">
        <f>IF(OrdersRawTable9[[#This Row],[Net_Sales]]=0,0,OrdersRawTable9[[#This Row],[Profit]]/OrdersRawTable9[[#This Row],[Net_Sales]])</f>
        <v>0.34195301883129497</v>
      </c>
      <c r="AC203" s="45" t="str">
        <f>IF(COUNTIF(ReturnsRawTable[Order_Line_ID],OrdersRawTable9[[#This Row],[Order_Line_ID]])&gt;0,"Yes","No")</f>
        <v>Yes</v>
      </c>
      <c r="AD203" s="45" t="str">
        <f>IFERROR(VLOOKUP(OrdersRawTable9[[#This Row],[Order_Line_ID]],ReturnsRawTable[[#All],[Order_Line_ID]:[Return_Reason_Raw]],3,FALSE),"")</f>
        <v>Wrong Item</v>
      </c>
      <c r="AE203" s="49">
        <f>IFERROR(VLOOKUP(OrdersRawTable9[[#This Row],[Order_Line_ID]],ReturnsRawTable[[#All],[Order_Line_ID]:[Return_Date]],2,FALSE),"")</f>
        <v>45932</v>
      </c>
      <c r="AF203" s="45" t="str">
        <f>IFERROR(VLOOKUP(OrdersRawTable9[[#This Row],[Order_Line_ID]],ReturnsRawTable[[Order_Line_ID]:[Refund_Status]],4,FALSE),"")</f>
        <v>Pending</v>
      </c>
      <c r="AG203" s="45" t="str">
        <f>VLOOKUP(OrdersRawTable9[[#This Row],[Order_ID]],ShipmentsTable[],6,FALSE)</f>
        <v>Late</v>
      </c>
      <c r="AH203" s="49">
        <f>VLOOKUP(OrdersRawTable9[[#This Row],[Order_ID]],ShipmentsTable[],3,FALSE)</f>
        <v>45918</v>
      </c>
    </row>
    <row r="204" spans="1:34" ht="15" customHeight="1">
      <c r="A204" s="14" t="s">
        <v>527</v>
      </c>
      <c r="B204" s="10" t="s">
        <v>524</v>
      </c>
      <c r="C204" s="20">
        <v>45912</v>
      </c>
      <c r="D204" s="10" t="s">
        <v>525</v>
      </c>
      <c r="E204" s="10" t="s">
        <v>526</v>
      </c>
      <c r="F204" s="10" t="str">
        <f>TRIM(LEFT(OrdersRawTable9[[#This Row],[Customer_Info]],FIND(",",OrdersRawTable9[[#This Row],[Customer_Info]])-1))</f>
        <v>Yara Johnson</v>
      </c>
      <c r="G20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204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204" s="10">
        <f>LEN(OrdersRawTable9[[#This Row],[Customer_Info]])-LEN(SUBSTITUTE(OrdersRawTable9[[#This Row],[Customer_Info]],",",""))</f>
        <v>2</v>
      </c>
      <c r="J204" s="10" t="s">
        <v>238</v>
      </c>
      <c r="K204" s="23">
        <v>2</v>
      </c>
      <c r="L204" s="26">
        <v>82.77</v>
      </c>
      <c r="M204" s="29">
        <v>0</v>
      </c>
      <c r="N204" s="10" t="s">
        <v>45</v>
      </c>
      <c r="O204" s="10" t="str">
        <f>IF(TRIM(OrdersRawTable9[[#This Row],[Sales_Channel_Raw]])="Market place","Marketplace",TRIM(OrdersRawTable9[[#This Row],[Sales_Channel_Raw]]))</f>
        <v>Retail Store</v>
      </c>
      <c r="P204" s="10" t="s">
        <v>58</v>
      </c>
      <c r="Q204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204" s="15" t="s">
        <v>42</v>
      </c>
      <c r="S204" t="str">
        <f>VLOOKUP(OrdersRawTable9[[#This Row],[Customer_ID_Raw]],CustomersTable11[],4,FALSE)</f>
        <v>British Columbia</v>
      </c>
      <c r="T204" t="str">
        <f>VLOOKUP(OrdersRawTable9[[#This Row],[Customer_ID_Raw]],CustomersTable11[],5,FALSE)</f>
        <v>Corporate</v>
      </c>
      <c r="U204" s="45">
        <f>VLOOKUP(OrdersRawTable9[[#This Row],[Product_ID]],ProductsTable10[],4,FALSE)</f>
        <v>46.51</v>
      </c>
      <c r="V204" t="str">
        <f>VLOOKUP(OrdersRawTable9[[#This Row],[Product_ID]],ProductsTable10[],3,FALSE)</f>
        <v>Office</v>
      </c>
      <c r="W204" s="45">
        <f>OrdersRawTable9[[#This Row],[Unit_Price]]*OrdersRawTable9[[#This Row],[Quantity]]</f>
        <v>165.54</v>
      </c>
      <c r="X204" s="47">
        <f>OrdersRawTable9[[#This Row],[Gross_Sales]]*OrdersRawTable9[[#This Row],[Discount_Pct]]</f>
        <v>0</v>
      </c>
      <c r="Y204" s="45">
        <f>OrdersRawTable9[[#This Row],[Gross_Sales]]-OrdersRawTable9[[#This Row],[Discount_Amount]]</f>
        <v>165.54</v>
      </c>
      <c r="Z204" s="45">
        <f>OrdersRawTable9[[#This Row],[Unit_Cost]]*OrdersRawTable9[[#This Row],[Quantity]]</f>
        <v>93.02</v>
      </c>
      <c r="AA204" s="45">
        <f>OrdersRawTable9[[#This Row],[Net_Sales]]-OrdersRawTable9[[#This Row],[Total_Cost]]</f>
        <v>72.52</v>
      </c>
      <c r="AB204" s="48">
        <f>IF(OrdersRawTable9[[#This Row],[Net_Sales]]=0,0,OrdersRawTable9[[#This Row],[Profit]]/OrdersRawTable9[[#This Row],[Net_Sales]])</f>
        <v>0.43808143046997705</v>
      </c>
      <c r="AC204" s="45" t="str">
        <f>IF(COUNTIF(ReturnsRawTable[Order_Line_ID],OrdersRawTable9[[#This Row],[Order_Line_ID]])&gt;0,"Yes","No")</f>
        <v>No</v>
      </c>
      <c r="AD204" s="45" t="str">
        <f>IFERROR(VLOOKUP(OrdersRawTable9[[#This Row],[Order_Line_ID]],ReturnsRawTable[[#All],[Order_Line_ID]:[Return_Reason_Raw]],3,FALSE),"")</f>
        <v/>
      </c>
      <c r="AE204" s="49" t="str">
        <f>IFERROR(VLOOKUP(OrdersRawTable9[[#This Row],[Order_Line_ID]],ReturnsRawTable[[#All],[Order_Line_ID]:[Return_Date]],2,FALSE),"")</f>
        <v/>
      </c>
      <c r="AF204" s="45" t="str">
        <f>IFERROR(VLOOKUP(OrdersRawTable9[[#This Row],[Order_Line_ID]],ReturnsRawTable[[Order_Line_ID]:[Refund_Status]],4,FALSE),"")</f>
        <v/>
      </c>
      <c r="AG204" s="45" t="str">
        <f>VLOOKUP(OrdersRawTable9[[#This Row],[Order_ID]],ShipmentsTable[],6,FALSE)</f>
        <v>Late</v>
      </c>
      <c r="AH204" s="49">
        <f>VLOOKUP(OrdersRawTable9[[#This Row],[Order_ID]],ShipmentsTable[],3,FALSE)</f>
        <v>45918</v>
      </c>
    </row>
    <row r="205" spans="1:34" ht="15" customHeight="1">
      <c r="A205" s="14" t="s">
        <v>528</v>
      </c>
      <c r="B205" s="10" t="s">
        <v>529</v>
      </c>
      <c r="C205" s="20">
        <v>45752.041666666664</v>
      </c>
      <c r="D205" s="10" t="s">
        <v>530</v>
      </c>
      <c r="E205" s="10" t="s">
        <v>531</v>
      </c>
      <c r="F205" s="10" t="str">
        <f>TRIM(LEFT(OrdersRawTable9[[#This Row],[Customer_Info]],FIND(",",OrdersRawTable9[[#This Row],[Customer_Info]])-1))</f>
        <v>Ethan Johnson</v>
      </c>
      <c r="G20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205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05" s="10">
        <f>LEN(OrdersRawTable9[[#This Row],[Customer_Info]])-LEN(SUBSTITUTE(OrdersRawTable9[[#This Row],[Customer_Info]],",",""))</f>
        <v>2</v>
      </c>
      <c r="J205" s="10" t="s">
        <v>39</v>
      </c>
      <c r="K205" s="23">
        <v>1</v>
      </c>
      <c r="L205" s="26">
        <v>236.51</v>
      </c>
      <c r="M205" s="29">
        <v>0</v>
      </c>
      <c r="N205" s="10" t="s">
        <v>45</v>
      </c>
      <c r="O205" s="10" t="str">
        <f>IF(TRIM(OrdersRawTable9[[#This Row],[Sales_Channel_Raw]])="Market place","Marketplace",TRIM(OrdersRawTable9[[#This Row],[Sales_Channel_Raw]]))</f>
        <v>Retail Store</v>
      </c>
      <c r="P205" s="10" t="s">
        <v>46</v>
      </c>
      <c r="Q205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205" s="15" t="s">
        <v>47</v>
      </c>
      <c r="S205" t="str">
        <f>VLOOKUP(OrdersRawTable9[[#This Row],[Customer_ID_Raw]],CustomersTable11[],4,FALSE)</f>
        <v>Alberta</v>
      </c>
      <c r="T205" t="str">
        <f>VLOOKUP(OrdersRawTable9[[#This Row],[Customer_ID_Raw]],CustomersTable11[],5,FALSE)</f>
        <v>Small Business</v>
      </c>
      <c r="U205" s="45">
        <f>VLOOKUP(OrdersRawTable9[[#This Row],[Product_ID]],ProductsTable10[],4,FALSE)</f>
        <v>142.84</v>
      </c>
      <c r="V205" t="str">
        <f>VLOOKUP(OrdersRawTable9[[#This Row],[Product_ID]],ProductsTable10[],3,FALSE)</f>
        <v>Fitness</v>
      </c>
      <c r="W205" s="45">
        <f>OrdersRawTable9[[#This Row],[Unit_Price]]*OrdersRawTable9[[#This Row],[Quantity]]</f>
        <v>236.51</v>
      </c>
      <c r="X205" s="47">
        <f>OrdersRawTable9[[#This Row],[Gross_Sales]]*OrdersRawTable9[[#This Row],[Discount_Pct]]</f>
        <v>0</v>
      </c>
      <c r="Y205" s="45">
        <f>OrdersRawTable9[[#This Row],[Gross_Sales]]-OrdersRawTable9[[#This Row],[Discount_Amount]]</f>
        <v>236.51</v>
      </c>
      <c r="Z205" s="45">
        <f>OrdersRawTable9[[#This Row],[Unit_Cost]]*OrdersRawTable9[[#This Row],[Quantity]]</f>
        <v>142.84</v>
      </c>
      <c r="AA205" s="45">
        <f>OrdersRawTable9[[#This Row],[Net_Sales]]-OrdersRawTable9[[#This Row],[Total_Cost]]</f>
        <v>93.669999999999987</v>
      </c>
      <c r="AB205" s="48">
        <f>IF(OrdersRawTable9[[#This Row],[Net_Sales]]=0,0,OrdersRawTable9[[#This Row],[Profit]]/OrdersRawTable9[[#This Row],[Net_Sales]])</f>
        <v>0.39605090693839579</v>
      </c>
      <c r="AC205" s="45" t="str">
        <f>IF(COUNTIF(ReturnsRawTable[Order_Line_ID],OrdersRawTable9[[#This Row],[Order_Line_ID]])&gt;0,"Yes","No")</f>
        <v>No</v>
      </c>
      <c r="AD205" s="45" t="str">
        <f>IFERROR(VLOOKUP(OrdersRawTable9[[#This Row],[Order_Line_ID]],ReturnsRawTable[[#All],[Order_Line_ID]:[Return_Reason_Raw]],3,FALSE),"")</f>
        <v/>
      </c>
      <c r="AE205" s="49" t="str">
        <f>IFERROR(VLOOKUP(OrdersRawTable9[[#This Row],[Order_Line_ID]],ReturnsRawTable[[#All],[Order_Line_ID]:[Return_Date]],2,FALSE),"")</f>
        <v/>
      </c>
      <c r="AF205" s="45" t="str">
        <f>IFERROR(VLOOKUP(OrdersRawTable9[[#This Row],[Order_Line_ID]],ReturnsRawTable[[Order_Line_ID]:[Refund_Status]],4,FALSE),"")</f>
        <v/>
      </c>
      <c r="AG205" s="45" t="str">
        <f>VLOOKUP(OrdersRawTable9[[#This Row],[Order_ID]],ShipmentsTable[],6,FALSE)</f>
        <v>Late</v>
      </c>
      <c r="AH205" s="49">
        <f>VLOOKUP(OrdersRawTable9[[#This Row],[Order_ID]],ShipmentsTable[],3,FALSE)</f>
        <v>45758</v>
      </c>
    </row>
    <row r="206" spans="1:34" ht="15" customHeight="1">
      <c r="A206" s="14" t="s">
        <v>532</v>
      </c>
      <c r="B206" s="10" t="s">
        <v>529</v>
      </c>
      <c r="C206" s="20">
        <v>45752.041666666664</v>
      </c>
      <c r="D206" s="10" t="s">
        <v>530</v>
      </c>
      <c r="E206" s="10" t="s">
        <v>531</v>
      </c>
      <c r="F206" s="10" t="str">
        <f>TRIM(LEFT(OrdersRawTable9[[#This Row],[Customer_Info]],FIND(",",OrdersRawTable9[[#This Row],[Customer_Info]])-1))</f>
        <v>Ethan Johnson</v>
      </c>
      <c r="G20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206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06" s="10">
        <f>LEN(OrdersRawTable9[[#This Row],[Customer_Info]])-LEN(SUBSTITUTE(OrdersRawTable9[[#This Row],[Customer_Info]],",",""))</f>
        <v>2</v>
      </c>
      <c r="J206" s="10" t="s">
        <v>57</v>
      </c>
      <c r="K206" s="23">
        <v>1</v>
      </c>
      <c r="L206" s="26">
        <v>208.81</v>
      </c>
      <c r="M206" s="29">
        <v>0.1</v>
      </c>
      <c r="N206" s="10" t="s">
        <v>64</v>
      </c>
      <c r="O206" s="10" t="str">
        <f>IF(TRIM(OrdersRawTable9[[#This Row],[Sales_Channel_Raw]])="Market place","Marketplace",TRIM(OrdersRawTable9[[#This Row],[Sales_Channel_Raw]]))</f>
        <v>Retail Store</v>
      </c>
      <c r="P206" s="10" t="s">
        <v>58</v>
      </c>
      <c r="Q206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206" s="15" t="s">
        <v>47</v>
      </c>
      <c r="S206" t="str">
        <f>VLOOKUP(OrdersRawTable9[[#This Row],[Customer_ID_Raw]],CustomersTable11[],4,FALSE)</f>
        <v>Alberta</v>
      </c>
      <c r="T206" t="str">
        <f>VLOOKUP(OrdersRawTable9[[#This Row],[Customer_ID_Raw]],CustomersTable11[],5,FALSE)</f>
        <v>Small Business</v>
      </c>
      <c r="U206" s="45">
        <f>VLOOKUP(OrdersRawTable9[[#This Row],[Product_ID]],ProductsTable10[],4,FALSE)</f>
        <v>139.04</v>
      </c>
      <c r="V206" t="str">
        <f>VLOOKUP(OrdersRawTable9[[#This Row],[Product_ID]],ProductsTable10[],3,FALSE)</f>
        <v>Fitness</v>
      </c>
      <c r="W206" s="45">
        <f>OrdersRawTable9[[#This Row],[Unit_Price]]*OrdersRawTable9[[#This Row],[Quantity]]</f>
        <v>208.81</v>
      </c>
      <c r="X206" s="47">
        <f>OrdersRawTable9[[#This Row],[Gross_Sales]]*OrdersRawTable9[[#This Row],[Discount_Pct]]</f>
        <v>20.881</v>
      </c>
      <c r="Y206" s="45">
        <f>OrdersRawTable9[[#This Row],[Gross_Sales]]-OrdersRawTable9[[#This Row],[Discount_Amount]]</f>
        <v>187.929</v>
      </c>
      <c r="Z206" s="45">
        <f>OrdersRawTable9[[#This Row],[Unit_Cost]]*OrdersRawTable9[[#This Row],[Quantity]]</f>
        <v>139.04</v>
      </c>
      <c r="AA206" s="45">
        <f>OrdersRawTable9[[#This Row],[Net_Sales]]-OrdersRawTable9[[#This Row],[Total_Cost]]</f>
        <v>48.88900000000001</v>
      </c>
      <c r="AB206" s="48">
        <f>IF(OrdersRawTable9[[#This Row],[Net_Sales]]=0,0,OrdersRawTable9[[#This Row],[Profit]]/OrdersRawTable9[[#This Row],[Net_Sales]])</f>
        <v>0.26014611901303158</v>
      </c>
      <c r="AC206" s="45" t="str">
        <f>IF(COUNTIF(ReturnsRawTable[Order_Line_ID],OrdersRawTable9[[#This Row],[Order_Line_ID]])&gt;0,"Yes","No")</f>
        <v>Yes</v>
      </c>
      <c r="AD206" s="45" t="str">
        <f>IFERROR(VLOOKUP(OrdersRawTable9[[#This Row],[Order_Line_ID]],ReturnsRawTable[[#All],[Order_Line_ID]:[Return_Reason_Raw]],3,FALSE),"")</f>
        <v>Wrong Item</v>
      </c>
      <c r="AE206" s="49">
        <f>IFERROR(VLOOKUP(OrdersRawTable9[[#This Row],[Order_Line_ID]],ReturnsRawTable[[#All],[Order_Line_ID]:[Return_Date]],2,FALSE),"")</f>
        <v>45775</v>
      </c>
      <c r="AF206" s="45" t="str">
        <f>IFERROR(VLOOKUP(OrdersRawTable9[[#This Row],[Order_Line_ID]],ReturnsRawTable[[Order_Line_ID]:[Refund_Status]],4,FALSE),"")</f>
        <v>Refunded</v>
      </c>
      <c r="AG206" s="45" t="str">
        <f>VLOOKUP(OrdersRawTable9[[#This Row],[Order_ID]],ShipmentsTable[],6,FALSE)</f>
        <v>Late</v>
      </c>
      <c r="AH206" s="49">
        <f>VLOOKUP(OrdersRawTable9[[#This Row],[Order_ID]],ShipmentsTable[],3,FALSE)</f>
        <v>45758</v>
      </c>
    </row>
    <row r="207" spans="1:34" ht="15" customHeight="1">
      <c r="A207" s="14" t="s">
        <v>533</v>
      </c>
      <c r="B207" s="10" t="s">
        <v>529</v>
      </c>
      <c r="C207" s="20">
        <v>45752.041666666664</v>
      </c>
      <c r="D207" s="10" t="s">
        <v>530</v>
      </c>
      <c r="E207" s="10" t="s">
        <v>531</v>
      </c>
      <c r="F207" s="10" t="str">
        <f>TRIM(LEFT(OrdersRawTable9[[#This Row],[Customer_Info]],FIND(",",OrdersRawTable9[[#This Row],[Customer_Info]])-1))</f>
        <v>Ethan Johnson</v>
      </c>
      <c r="G20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207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07" s="10">
        <f>LEN(OrdersRawTable9[[#This Row],[Customer_Info]])-LEN(SUBSTITUTE(OrdersRawTable9[[#This Row],[Customer_Info]],",",""))</f>
        <v>2</v>
      </c>
      <c r="J207" s="10" t="s">
        <v>108</v>
      </c>
      <c r="K207" s="23">
        <v>1</v>
      </c>
      <c r="L207" s="26">
        <v>33.369999999999997</v>
      </c>
      <c r="M207" s="29">
        <v>0.15</v>
      </c>
      <c r="N207" s="10" t="s">
        <v>64</v>
      </c>
      <c r="O207" s="10" t="str">
        <f>IF(TRIM(OrdersRawTable9[[#This Row],[Sales_Channel_Raw]])="Market place","Marketplace",TRIM(OrdersRawTable9[[#This Row],[Sales_Channel_Raw]]))</f>
        <v>Retail Store</v>
      </c>
      <c r="P207" s="10" t="s">
        <v>46</v>
      </c>
      <c r="Q207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207" s="15" t="s">
        <v>67</v>
      </c>
      <c r="S207" t="str">
        <f>VLOOKUP(OrdersRawTable9[[#This Row],[Customer_ID_Raw]],CustomersTable11[],4,FALSE)</f>
        <v>Alberta</v>
      </c>
      <c r="T207" t="str">
        <f>VLOOKUP(OrdersRawTable9[[#This Row],[Customer_ID_Raw]],CustomersTable11[],5,FALSE)</f>
        <v>Small Business</v>
      </c>
      <c r="U207" s="45">
        <f>VLOOKUP(OrdersRawTable9[[#This Row],[Product_ID]],ProductsTable10[],4,FALSE)</f>
        <v>18.670000000000002</v>
      </c>
      <c r="V207" t="str">
        <f>VLOOKUP(OrdersRawTable9[[#This Row],[Product_ID]],ProductsTable10[],3,FALSE)</f>
        <v>Fitness</v>
      </c>
      <c r="W207" s="45">
        <f>OrdersRawTable9[[#This Row],[Unit_Price]]*OrdersRawTable9[[#This Row],[Quantity]]</f>
        <v>33.369999999999997</v>
      </c>
      <c r="X207" s="47">
        <f>OrdersRawTable9[[#This Row],[Gross_Sales]]*OrdersRawTable9[[#This Row],[Discount_Pct]]</f>
        <v>5.0054999999999996</v>
      </c>
      <c r="Y207" s="45">
        <f>OrdersRawTable9[[#This Row],[Gross_Sales]]-OrdersRawTable9[[#This Row],[Discount_Amount]]</f>
        <v>28.3645</v>
      </c>
      <c r="Z207" s="45">
        <f>OrdersRawTable9[[#This Row],[Unit_Cost]]*OrdersRawTable9[[#This Row],[Quantity]]</f>
        <v>18.670000000000002</v>
      </c>
      <c r="AA207" s="45">
        <f>OrdersRawTable9[[#This Row],[Net_Sales]]-OrdersRawTable9[[#This Row],[Total_Cost]]</f>
        <v>9.6944999999999979</v>
      </c>
      <c r="AB207" s="48">
        <f>IF(OrdersRawTable9[[#This Row],[Net_Sales]]=0,0,OrdersRawTable9[[#This Row],[Profit]]/OrdersRawTable9[[#This Row],[Net_Sales]])</f>
        <v>0.34178286238079281</v>
      </c>
      <c r="AC207" s="45" t="str">
        <f>IF(COUNTIF(ReturnsRawTable[Order_Line_ID],OrdersRawTable9[[#This Row],[Order_Line_ID]])&gt;0,"Yes","No")</f>
        <v>No</v>
      </c>
      <c r="AD207" s="45" t="str">
        <f>IFERROR(VLOOKUP(OrdersRawTable9[[#This Row],[Order_Line_ID]],ReturnsRawTable[[#All],[Order_Line_ID]:[Return_Reason_Raw]],3,FALSE),"")</f>
        <v/>
      </c>
      <c r="AE207" s="49" t="str">
        <f>IFERROR(VLOOKUP(OrdersRawTable9[[#This Row],[Order_Line_ID]],ReturnsRawTable[[#All],[Order_Line_ID]:[Return_Date]],2,FALSE),"")</f>
        <v/>
      </c>
      <c r="AF207" s="45" t="str">
        <f>IFERROR(VLOOKUP(OrdersRawTable9[[#This Row],[Order_Line_ID]],ReturnsRawTable[[Order_Line_ID]:[Refund_Status]],4,FALSE),"")</f>
        <v/>
      </c>
      <c r="AG207" s="45" t="str">
        <f>VLOOKUP(OrdersRawTable9[[#This Row],[Order_ID]],ShipmentsTable[],6,FALSE)</f>
        <v>Late</v>
      </c>
      <c r="AH207" s="49">
        <f>VLOOKUP(OrdersRawTable9[[#This Row],[Order_ID]],ShipmentsTable[],3,FALSE)</f>
        <v>45758</v>
      </c>
    </row>
    <row r="208" spans="1:34" ht="15" customHeight="1">
      <c r="A208" s="14" t="s">
        <v>534</v>
      </c>
      <c r="B208" s="10" t="s">
        <v>535</v>
      </c>
      <c r="C208" s="20">
        <v>45803</v>
      </c>
      <c r="D208" s="10" t="s">
        <v>536</v>
      </c>
      <c r="E208" s="10" t="s">
        <v>537</v>
      </c>
      <c r="F208" s="10" t="str">
        <f>TRIM(LEFT(OrdersRawTable9[[#This Row],[Customer_Info]],FIND(",",OrdersRawTable9[[#This Row],[Customer_Info]])-1))</f>
        <v>Sofia Martin</v>
      </c>
      <c r="G20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208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208" s="10">
        <f>LEN(OrdersRawTable9[[#This Row],[Customer_Info]])-LEN(SUBSTITUTE(OrdersRawTable9[[#This Row],[Customer_Info]],",",""))</f>
        <v>2</v>
      </c>
      <c r="J208" s="10" t="s">
        <v>251</v>
      </c>
      <c r="K208" s="23">
        <v>1</v>
      </c>
      <c r="L208" s="26">
        <v>228.91</v>
      </c>
      <c r="M208" s="29">
        <v>0.15</v>
      </c>
      <c r="N208" s="10" t="s">
        <v>70</v>
      </c>
      <c r="O208" s="10" t="str">
        <f>IF(TRIM(OrdersRawTable9[[#This Row],[Sales_Channel_Raw]])="Market place","Marketplace",TRIM(OrdersRawTable9[[#This Row],[Sales_Channel_Raw]]))</f>
        <v>online</v>
      </c>
      <c r="P208" s="10" t="s">
        <v>51</v>
      </c>
      <c r="Q208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208" s="15" t="s">
        <v>42</v>
      </c>
      <c r="S208" t="str">
        <f>VLOOKUP(OrdersRawTable9[[#This Row],[Customer_ID_Raw]],CustomersTable11[],4,FALSE)</f>
        <v>Quebec</v>
      </c>
      <c r="T208" t="str">
        <f>VLOOKUP(OrdersRawTable9[[#This Row],[Customer_ID_Raw]],CustomersTable11[],5,FALSE)</f>
        <v>Consumer</v>
      </c>
      <c r="U208" s="45">
        <f>VLOOKUP(OrdersRawTable9[[#This Row],[Product_ID]],ProductsTable10[],4,FALSE)</f>
        <v>149.4</v>
      </c>
      <c r="V208" t="str">
        <f>VLOOKUP(OrdersRawTable9[[#This Row],[Product_ID]],ProductsTable10[],3,FALSE)</f>
        <v>Office</v>
      </c>
      <c r="W208" s="45">
        <f>OrdersRawTable9[[#This Row],[Unit_Price]]*OrdersRawTable9[[#This Row],[Quantity]]</f>
        <v>228.91</v>
      </c>
      <c r="X208" s="47">
        <f>OrdersRawTable9[[#This Row],[Gross_Sales]]*OrdersRawTable9[[#This Row],[Discount_Pct]]</f>
        <v>34.336500000000001</v>
      </c>
      <c r="Y208" s="45">
        <f>OrdersRawTable9[[#This Row],[Gross_Sales]]-OrdersRawTable9[[#This Row],[Discount_Amount]]</f>
        <v>194.5735</v>
      </c>
      <c r="Z208" s="45">
        <f>OrdersRawTable9[[#This Row],[Unit_Cost]]*OrdersRawTable9[[#This Row],[Quantity]]</f>
        <v>149.4</v>
      </c>
      <c r="AA208" s="45">
        <f>OrdersRawTable9[[#This Row],[Net_Sales]]-OrdersRawTable9[[#This Row],[Total_Cost]]</f>
        <v>45.17349999999999</v>
      </c>
      <c r="AB208" s="48">
        <f>IF(OrdersRawTable9[[#This Row],[Net_Sales]]=0,0,OrdersRawTable9[[#This Row],[Profit]]/OrdersRawTable9[[#This Row],[Net_Sales]])</f>
        <v>0.23216676474442816</v>
      </c>
      <c r="AC208" s="45" t="str">
        <f>IF(COUNTIF(ReturnsRawTable[Order_Line_ID],OrdersRawTable9[[#This Row],[Order_Line_ID]])&gt;0,"Yes","No")</f>
        <v>No</v>
      </c>
      <c r="AD208" s="45" t="str">
        <f>IFERROR(VLOOKUP(OrdersRawTable9[[#This Row],[Order_Line_ID]],ReturnsRawTable[[#All],[Order_Line_ID]:[Return_Reason_Raw]],3,FALSE),"")</f>
        <v/>
      </c>
      <c r="AE208" s="49" t="str">
        <f>IFERROR(VLOOKUP(OrdersRawTable9[[#This Row],[Order_Line_ID]],ReturnsRawTable[[#All],[Order_Line_ID]:[Return_Date]],2,FALSE),"")</f>
        <v/>
      </c>
      <c r="AF208" s="45" t="str">
        <f>IFERROR(VLOOKUP(OrdersRawTable9[[#This Row],[Order_Line_ID]],ReturnsRawTable[[Order_Line_ID]:[Refund_Status]],4,FALSE),"")</f>
        <v/>
      </c>
      <c r="AG208" s="45" t="str">
        <f>VLOOKUP(OrdersRawTable9[[#This Row],[Order_ID]],ShipmentsTable[],6,FALSE)</f>
        <v>On time</v>
      </c>
      <c r="AH208" s="49">
        <f>VLOOKUP(OrdersRawTable9[[#This Row],[Order_ID]],ShipmentsTable[],3,FALSE)</f>
        <v>45808</v>
      </c>
    </row>
    <row r="209" spans="1:34" ht="15" customHeight="1">
      <c r="A209" s="14" t="s">
        <v>538</v>
      </c>
      <c r="B209" s="10" t="s">
        <v>539</v>
      </c>
      <c r="C209" s="20">
        <v>45967</v>
      </c>
      <c r="D209" s="10" t="s">
        <v>540</v>
      </c>
      <c r="E209" s="10" t="s">
        <v>541</v>
      </c>
      <c r="F209" s="10" t="str">
        <f>TRIM(LEFT(OrdersRawTable9[[#This Row],[Customer_Info]],FIND(",",OrdersRawTable9[[#This Row],[Customer_Info]])-1))</f>
        <v>Sara Wilson</v>
      </c>
      <c r="G20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209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209" s="10">
        <f>LEN(OrdersRawTable9[[#This Row],[Customer_Info]])-LEN(SUBSTITUTE(OrdersRawTable9[[#This Row],[Customer_Info]],",",""))</f>
        <v>2</v>
      </c>
      <c r="J209" s="10" t="s">
        <v>241</v>
      </c>
      <c r="K209" s="23">
        <v>3</v>
      </c>
      <c r="L209" s="26">
        <v>300.56</v>
      </c>
      <c r="M209" s="29">
        <v>0.15</v>
      </c>
      <c r="N209" s="10" t="s">
        <v>45</v>
      </c>
      <c r="O209" s="10" t="str">
        <f>IF(TRIM(OrdersRawTable9[[#This Row],[Sales_Channel_Raw]])="Market place","Marketplace",TRIM(OrdersRawTable9[[#This Row],[Sales_Channel_Raw]]))</f>
        <v>Retail Store</v>
      </c>
      <c r="P209" s="10" t="s">
        <v>41</v>
      </c>
      <c r="Q209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209" s="15" t="s">
        <v>67</v>
      </c>
      <c r="S209" t="str">
        <f>VLOOKUP(OrdersRawTable9[[#This Row],[Customer_ID_Raw]],CustomersTable11[],4,FALSE)</f>
        <v>British Columbia</v>
      </c>
      <c r="T209" t="str">
        <f>VLOOKUP(OrdersRawTable9[[#This Row],[Customer_ID_Raw]],CustomersTable11[],5,FALSE)</f>
        <v>Corporate</v>
      </c>
      <c r="U209" s="45">
        <f>VLOOKUP(OrdersRawTable9[[#This Row],[Product_ID]],ProductsTable10[],4,FALSE)</f>
        <v>158.86000000000001</v>
      </c>
      <c r="V209" t="str">
        <f>VLOOKUP(OrdersRawTable9[[#This Row],[Product_ID]],ProductsTable10[],3,FALSE)</f>
        <v>Accessories</v>
      </c>
      <c r="W209" s="45">
        <f>OrdersRawTable9[[#This Row],[Unit_Price]]*OrdersRawTable9[[#This Row],[Quantity]]</f>
        <v>901.68000000000006</v>
      </c>
      <c r="X209" s="47">
        <f>OrdersRawTable9[[#This Row],[Gross_Sales]]*OrdersRawTable9[[#This Row],[Discount_Pct]]</f>
        <v>135.25200000000001</v>
      </c>
      <c r="Y209" s="45">
        <f>OrdersRawTable9[[#This Row],[Gross_Sales]]-OrdersRawTable9[[#This Row],[Discount_Amount]]</f>
        <v>766.42800000000011</v>
      </c>
      <c r="Z209" s="45">
        <f>OrdersRawTable9[[#This Row],[Unit_Cost]]*OrdersRawTable9[[#This Row],[Quantity]]</f>
        <v>476.58000000000004</v>
      </c>
      <c r="AA209" s="45">
        <f>OrdersRawTable9[[#This Row],[Net_Sales]]-OrdersRawTable9[[#This Row],[Total_Cost]]</f>
        <v>289.84800000000007</v>
      </c>
      <c r="AB209" s="48">
        <f>IF(OrdersRawTable9[[#This Row],[Net_Sales]]=0,0,OrdersRawTable9[[#This Row],[Profit]]/OrdersRawTable9[[#This Row],[Net_Sales]])</f>
        <v>0.37818033787909633</v>
      </c>
      <c r="AC209" s="45" t="str">
        <f>IF(COUNTIF(ReturnsRawTable[Order_Line_ID],OrdersRawTable9[[#This Row],[Order_Line_ID]])&gt;0,"Yes","No")</f>
        <v>No</v>
      </c>
      <c r="AD209" s="45" t="str">
        <f>IFERROR(VLOOKUP(OrdersRawTable9[[#This Row],[Order_Line_ID]],ReturnsRawTable[[#All],[Order_Line_ID]:[Return_Reason_Raw]],3,FALSE),"")</f>
        <v/>
      </c>
      <c r="AE209" s="49" t="str">
        <f>IFERROR(VLOOKUP(OrdersRawTable9[[#This Row],[Order_Line_ID]],ReturnsRawTable[[#All],[Order_Line_ID]:[Return_Date]],2,FALSE),"")</f>
        <v/>
      </c>
      <c r="AF209" s="45" t="str">
        <f>IFERROR(VLOOKUP(OrdersRawTable9[[#This Row],[Order_Line_ID]],ReturnsRawTable[[Order_Line_ID]:[Refund_Status]],4,FALSE),"")</f>
        <v/>
      </c>
      <c r="AG209" s="45" t="str">
        <f>VLOOKUP(OrdersRawTable9[[#This Row],[Order_ID]],ShipmentsTable[],6,FALSE)</f>
        <v>On time</v>
      </c>
      <c r="AH209" s="49">
        <f>VLOOKUP(OrdersRawTable9[[#This Row],[Order_ID]],ShipmentsTable[],3,FALSE)</f>
        <v>45972</v>
      </c>
    </row>
    <row r="210" spans="1:34" ht="15" customHeight="1">
      <c r="A210" s="14" t="s">
        <v>542</v>
      </c>
      <c r="B210" s="10" t="s">
        <v>539</v>
      </c>
      <c r="C210" s="20">
        <v>45967</v>
      </c>
      <c r="D210" s="10" t="s">
        <v>540</v>
      </c>
      <c r="E210" s="10" t="s">
        <v>541</v>
      </c>
      <c r="F210" s="10" t="str">
        <f>TRIM(LEFT(OrdersRawTable9[[#This Row],[Customer_Info]],FIND(",",OrdersRawTable9[[#This Row],[Customer_Info]])-1))</f>
        <v>Sara Wilson</v>
      </c>
      <c r="G21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210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210" s="10">
        <f>LEN(OrdersRawTable9[[#This Row],[Customer_Info]])-LEN(SUBSTITUTE(OrdersRawTable9[[#This Row],[Customer_Info]],",",""))</f>
        <v>2</v>
      </c>
      <c r="J210" s="10" t="s">
        <v>57</v>
      </c>
      <c r="K210" s="23">
        <v>2</v>
      </c>
      <c r="L210" s="26">
        <v>208.81</v>
      </c>
      <c r="M210" s="29">
        <v>0</v>
      </c>
      <c r="N210" s="10" t="s">
        <v>64</v>
      </c>
      <c r="O210" s="10" t="str">
        <f>IF(TRIM(OrdersRawTable9[[#This Row],[Sales_Channel_Raw]])="Market place","Marketplace",TRIM(OrdersRawTable9[[#This Row],[Sales_Channel_Raw]]))</f>
        <v>Retail Store</v>
      </c>
      <c r="P210" s="10"/>
      <c r="Q210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210" s="15" t="s">
        <v>47</v>
      </c>
      <c r="S210" t="str">
        <f>VLOOKUP(OrdersRawTable9[[#This Row],[Customer_ID_Raw]],CustomersTable11[],4,FALSE)</f>
        <v>British Columbia</v>
      </c>
      <c r="T210" t="str">
        <f>VLOOKUP(OrdersRawTable9[[#This Row],[Customer_ID_Raw]],CustomersTable11[],5,FALSE)</f>
        <v>Corporate</v>
      </c>
      <c r="U210" s="45">
        <f>VLOOKUP(OrdersRawTable9[[#This Row],[Product_ID]],ProductsTable10[],4,FALSE)</f>
        <v>139.04</v>
      </c>
      <c r="V210" t="str">
        <f>VLOOKUP(OrdersRawTable9[[#This Row],[Product_ID]],ProductsTable10[],3,FALSE)</f>
        <v>Fitness</v>
      </c>
      <c r="W210" s="45">
        <f>OrdersRawTable9[[#This Row],[Unit_Price]]*OrdersRawTable9[[#This Row],[Quantity]]</f>
        <v>417.62</v>
      </c>
      <c r="X210" s="47">
        <f>OrdersRawTable9[[#This Row],[Gross_Sales]]*OrdersRawTable9[[#This Row],[Discount_Pct]]</f>
        <v>0</v>
      </c>
      <c r="Y210" s="45">
        <f>OrdersRawTable9[[#This Row],[Gross_Sales]]-OrdersRawTable9[[#This Row],[Discount_Amount]]</f>
        <v>417.62</v>
      </c>
      <c r="Z210" s="45">
        <f>OrdersRawTable9[[#This Row],[Unit_Cost]]*OrdersRawTable9[[#This Row],[Quantity]]</f>
        <v>278.08</v>
      </c>
      <c r="AA210" s="45">
        <f>OrdersRawTable9[[#This Row],[Net_Sales]]-OrdersRawTable9[[#This Row],[Total_Cost]]</f>
        <v>139.54000000000002</v>
      </c>
      <c r="AB210" s="48">
        <f>IF(OrdersRawTable9[[#This Row],[Net_Sales]]=0,0,OrdersRawTable9[[#This Row],[Profit]]/OrdersRawTable9[[#This Row],[Net_Sales]])</f>
        <v>0.3341315071117284</v>
      </c>
      <c r="AC210" s="45" t="str">
        <f>IF(COUNTIF(ReturnsRawTable[Order_Line_ID],OrdersRawTable9[[#This Row],[Order_Line_ID]])&gt;0,"Yes","No")</f>
        <v>No</v>
      </c>
      <c r="AD210" s="45" t="str">
        <f>IFERROR(VLOOKUP(OrdersRawTable9[[#This Row],[Order_Line_ID]],ReturnsRawTable[[#All],[Order_Line_ID]:[Return_Reason_Raw]],3,FALSE),"")</f>
        <v/>
      </c>
      <c r="AE210" s="49" t="str">
        <f>IFERROR(VLOOKUP(OrdersRawTable9[[#This Row],[Order_Line_ID]],ReturnsRawTable[[#All],[Order_Line_ID]:[Return_Date]],2,FALSE),"")</f>
        <v/>
      </c>
      <c r="AF210" s="45" t="str">
        <f>IFERROR(VLOOKUP(OrdersRawTable9[[#This Row],[Order_Line_ID]],ReturnsRawTable[[Order_Line_ID]:[Refund_Status]],4,FALSE),"")</f>
        <v/>
      </c>
      <c r="AG210" s="45" t="str">
        <f>VLOOKUP(OrdersRawTable9[[#This Row],[Order_ID]],ShipmentsTable[],6,FALSE)</f>
        <v>On time</v>
      </c>
      <c r="AH210" s="49">
        <f>VLOOKUP(OrdersRawTable9[[#This Row],[Order_ID]],ShipmentsTable[],3,FALSE)</f>
        <v>45972</v>
      </c>
    </row>
    <row r="211" spans="1:34" ht="15" customHeight="1">
      <c r="A211" s="14" t="s">
        <v>543</v>
      </c>
      <c r="B211" s="10" t="s">
        <v>539</v>
      </c>
      <c r="C211" s="20">
        <v>45967</v>
      </c>
      <c r="D211" s="10" t="s">
        <v>540</v>
      </c>
      <c r="E211" s="10" t="s">
        <v>541</v>
      </c>
      <c r="F211" s="10" t="str">
        <f>TRIM(LEFT(OrdersRawTable9[[#This Row],[Customer_Info]],FIND(",",OrdersRawTable9[[#This Row],[Customer_Info]])-1))</f>
        <v>Sara Wilson</v>
      </c>
      <c r="G21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211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211" s="10">
        <f>LEN(OrdersRawTable9[[#This Row],[Customer_Info]])-LEN(SUBSTITUTE(OrdersRawTable9[[#This Row],[Customer_Info]],",",""))</f>
        <v>2</v>
      </c>
      <c r="J211" s="10" t="s">
        <v>495</v>
      </c>
      <c r="K211" s="23">
        <v>3</v>
      </c>
      <c r="L211" s="26">
        <v>207.71</v>
      </c>
      <c r="M211" s="29">
        <v>0.05</v>
      </c>
      <c r="N211" s="10" t="s">
        <v>45</v>
      </c>
      <c r="O211" s="10" t="str">
        <f>IF(TRIM(OrdersRawTable9[[#This Row],[Sales_Channel_Raw]])="Market place","Marketplace",TRIM(OrdersRawTable9[[#This Row],[Sales_Channel_Raw]]))</f>
        <v>Retail Store</v>
      </c>
      <c r="P211" s="10" t="s">
        <v>46</v>
      </c>
      <c r="Q211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211" s="15" t="s">
        <v>47</v>
      </c>
      <c r="S211" t="str">
        <f>VLOOKUP(OrdersRawTable9[[#This Row],[Customer_ID_Raw]],CustomersTable11[],4,FALSE)</f>
        <v>British Columbia</v>
      </c>
      <c r="T211" t="str">
        <f>VLOOKUP(OrdersRawTable9[[#This Row],[Customer_ID_Raw]],CustomersTable11[],5,FALSE)</f>
        <v>Corporate</v>
      </c>
      <c r="U211" s="45">
        <f>VLOOKUP(OrdersRawTable9[[#This Row],[Product_ID]],ProductsTable10[],4,FALSE)</f>
        <v>132.97</v>
      </c>
      <c r="V211" t="str">
        <f>VLOOKUP(OrdersRawTable9[[#This Row],[Product_ID]],ProductsTable10[],3,FALSE)</f>
        <v>Home</v>
      </c>
      <c r="W211" s="45">
        <f>OrdersRawTable9[[#This Row],[Unit_Price]]*OrdersRawTable9[[#This Row],[Quantity]]</f>
        <v>623.13</v>
      </c>
      <c r="X211" s="47">
        <f>OrdersRawTable9[[#This Row],[Gross_Sales]]*OrdersRawTable9[[#This Row],[Discount_Pct]]</f>
        <v>31.156500000000001</v>
      </c>
      <c r="Y211" s="45">
        <f>OrdersRawTable9[[#This Row],[Gross_Sales]]-OrdersRawTable9[[#This Row],[Discount_Amount]]</f>
        <v>591.97349999999994</v>
      </c>
      <c r="Z211" s="45">
        <f>OrdersRawTable9[[#This Row],[Unit_Cost]]*OrdersRawTable9[[#This Row],[Quantity]]</f>
        <v>398.90999999999997</v>
      </c>
      <c r="AA211" s="45">
        <f>OrdersRawTable9[[#This Row],[Net_Sales]]-OrdersRawTable9[[#This Row],[Total_Cost]]</f>
        <v>193.06349999999998</v>
      </c>
      <c r="AB211" s="48">
        <f>IF(OrdersRawTable9[[#This Row],[Net_Sales]]=0,0,OrdersRawTable9[[#This Row],[Profit]]/OrdersRawTable9[[#This Row],[Net_Sales]])</f>
        <v>0.3261353759923375</v>
      </c>
      <c r="AC211" s="45" t="str">
        <f>IF(COUNTIF(ReturnsRawTable[Order_Line_ID],OrdersRawTable9[[#This Row],[Order_Line_ID]])&gt;0,"Yes","No")</f>
        <v>No</v>
      </c>
      <c r="AD211" s="45" t="str">
        <f>IFERROR(VLOOKUP(OrdersRawTable9[[#This Row],[Order_Line_ID]],ReturnsRawTable[[#All],[Order_Line_ID]:[Return_Reason_Raw]],3,FALSE),"")</f>
        <v/>
      </c>
      <c r="AE211" s="49" t="str">
        <f>IFERROR(VLOOKUP(OrdersRawTable9[[#This Row],[Order_Line_ID]],ReturnsRawTable[[#All],[Order_Line_ID]:[Return_Date]],2,FALSE),"")</f>
        <v/>
      </c>
      <c r="AF211" s="45" t="str">
        <f>IFERROR(VLOOKUP(OrdersRawTable9[[#This Row],[Order_Line_ID]],ReturnsRawTable[[Order_Line_ID]:[Refund_Status]],4,FALSE),"")</f>
        <v/>
      </c>
      <c r="AG211" s="45" t="str">
        <f>VLOOKUP(OrdersRawTable9[[#This Row],[Order_ID]],ShipmentsTable[],6,FALSE)</f>
        <v>On time</v>
      </c>
      <c r="AH211" s="49">
        <f>VLOOKUP(OrdersRawTable9[[#This Row],[Order_ID]],ShipmentsTable[],3,FALSE)</f>
        <v>45972</v>
      </c>
    </row>
    <row r="212" spans="1:34" ht="15" customHeight="1">
      <c r="A212" s="14" t="s">
        <v>544</v>
      </c>
      <c r="B212" s="10" t="s">
        <v>539</v>
      </c>
      <c r="C212" s="20">
        <v>45967</v>
      </c>
      <c r="D212" s="10" t="s">
        <v>545</v>
      </c>
      <c r="E212" s="10" t="s">
        <v>541</v>
      </c>
      <c r="F212" s="10" t="str">
        <f>TRIM(LEFT(OrdersRawTable9[[#This Row],[Customer_Info]],FIND(",",OrdersRawTable9[[#This Row],[Customer_Info]])-1))</f>
        <v>Sara Wilson</v>
      </c>
      <c r="G21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212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212" s="10">
        <f>LEN(OrdersRawTable9[[#This Row],[Customer_Info]])-LEN(SUBSTITUTE(OrdersRawTable9[[#This Row],[Customer_Info]],",",""))</f>
        <v>2</v>
      </c>
      <c r="J212" s="10" t="s">
        <v>112</v>
      </c>
      <c r="K212" s="23">
        <v>3</v>
      </c>
      <c r="L212" s="26">
        <v>88.61</v>
      </c>
      <c r="M212" s="29">
        <v>0</v>
      </c>
      <c r="N212" s="10" t="s">
        <v>45</v>
      </c>
      <c r="O212" s="10" t="str">
        <f>IF(TRIM(OrdersRawTable9[[#This Row],[Sales_Channel_Raw]])="Market place","Marketplace",TRIM(OrdersRawTable9[[#This Row],[Sales_Channel_Raw]]))</f>
        <v>Retail Store</v>
      </c>
      <c r="P212" s="10" t="s">
        <v>41</v>
      </c>
      <c r="Q212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212" s="15" t="s">
        <v>52</v>
      </c>
      <c r="S212" t="str">
        <f>VLOOKUP(OrdersRawTable9[[#This Row],[Customer_ID_Raw]],CustomersTable11[],4,FALSE)</f>
        <v>British Columbia</v>
      </c>
      <c r="T212" t="str">
        <f>VLOOKUP(OrdersRawTable9[[#This Row],[Customer_ID_Raw]],CustomersTable11[],5,FALSE)</f>
        <v>Corporate</v>
      </c>
      <c r="U212" s="45">
        <f>VLOOKUP(OrdersRawTable9[[#This Row],[Product_ID]],ProductsTable10[],4,FALSE)</f>
        <v>49.75</v>
      </c>
      <c r="V212" t="str">
        <f>VLOOKUP(OrdersRawTable9[[#This Row],[Product_ID]],ProductsTable10[],3,FALSE)</f>
        <v>Electronics</v>
      </c>
      <c r="W212" s="45">
        <f>OrdersRawTable9[[#This Row],[Unit_Price]]*OrdersRawTable9[[#This Row],[Quantity]]</f>
        <v>265.83</v>
      </c>
      <c r="X212" s="47">
        <f>OrdersRawTable9[[#This Row],[Gross_Sales]]*OrdersRawTable9[[#This Row],[Discount_Pct]]</f>
        <v>0</v>
      </c>
      <c r="Y212" s="45">
        <f>OrdersRawTable9[[#This Row],[Gross_Sales]]-OrdersRawTable9[[#This Row],[Discount_Amount]]</f>
        <v>265.83</v>
      </c>
      <c r="Z212" s="45">
        <f>OrdersRawTable9[[#This Row],[Unit_Cost]]*OrdersRawTable9[[#This Row],[Quantity]]</f>
        <v>149.25</v>
      </c>
      <c r="AA212" s="45">
        <f>OrdersRawTable9[[#This Row],[Net_Sales]]-OrdersRawTable9[[#This Row],[Total_Cost]]</f>
        <v>116.57999999999998</v>
      </c>
      <c r="AB212" s="48">
        <f>IF(OrdersRawTable9[[#This Row],[Net_Sales]]=0,0,OrdersRawTable9[[#This Row],[Profit]]/OrdersRawTable9[[#This Row],[Net_Sales]])</f>
        <v>0.43855095361697322</v>
      </c>
      <c r="AC212" s="45" t="str">
        <f>IF(COUNTIF(ReturnsRawTable[Order_Line_ID],OrdersRawTable9[[#This Row],[Order_Line_ID]])&gt;0,"Yes","No")</f>
        <v>No</v>
      </c>
      <c r="AD212" s="45" t="str">
        <f>IFERROR(VLOOKUP(OrdersRawTable9[[#This Row],[Order_Line_ID]],ReturnsRawTable[[#All],[Order_Line_ID]:[Return_Reason_Raw]],3,FALSE),"")</f>
        <v/>
      </c>
      <c r="AE212" s="49" t="str">
        <f>IFERROR(VLOOKUP(OrdersRawTable9[[#This Row],[Order_Line_ID]],ReturnsRawTable[[#All],[Order_Line_ID]:[Return_Date]],2,FALSE),"")</f>
        <v/>
      </c>
      <c r="AF212" s="45" t="str">
        <f>IFERROR(VLOOKUP(OrdersRawTable9[[#This Row],[Order_Line_ID]],ReturnsRawTable[[Order_Line_ID]:[Refund_Status]],4,FALSE),"")</f>
        <v/>
      </c>
      <c r="AG212" s="45" t="str">
        <f>VLOOKUP(OrdersRawTable9[[#This Row],[Order_ID]],ShipmentsTable[],6,FALSE)</f>
        <v>On time</v>
      </c>
      <c r="AH212" s="49">
        <f>VLOOKUP(OrdersRawTable9[[#This Row],[Order_ID]],ShipmentsTable[],3,FALSE)</f>
        <v>45972</v>
      </c>
    </row>
    <row r="213" spans="1:34" ht="15" customHeight="1">
      <c r="A213" s="14" t="s">
        <v>546</v>
      </c>
      <c r="B213" s="10" t="s">
        <v>547</v>
      </c>
      <c r="C213" s="20">
        <v>45753.041666666664</v>
      </c>
      <c r="D213" s="10" t="s">
        <v>548</v>
      </c>
      <c r="E213" s="10" t="s">
        <v>549</v>
      </c>
      <c r="F213" s="10" t="str">
        <f>TRIM(LEFT(OrdersRawTable9[[#This Row],[Customer_Info]],FIND(",",OrdersRawTable9[[#This Row],[Customer_Info]])-1))</f>
        <v>Ethan Johnson</v>
      </c>
      <c r="G21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Regina</v>
      </c>
      <c r="H213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213" s="10">
        <f>LEN(OrdersRawTable9[[#This Row],[Customer_Info]])-LEN(SUBSTITUTE(OrdersRawTable9[[#This Row],[Customer_Info]],",",""))</f>
        <v>2</v>
      </c>
      <c r="J213" s="10" t="s">
        <v>100</v>
      </c>
      <c r="K213" s="23">
        <v>3</v>
      </c>
      <c r="L213" s="26">
        <v>42.72</v>
      </c>
      <c r="M213" s="29">
        <v>0.1</v>
      </c>
      <c r="N213" s="10" t="s">
        <v>40</v>
      </c>
      <c r="O213" s="10" t="str">
        <f>IF(TRIM(OrdersRawTable9[[#This Row],[Sales_Channel_Raw]])="Market place","Marketplace",TRIM(OrdersRawTable9[[#This Row],[Sales_Channel_Raw]]))</f>
        <v>Online</v>
      </c>
      <c r="P213" s="10" t="s">
        <v>46</v>
      </c>
      <c r="Q213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213" s="15" t="s">
        <v>67</v>
      </c>
      <c r="S213" t="str">
        <f>VLOOKUP(OrdersRawTable9[[#This Row],[Customer_ID_Raw]],CustomersTable11[],4,FALSE)</f>
        <v>Saskatchewan</v>
      </c>
      <c r="T213" t="str">
        <f>VLOOKUP(OrdersRawTable9[[#This Row],[Customer_ID_Raw]],CustomersTable11[],5,FALSE)</f>
        <v>Corporate</v>
      </c>
      <c r="U213" s="45">
        <f>VLOOKUP(OrdersRawTable9[[#This Row],[Product_ID]],ProductsTable10[],4,FALSE)</f>
        <v>24.46</v>
      </c>
      <c r="V213" t="str">
        <f>VLOOKUP(OrdersRawTable9[[#This Row],[Product_ID]],ProductsTable10[],3,FALSE)</f>
        <v>Electronics</v>
      </c>
      <c r="W213" s="45">
        <f>OrdersRawTable9[[#This Row],[Unit_Price]]*OrdersRawTable9[[#This Row],[Quantity]]</f>
        <v>128.16</v>
      </c>
      <c r="X213" s="47">
        <f>OrdersRawTable9[[#This Row],[Gross_Sales]]*OrdersRawTable9[[#This Row],[Discount_Pct]]</f>
        <v>12.816000000000001</v>
      </c>
      <c r="Y213" s="45">
        <f>OrdersRawTable9[[#This Row],[Gross_Sales]]-OrdersRawTable9[[#This Row],[Discount_Amount]]</f>
        <v>115.34399999999999</v>
      </c>
      <c r="Z213" s="45">
        <f>OrdersRawTable9[[#This Row],[Unit_Cost]]*OrdersRawTable9[[#This Row],[Quantity]]</f>
        <v>73.38</v>
      </c>
      <c r="AA213" s="45">
        <f>OrdersRawTable9[[#This Row],[Net_Sales]]-OrdersRawTable9[[#This Row],[Total_Cost]]</f>
        <v>41.963999999999999</v>
      </c>
      <c r="AB213" s="48">
        <f>IF(OrdersRawTable9[[#This Row],[Net_Sales]]=0,0,OrdersRawTable9[[#This Row],[Profit]]/OrdersRawTable9[[#This Row],[Net_Sales]])</f>
        <v>0.36381606325426552</v>
      </c>
      <c r="AC213" s="45" t="str">
        <f>IF(COUNTIF(ReturnsRawTable[Order_Line_ID],OrdersRawTable9[[#This Row],[Order_Line_ID]])&gt;0,"Yes","No")</f>
        <v>No</v>
      </c>
      <c r="AD213" s="45" t="str">
        <f>IFERROR(VLOOKUP(OrdersRawTable9[[#This Row],[Order_Line_ID]],ReturnsRawTable[[#All],[Order_Line_ID]:[Return_Reason_Raw]],3,FALSE),"")</f>
        <v/>
      </c>
      <c r="AE213" s="49" t="str">
        <f>IFERROR(VLOOKUP(OrdersRawTable9[[#This Row],[Order_Line_ID]],ReturnsRawTable[[#All],[Order_Line_ID]:[Return_Date]],2,FALSE),"")</f>
        <v/>
      </c>
      <c r="AF213" s="45" t="str">
        <f>IFERROR(VLOOKUP(OrdersRawTable9[[#This Row],[Order_Line_ID]],ReturnsRawTable[[Order_Line_ID]:[Refund_Status]],4,FALSE),"")</f>
        <v/>
      </c>
      <c r="AG213" s="45" t="str">
        <f>VLOOKUP(OrdersRawTable9[[#This Row],[Order_ID]],ShipmentsTable[],6,FALSE)</f>
        <v>On time</v>
      </c>
      <c r="AH213" s="49">
        <f>VLOOKUP(OrdersRawTable9[[#This Row],[Order_ID]],ShipmentsTable[],3,FALSE)</f>
        <v>45756</v>
      </c>
    </row>
    <row r="214" spans="1:34" ht="15" customHeight="1">
      <c r="A214" s="14" t="s">
        <v>550</v>
      </c>
      <c r="B214" s="10" t="s">
        <v>547</v>
      </c>
      <c r="C214" s="20">
        <v>45753.041666666664</v>
      </c>
      <c r="D214" s="10" t="s">
        <v>548</v>
      </c>
      <c r="E214" s="10" t="s">
        <v>549</v>
      </c>
      <c r="F214" s="10" t="str">
        <f>TRIM(LEFT(OrdersRawTable9[[#This Row],[Customer_Info]],FIND(",",OrdersRawTable9[[#This Row],[Customer_Info]])-1))</f>
        <v>Ethan Johnson</v>
      </c>
      <c r="G21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Regina</v>
      </c>
      <c r="H214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214" s="10">
        <f>LEN(OrdersRawTable9[[#This Row],[Customer_Info]])-LEN(SUBSTITUTE(OrdersRawTable9[[#This Row],[Customer_Info]],",",""))</f>
        <v>2</v>
      </c>
      <c r="J214" s="10" t="s">
        <v>128</v>
      </c>
      <c r="K214" s="23">
        <v>1</v>
      </c>
      <c r="L214" s="26">
        <v>25.15</v>
      </c>
      <c r="M214" s="29">
        <v>0</v>
      </c>
      <c r="N214" s="10" t="s">
        <v>66</v>
      </c>
      <c r="O214" s="10" t="str">
        <f>IF(TRIM(OrdersRawTable9[[#This Row],[Sales_Channel_Raw]])="Market place","Marketplace",TRIM(OrdersRawTable9[[#This Row],[Sales_Channel_Raw]]))</f>
        <v>Marketplace</v>
      </c>
      <c r="P214" s="10" t="s">
        <v>51</v>
      </c>
      <c r="Q214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214" s="15" t="s">
        <v>67</v>
      </c>
      <c r="S214" t="str">
        <f>VLOOKUP(OrdersRawTable9[[#This Row],[Customer_ID_Raw]],CustomersTable11[],4,FALSE)</f>
        <v>Saskatchewan</v>
      </c>
      <c r="T214" t="str">
        <f>VLOOKUP(OrdersRawTable9[[#This Row],[Customer_ID_Raw]],CustomersTable11[],5,FALSE)</f>
        <v>Corporate</v>
      </c>
      <c r="U214" s="45">
        <f>VLOOKUP(OrdersRawTable9[[#This Row],[Product_ID]],ProductsTable10[],4,FALSE)</f>
        <v>14.24</v>
      </c>
      <c r="V214" t="str">
        <f>VLOOKUP(OrdersRawTable9[[#This Row],[Product_ID]],ProductsTable10[],3,FALSE)</f>
        <v>Electronics</v>
      </c>
      <c r="W214" s="45">
        <f>OrdersRawTable9[[#This Row],[Unit_Price]]*OrdersRawTable9[[#This Row],[Quantity]]</f>
        <v>25.15</v>
      </c>
      <c r="X214" s="47">
        <f>OrdersRawTable9[[#This Row],[Gross_Sales]]*OrdersRawTable9[[#This Row],[Discount_Pct]]</f>
        <v>0</v>
      </c>
      <c r="Y214" s="45">
        <f>OrdersRawTable9[[#This Row],[Gross_Sales]]-OrdersRawTable9[[#This Row],[Discount_Amount]]</f>
        <v>25.15</v>
      </c>
      <c r="Z214" s="45">
        <f>OrdersRawTable9[[#This Row],[Unit_Cost]]*OrdersRawTable9[[#This Row],[Quantity]]</f>
        <v>14.24</v>
      </c>
      <c r="AA214" s="45">
        <f>OrdersRawTable9[[#This Row],[Net_Sales]]-OrdersRawTable9[[#This Row],[Total_Cost]]</f>
        <v>10.909999999999998</v>
      </c>
      <c r="AB214" s="48">
        <f>IF(OrdersRawTable9[[#This Row],[Net_Sales]]=0,0,OrdersRawTable9[[#This Row],[Profit]]/OrdersRawTable9[[#This Row],[Net_Sales]])</f>
        <v>0.43379721669980115</v>
      </c>
      <c r="AC214" s="45" t="str">
        <f>IF(COUNTIF(ReturnsRawTable[Order_Line_ID],OrdersRawTable9[[#This Row],[Order_Line_ID]])&gt;0,"Yes","No")</f>
        <v>No</v>
      </c>
      <c r="AD214" s="45" t="str">
        <f>IFERROR(VLOOKUP(OrdersRawTable9[[#This Row],[Order_Line_ID]],ReturnsRawTable[[#All],[Order_Line_ID]:[Return_Reason_Raw]],3,FALSE),"")</f>
        <v/>
      </c>
      <c r="AE214" s="49" t="str">
        <f>IFERROR(VLOOKUP(OrdersRawTable9[[#This Row],[Order_Line_ID]],ReturnsRawTable[[#All],[Order_Line_ID]:[Return_Date]],2,FALSE),"")</f>
        <v/>
      </c>
      <c r="AF214" s="45" t="str">
        <f>IFERROR(VLOOKUP(OrdersRawTable9[[#This Row],[Order_Line_ID]],ReturnsRawTable[[Order_Line_ID]:[Refund_Status]],4,FALSE),"")</f>
        <v/>
      </c>
      <c r="AG214" s="45" t="str">
        <f>VLOOKUP(OrdersRawTable9[[#This Row],[Order_ID]],ShipmentsTable[],6,FALSE)</f>
        <v>On time</v>
      </c>
      <c r="AH214" s="49">
        <f>VLOOKUP(OrdersRawTable9[[#This Row],[Order_ID]],ShipmentsTable[],3,FALSE)</f>
        <v>45756</v>
      </c>
    </row>
    <row r="215" spans="1:34" ht="15" customHeight="1">
      <c r="A215" s="14" t="s">
        <v>551</v>
      </c>
      <c r="B215" s="10" t="s">
        <v>552</v>
      </c>
      <c r="C215" s="20">
        <v>45672</v>
      </c>
      <c r="D215" s="10" t="s">
        <v>168</v>
      </c>
      <c r="E215" s="10" t="s">
        <v>169</v>
      </c>
      <c r="F215" s="10" t="str">
        <f>TRIM(LEFT(OrdersRawTable9[[#This Row],[Customer_Info]],FIND(",",OrdersRawTable9[[#This Row],[Customer_Info]])-1))</f>
        <v>Adam Brown</v>
      </c>
      <c r="G21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215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15" s="10">
        <f>LEN(OrdersRawTable9[[#This Row],[Customer_Info]])-LEN(SUBSTITUTE(OrdersRawTable9[[#This Row],[Customer_Info]],",",""))</f>
        <v>2</v>
      </c>
      <c r="J215" s="10" t="s">
        <v>110</v>
      </c>
      <c r="K215" s="23">
        <v>2</v>
      </c>
      <c r="L215" s="26">
        <v>133.24</v>
      </c>
      <c r="M215" s="29">
        <v>0.1</v>
      </c>
      <c r="N215" s="10" t="s">
        <v>70</v>
      </c>
      <c r="O215" s="10" t="str">
        <f>IF(TRIM(OrdersRawTable9[[#This Row],[Sales_Channel_Raw]])="Market place","Marketplace",TRIM(OrdersRawTable9[[#This Row],[Sales_Channel_Raw]]))</f>
        <v>online</v>
      </c>
      <c r="P215" s="10" t="s">
        <v>51</v>
      </c>
      <c r="Q215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215" s="15" t="s">
        <v>52</v>
      </c>
      <c r="S215" t="str">
        <f>VLOOKUP(OrdersRawTable9[[#This Row],[Customer_ID_Raw]],CustomersTable11[],4,FALSE)</f>
        <v>Alberta</v>
      </c>
      <c r="T215" t="str">
        <f>VLOOKUP(OrdersRawTable9[[#This Row],[Customer_ID_Raw]],CustomersTable11[],5,FALSE)</f>
        <v>Small Business</v>
      </c>
      <c r="U215" s="45">
        <f>VLOOKUP(OrdersRawTable9[[#This Row],[Product_ID]],ProductsTable10[],4,FALSE)</f>
        <v>77.540000000000006</v>
      </c>
      <c r="V215" t="str">
        <f>VLOOKUP(OrdersRawTable9[[#This Row],[Product_ID]],ProductsTable10[],3,FALSE)</f>
        <v>Electronics</v>
      </c>
      <c r="W215" s="45">
        <f>OrdersRawTable9[[#This Row],[Unit_Price]]*OrdersRawTable9[[#This Row],[Quantity]]</f>
        <v>266.48</v>
      </c>
      <c r="X215" s="47">
        <f>OrdersRawTable9[[#This Row],[Gross_Sales]]*OrdersRawTable9[[#This Row],[Discount_Pct]]</f>
        <v>26.648000000000003</v>
      </c>
      <c r="Y215" s="45">
        <f>OrdersRawTable9[[#This Row],[Gross_Sales]]-OrdersRawTable9[[#This Row],[Discount_Amount]]</f>
        <v>239.83200000000002</v>
      </c>
      <c r="Z215" s="45">
        <f>OrdersRawTable9[[#This Row],[Unit_Cost]]*OrdersRawTable9[[#This Row],[Quantity]]</f>
        <v>155.08000000000001</v>
      </c>
      <c r="AA215" s="45">
        <f>OrdersRawTable9[[#This Row],[Net_Sales]]-OrdersRawTable9[[#This Row],[Total_Cost]]</f>
        <v>84.75200000000001</v>
      </c>
      <c r="AB215" s="48">
        <f>IF(OrdersRawTable9[[#This Row],[Net_Sales]]=0,0,OrdersRawTable9[[#This Row],[Profit]]/OrdersRawTable9[[#This Row],[Net_Sales]])</f>
        <v>0.35338069982320958</v>
      </c>
      <c r="AC215" s="45" t="str">
        <f>IF(COUNTIF(ReturnsRawTable[Order_Line_ID],OrdersRawTable9[[#This Row],[Order_Line_ID]])&gt;0,"Yes","No")</f>
        <v>No</v>
      </c>
      <c r="AD215" s="45" t="str">
        <f>IFERROR(VLOOKUP(OrdersRawTable9[[#This Row],[Order_Line_ID]],ReturnsRawTable[[#All],[Order_Line_ID]:[Return_Reason_Raw]],3,FALSE),"")</f>
        <v/>
      </c>
      <c r="AE215" s="49" t="str">
        <f>IFERROR(VLOOKUP(OrdersRawTable9[[#This Row],[Order_Line_ID]],ReturnsRawTable[[#All],[Order_Line_ID]:[Return_Date]],2,FALSE),"")</f>
        <v/>
      </c>
      <c r="AF215" s="45" t="str">
        <f>IFERROR(VLOOKUP(OrdersRawTable9[[#This Row],[Order_Line_ID]],ReturnsRawTable[[Order_Line_ID]:[Refund_Status]],4,FALSE),"")</f>
        <v/>
      </c>
      <c r="AG215" s="45" t="str">
        <f>VLOOKUP(OrdersRawTable9[[#This Row],[Order_ID]],ShipmentsTable[],6,FALSE)</f>
        <v>On time</v>
      </c>
      <c r="AH215" s="49">
        <f>VLOOKUP(OrdersRawTable9[[#This Row],[Order_ID]],ShipmentsTable[],3,FALSE)</f>
        <v>45676</v>
      </c>
    </row>
    <row r="216" spans="1:34" ht="15" customHeight="1">
      <c r="A216" s="14" t="s">
        <v>553</v>
      </c>
      <c r="B216" s="10" t="s">
        <v>552</v>
      </c>
      <c r="C216" s="20">
        <v>45672</v>
      </c>
      <c r="D216" s="10" t="s">
        <v>168</v>
      </c>
      <c r="E216" s="10" t="s">
        <v>169</v>
      </c>
      <c r="F216" s="10" t="str">
        <f>TRIM(LEFT(OrdersRawTable9[[#This Row],[Customer_Info]],FIND(",",OrdersRawTable9[[#This Row],[Customer_Info]])-1))</f>
        <v>Adam Brown</v>
      </c>
      <c r="G21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216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16" s="10">
        <f>LEN(OrdersRawTable9[[#This Row],[Customer_Info]])-LEN(SUBSTITUTE(OrdersRawTable9[[#This Row],[Customer_Info]],",",""))</f>
        <v>2</v>
      </c>
      <c r="J216" s="10" t="s">
        <v>117</v>
      </c>
      <c r="K216" s="23">
        <v>3</v>
      </c>
      <c r="L216" s="26">
        <v>251.17</v>
      </c>
      <c r="M216" s="29">
        <v>0.15</v>
      </c>
      <c r="N216" s="10" t="s">
        <v>70</v>
      </c>
      <c r="O216" s="10" t="str">
        <f>IF(TRIM(OrdersRawTable9[[#This Row],[Sales_Channel_Raw]])="Market place","Marketplace",TRIM(OrdersRawTable9[[#This Row],[Sales_Channel_Raw]]))</f>
        <v>online</v>
      </c>
      <c r="P216" s="10" t="s">
        <v>41</v>
      </c>
      <c r="Q216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216" s="15" t="s">
        <v>67</v>
      </c>
      <c r="S216" t="str">
        <f>VLOOKUP(OrdersRawTable9[[#This Row],[Customer_ID_Raw]],CustomersTable11[],4,FALSE)</f>
        <v>Alberta</v>
      </c>
      <c r="T216" t="str">
        <f>VLOOKUP(OrdersRawTable9[[#This Row],[Customer_ID_Raw]],CustomersTable11[],5,FALSE)</f>
        <v>Small Business</v>
      </c>
      <c r="U216" s="45">
        <f>VLOOKUP(OrdersRawTable9[[#This Row],[Product_ID]],ProductsTable10[],4,FALSE)</f>
        <v>151.59</v>
      </c>
      <c r="V216" t="str">
        <f>VLOOKUP(OrdersRawTable9[[#This Row],[Product_ID]],ProductsTable10[],3,FALSE)</f>
        <v>Fitness</v>
      </c>
      <c r="W216" s="45">
        <f>OrdersRawTable9[[#This Row],[Unit_Price]]*OrdersRawTable9[[#This Row],[Quantity]]</f>
        <v>753.51</v>
      </c>
      <c r="X216" s="47">
        <f>OrdersRawTable9[[#This Row],[Gross_Sales]]*OrdersRawTable9[[#This Row],[Discount_Pct]]</f>
        <v>113.0265</v>
      </c>
      <c r="Y216" s="45">
        <f>OrdersRawTable9[[#This Row],[Gross_Sales]]-OrdersRawTable9[[#This Row],[Discount_Amount]]</f>
        <v>640.48350000000005</v>
      </c>
      <c r="Z216" s="45">
        <f>OrdersRawTable9[[#This Row],[Unit_Cost]]*OrdersRawTable9[[#This Row],[Quantity]]</f>
        <v>454.77</v>
      </c>
      <c r="AA216" s="45">
        <f>OrdersRawTable9[[#This Row],[Net_Sales]]-OrdersRawTable9[[#This Row],[Total_Cost]]</f>
        <v>185.71350000000007</v>
      </c>
      <c r="AB216" s="48">
        <f>IF(OrdersRawTable9[[#This Row],[Net_Sales]]=0,0,OrdersRawTable9[[#This Row],[Profit]]/OrdersRawTable9[[#This Row],[Net_Sales]])</f>
        <v>0.28995828932361262</v>
      </c>
      <c r="AC216" s="45" t="str">
        <f>IF(COUNTIF(ReturnsRawTable[Order_Line_ID],OrdersRawTable9[[#This Row],[Order_Line_ID]])&gt;0,"Yes","No")</f>
        <v>No</v>
      </c>
      <c r="AD216" s="45" t="str">
        <f>IFERROR(VLOOKUP(OrdersRawTable9[[#This Row],[Order_Line_ID]],ReturnsRawTable[[#All],[Order_Line_ID]:[Return_Reason_Raw]],3,FALSE),"")</f>
        <v/>
      </c>
      <c r="AE216" s="49" t="str">
        <f>IFERROR(VLOOKUP(OrdersRawTable9[[#This Row],[Order_Line_ID]],ReturnsRawTable[[#All],[Order_Line_ID]:[Return_Date]],2,FALSE),"")</f>
        <v/>
      </c>
      <c r="AF216" s="45" t="str">
        <f>IFERROR(VLOOKUP(OrdersRawTable9[[#This Row],[Order_Line_ID]],ReturnsRawTable[[Order_Line_ID]:[Refund_Status]],4,FALSE),"")</f>
        <v/>
      </c>
      <c r="AG216" s="45" t="str">
        <f>VLOOKUP(OrdersRawTable9[[#This Row],[Order_ID]],ShipmentsTable[],6,FALSE)</f>
        <v>On time</v>
      </c>
      <c r="AH216" s="49">
        <f>VLOOKUP(OrdersRawTable9[[#This Row],[Order_ID]],ShipmentsTable[],3,FALSE)</f>
        <v>45676</v>
      </c>
    </row>
    <row r="217" spans="1:34" ht="15" customHeight="1">
      <c r="A217" s="14" t="s">
        <v>554</v>
      </c>
      <c r="B217" s="10" t="s">
        <v>552</v>
      </c>
      <c r="C217" s="20">
        <v>45672</v>
      </c>
      <c r="D217" s="10" t="s">
        <v>168</v>
      </c>
      <c r="E217" s="10" t="s">
        <v>169</v>
      </c>
      <c r="F217" s="10" t="str">
        <f>TRIM(LEFT(OrdersRawTable9[[#This Row],[Customer_Info]],FIND(",",OrdersRawTable9[[#This Row],[Customer_Info]])-1))</f>
        <v>Adam Brown</v>
      </c>
      <c r="G21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217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17" s="10">
        <f>LEN(OrdersRawTable9[[#This Row],[Customer_Info]])-LEN(SUBSTITUTE(OrdersRawTable9[[#This Row],[Customer_Info]],",",""))</f>
        <v>2</v>
      </c>
      <c r="J217" s="10" t="s">
        <v>112</v>
      </c>
      <c r="K217" s="23">
        <v>3</v>
      </c>
      <c r="L217" s="26">
        <v>88.61</v>
      </c>
      <c r="M217" s="29">
        <v>0</v>
      </c>
      <c r="N217" s="10" t="s">
        <v>64</v>
      </c>
      <c r="O217" s="10" t="str">
        <f>IF(TRIM(OrdersRawTable9[[#This Row],[Sales_Channel_Raw]])="Market place","Marketplace",TRIM(OrdersRawTable9[[#This Row],[Sales_Channel_Raw]]))</f>
        <v>Retail Store</v>
      </c>
      <c r="P217" s="10" t="s">
        <v>41</v>
      </c>
      <c r="Q217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217" s="15" t="s">
        <v>42</v>
      </c>
      <c r="S217" t="str">
        <f>VLOOKUP(OrdersRawTable9[[#This Row],[Customer_ID_Raw]],CustomersTable11[],4,FALSE)</f>
        <v>Alberta</v>
      </c>
      <c r="T217" t="str">
        <f>VLOOKUP(OrdersRawTable9[[#This Row],[Customer_ID_Raw]],CustomersTable11[],5,FALSE)</f>
        <v>Small Business</v>
      </c>
      <c r="U217" s="45">
        <f>VLOOKUP(OrdersRawTable9[[#This Row],[Product_ID]],ProductsTable10[],4,FALSE)</f>
        <v>49.75</v>
      </c>
      <c r="V217" t="str">
        <f>VLOOKUP(OrdersRawTable9[[#This Row],[Product_ID]],ProductsTable10[],3,FALSE)</f>
        <v>Electronics</v>
      </c>
      <c r="W217" s="45">
        <f>OrdersRawTable9[[#This Row],[Unit_Price]]*OrdersRawTable9[[#This Row],[Quantity]]</f>
        <v>265.83</v>
      </c>
      <c r="X217" s="47">
        <f>OrdersRawTable9[[#This Row],[Gross_Sales]]*OrdersRawTable9[[#This Row],[Discount_Pct]]</f>
        <v>0</v>
      </c>
      <c r="Y217" s="45">
        <f>OrdersRawTable9[[#This Row],[Gross_Sales]]-OrdersRawTable9[[#This Row],[Discount_Amount]]</f>
        <v>265.83</v>
      </c>
      <c r="Z217" s="45">
        <f>OrdersRawTable9[[#This Row],[Unit_Cost]]*OrdersRawTable9[[#This Row],[Quantity]]</f>
        <v>149.25</v>
      </c>
      <c r="AA217" s="45">
        <f>OrdersRawTable9[[#This Row],[Net_Sales]]-OrdersRawTable9[[#This Row],[Total_Cost]]</f>
        <v>116.57999999999998</v>
      </c>
      <c r="AB217" s="48">
        <f>IF(OrdersRawTable9[[#This Row],[Net_Sales]]=0,0,OrdersRawTable9[[#This Row],[Profit]]/OrdersRawTable9[[#This Row],[Net_Sales]])</f>
        <v>0.43855095361697322</v>
      </c>
      <c r="AC217" s="45" t="str">
        <f>IF(COUNTIF(ReturnsRawTable[Order_Line_ID],OrdersRawTable9[[#This Row],[Order_Line_ID]])&gt;0,"Yes","No")</f>
        <v>No</v>
      </c>
      <c r="AD217" s="45" t="str">
        <f>IFERROR(VLOOKUP(OrdersRawTable9[[#This Row],[Order_Line_ID]],ReturnsRawTable[[#All],[Order_Line_ID]:[Return_Reason_Raw]],3,FALSE),"")</f>
        <v/>
      </c>
      <c r="AE217" s="49" t="str">
        <f>IFERROR(VLOOKUP(OrdersRawTable9[[#This Row],[Order_Line_ID]],ReturnsRawTable[[#All],[Order_Line_ID]:[Return_Date]],2,FALSE),"")</f>
        <v/>
      </c>
      <c r="AF217" s="45" t="str">
        <f>IFERROR(VLOOKUP(OrdersRawTable9[[#This Row],[Order_Line_ID]],ReturnsRawTable[[Order_Line_ID]:[Refund_Status]],4,FALSE),"")</f>
        <v/>
      </c>
      <c r="AG217" s="45" t="str">
        <f>VLOOKUP(OrdersRawTable9[[#This Row],[Order_ID]],ShipmentsTable[],6,FALSE)</f>
        <v>On time</v>
      </c>
      <c r="AH217" s="49">
        <f>VLOOKUP(OrdersRawTable9[[#This Row],[Order_ID]],ShipmentsTable[],3,FALSE)</f>
        <v>45676</v>
      </c>
    </row>
    <row r="218" spans="1:34" ht="15" customHeight="1">
      <c r="A218" s="14" t="s">
        <v>555</v>
      </c>
      <c r="B218" s="10" t="s">
        <v>556</v>
      </c>
      <c r="C218" s="20">
        <v>45764</v>
      </c>
      <c r="D218" s="10" t="s">
        <v>557</v>
      </c>
      <c r="E218" s="10" t="s">
        <v>558</v>
      </c>
      <c r="F218" s="10" t="str">
        <f>TRIM(LEFT(OrdersRawTable9[[#This Row],[Customer_Info]],FIND(",",OrdersRawTable9[[#This Row],[Customer_Info]])-1))</f>
        <v>Adam Singh</v>
      </c>
      <c r="G21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218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218" s="10">
        <f>LEN(OrdersRawTable9[[#This Row],[Customer_Info]])-LEN(SUBSTITUTE(OrdersRawTable9[[#This Row],[Customer_Info]],",",""))</f>
        <v>2</v>
      </c>
      <c r="J218" s="10" t="s">
        <v>83</v>
      </c>
      <c r="K218" s="23">
        <v>4</v>
      </c>
      <c r="L218" s="26">
        <v>115.28</v>
      </c>
      <c r="M218" s="29">
        <v>0.15</v>
      </c>
      <c r="N218" s="10" t="s">
        <v>40</v>
      </c>
      <c r="O218" s="10" t="str">
        <f>IF(TRIM(OrdersRawTable9[[#This Row],[Sales_Channel_Raw]])="Market place","Marketplace",TRIM(OrdersRawTable9[[#This Row],[Sales_Channel_Raw]]))</f>
        <v>Online</v>
      </c>
      <c r="P218" s="10" t="s">
        <v>51</v>
      </c>
      <c r="Q218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218" s="15" t="s">
        <v>42</v>
      </c>
      <c r="S218" t="str">
        <f>VLOOKUP(OrdersRawTable9[[#This Row],[Customer_ID_Raw]],CustomersTable11[],4,FALSE)</f>
        <v>British Columbia</v>
      </c>
      <c r="T218" t="str">
        <f>VLOOKUP(OrdersRawTable9[[#This Row],[Customer_ID_Raw]],CustomersTable11[],5,FALSE)</f>
        <v>Consumer</v>
      </c>
      <c r="U218" s="45">
        <f>VLOOKUP(OrdersRawTable9[[#This Row],[Product_ID]],ProductsTable10[],4,FALSE)</f>
        <v>61.65</v>
      </c>
      <c r="V218" t="str">
        <f>VLOOKUP(OrdersRawTable9[[#This Row],[Product_ID]],ProductsTable10[],3,FALSE)</f>
        <v>Office</v>
      </c>
      <c r="W218" s="45">
        <f>OrdersRawTable9[[#This Row],[Unit_Price]]*OrdersRawTable9[[#This Row],[Quantity]]</f>
        <v>461.12</v>
      </c>
      <c r="X218" s="47">
        <f>OrdersRawTable9[[#This Row],[Gross_Sales]]*OrdersRawTable9[[#This Row],[Discount_Pct]]</f>
        <v>69.167999999999992</v>
      </c>
      <c r="Y218" s="45">
        <f>OrdersRawTable9[[#This Row],[Gross_Sales]]-OrdersRawTable9[[#This Row],[Discount_Amount]]</f>
        <v>391.952</v>
      </c>
      <c r="Z218" s="45">
        <f>OrdersRawTable9[[#This Row],[Unit_Cost]]*OrdersRawTable9[[#This Row],[Quantity]]</f>
        <v>246.6</v>
      </c>
      <c r="AA218" s="45">
        <f>OrdersRawTable9[[#This Row],[Net_Sales]]-OrdersRawTable9[[#This Row],[Total_Cost]]</f>
        <v>145.352</v>
      </c>
      <c r="AB218" s="48">
        <f>IF(OrdersRawTable9[[#This Row],[Net_Sales]]=0,0,OrdersRawTable9[[#This Row],[Profit]]/OrdersRawTable9[[#This Row],[Net_Sales]])</f>
        <v>0.37084132750949095</v>
      </c>
      <c r="AC218" s="45" t="str">
        <f>IF(COUNTIF(ReturnsRawTable[Order_Line_ID],OrdersRawTable9[[#This Row],[Order_Line_ID]])&gt;0,"Yes","No")</f>
        <v>No</v>
      </c>
      <c r="AD218" s="45" t="str">
        <f>IFERROR(VLOOKUP(OrdersRawTable9[[#This Row],[Order_Line_ID]],ReturnsRawTable[[#All],[Order_Line_ID]:[Return_Reason_Raw]],3,FALSE),"")</f>
        <v/>
      </c>
      <c r="AE218" s="49" t="str">
        <f>IFERROR(VLOOKUP(OrdersRawTable9[[#This Row],[Order_Line_ID]],ReturnsRawTable[[#All],[Order_Line_ID]:[Return_Date]],2,FALSE),"")</f>
        <v/>
      </c>
      <c r="AF218" s="45" t="str">
        <f>IFERROR(VLOOKUP(OrdersRawTable9[[#This Row],[Order_Line_ID]],ReturnsRawTable[[Order_Line_ID]:[Refund_Status]],4,FALSE),"")</f>
        <v/>
      </c>
      <c r="AG218" s="45" t="str">
        <f>VLOOKUP(OrdersRawTable9[[#This Row],[Order_ID]],ShipmentsTable[],6,FALSE)</f>
        <v>Late</v>
      </c>
      <c r="AH218" s="49">
        <f>VLOOKUP(OrdersRawTable9[[#This Row],[Order_ID]],ShipmentsTable[],3,FALSE)</f>
        <v>45771</v>
      </c>
    </row>
    <row r="219" spans="1:34" ht="15" customHeight="1">
      <c r="A219" s="14" t="s">
        <v>559</v>
      </c>
      <c r="B219" s="10" t="s">
        <v>560</v>
      </c>
      <c r="C219" s="20">
        <v>45700</v>
      </c>
      <c r="D219" s="10" t="s">
        <v>229</v>
      </c>
      <c r="E219" s="10" t="s">
        <v>230</v>
      </c>
      <c r="F219" s="10" t="str">
        <f>TRIM(LEFT(OrdersRawTable9[[#This Row],[Customer_Info]],FIND(",",OrdersRawTable9[[#This Row],[Customer_Info]])-1))</f>
        <v>Daniel Wilson</v>
      </c>
      <c r="G21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219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219" s="10">
        <f>LEN(OrdersRawTable9[[#This Row],[Customer_Info]])-LEN(SUBSTITUTE(OrdersRawTable9[[#This Row],[Customer_Info]],",",""))</f>
        <v>2</v>
      </c>
      <c r="J219" s="10" t="s">
        <v>83</v>
      </c>
      <c r="K219" s="23">
        <v>4</v>
      </c>
      <c r="L219" s="26">
        <v>115.28</v>
      </c>
      <c r="M219" s="29">
        <v>0.15</v>
      </c>
      <c r="N219" s="10" t="s">
        <v>40</v>
      </c>
      <c r="O219" s="10" t="str">
        <f>IF(TRIM(OrdersRawTable9[[#This Row],[Sales_Channel_Raw]])="Market place","Marketplace",TRIM(OrdersRawTable9[[#This Row],[Sales_Channel_Raw]]))</f>
        <v>Online</v>
      </c>
      <c r="P219" s="10"/>
      <c r="Q219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219" s="15" t="s">
        <v>67</v>
      </c>
      <c r="S219" t="str">
        <f>VLOOKUP(OrdersRawTable9[[#This Row],[Customer_ID_Raw]],CustomersTable11[],4,FALSE)</f>
        <v>Alberta</v>
      </c>
      <c r="T219" t="str">
        <f>VLOOKUP(OrdersRawTable9[[#This Row],[Customer_ID_Raw]],CustomersTable11[],5,FALSE)</f>
        <v>Consumer</v>
      </c>
      <c r="U219" s="45">
        <f>VLOOKUP(OrdersRawTable9[[#This Row],[Product_ID]],ProductsTable10[],4,FALSE)</f>
        <v>61.65</v>
      </c>
      <c r="V219" t="str">
        <f>VLOOKUP(OrdersRawTable9[[#This Row],[Product_ID]],ProductsTable10[],3,FALSE)</f>
        <v>Office</v>
      </c>
      <c r="W219" s="45">
        <f>OrdersRawTable9[[#This Row],[Unit_Price]]*OrdersRawTable9[[#This Row],[Quantity]]</f>
        <v>461.12</v>
      </c>
      <c r="X219" s="47">
        <f>OrdersRawTable9[[#This Row],[Gross_Sales]]*OrdersRawTable9[[#This Row],[Discount_Pct]]</f>
        <v>69.167999999999992</v>
      </c>
      <c r="Y219" s="45">
        <f>OrdersRawTable9[[#This Row],[Gross_Sales]]-OrdersRawTable9[[#This Row],[Discount_Amount]]</f>
        <v>391.952</v>
      </c>
      <c r="Z219" s="45">
        <f>OrdersRawTable9[[#This Row],[Unit_Cost]]*OrdersRawTable9[[#This Row],[Quantity]]</f>
        <v>246.6</v>
      </c>
      <c r="AA219" s="45">
        <f>OrdersRawTable9[[#This Row],[Net_Sales]]-OrdersRawTable9[[#This Row],[Total_Cost]]</f>
        <v>145.352</v>
      </c>
      <c r="AB219" s="48">
        <f>IF(OrdersRawTable9[[#This Row],[Net_Sales]]=0,0,OrdersRawTable9[[#This Row],[Profit]]/OrdersRawTable9[[#This Row],[Net_Sales]])</f>
        <v>0.37084132750949095</v>
      </c>
      <c r="AC219" s="45" t="str">
        <f>IF(COUNTIF(ReturnsRawTable[Order_Line_ID],OrdersRawTable9[[#This Row],[Order_Line_ID]])&gt;0,"Yes","No")</f>
        <v>No</v>
      </c>
      <c r="AD219" s="45" t="str">
        <f>IFERROR(VLOOKUP(OrdersRawTable9[[#This Row],[Order_Line_ID]],ReturnsRawTable[[#All],[Order_Line_ID]:[Return_Reason_Raw]],3,FALSE),"")</f>
        <v/>
      </c>
      <c r="AE219" s="49" t="str">
        <f>IFERROR(VLOOKUP(OrdersRawTable9[[#This Row],[Order_Line_ID]],ReturnsRawTable[[#All],[Order_Line_ID]:[Return_Date]],2,FALSE),"")</f>
        <v/>
      </c>
      <c r="AF219" s="45" t="str">
        <f>IFERROR(VLOOKUP(OrdersRawTable9[[#This Row],[Order_Line_ID]],ReturnsRawTable[[Order_Line_ID]:[Refund_Status]],4,FALSE),"")</f>
        <v/>
      </c>
      <c r="AG219" s="45" t="str">
        <f>VLOOKUP(OrdersRawTable9[[#This Row],[Order_ID]],ShipmentsTable[],6,FALSE)</f>
        <v>Late</v>
      </c>
      <c r="AH219" s="49">
        <f>VLOOKUP(OrdersRawTable9[[#This Row],[Order_ID]],ShipmentsTable[],3,FALSE)</f>
        <v>45709</v>
      </c>
    </row>
    <row r="220" spans="1:34" ht="15" customHeight="1">
      <c r="A220" s="14" t="s">
        <v>561</v>
      </c>
      <c r="B220" s="10" t="s">
        <v>560</v>
      </c>
      <c r="C220" s="20">
        <v>45700</v>
      </c>
      <c r="D220" s="10" t="s">
        <v>229</v>
      </c>
      <c r="E220" s="10" t="s">
        <v>230</v>
      </c>
      <c r="F220" s="10" t="str">
        <f>TRIM(LEFT(OrdersRawTable9[[#This Row],[Customer_Info]],FIND(",",OrdersRawTable9[[#This Row],[Customer_Info]])-1))</f>
        <v>Daniel Wilson</v>
      </c>
      <c r="G22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220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220" s="10">
        <f>LEN(OrdersRawTable9[[#This Row],[Customer_Info]])-LEN(SUBSTITUTE(OrdersRawTable9[[#This Row],[Customer_Info]],",",""))</f>
        <v>2</v>
      </c>
      <c r="J220" s="10" t="s">
        <v>468</v>
      </c>
      <c r="K220" s="23">
        <v>1</v>
      </c>
      <c r="L220" s="26">
        <v>160</v>
      </c>
      <c r="M220" s="29">
        <v>0</v>
      </c>
      <c r="N220" s="10" t="s">
        <v>66</v>
      </c>
      <c r="O220" s="10" t="str">
        <f>IF(TRIM(OrdersRawTable9[[#This Row],[Sales_Channel_Raw]])="Market place","Marketplace",TRIM(OrdersRawTable9[[#This Row],[Sales_Channel_Raw]]))</f>
        <v>Marketplace</v>
      </c>
      <c r="P220" s="10" t="s">
        <v>98</v>
      </c>
      <c r="Q220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220" s="15" t="s">
        <v>47</v>
      </c>
      <c r="S220" t="str">
        <f>VLOOKUP(OrdersRawTable9[[#This Row],[Customer_ID_Raw]],CustomersTable11[],4,FALSE)</f>
        <v>Alberta</v>
      </c>
      <c r="T220" t="str">
        <f>VLOOKUP(OrdersRawTable9[[#This Row],[Customer_ID_Raw]],CustomersTable11[],5,FALSE)</f>
        <v>Consumer</v>
      </c>
      <c r="U220" s="45">
        <f>VLOOKUP(OrdersRawTable9[[#This Row],[Product_ID]],ProductsTable10[],4,FALSE)</f>
        <v>101.58</v>
      </c>
      <c r="V220" t="str">
        <f>VLOOKUP(OrdersRawTable9[[#This Row],[Product_ID]],ProductsTable10[],3,FALSE)</f>
        <v>Fitness</v>
      </c>
      <c r="W220" s="45">
        <f>OrdersRawTable9[[#This Row],[Unit_Price]]*OrdersRawTable9[[#This Row],[Quantity]]</f>
        <v>160</v>
      </c>
      <c r="X220" s="47">
        <f>OrdersRawTable9[[#This Row],[Gross_Sales]]*OrdersRawTable9[[#This Row],[Discount_Pct]]</f>
        <v>0</v>
      </c>
      <c r="Y220" s="45">
        <f>OrdersRawTable9[[#This Row],[Gross_Sales]]-OrdersRawTable9[[#This Row],[Discount_Amount]]</f>
        <v>160</v>
      </c>
      <c r="Z220" s="45">
        <f>OrdersRawTable9[[#This Row],[Unit_Cost]]*OrdersRawTable9[[#This Row],[Quantity]]</f>
        <v>101.58</v>
      </c>
      <c r="AA220" s="45">
        <f>OrdersRawTable9[[#This Row],[Net_Sales]]-OrdersRawTable9[[#This Row],[Total_Cost]]</f>
        <v>58.42</v>
      </c>
      <c r="AB220" s="48">
        <f>IF(OrdersRawTable9[[#This Row],[Net_Sales]]=0,0,OrdersRawTable9[[#This Row],[Profit]]/OrdersRawTable9[[#This Row],[Net_Sales]])</f>
        <v>0.36512500000000003</v>
      </c>
      <c r="AC220" s="45" t="str">
        <f>IF(COUNTIF(ReturnsRawTable[Order_Line_ID],OrdersRawTable9[[#This Row],[Order_Line_ID]])&gt;0,"Yes","No")</f>
        <v>No</v>
      </c>
      <c r="AD220" s="45" t="str">
        <f>IFERROR(VLOOKUP(OrdersRawTable9[[#This Row],[Order_Line_ID]],ReturnsRawTable[[#All],[Order_Line_ID]:[Return_Reason_Raw]],3,FALSE),"")</f>
        <v/>
      </c>
      <c r="AE220" s="49" t="str">
        <f>IFERROR(VLOOKUP(OrdersRawTable9[[#This Row],[Order_Line_ID]],ReturnsRawTable[[#All],[Order_Line_ID]:[Return_Date]],2,FALSE),"")</f>
        <v/>
      </c>
      <c r="AF220" s="45" t="str">
        <f>IFERROR(VLOOKUP(OrdersRawTable9[[#This Row],[Order_Line_ID]],ReturnsRawTable[[Order_Line_ID]:[Refund_Status]],4,FALSE),"")</f>
        <v/>
      </c>
      <c r="AG220" s="45" t="str">
        <f>VLOOKUP(OrdersRawTable9[[#This Row],[Order_ID]],ShipmentsTable[],6,FALSE)</f>
        <v>Late</v>
      </c>
      <c r="AH220" s="49">
        <f>VLOOKUP(OrdersRawTable9[[#This Row],[Order_ID]],ShipmentsTable[],3,FALSE)</f>
        <v>45709</v>
      </c>
    </row>
    <row r="221" spans="1:34" ht="15" customHeight="1">
      <c r="A221" s="14" t="s">
        <v>562</v>
      </c>
      <c r="B221" s="10" t="s">
        <v>563</v>
      </c>
      <c r="C221" s="20">
        <v>45758</v>
      </c>
      <c r="D221" s="10" t="s">
        <v>115</v>
      </c>
      <c r="E221" s="10" t="s">
        <v>116</v>
      </c>
      <c r="F221" s="10" t="str">
        <f>TRIM(LEFT(OrdersRawTable9[[#This Row],[Customer_Info]],FIND(",",OrdersRawTable9[[#This Row],[Customer_Info]])-1))</f>
        <v>Ethan Martin</v>
      </c>
      <c r="G22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221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221" s="10">
        <f>LEN(OrdersRawTable9[[#This Row],[Customer_Info]])-LEN(SUBSTITUTE(OrdersRawTable9[[#This Row],[Customer_Info]],",",""))</f>
        <v>2</v>
      </c>
      <c r="J221" s="10" t="s">
        <v>100</v>
      </c>
      <c r="K221" s="23">
        <v>2</v>
      </c>
      <c r="L221" s="26">
        <v>42.72</v>
      </c>
      <c r="M221" s="29">
        <v>0</v>
      </c>
      <c r="N221" s="10" t="s">
        <v>66</v>
      </c>
      <c r="O221" s="10" t="str">
        <f>IF(TRIM(OrdersRawTable9[[#This Row],[Sales_Channel_Raw]])="Market place","Marketplace",TRIM(OrdersRawTable9[[#This Row],[Sales_Channel_Raw]]))</f>
        <v>Marketplace</v>
      </c>
      <c r="P221" s="10" t="s">
        <v>58</v>
      </c>
      <c r="Q221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221" s="15" t="s">
        <v>52</v>
      </c>
      <c r="S221" t="str">
        <f>VLOOKUP(OrdersRawTable9[[#This Row],[Customer_ID_Raw]],CustomersTable11[],4,FALSE)</f>
        <v>Ontario</v>
      </c>
      <c r="T221" t="str">
        <f>VLOOKUP(OrdersRawTable9[[#This Row],[Customer_ID_Raw]],CustomersTable11[],5,FALSE)</f>
        <v>Consumer</v>
      </c>
      <c r="U221" s="45">
        <f>VLOOKUP(OrdersRawTable9[[#This Row],[Product_ID]],ProductsTable10[],4,FALSE)</f>
        <v>24.46</v>
      </c>
      <c r="V221" t="str">
        <f>VLOOKUP(OrdersRawTable9[[#This Row],[Product_ID]],ProductsTable10[],3,FALSE)</f>
        <v>Electronics</v>
      </c>
      <c r="W221" s="45">
        <f>OrdersRawTable9[[#This Row],[Unit_Price]]*OrdersRawTable9[[#This Row],[Quantity]]</f>
        <v>85.44</v>
      </c>
      <c r="X221" s="47">
        <f>OrdersRawTable9[[#This Row],[Gross_Sales]]*OrdersRawTable9[[#This Row],[Discount_Pct]]</f>
        <v>0</v>
      </c>
      <c r="Y221" s="45">
        <f>OrdersRawTable9[[#This Row],[Gross_Sales]]-OrdersRawTable9[[#This Row],[Discount_Amount]]</f>
        <v>85.44</v>
      </c>
      <c r="Z221" s="45">
        <f>OrdersRawTable9[[#This Row],[Unit_Cost]]*OrdersRawTable9[[#This Row],[Quantity]]</f>
        <v>48.92</v>
      </c>
      <c r="AA221" s="45">
        <f>OrdersRawTable9[[#This Row],[Net_Sales]]-OrdersRawTable9[[#This Row],[Total_Cost]]</f>
        <v>36.519999999999996</v>
      </c>
      <c r="AB221" s="48">
        <f>IF(OrdersRawTable9[[#This Row],[Net_Sales]]=0,0,OrdersRawTable9[[#This Row],[Profit]]/OrdersRawTable9[[#This Row],[Net_Sales]])</f>
        <v>0.42743445692883891</v>
      </c>
      <c r="AC221" s="45" t="str">
        <f>IF(COUNTIF(ReturnsRawTable[Order_Line_ID],OrdersRawTable9[[#This Row],[Order_Line_ID]])&gt;0,"Yes","No")</f>
        <v>No</v>
      </c>
      <c r="AD221" s="45" t="str">
        <f>IFERROR(VLOOKUP(OrdersRawTable9[[#This Row],[Order_Line_ID]],ReturnsRawTable[[#All],[Order_Line_ID]:[Return_Reason_Raw]],3,FALSE),"")</f>
        <v/>
      </c>
      <c r="AE221" s="49" t="str">
        <f>IFERROR(VLOOKUP(OrdersRawTable9[[#This Row],[Order_Line_ID]],ReturnsRawTable[[#All],[Order_Line_ID]:[Return_Date]],2,FALSE),"")</f>
        <v/>
      </c>
      <c r="AF221" s="45" t="str">
        <f>IFERROR(VLOOKUP(OrdersRawTable9[[#This Row],[Order_Line_ID]],ReturnsRawTable[[Order_Line_ID]:[Refund_Status]],4,FALSE),"")</f>
        <v/>
      </c>
      <c r="AG221" s="45" t="str">
        <f>VLOOKUP(OrdersRawTable9[[#This Row],[Order_ID]],ShipmentsTable[],6,FALSE)</f>
        <v>Late</v>
      </c>
      <c r="AH221" s="49">
        <f>VLOOKUP(OrdersRawTable9[[#This Row],[Order_ID]],ShipmentsTable[],3,FALSE)</f>
        <v>45767</v>
      </c>
    </row>
    <row r="222" spans="1:34" ht="15" customHeight="1">
      <c r="A222" s="14" t="s">
        <v>564</v>
      </c>
      <c r="B222" s="10" t="s">
        <v>563</v>
      </c>
      <c r="C222" s="20">
        <v>45758</v>
      </c>
      <c r="D222" s="10" t="s">
        <v>115</v>
      </c>
      <c r="E222" s="10" t="s">
        <v>116</v>
      </c>
      <c r="F222" s="10" t="str">
        <f>TRIM(LEFT(OrdersRawTable9[[#This Row],[Customer_Info]],FIND(",",OrdersRawTable9[[#This Row],[Customer_Info]])-1))</f>
        <v>Ethan Martin</v>
      </c>
      <c r="G22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222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222" s="10">
        <f>LEN(OrdersRawTable9[[#This Row],[Customer_Info]])-LEN(SUBSTITUTE(OrdersRawTable9[[#This Row],[Customer_Info]],",",""))</f>
        <v>2</v>
      </c>
      <c r="J222" s="10" t="s">
        <v>130</v>
      </c>
      <c r="K222" s="23">
        <v>4</v>
      </c>
      <c r="L222" s="26">
        <v>265.73</v>
      </c>
      <c r="M222" s="29">
        <v>0</v>
      </c>
      <c r="N222" s="10" t="s">
        <v>40</v>
      </c>
      <c r="O222" s="10" t="str">
        <f>IF(TRIM(OrdersRawTable9[[#This Row],[Sales_Channel_Raw]])="Market place","Marketplace",TRIM(OrdersRawTable9[[#This Row],[Sales_Channel_Raw]]))</f>
        <v>Online</v>
      </c>
      <c r="P222" s="10" t="s">
        <v>41</v>
      </c>
      <c r="Q222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222" s="15" t="s">
        <v>67</v>
      </c>
      <c r="S222" t="str">
        <f>VLOOKUP(OrdersRawTable9[[#This Row],[Customer_ID_Raw]],CustomersTable11[],4,FALSE)</f>
        <v>Ontario</v>
      </c>
      <c r="T222" t="str">
        <f>VLOOKUP(OrdersRawTable9[[#This Row],[Customer_ID_Raw]],CustomersTable11[],5,FALSE)</f>
        <v>Consumer</v>
      </c>
      <c r="U222" s="45">
        <f>VLOOKUP(OrdersRawTable9[[#This Row],[Product_ID]],ProductsTable10[],4,FALSE)</f>
        <v>154.16999999999999</v>
      </c>
      <c r="V222" t="str">
        <f>VLOOKUP(OrdersRawTable9[[#This Row],[Product_ID]],ProductsTable10[],3,FALSE)</f>
        <v>Electronics</v>
      </c>
      <c r="W222" s="45">
        <f>OrdersRawTable9[[#This Row],[Unit_Price]]*OrdersRawTable9[[#This Row],[Quantity]]</f>
        <v>1062.92</v>
      </c>
      <c r="X222" s="47">
        <f>OrdersRawTable9[[#This Row],[Gross_Sales]]*OrdersRawTable9[[#This Row],[Discount_Pct]]</f>
        <v>0</v>
      </c>
      <c r="Y222" s="45">
        <f>OrdersRawTable9[[#This Row],[Gross_Sales]]-OrdersRawTable9[[#This Row],[Discount_Amount]]</f>
        <v>1062.92</v>
      </c>
      <c r="Z222" s="45">
        <f>OrdersRawTable9[[#This Row],[Unit_Cost]]*OrdersRawTable9[[#This Row],[Quantity]]</f>
        <v>616.67999999999995</v>
      </c>
      <c r="AA222" s="45">
        <f>OrdersRawTable9[[#This Row],[Net_Sales]]-OrdersRawTable9[[#This Row],[Total_Cost]]</f>
        <v>446.24000000000012</v>
      </c>
      <c r="AB222" s="48">
        <f>IF(OrdersRawTable9[[#This Row],[Net_Sales]]=0,0,OrdersRawTable9[[#This Row],[Profit]]/OrdersRawTable9[[#This Row],[Net_Sales]])</f>
        <v>0.41982463402701997</v>
      </c>
      <c r="AC222" s="45" t="str">
        <f>IF(COUNTIF(ReturnsRawTable[Order_Line_ID],OrdersRawTable9[[#This Row],[Order_Line_ID]])&gt;0,"Yes","No")</f>
        <v>No</v>
      </c>
      <c r="AD222" s="45" t="str">
        <f>IFERROR(VLOOKUP(OrdersRawTable9[[#This Row],[Order_Line_ID]],ReturnsRawTable[[#All],[Order_Line_ID]:[Return_Reason_Raw]],3,FALSE),"")</f>
        <v/>
      </c>
      <c r="AE222" s="49" t="str">
        <f>IFERROR(VLOOKUP(OrdersRawTable9[[#This Row],[Order_Line_ID]],ReturnsRawTable[[#All],[Order_Line_ID]:[Return_Date]],2,FALSE),"")</f>
        <v/>
      </c>
      <c r="AF222" s="45" t="str">
        <f>IFERROR(VLOOKUP(OrdersRawTable9[[#This Row],[Order_Line_ID]],ReturnsRawTable[[Order_Line_ID]:[Refund_Status]],4,FALSE),"")</f>
        <v/>
      </c>
      <c r="AG222" s="45" t="str">
        <f>VLOOKUP(OrdersRawTable9[[#This Row],[Order_ID]],ShipmentsTable[],6,FALSE)</f>
        <v>Late</v>
      </c>
      <c r="AH222" s="49">
        <f>VLOOKUP(OrdersRawTable9[[#This Row],[Order_ID]],ShipmentsTable[],3,FALSE)</f>
        <v>45767</v>
      </c>
    </row>
    <row r="223" spans="1:34" ht="15" customHeight="1">
      <c r="A223" s="14" t="s">
        <v>565</v>
      </c>
      <c r="B223" s="10" t="s">
        <v>563</v>
      </c>
      <c r="C223" s="20">
        <v>45758</v>
      </c>
      <c r="D223" s="10" t="s">
        <v>115</v>
      </c>
      <c r="E223" s="10" t="s">
        <v>116</v>
      </c>
      <c r="F223" s="10" t="str">
        <f>TRIM(LEFT(OrdersRawTable9[[#This Row],[Customer_Info]],FIND(",",OrdersRawTable9[[#This Row],[Customer_Info]])-1))</f>
        <v>Ethan Martin</v>
      </c>
      <c r="G22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223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223" s="10">
        <f>LEN(OrdersRawTable9[[#This Row],[Customer_Info]])-LEN(SUBSTITUTE(OrdersRawTable9[[#This Row],[Customer_Info]],",",""))</f>
        <v>2</v>
      </c>
      <c r="J223" s="10" t="s">
        <v>316</v>
      </c>
      <c r="K223" s="23">
        <v>2</v>
      </c>
      <c r="L223" s="26">
        <v>180.37</v>
      </c>
      <c r="M223" s="29">
        <v>0</v>
      </c>
      <c r="N223" s="10" t="s">
        <v>64</v>
      </c>
      <c r="O223" s="10" t="str">
        <f>IF(TRIM(OrdersRawTable9[[#This Row],[Sales_Channel_Raw]])="Market place","Marketplace",TRIM(OrdersRawTable9[[#This Row],[Sales_Channel_Raw]]))</f>
        <v>Retail Store</v>
      </c>
      <c r="P223" s="10" t="s">
        <v>98</v>
      </c>
      <c r="Q223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223" s="15" t="s">
        <v>67</v>
      </c>
      <c r="S223" t="str">
        <f>VLOOKUP(OrdersRawTable9[[#This Row],[Customer_ID_Raw]],CustomersTable11[],4,FALSE)</f>
        <v>Ontario</v>
      </c>
      <c r="T223" t="str">
        <f>VLOOKUP(OrdersRawTable9[[#This Row],[Customer_ID_Raw]],CustomersTable11[],5,FALSE)</f>
        <v>Consumer</v>
      </c>
      <c r="U223" s="45">
        <f>VLOOKUP(OrdersRawTable9[[#This Row],[Product_ID]],ProductsTable10[],4,FALSE)</f>
        <v>107.55</v>
      </c>
      <c r="V223" t="str">
        <f>VLOOKUP(OrdersRawTable9[[#This Row],[Product_ID]],ProductsTable10[],3,FALSE)</f>
        <v>Accessories</v>
      </c>
      <c r="W223" s="45">
        <f>OrdersRawTable9[[#This Row],[Unit_Price]]*OrdersRawTable9[[#This Row],[Quantity]]</f>
        <v>360.74</v>
      </c>
      <c r="X223" s="47">
        <f>OrdersRawTable9[[#This Row],[Gross_Sales]]*OrdersRawTable9[[#This Row],[Discount_Pct]]</f>
        <v>0</v>
      </c>
      <c r="Y223" s="45">
        <f>OrdersRawTable9[[#This Row],[Gross_Sales]]-OrdersRawTable9[[#This Row],[Discount_Amount]]</f>
        <v>360.74</v>
      </c>
      <c r="Z223" s="45">
        <f>OrdersRawTable9[[#This Row],[Unit_Cost]]*OrdersRawTable9[[#This Row],[Quantity]]</f>
        <v>215.1</v>
      </c>
      <c r="AA223" s="45">
        <f>OrdersRawTable9[[#This Row],[Net_Sales]]-OrdersRawTable9[[#This Row],[Total_Cost]]</f>
        <v>145.64000000000001</v>
      </c>
      <c r="AB223" s="48">
        <f>IF(OrdersRawTable9[[#This Row],[Net_Sales]]=0,0,OrdersRawTable9[[#This Row],[Profit]]/OrdersRawTable9[[#This Row],[Net_Sales]])</f>
        <v>0.40372567500138606</v>
      </c>
      <c r="AC223" s="45" t="str">
        <f>IF(COUNTIF(ReturnsRawTable[Order_Line_ID],OrdersRawTable9[[#This Row],[Order_Line_ID]])&gt;0,"Yes","No")</f>
        <v>No</v>
      </c>
      <c r="AD223" s="45" t="str">
        <f>IFERROR(VLOOKUP(OrdersRawTable9[[#This Row],[Order_Line_ID]],ReturnsRawTable[[#All],[Order_Line_ID]:[Return_Reason_Raw]],3,FALSE),"")</f>
        <v/>
      </c>
      <c r="AE223" s="49" t="str">
        <f>IFERROR(VLOOKUP(OrdersRawTable9[[#This Row],[Order_Line_ID]],ReturnsRawTable[[#All],[Order_Line_ID]:[Return_Date]],2,FALSE),"")</f>
        <v/>
      </c>
      <c r="AF223" s="45" t="str">
        <f>IFERROR(VLOOKUP(OrdersRawTable9[[#This Row],[Order_Line_ID]],ReturnsRawTable[[Order_Line_ID]:[Refund_Status]],4,FALSE),"")</f>
        <v/>
      </c>
      <c r="AG223" s="45" t="str">
        <f>VLOOKUP(OrdersRawTable9[[#This Row],[Order_ID]],ShipmentsTable[],6,FALSE)</f>
        <v>Late</v>
      </c>
      <c r="AH223" s="49">
        <f>VLOOKUP(OrdersRawTable9[[#This Row],[Order_ID]],ShipmentsTable[],3,FALSE)</f>
        <v>45767</v>
      </c>
    </row>
    <row r="224" spans="1:34" ht="15" customHeight="1">
      <c r="A224" s="14" t="s">
        <v>566</v>
      </c>
      <c r="B224" s="10" t="s">
        <v>567</v>
      </c>
      <c r="C224" s="20">
        <v>46008</v>
      </c>
      <c r="D224" s="10" t="s">
        <v>568</v>
      </c>
      <c r="E224" s="10" t="s">
        <v>569</v>
      </c>
      <c r="F224" s="10" t="str">
        <f>TRIM(LEFT(OrdersRawTable9[[#This Row],[Customer_Info]],FIND(",",OrdersRawTable9[[#This Row],[Customer_Info]])-1))</f>
        <v>Sofia Dubois</v>
      </c>
      <c r="G22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224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224" s="10">
        <f>LEN(OrdersRawTable9[[#This Row],[Customer_Info]])-LEN(SUBSTITUTE(OrdersRawTable9[[#This Row],[Customer_Info]],",",""))</f>
        <v>2</v>
      </c>
      <c r="J224" s="10" t="s">
        <v>147</v>
      </c>
      <c r="K224" s="23">
        <v>4</v>
      </c>
      <c r="L224" s="26">
        <v>102.78</v>
      </c>
      <c r="M224" s="29">
        <v>0.1</v>
      </c>
      <c r="N224" s="10" t="s">
        <v>40</v>
      </c>
      <c r="O224" s="10" t="str">
        <f>IF(TRIM(OrdersRawTable9[[#This Row],[Sales_Channel_Raw]])="Market place","Marketplace",TRIM(OrdersRawTable9[[#This Row],[Sales_Channel_Raw]]))</f>
        <v>Online</v>
      </c>
      <c r="P224" s="10" t="s">
        <v>98</v>
      </c>
      <c r="Q224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224" s="15" t="s">
        <v>42</v>
      </c>
      <c r="S224" t="str">
        <f>VLOOKUP(OrdersRawTable9[[#This Row],[Customer_ID_Raw]],CustomersTable11[],4,FALSE)</f>
        <v>Quebec</v>
      </c>
      <c r="T224" t="str">
        <f>VLOOKUP(OrdersRawTable9[[#This Row],[Customer_ID_Raw]],CustomersTable11[],5,FALSE)</f>
        <v>Corporate</v>
      </c>
      <c r="U224" s="45">
        <f>VLOOKUP(OrdersRawTable9[[#This Row],[Product_ID]],ProductsTable10[],4,FALSE)</f>
        <v>62.65</v>
      </c>
      <c r="V224" t="str">
        <f>VLOOKUP(OrdersRawTable9[[#This Row],[Product_ID]],ProductsTable10[],3,FALSE)</f>
        <v>Accessories</v>
      </c>
      <c r="W224" s="45">
        <f>OrdersRawTable9[[#This Row],[Unit_Price]]*OrdersRawTable9[[#This Row],[Quantity]]</f>
        <v>411.12</v>
      </c>
      <c r="X224" s="47">
        <f>OrdersRawTable9[[#This Row],[Gross_Sales]]*OrdersRawTable9[[#This Row],[Discount_Pct]]</f>
        <v>41.112000000000002</v>
      </c>
      <c r="Y224" s="45">
        <f>OrdersRawTable9[[#This Row],[Gross_Sales]]-OrdersRawTable9[[#This Row],[Discount_Amount]]</f>
        <v>370.00799999999998</v>
      </c>
      <c r="Z224" s="45">
        <f>OrdersRawTable9[[#This Row],[Unit_Cost]]*OrdersRawTable9[[#This Row],[Quantity]]</f>
        <v>250.6</v>
      </c>
      <c r="AA224" s="45">
        <f>OrdersRawTable9[[#This Row],[Net_Sales]]-OrdersRawTable9[[#This Row],[Total_Cost]]</f>
        <v>119.40799999999999</v>
      </c>
      <c r="AB224" s="48">
        <f>IF(OrdersRawTable9[[#This Row],[Net_Sales]]=0,0,OrdersRawTable9[[#This Row],[Profit]]/OrdersRawTable9[[#This Row],[Net_Sales]])</f>
        <v>0.32271734665196428</v>
      </c>
      <c r="AC224" s="45" t="str">
        <f>IF(COUNTIF(ReturnsRawTable[Order_Line_ID],OrdersRawTable9[[#This Row],[Order_Line_ID]])&gt;0,"Yes","No")</f>
        <v>No</v>
      </c>
      <c r="AD224" s="45" t="str">
        <f>IFERROR(VLOOKUP(OrdersRawTable9[[#This Row],[Order_Line_ID]],ReturnsRawTable[[#All],[Order_Line_ID]:[Return_Reason_Raw]],3,FALSE),"")</f>
        <v/>
      </c>
      <c r="AE224" s="49" t="str">
        <f>IFERROR(VLOOKUP(OrdersRawTable9[[#This Row],[Order_Line_ID]],ReturnsRawTable[[#All],[Order_Line_ID]:[Return_Date]],2,FALSE),"")</f>
        <v/>
      </c>
      <c r="AF224" s="45" t="str">
        <f>IFERROR(VLOOKUP(OrdersRawTable9[[#This Row],[Order_Line_ID]],ReturnsRawTable[[Order_Line_ID]:[Refund_Status]],4,FALSE),"")</f>
        <v/>
      </c>
      <c r="AG224" s="45" t="str">
        <f>VLOOKUP(OrdersRawTable9[[#This Row],[Order_ID]],ShipmentsTable[],6,FALSE)</f>
        <v>Late</v>
      </c>
      <c r="AH224" s="49">
        <f>VLOOKUP(OrdersRawTable9[[#This Row],[Order_ID]],ShipmentsTable[],3,FALSE)</f>
        <v>46016</v>
      </c>
    </row>
    <row r="225" spans="1:34" ht="15" customHeight="1">
      <c r="A225" s="14" t="s">
        <v>570</v>
      </c>
      <c r="B225" s="10" t="s">
        <v>571</v>
      </c>
      <c r="C225" s="20">
        <v>45916</v>
      </c>
      <c r="D225" s="10" t="s">
        <v>572</v>
      </c>
      <c r="E225" s="10" t="s">
        <v>569</v>
      </c>
      <c r="F225" s="10" t="str">
        <f>TRIM(LEFT(OrdersRawTable9[[#This Row],[Customer_Info]],FIND(",",OrdersRawTable9[[#This Row],[Customer_Info]])-1))</f>
        <v>Sofia Dubois</v>
      </c>
      <c r="G22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225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225" s="10">
        <f>LEN(OrdersRawTable9[[#This Row],[Customer_Info]])-LEN(SUBSTITUTE(OrdersRawTable9[[#This Row],[Customer_Info]],",",""))</f>
        <v>2</v>
      </c>
      <c r="J225" s="10" t="s">
        <v>171</v>
      </c>
      <c r="K225" s="23">
        <v>2</v>
      </c>
      <c r="L225" s="26">
        <v>228.81</v>
      </c>
      <c r="M225" s="29">
        <v>0.1</v>
      </c>
      <c r="N225" s="10" t="s">
        <v>66</v>
      </c>
      <c r="O225" s="10" t="str">
        <f>IF(TRIM(OrdersRawTable9[[#This Row],[Sales_Channel_Raw]])="Market place","Marketplace",TRIM(OrdersRawTable9[[#This Row],[Sales_Channel_Raw]]))</f>
        <v>Marketplace</v>
      </c>
      <c r="P225" s="10" t="s">
        <v>51</v>
      </c>
      <c r="Q225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225" s="15" t="s">
        <v>52</v>
      </c>
      <c r="S225" t="str">
        <f>VLOOKUP(OrdersRawTable9[[#This Row],[Customer_ID_Raw]],CustomersTable11[],4,FALSE)</f>
        <v>Quebec</v>
      </c>
      <c r="T225" t="str">
        <f>VLOOKUP(OrdersRawTable9[[#This Row],[Customer_ID_Raw]],CustomersTable11[],5,FALSE)</f>
        <v>Corporate</v>
      </c>
      <c r="U225" s="45">
        <f>VLOOKUP(OrdersRawTable9[[#This Row],[Product_ID]],ProductsTable10[],4,FALSE)</f>
        <v>130.9</v>
      </c>
      <c r="V225" t="str">
        <f>VLOOKUP(OrdersRawTable9[[#This Row],[Product_ID]],ProductsTable10[],3,FALSE)</f>
        <v>Accessories</v>
      </c>
      <c r="W225" s="45">
        <f>OrdersRawTable9[[#This Row],[Unit_Price]]*OrdersRawTable9[[#This Row],[Quantity]]</f>
        <v>457.62</v>
      </c>
      <c r="X225" s="47">
        <f>OrdersRawTable9[[#This Row],[Gross_Sales]]*OrdersRawTable9[[#This Row],[Discount_Pct]]</f>
        <v>45.762</v>
      </c>
      <c r="Y225" s="45">
        <f>OrdersRawTable9[[#This Row],[Gross_Sales]]-OrdersRawTable9[[#This Row],[Discount_Amount]]</f>
        <v>411.858</v>
      </c>
      <c r="Z225" s="45">
        <f>OrdersRawTable9[[#This Row],[Unit_Cost]]*OrdersRawTable9[[#This Row],[Quantity]]</f>
        <v>261.8</v>
      </c>
      <c r="AA225" s="45">
        <f>OrdersRawTable9[[#This Row],[Net_Sales]]-OrdersRawTable9[[#This Row],[Total_Cost]]</f>
        <v>150.05799999999999</v>
      </c>
      <c r="AB225" s="48">
        <f>IF(OrdersRawTable9[[#This Row],[Net_Sales]]=0,0,OrdersRawTable9[[#This Row],[Profit]]/OrdersRawTable9[[#This Row],[Net_Sales]])</f>
        <v>0.3643440214831325</v>
      </c>
      <c r="AC225" s="45" t="str">
        <f>IF(COUNTIF(ReturnsRawTable[Order_Line_ID],OrdersRawTable9[[#This Row],[Order_Line_ID]])&gt;0,"Yes","No")</f>
        <v>No</v>
      </c>
      <c r="AD225" s="45" t="str">
        <f>IFERROR(VLOOKUP(OrdersRawTable9[[#This Row],[Order_Line_ID]],ReturnsRawTable[[#All],[Order_Line_ID]:[Return_Reason_Raw]],3,FALSE),"")</f>
        <v/>
      </c>
      <c r="AE225" s="49" t="str">
        <f>IFERROR(VLOOKUP(OrdersRawTable9[[#This Row],[Order_Line_ID]],ReturnsRawTable[[#All],[Order_Line_ID]:[Return_Date]],2,FALSE),"")</f>
        <v/>
      </c>
      <c r="AF225" s="45" t="str">
        <f>IFERROR(VLOOKUP(OrdersRawTable9[[#This Row],[Order_Line_ID]],ReturnsRawTable[[Order_Line_ID]:[Refund_Status]],4,FALSE),"")</f>
        <v/>
      </c>
      <c r="AG225" s="45" t="str">
        <f>VLOOKUP(OrdersRawTable9[[#This Row],[Order_ID]],ShipmentsTable[],6,FALSE)</f>
        <v>Late</v>
      </c>
      <c r="AH225" s="49">
        <f>VLOOKUP(OrdersRawTable9[[#This Row],[Order_ID]],ShipmentsTable[],3,FALSE)</f>
        <v>45922</v>
      </c>
    </row>
    <row r="226" spans="1:34" ht="15" customHeight="1">
      <c r="A226" s="14" t="s">
        <v>573</v>
      </c>
      <c r="B226" s="10" t="s">
        <v>574</v>
      </c>
      <c r="C226" s="20">
        <v>45658</v>
      </c>
      <c r="D226" s="10" t="s">
        <v>575</v>
      </c>
      <c r="E226" s="10" t="s">
        <v>576</v>
      </c>
      <c r="F226" s="10" t="str">
        <f>TRIM(LEFT(OrdersRawTable9[[#This Row],[Customer_Info]],FIND(",",OrdersRawTable9[[#This Row],[Customer_Info]])-1))</f>
        <v>Sara Gagnon</v>
      </c>
      <c r="G22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226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26" s="10">
        <f>LEN(OrdersRawTable9[[#This Row],[Customer_Info]])-LEN(SUBSTITUTE(OrdersRawTable9[[#This Row],[Customer_Info]],",",""))</f>
        <v>2</v>
      </c>
      <c r="J226" s="10" t="s">
        <v>468</v>
      </c>
      <c r="K226" s="23">
        <v>1</v>
      </c>
      <c r="L226" s="26">
        <v>160</v>
      </c>
      <c r="M226" s="29">
        <v>0</v>
      </c>
      <c r="N226" s="10" t="s">
        <v>40</v>
      </c>
      <c r="O226" s="10" t="str">
        <f>IF(TRIM(OrdersRawTable9[[#This Row],[Sales_Channel_Raw]])="Market place","Marketplace",TRIM(OrdersRawTable9[[#This Row],[Sales_Channel_Raw]]))</f>
        <v>Online</v>
      </c>
      <c r="P226" s="10" t="s">
        <v>51</v>
      </c>
      <c r="Q226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226" s="15" t="s">
        <v>52</v>
      </c>
      <c r="S226" t="str">
        <f>VLOOKUP(OrdersRawTable9[[#This Row],[Customer_ID_Raw]],CustomersTable11[],4,FALSE)</f>
        <v>Quebec</v>
      </c>
      <c r="T226" t="str">
        <f>VLOOKUP(OrdersRawTable9[[#This Row],[Customer_ID_Raw]],CustomersTable11[],5,FALSE)</f>
        <v>Small Business</v>
      </c>
      <c r="U226" s="45">
        <f>VLOOKUP(OrdersRawTable9[[#This Row],[Product_ID]],ProductsTable10[],4,FALSE)</f>
        <v>101.58</v>
      </c>
      <c r="V226" t="str">
        <f>VLOOKUP(OrdersRawTable9[[#This Row],[Product_ID]],ProductsTable10[],3,FALSE)</f>
        <v>Fitness</v>
      </c>
      <c r="W226" s="45">
        <f>OrdersRawTable9[[#This Row],[Unit_Price]]*OrdersRawTable9[[#This Row],[Quantity]]</f>
        <v>160</v>
      </c>
      <c r="X226" s="47">
        <f>OrdersRawTable9[[#This Row],[Gross_Sales]]*OrdersRawTable9[[#This Row],[Discount_Pct]]</f>
        <v>0</v>
      </c>
      <c r="Y226" s="45">
        <f>OrdersRawTable9[[#This Row],[Gross_Sales]]-OrdersRawTable9[[#This Row],[Discount_Amount]]</f>
        <v>160</v>
      </c>
      <c r="Z226" s="45">
        <f>OrdersRawTable9[[#This Row],[Unit_Cost]]*OrdersRawTable9[[#This Row],[Quantity]]</f>
        <v>101.58</v>
      </c>
      <c r="AA226" s="45">
        <f>OrdersRawTable9[[#This Row],[Net_Sales]]-OrdersRawTable9[[#This Row],[Total_Cost]]</f>
        <v>58.42</v>
      </c>
      <c r="AB226" s="48">
        <f>IF(OrdersRawTable9[[#This Row],[Net_Sales]]=0,0,OrdersRawTable9[[#This Row],[Profit]]/OrdersRawTable9[[#This Row],[Net_Sales]])</f>
        <v>0.36512500000000003</v>
      </c>
      <c r="AC226" s="45" t="str">
        <f>IF(COUNTIF(ReturnsRawTable[Order_Line_ID],OrdersRawTable9[[#This Row],[Order_Line_ID]])&gt;0,"Yes","No")</f>
        <v>No</v>
      </c>
      <c r="AD226" s="45" t="str">
        <f>IFERROR(VLOOKUP(OrdersRawTable9[[#This Row],[Order_Line_ID]],ReturnsRawTable[[#All],[Order_Line_ID]:[Return_Reason_Raw]],3,FALSE),"")</f>
        <v/>
      </c>
      <c r="AE226" s="49" t="str">
        <f>IFERROR(VLOOKUP(OrdersRawTable9[[#This Row],[Order_Line_ID]],ReturnsRawTable[[#All],[Order_Line_ID]:[Return_Date]],2,FALSE),"")</f>
        <v/>
      </c>
      <c r="AF226" s="45" t="str">
        <f>IFERROR(VLOOKUP(OrdersRawTable9[[#This Row],[Order_Line_ID]],ReturnsRawTable[[Order_Line_ID]:[Refund_Status]],4,FALSE),"")</f>
        <v/>
      </c>
      <c r="AG226" s="45" t="str">
        <f>VLOOKUP(OrdersRawTable9[[#This Row],[Order_ID]],ShipmentsTable[],6,FALSE)</f>
        <v>Late</v>
      </c>
      <c r="AH226" s="49">
        <f>VLOOKUP(OrdersRawTable9[[#This Row],[Order_ID]],ShipmentsTable[],3,FALSE)</f>
        <v>45666</v>
      </c>
    </row>
    <row r="227" spans="1:34" ht="15" customHeight="1">
      <c r="A227" s="14" t="s">
        <v>577</v>
      </c>
      <c r="B227" s="10" t="s">
        <v>574</v>
      </c>
      <c r="C227" s="20">
        <v>45658</v>
      </c>
      <c r="D227" s="10" t="s">
        <v>575</v>
      </c>
      <c r="E227" s="10" t="s">
        <v>576</v>
      </c>
      <c r="F227" s="10" t="str">
        <f>TRIM(LEFT(OrdersRawTable9[[#This Row],[Customer_Info]],FIND(",",OrdersRawTable9[[#This Row],[Customer_Info]])-1))</f>
        <v>Sara Gagnon</v>
      </c>
      <c r="G22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227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27" s="10">
        <f>LEN(OrdersRawTable9[[#This Row],[Customer_Info]])-LEN(SUBSTITUTE(OrdersRawTable9[[#This Row],[Customer_Info]],",",""))</f>
        <v>2</v>
      </c>
      <c r="J227" s="10" t="s">
        <v>88</v>
      </c>
      <c r="K227" s="23">
        <v>1</v>
      </c>
      <c r="L227" s="26">
        <v>147.46</v>
      </c>
      <c r="M227" s="29">
        <v>0</v>
      </c>
      <c r="N227" s="10" t="s">
        <v>64</v>
      </c>
      <c r="O227" s="10" t="str">
        <f>IF(TRIM(OrdersRawTable9[[#This Row],[Sales_Channel_Raw]])="Market place","Marketplace",TRIM(OrdersRawTable9[[#This Row],[Sales_Channel_Raw]]))</f>
        <v>Retail Store</v>
      </c>
      <c r="P227" s="10"/>
      <c r="Q227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227" s="15" t="s">
        <v>47</v>
      </c>
      <c r="S227" t="str">
        <f>VLOOKUP(OrdersRawTable9[[#This Row],[Customer_ID_Raw]],CustomersTable11[],4,FALSE)</f>
        <v>Quebec</v>
      </c>
      <c r="T227" t="str">
        <f>VLOOKUP(OrdersRawTable9[[#This Row],[Customer_ID_Raw]],CustomersTable11[],5,FALSE)</f>
        <v>Small Business</v>
      </c>
      <c r="U227" s="45">
        <f>VLOOKUP(OrdersRawTable9[[#This Row],[Product_ID]],ProductsTable10[],4,FALSE)</f>
        <v>100.95</v>
      </c>
      <c r="V227" t="str">
        <f>VLOOKUP(OrdersRawTable9[[#This Row],[Product_ID]],ProductsTable10[],3,FALSE)</f>
        <v>Electronics</v>
      </c>
      <c r="W227" s="45">
        <f>OrdersRawTable9[[#This Row],[Unit_Price]]*OrdersRawTable9[[#This Row],[Quantity]]</f>
        <v>147.46</v>
      </c>
      <c r="X227" s="47">
        <f>OrdersRawTable9[[#This Row],[Gross_Sales]]*OrdersRawTable9[[#This Row],[Discount_Pct]]</f>
        <v>0</v>
      </c>
      <c r="Y227" s="45">
        <f>OrdersRawTable9[[#This Row],[Gross_Sales]]-OrdersRawTable9[[#This Row],[Discount_Amount]]</f>
        <v>147.46</v>
      </c>
      <c r="Z227" s="45">
        <f>OrdersRawTable9[[#This Row],[Unit_Cost]]*OrdersRawTable9[[#This Row],[Quantity]]</f>
        <v>100.95</v>
      </c>
      <c r="AA227" s="45">
        <f>OrdersRawTable9[[#This Row],[Net_Sales]]-OrdersRawTable9[[#This Row],[Total_Cost]]</f>
        <v>46.510000000000005</v>
      </c>
      <c r="AB227" s="48">
        <f>IF(OrdersRawTable9[[#This Row],[Net_Sales]]=0,0,OrdersRawTable9[[#This Row],[Profit]]/OrdersRawTable9[[#This Row],[Net_Sales]])</f>
        <v>0.31540756815407572</v>
      </c>
      <c r="AC227" s="45" t="str">
        <f>IF(COUNTIF(ReturnsRawTable[Order_Line_ID],OrdersRawTable9[[#This Row],[Order_Line_ID]])&gt;0,"Yes","No")</f>
        <v>No</v>
      </c>
      <c r="AD227" s="45" t="str">
        <f>IFERROR(VLOOKUP(OrdersRawTable9[[#This Row],[Order_Line_ID]],ReturnsRawTable[[#All],[Order_Line_ID]:[Return_Reason_Raw]],3,FALSE),"")</f>
        <v/>
      </c>
      <c r="AE227" s="49" t="str">
        <f>IFERROR(VLOOKUP(OrdersRawTable9[[#This Row],[Order_Line_ID]],ReturnsRawTable[[#All],[Order_Line_ID]:[Return_Date]],2,FALSE),"")</f>
        <v/>
      </c>
      <c r="AF227" s="45" t="str">
        <f>IFERROR(VLOOKUP(OrdersRawTable9[[#This Row],[Order_Line_ID]],ReturnsRawTable[[Order_Line_ID]:[Refund_Status]],4,FALSE),"")</f>
        <v/>
      </c>
      <c r="AG227" s="45" t="str">
        <f>VLOOKUP(OrdersRawTable9[[#This Row],[Order_ID]],ShipmentsTable[],6,FALSE)</f>
        <v>Late</v>
      </c>
      <c r="AH227" s="49">
        <f>VLOOKUP(OrdersRawTable9[[#This Row],[Order_ID]],ShipmentsTable[],3,FALSE)</f>
        <v>45666</v>
      </c>
    </row>
    <row r="228" spans="1:34" ht="15" customHeight="1">
      <c r="A228" s="14" t="s">
        <v>578</v>
      </c>
      <c r="B228" s="10" t="s">
        <v>574</v>
      </c>
      <c r="C228" s="20">
        <v>45658</v>
      </c>
      <c r="D228" s="10" t="s">
        <v>575</v>
      </c>
      <c r="E228" s="10" t="s">
        <v>576</v>
      </c>
      <c r="F228" s="10" t="str">
        <f>TRIM(LEFT(OrdersRawTable9[[#This Row],[Customer_Info]],FIND(",",OrdersRawTable9[[#This Row],[Customer_Info]])-1))</f>
        <v>Sara Gagnon</v>
      </c>
      <c r="G22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228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28" s="10">
        <f>LEN(OrdersRawTable9[[#This Row],[Customer_Info]])-LEN(SUBSTITUTE(OrdersRawTable9[[#This Row],[Customer_Info]],",",""))</f>
        <v>2</v>
      </c>
      <c r="J228" s="10" t="s">
        <v>77</v>
      </c>
      <c r="K228" s="23">
        <v>4</v>
      </c>
      <c r="L228" s="26">
        <v>34.909999999999997</v>
      </c>
      <c r="M228" s="29">
        <v>0.05</v>
      </c>
      <c r="N228" s="10" t="s">
        <v>64</v>
      </c>
      <c r="O228" s="10" t="str">
        <f>IF(TRIM(OrdersRawTable9[[#This Row],[Sales_Channel_Raw]])="Market place","Marketplace",TRIM(OrdersRawTable9[[#This Row],[Sales_Channel_Raw]]))</f>
        <v>Retail Store</v>
      </c>
      <c r="P228" s="10" t="s">
        <v>98</v>
      </c>
      <c r="Q228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228" s="15" t="s">
        <v>47</v>
      </c>
      <c r="S228" t="str">
        <f>VLOOKUP(OrdersRawTable9[[#This Row],[Customer_ID_Raw]],CustomersTable11[],4,FALSE)</f>
        <v>Quebec</v>
      </c>
      <c r="T228" t="str">
        <f>VLOOKUP(OrdersRawTable9[[#This Row],[Customer_ID_Raw]],CustomersTable11[],5,FALSE)</f>
        <v>Small Business</v>
      </c>
      <c r="U228" s="45">
        <f>VLOOKUP(OrdersRawTable9[[#This Row],[Product_ID]],ProductsTable10[],4,FALSE)</f>
        <v>19.670000000000002</v>
      </c>
      <c r="V228" t="str">
        <f>VLOOKUP(OrdersRawTable9[[#This Row],[Product_ID]],ProductsTable10[],3,FALSE)</f>
        <v>Accessories</v>
      </c>
      <c r="W228" s="45">
        <f>OrdersRawTable9[[#This Row],[Unit_Price]]*OrdersRawTable9[[#This Row],[Quantity]]</f>
        <v>139.63999999999999</v>
      </c>
      <c r="X228" s="47">
        <f>OrdersRawTable9[[#This Row],[Gross_Sales]]*OrdersRawTable9[[#This Row],[Discount_Pct]]</f>
        <v>6.9819999999999993</v>
      </c>
      <c r="Y228" s="45">
        <f>OrdersRawTable9[[#This Row],[Gross_Sales]]-OrdersRawTable9[[#This Row],[Discount_Amount]]</f>
        <v>132.65799999999999</v>
      </c>
      <c r="Z228" s="45">
        <f>OrdersRawTable9[[#This Row],[Unit_Cost]]*OrdersRawTable9[[#This Row],[Quantity]]</f>
        <v>78.680000000000007</v>
      </c>
      <c r="AA228" s="45">
        <f>OrdersRawTable9[[#This Row],[Net_Sales]]-OrdersRawTable9[[#This Row],[Total_Cost]]</f>
        <v>53.97799999999998</v>
      </c>
      <c r="AB228" s="48">
        <f>IF(OrdersRawTable9[[#This Row],[Net_Sales]]=0,0,OrdersRawTable9[[#This Row],[Profit]]/OrdersRawTable9[[#This Row],[Net_Sales]])</f>
        <v>0.40689592787468515</v>
      </c>
      <c r="AC228" s="45" t="str">
        <f>IF(COUNTIF(ReturnsRawTable[Order_Line_ID],OrdersRawTable9[[#This Row],[Order_Line_ID]])&gt;0,"Yes","No")</f>
        <v>No</v>
      </c>
      <c r="AD228" s="45" t="str">
        <f>IFERROR(VLOOKUP(OrdersRawTable9[[#This Row],[Order_Line_ID]],ReturnsRawTable[[#All],[Order_Line_ID]:[Return_Reason_Raw]],3,FALSE),"")</f>
        <v/>
      </c>
      <c r="AE228" s="49" t="str">
        <f>IFERROR(VLOOKUP(OrdersRawTable9[[#This Row],[Order_Line_ID]],ReturnsRawTable[[#All],[Order_Line_ID]:[Return_Date]],2,FALSE),"")</f>
        <v/>
      </c>
      <c r="AF228" s="45" t="str">
        <f>IFERROR(VLOOKUP(OrdersRawTable9[[#This Row],[Order_Line_ID]],ReturnsRawTable[[Order_Line_ID]:[Refund_Status]],4,FALSE),"")</f>
        <v/>
      </c>
      <c r="AG228" s="45" t="str">
        <f>VLOOKUP(OrdersRawTable9[[#This Row],[Order_ID]],ShipmentsTable[],6,FALSE)</f>
        <v>Late</v>
      </c>
      <c r="AH228" s="49">
        <f>VLOOKUP(OrdersRawTable9[[#This Row],[Order_ID]],ShipmentsTable[],3,FALSE)</f>
        <v>45666</v>
      </c>
    </row>
    <row r="229" spans="1:34" ht="15" customHeight="1">
      <c r="A229" s="14" t="s">
        <v>579</v>
      </c>
      <c r="B229" s="10" t="s">
        <v>574</v>
      </c>
      <c r="C229" s="20">
        <v>45658</v>
      </c>
      <c r="D229" s="10" t="s">
        <v>575</v>
      </c>
      <c r="E229" s="10" t="s">
        <v>576</v>
      </c>
      <c r="F229" s="10" t="str">
        <f>TRIM(LEFT(OrdersRawTable9[[#This Row],[Customer_Info]],FIND(",",OrdersRawTable9[[#This Row],[Customer_Info]])-1))</f>
        <v>Sara Gagnon</v>
      </c>
      <c r="G22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229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29" s="10">
        <f>LEN(OrdersRawTable9[[#This Row],[Customer_Info]])-LEN(SUBSTITUTE(OrdersRawTable9[[#This Row],[Customer_Info]],",",""))</f>
        <v>2</v>
      </c>
      <c r="J229" s="10" t="s">
        <v>214</v>
      </c>
      <c r="K229" s="23">
        <v>1</v>
      </c>
      <c r="L229" s="26">
        <v>186.92</v>
      </c>
      <c r="M229" s="29">
        <v>0.1</v>
      </c>
      <c r="N229" s="10" t="s">
        <v>45</v>
      </c>
      <c r="O229" s="10" t="str">
        <f>IF(TRIM(OrdersRawTable9[[#This Row],[Sales_Channel_Raw]])="Market place","Marketplace",TRIM(OrdersRawTable9[[#This Row],[Sales_Channel_Raw]]))</f>
        <v>Retail Store</v>
      </c>
      <c r="P229" s="10" t="s">
        <v>98</v>
      </c>
      <c r="Q229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229" s="15" t="s">
        <v>67</v>
      </c>
      <c r="S229" t="str">
        <f>VLOOKUP(OrdersRawTable9[[#This Row],[Customer_ID_Raw]],CustomersTable11[],4,FALSE)</f>
        <v>Quebec</v>
      </c>
      <c r="T229" t="str">
        <f>VLOOKUP(OrdersRawTable9[[#This Row],[Customer_ID_Raw]],CustomersTable11[],5,FALSE)</f>
        <v>Small Business</v>
      </c>
      <c r="U229" s="45">
        <f>VLOOKUP(OrdersRawTable9[[#This Row],[Product_ID]],ProductsTable10[],4,FALSE)</f>
        <v>114.11</v>
      </c>
      <c r="V229" t="str">
        <f>VLOOKUP(OrdersRawTable9[[#This Row],[Product_ID]],ProductsTable10[],3,FALSE)</f>
        <v>Home</v>
      </c>
      <c r="W229" s="45">
        <f>OrdersRawTable9[[#This Row],[Unit_Price]]*OrdersRawTable9[[#This Row],[Quantity]]</f>
        <v>186.92</v>
      </c>
      <c r="X229" s="47">
        <f>OrdersRawTable9[[#This Row],[Gross_Sales]]*OrdersRawTable9[[#This Row],[Discount_Pct]]</f>
        <v>18.692</v>
      </c>
      <c r="Y229" s="45">
        <f>OrdersRawTable9[[#This Row],[Gross_Sales]]-OrdersRawTable9[[#This Row],[Discount_Amount]]</f>
        <v>168.22799999999998</v>
      </c>
      <c r="Z229" s="45">
        <f>OrdersRawTable9[[#This Row],[Unit_Cost]]*OrdersRawTable9[[#This Row],[Quantity]]</f>
        <v>114.11</v>
      </c>
      <c r="AA229" s="45">
        <f>OrdersRawTable9[[#This Row],[Net_Sales]]-OrdersRawTable9[[#This Row],[Total_Cost]]</f>
        <v>54.117999999999981</v>
      </c>
      <c r="AB229" s="48">
        <f>IF(OrdersRawTable9[[#This Row],[Net_Sales]]=0,0,OrdersRawTable9[[#This Row],[Profit]]/OrdersRawTable9[[#This Row],[Net_Sales]])</f>
        <v>0.32169436716836669</v>
      </c>
      <c r="AC229" s="45" t="str">
        <f>IF(COUNTIF(ReturnsRawTable[Order_Line_ID],OrdersRawTable9[[#This Row],[Order_Line_ID]])&gt;0,"Yes","No")</f>
        <v>No</v>
      </c>
      <c r="AD229" s="45" t="str">
        <f>IFERROR(VLOOKUP(OrdersRawTable9[[#This Row],[Order_Line_ID]],ReturnsRawTable[[#All],[Order_Line_ID]:[Return_Reason_Raw]],3,FALSE),"")</f>
        <v/>
      </c>
      <c r="AE229" s="49" t="str">
        <f>IFERROR(VLOOKUP(OrdersRawTable9[[#This Row],[Order_Line_ID]],ReturnsRawTable[[#All],[Order_Line_ID]:[Return_Date]],2,FALSE),"")</f>
        <v/>
      </c>
      <c r="AF229" s="45" t="str">
        <f>IFERROR(VLOOKUP(OrdersRawTable9[[#This Row],[Order_Line_ID]],ReturnsRawTable[[Order_Line_ID]:[Refund_Status]],4,FALSE),"")</f>
        <v/>
      </c>
      <c r="AG229" s="45" t="str">
        <f>VLOOKUP(OrdersRawTable9[[#This Row],[Order_ID]],ShipmentsTable[],6,FALSE)</f>
        <v>Late</v>
      </c>
      <c r="AH229" s="49">
        <f>VLOOKUP(OrdersRawTable9[[#This Row],[Order_ID]],ShipmentsTable[],3,FALSE)</f>
        <v>45666</v>
      </c>
    </row>
    <row r="230" spans="1:34" ht="15" customHeight="1">
      <c r="A230" s="14" t="s">
        <v>580</v>
      </c>
      <c r="B230" s="10" t="s">
        <v>581</v>
      </c>
      <c r="C230" s="20">
        <v>45853</v>
      </c>
      <c r="D230" s="10" t="s">
        <v>582</v>
      </c>
      <c r="E230" s="10" t="s">
        <v>583</v>
      </c>
      <c r="F230" s="10" t="str">
        <f>TRIM(LEFT(OrdersRawTable9[[#This Row],[Customer_Info]],FIND(",",OrdersRawTable9[[#This Row],[Customer_Info]])-1))</f>
        <v>Daniel Ali</v>
      </c>
      <c r="G23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230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230" s="10">
        <f>LEN(OrdersRawTable9[[#This Row],[Customer_Info]])-LEN(SUBSTITUTE(OrdersRawTable9[[#This Row],[Customer_Info]],",",""))</f>
        <v>2</v>
      </c>
      <c r="J230" s="10" t="s">
        <v>309</v>
      </c>
      <c r="K230" s="23">
        <v>3</v>
      </c>
      <c r="L230" s="26">
        <v>56.99</v>
      </c>
      <c r="M230" s="29">
        <v>0.15</v>
      </c>
      <c r="N230" s="10" t="s">
        <v>64</v>
      </c>
      <c r="O230" s="10" t="str">
        <f>IF(TRIM(OrdersRawTable9[[#This Row],[Sales_Channel_Raw]])="Market place","Marketplace",TRIM(OrdersRawTable9[[#This Row],[Sales_Channel_Raw]]))</f>
        <v>Retail Store</v>
      </c>
      <c r="P230" s="10" t="s">
        <v>46</v>
      </c>
      <c r="Q230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230" s="15" t="s">
        <v>67</v>
      </c>
      <c r="S230" t="str">
        <f>VLOOKUP(OrdersRawTable9[[#This Row],[Customer_ID_Raw]],CustomersTable11[],4,FALSE)</f>
        <v>British Columbia</v>
      </c>
      <c r="T230" t="str">
        <f>VLOOKUP(OrdersRawTable9[[#This Row],[Customer_ID_Raw]],CustomersTable11[],5,FALSE)</f>
        <v>Consumer</v>
      </c>
      <c r="U230" s="45">
        <f>VLOOKUP(OrdersRawTable9[[#This Row],[Product_ID]],ProductsTable10[],4,FALSE)</f>
        <v>33.65</v>
      </c>
      <c r="V230" t="str">
        <f>VLOOKUP(OrdersRawTable9[[#This Row],[Product_ID]],ProductsTable10[],3,FALSE)</f>
        <v>Home</v>
      </c>
      <c r="W230" s="45">
        <f>OrdersRawTable9[[#This Row],[Unit_Price]]*OrdersRawTable9[[#This Row],[Quantity]]</f>
        <v>170.97</v>
      </c>
      <c r="X230" s="47">
        <f>OrdersRawTable9[[#This Row],[Gross_Sales]]*OrdersRawTable9[[#This Row],[Discount_Pct]]</f>
        <v>25.645499999999998</v>
      </c>
      <c r="Y230" s="45">
        <f>OrdersRawTable9[[#This Row],[Gross_Sales]]-OrdersRawTable9[[#This Row],[Discount_Amount]]</f>
        <v>145.3245</v>
      </c>
      <c r="Z230" s="45">
        <f>OrdersRawTable9[[#This Row],[Unit_Cost]]*OrdersRawTable9[[#This Row],[Quantity]]</f>
        <v>100.94999999999999</v>
      </c>
      <c r="AA230" s="45">
        <f>OrdersRawTable9[[#This Row],[Net_Sales]]-OrdersRawTable9[[#This Row],[Total_Cost]]</f>
        <v>44.374500000000012</v>
      </c>
      <c r="AB230" s="48">
        <f>IF(OrdersRawTable9[[#This Row],[Net_Sales]]=0,0,OrdersRawTable9[[#This Row],[Profit]]/OrdersRawTable9[[#This Row],[Net_Sales]])</f>
        <v>0.30534768741678114</v>
      </c>
      <c r="AC230" s="45" t="str">
        <f>IF(COUNTIF(ReturnsRawTable[Order_Line_ID],OrdersRawTable9[[#This Row],[Order_Line_ID]])&gt;0,"Yes","No")</f>
        <v>No</v>
      </c>
      <c r="AD230" s="45" t="str">
        <f>IFERROR(VLOOKUP(OrdersRawTable9[[#This Row],[Order_Line_ID]],ReturnsRawTable[[#All],[Order_Line_ID]:[Return_Reason_Raw]],3,FALSE),"")</f>
        <v/>
      </c>
      <c r="AE230" s="49" t="str">
        <f>IFERROR(VLOOKUP(OrdersRawTable9[[#This Row],[Order_Line_ID]],ReturnsRawTable[[#All],[Order_Line_ID]:[Return_Date]],2,FALSE),"")</f>
        <v/>
      </c>
      <c r="AF230" s="45" t="str">
        <f>IFERROR(VLOOKUP(OrdersRawTable9[[#This Row],[Order_Line_ID]],ReturnsRawTable[[Order_Line_ID]:[Refund_Status]],4,FALSE),"")</f>
        <v/>
      </c>
      <c r="AG230" s="45" t="str">
        <f>VLOOKUP(OrdersRawTable9[[#This Row],[Order_ID]],ShipmentsTable[],6,FALSE)</f>
        <v>On time</v>
      </c>
      <c r="AH230" s="49">
        <f>VLOOKUP(OrdersRawTable9[[#This Row],[Order_ID]],ShipmentsTable[],3,FALSE)</f>
        <v>45856</v>
      </c>
    </row>
    <row r="231" spans="1:34" ht="15" customHeight="1">
      <c r="A231" s="14" t="s">
        <v>584</v>
      </c>
      <c r="B231" s="10" t="s">
        <v>581</v>
      </c>
      <c r="C231" s="20">
        <v>45853</v>
      </c>
      <c r="D231" s="10" t="s">
        <v>582</v>
      </c>
      <c r="E231" s="10" t="s">
        <v>583</v>
      </c>
      <c r="F231" s="10" t="str">
        <f>TRIM(LEFT(OrdersRawTable9[[#This Row],[Customer_Info]],FIND(",",OrdersRawTable9[[#This Row],[Customer_Info]])-1))</f>
        <v>Daniel Ali</v>
      </c>
      <c r="G23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231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231" s="10">
        <f>LEN(OrdersRawTable9[[#This Row],[Customer_Info]])-LEN(SUBSTITUTE(OrdersRawTable9[[#This Row],[Customer_Info]],",",""))</f>
        <v>2</v>
      </c>
      <c r="J231" s="10" t="s">
        <v>251</v>
      </c>
      <c r="K231" s="23">
        <v>4</v>
      </c>
      <c r="L231" s="26">
        <v>228.91</v>
      </c>
      <c r="M231" s="29">
        <v>0.05</v>
      </c>
      <c r="N231" s="10" t="s">
        <v>64</v>
      </c>
      <c r="O231" s="10" t="str">
        <f>IF(TRIM(OrdersRawTable9[[#This Row],[Sales_Channel_Raw]])="Market place","Marketplace",TRIM(OrdersRawTable9[[#This Row],[Sales_Channel_Raw]]))</f>
        <v>Retail Store</v>
      </c>
      <c r="P231" s="10" t="s">
        <v>51</v>
      </c>
      <c r="Q231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231" s="15" t="s">
        <v>42</v>
      </c>
      <c r="S231" t="str">
        <f>VLOOKUP(OrdersRawTable9[[#This Row],[Customer_ID_Raw]],CustomersTable11[],4,FALSE)</f>
        <v>British Columbia</v>
      </c>
      <c r="T231" t="str">
        <f>VLOOKUP(OrdersRawTable9[[#This Row],[Customer_ID_Raw]],CustomersTable11[],5,FALSE)</f>
        <v>Consumer</v>
      </c>
      <c r="U231" s="45">
        <f>VLOOKUP(OrdersRawTable9[[#This Row],[Product_ID]],ProductsTable10[],4,FALSE)</f>
        <v>149.4</v>
      </c>
      <c r="V231" t="str">
        <f>VLOOKUP(OrdersRawTable9[[#This Row],[Product_ID]],ProductsTable10[],3,FALSE)</f>
        <v>Office</v>
      </c>
      <c r="W231" s="45">
        <f>OrdersRawTable9[[#This Row],[Unit_Price]]*OrdersRawTable9[[#This Row],[Quantity]]</f>
        <v>915.64</v>
      </c>
      <c r="X231" s="47">
        <f>OrdersRawTable9[[#This Row],[Gross_Sales]]*OrdersRawTable9[[#This Row],[Discount_Pct]]</f>
        <v>45.782000000000004</v>
      </c>
      <c r="Y231" s="45">
        <f>OrdersRawTable9[[#This Row],[Gross_Sales]]-OrdersRawTable9[[#This Row],[Discount_Amount]]</f>
        <v>869.85799999999995</v>
      </c>
      <c r="Z231" s="45">
        <f>OrdersRawTable9[[#This Row],[Unit_Cost]]*OrdersRawTable9[[#This Row],[Quantity]]</f>
        <v>597.6</v>
      </c>
      <c r="AA231" s="45">
        <f>OrdersRawTable9[[#This Row],[Net_Sales]]-OrdersRawTable9[[#This Row],[Total_Cost]]</f>
        <v>272.25799999999992</v>
      </c>
      <c r="AB231" s="48">
        <f>IF(OrdersRawTable9[[#This Row],[Net_Sales]]=0,0,OrdersRawTable9[[#This Row],[Profit]]/OrdersRawTable9[[#This Row],[Net_Sales]])</f>
        <v>0.312991315823962</v>
      </c>
      <c r="AC231" s="45" t="str">
        <f>IF(COUNTIF(ReturnsRawTable[Order_Line_ID],OrdersRawTable9[[#This Row],[Order_Line_ID]])&gt;0,"Yes","No")</f>
        <v>No</v>
      </c>
      <c r="AD231" s="45" t="str">
        <f>IFERROR(VLOOKUP(OrdersRawTable9[[#This Row],[Order_Line_ID]],ReturnsRawTable[[#All],[Order_Line_ID]:[Return_Reason_Raw]],3,FALSE),"")</f>
        <v/>
      </c>
      <c r="AE231" s="49" t="str">
        <f>IFERROR(VLOOKUP(OrdersRawTable9[[#This Row],[Order_Line_ID]],ReturnsRawTable[[#All],[Order_Line_ID]:[Return_Date]],2,FALSE),"")</f>
        <v/>
      </c>
      <c r="AF231" s="45" t="str">
        <f>IFERROR(VLOOKUP(OrdersRawTable9[[#This Row],[Order_Line_ID]],ReturnsRawTable[[Order_Line_ID]:[Refund_Status]],4,FALSE),"")</f>
        <v/>
      </c>
      <c r="AG231" s="45" t="str">
        <f>VLOOKUP(OrdersRawTable9[[#This Row],[Order_ID]],ShipmentsTable[],6,FALSE)</f>
        <v>On time</v>
      </c>
      <c r="AH231" s="49">
        <f>VLOOKUP(OrdersRawTable9[[#This Row],[Order_ID]],ShipmentsTable[],3,FALSE)</f>
        <v>45856</v>
      </c>
    </row>
    <row r="232" spans="1:34" ht="15" customHeight="1">
      <c r="A232" s="14" t="s">
        <v>585</v>
      </c>
      <c r="B232" s="10" t="s">
        <v>581</v>
      </c>
      <c r="C232" s="20">
        <v>45853</v>
      </c>
      <c r="D232" s="10" t="s">
        <v>582</v>
      </c>
      <c r="E232" s="10" t="s">
        <v>583</v>
      </c>
      <c r="F232" s="10" t="str">
        <f>TRIM(LEFT(OrdersRawTable9[[#This Row],[Customer_Info]],FIND(",",OrdersRawTable9[[#This Row],[Customer_Info]])-1))</f>
        <v>Daniel Ali</v>
      </c>
      <c r="G23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232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232" s="10">
        <f>LEN(OrdersRawTable9[[#This Row],[Customer_Info]])-LEN(SUBSTITUTE(OrdersRawTable9[[#This Row],[Customer_Info]],",",""))</f>
        <v>2</v>
      </c>
      <c r="J232" s="10" t="s">
        <v>316</v>
      </c>
      <c r="K232" s="23">
        <v>1</v>
      </c>
      <c r="L232" s="26">
        <v>180.37</v>
      </c>
      <c r="M232" s="29">
        <v>0.1</v>
      </c>
      <c r="N232" s="10" t="s">
        <v>50</v>
      </c>
      <c r="O232" s="10" t="str">
        <f>IF(TRIM(OrdersRawTable9[[#This Row],[Sales_Channel_Raw]])="Market place","Marketplace",TRIM(OrdersRawTable9[[#This Row],[Sales_Channel_Raw]]))</f>
        <v>Marketplace</v>
      </c>
      <c r="P232" s="10" t="s">
        <v>51</v>
      </c>
      <c r="Q232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232" s="15" t="s">
        <v>42</v>
      </c>
      <c r="S232" t="str">
        <f>VLOOKUP(OrdersRawTable9[[#This Row],[Customer_ID_Raw]],CustomersTable11[],4,FALSE)</f>
        <v>British Columbia</v>
      </c>
      <c r="T232" t="str">
        <f>VLOOKUP(OrdersRawTable9[[#This Row],[Customer_ID_Raw]],CustomersTable11[],5,FALSE)</f>
        <v>Consumer</v>
      </c>
      <c r="U232" s="45">
        <f>VLOOKUP(OrdersRawTable9[[#This Row],[Product_ID]],ProductsTable10[],4,FALSE)</f>
        <v>107.55</v>
      </c>
      <c r="V232" t="str">
        <f>VLOOKUP(OrdersRawTable9[[#This Row],[Product_ID]],ProductsTable10[],3,FALSE)</f>
        <v>Accessories</v>
      </c>
      <c r="W232" s="45">
        <f>OrdersRawTable9[[#This Row],[Unit_Price]]*OrdersRawTable9[[#This Row],[Quantity]]</f>
        <v>180.37</v>
      </c>
      <c r="X232" s="47">
        <f>OrdersRawTable9[[#This Row],[Gross_Sales]]*OrdersRawTable9[[#This Row],[Discount_Pct]]</f>
        <v>18.037000000000003</v>
      </c>
      <c r="Y232" s="45">
        <f>OrdersRawTable9[[#This Row],[Gross_Sales]]-OrdersRawTable9[[#This Row],[Discount_Amount]]</f>
        <v>162.333</v>
      </c>
      <c r="Z232" s="45">
        <f>OrdersRawTable9[[#This Row],[Unit_Cost]]*OrdersRawTable9[[#This Row],[Quantity]]</f>
        <v>107.55</v>
      </c>
      <c r="AA232" s="45">
        <f>OrdersRawTable9[[#This Row],[Net_Sales]]-OrdersRawTable9[[#This Row],[Total_Cost]]</f>
        <v>54.783000000000001</v>
      </c>
      <c r="AB232" s="48">
        <f>IF(OrdersRawTable9[[#This Row],[Net_Sales]]=0,0,OrdersRawTable9[[#This Row],[Profit]]/OrdersRawTable9[[#This Row],[Net_Sales]])</f>
        <v>0.33747297222376227</v>
      </c>
      <c r="AC232" s="45" t="str">
        <f>IF(COUNTIF(ReturnsRawTable[Order_Line_ID],OrdersRawTable9[[#This Row],[Order_Line_ID]])&gt;0,"Yes","No")</f>
        <v>Yes</v>
      </c>
      <c r="AD232" s="45" t="str">
        <f>IFERROR(VLOOKUP(OrdersRawTable9[[#This Row],[Order_Line_ID]],ReturnsRawTable[[#All],[Order_Line_ID]:[Return_Reason_Raw]],3,FALSE),"")</f>
        <v>Late Delivery</v>
      </c>
      <c r="AE232" s="49">
        <f>IFERROR(VLOOKUP(OrdersRawTable9[[#This Row],[Order_Line_ID]],ReturnsRawTable[[#All],[Order_Line_ID]:[Return_Date]],2,FALSE),"")</f>
        <v>45870</v>
      </c>
      <c r="AF232" s="45" t="str">
        <f>IFERROR(VLOOKUP(OrdersRawTable9[[#This Row],[Order_Line_ID]],ReturnsRawTable[[Order_Line_ID]:[Refund_Status]],4,FALSE),"")</f>
        <v>Refunded</v>
      </c>
      <c r="AG232" s="45" t="str">
        <f>VLOOKUP(OrdersRawTable9[[#This Row],[Order_ID]],ShipmentsTable[],6,FALSE)</f>
        <v>On time</v>
      </c>
      <c r="AH232" s="49">
        <f>VLOOKUP(OrdersRawTable9[[#This Row],[Order_ID]],ShipmentsTable[],3,FALSE)</f>
        <v>45856</v>
      </c>
    </row>
    <row r="233" spans="1:34" ht="15" customHeight="1">
      <c r="A233" s="14" t="s">
        <v>586</v>
      </c>
      <c r="B233" s="10" t="s">
        <v>587</v>
      </c>
      <c r="C233" s="20">
        <v>45974</v>
      </c>
      <c r="D233" s="10" t="s">
        <v>249</v>
      </c>
      <c r="E233" s="10" t="s">
        <v>250</v>
      </c>
      <c r="F233" s="10" t="str">
        <f>TRIM(LEFT(OrdersRawTable9[[#This Row],[Customer_Info]],FIND(",",OrdersRawTable9[[#This Row],[Customer_Info]])-1))</f>
        <v>Maya Dubois</v>
      </c>
      <c r="G23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233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33" s="10">
        <f>LEN(OrdersRawTable9[[#This Row],[Customer_Info]])-LEN(SUBSTITUTE(OrdersRawTable9[[#This Row],[Customer_Info]],",",""))</f>
        <v>2</v>
      </c>
      <c r="J233" s="10" t="s">
        <v>63</v>
      </c>
      <c r="K233" s="23">
        <v>2</v>
      </c>
      <c r="L233" s="26">
        <v>105.38</v>
      </c>
      <c r="M233" s="29">
        <v>0.15</v>
      </c>
      <c r="N233" s="10" t="s">
        <v>45</v>
      </c>
      <c r="O233" s="10" t="str">
        <f>IF(TRIM(OrdersRawTable9[[#This Row],[Sales_Channel_Raw]])="Market place","Marketplace",TRIM(OrdersRawTable9[[#This Row],[Sales_Channel_Raw]]))</f>
        <v>Retail Store</v>
      </c>
      <c r="P233" s="10" t="s">
        <v>51</v>
      </c>
      <c r="Q233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233" s="15" t="s">
        <v>47</v>
      </c>
      <c r="S233" t="str">
        <f>VLOOKUP(OrdersRawTable9[[#This Row],[Customer_ID_Raw]],CustomersTable11[],4,FALSE)</f>
        <v>Manitoba</v>
      </c>
      <c r="T233" t="str">
        <f>VLOOKUP(OrdersRawTable9[[#This Row],[Customer_ID_Raw]],CustomersTable11[],5,FALSE)</f>
        <v>Small Business</v>
      </c>
      <c r="U233" s="45">
        <f>VLOOKUP(OrdersRawTable9[[#This Row],[Product_ID]],ProductsTable10[],4,FALSE)</f>
        <v>67.290000000000006</v>
      </c>
      <c r="V233" t="str">
        <f>VLOOKUP(OrdersRawTable9[[#This Row],[Product_ID]],ProductsTable10[],3,FALSE)</f>
        <v>Electronics</v>
      </c>
      <c r="W233" s="45">
        <f>OrdersRawTable9[[#This Row],[Unit_Price]]*OrdersRawTable9[[#This Row],[Quantity]]</f>
        <v>210.76</v>
      </c>
      <c r="X233" s="47">
        <f>OrdersRawTable9[[#This Row],[Gross_Sales]]*OrdersRawTable9[[#This Row],[Discount_Pct]]</f>
        <v>31.613999999999997</v>
      </c>
      <c r="Y233" s="45">
        <f>OrdersRawTable9[[#This Row],[Gross_Sales]]-OrdersRawTable9[[#This Row],[Discount_Amount]]</f>
        <v>179.14599999999999</v>
      </c>
      <c r="Z233" s="45">
        <f>OrdersRawTable9[[#This Row],[Unit_Cost]]*OrdersRawTable9[[#This Row],[Quantity]]</f>
        <v>134.58000000000001</v>
      </c>
      <c r="AA233" s="45">
        <f>OrdersRawTable9[[#This Row],[Net_Sales]]-OrdersRawTable9[[#This Row],[Total_Cost]]</f>
        <v>44.565999999999974</v>
      </c>
      <c r="AB233" s="48">
        <f>IF(OrdersRawTable9[[#This Row],[Net_Sales]]=0,0,OrdersRawTable9[[#This Row],[Profit]]/OrdersRawTable9[[#This Row],[Net_Sales]])</f>
        <v>0.24876916034965882</v>
      </c>
      <c r="AC233" s="45" t="str">
        <f>IF(COUNTIF(ReturnsRawTable[Order_Line_ID],OrdersRawTable9[[#This Row],[Order_Line_ID]])&gt;0,"Yes","No")</f>
        <v>No</v>
      </c>
      <c r="AD233" s="45" t="str">
        <f>IFERROR(VLOOKUP(OrdersRawTable9[[#This Row],[Order_Line_ID]],ReturnsRawTable[[#All],[Order_Line_ID]:[Return_Reason_Raw]],3,FALSE),"")</f>
        <v/>
      </c>
      <c r="AE233" s="49" t="str">
        <f>IFERROR(VLOOKUP(OrdersRawTable9[[#This Row],[Order_Line_ID]],ReturnsRawTable[[#All],[Order_Line_ID]:[Return_Date]],2,FALSE),"")</f>
        <v/>
      </c>
      <c r="AF233" s="45" t="str">
        <f>IFERROR(VLOOKUP(OrdersRawTable9[[#This Row],[Order_Line_ID]],ReturnsRawTable[[Order_Line_ID]:[Refund_Status]],4,FALSE),"")</f>
        <v/>
      </c>
      <c r="AG233" s="45" t="str">
        <f>VLOOKUP(OrdersRawTable9[[#This Row],[Order_ID]],ShipmentsTable[],6,FALSE)</f>
        <v>Late</v>
      </c>
      <c r="AH233" s="49">
        <f>VLOOKUP(OrdersRawTable9[[#This Row],[Order_ID]],ShipmentsTable[],3,FALSE)</f>
        <v>45979</v>
      </c>
    </row>
    <row r="234" spans="1:34" ht="15" customHeight="1">
      <c r="A234" s="14" t="s">
        <v>588</v>
      </c>
      <c r="B234" s="10" t="s">
        <v>587</v>
      </c>
      <c r="C234" s="20">
        <v>45974</v>
      </c>
      <c r="D234" s="10" t="s">
        <v>249</v>
      </c>
      <c r="E234" s="10" t="s">
        <v>250</v>
      </c>
      <c r="F234" s="10" t="str">
        <f>TRIM(LEFT(OrdersRawTable9[[#This Row],[Customer_Info]],FIND(",",OrdersRawTable9[[#This Row],[Customer_Info]])-1))</f>
        <v>Maya Dubois</v>
      </c>
      <c r="G23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234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34" s="10">
        <f>LEN(OrdersRawTable9[[#This Row],[Customer_Info]])-LEN(SUBSTITUTE(OrdersRawTable9[[#This Row],[Customer_Info]],",",""))</f>
        <v>2</v>
      </c>
      <c r="J234" s="10" t="s">
        <v>63</v>
      </c>
      <c r="K234" s="23">
        <v>2</v>
      </c>
      <c r="L234" s="26">
        <v>105.38</v>
      </c>
      <c r="M234" s="29">
        <v>0.1</v>
      </c>
      <c r="N234" s="10" t="s">
        <v>50</v>
      </c>
      <c r="O234" s="10" t="str">
        <f>IF(TRIM(OrdersRawTable9[[#This Row],[Sales_Channel_Raw]])="Market place","Marketplace",TRIM(OrdersRawTable9[[#This Row],[Sales_Channel_Raw]]))</f>
        <v>Marketplace</v>
      </c>
      <c r="P234" s="10" t="s">
        <v>98</v>
      </c>
      <c r="Q234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234" s="15" t="s">
        <v>101</v>
      </c>
      <c r="S234" t="str">
        <f>VLOOKUP(OrdersRawTable9[[#This Row],[Customer_ID_Raw]],CustomersTable11[],4,FALSE)</f>
        <v>Manitoba</v>
      </c>
      <c r="T234" t="str">
        <f>VLOOKUP(OrdersRawTable9[[#This Row],[Customer_ID_Raw]],CustomersTable11[],5,FALSE)</f>
        <v>Small Business</v>
      </c>
      <c r="U234" s="45">
        <f>VLOOKUP(OrdersRawTable9[[#This Row],[Product_ID]],ProductsTable10[],4,FALSE)</f>
        <v>67.290000000000006</v>
      </c>
      <c r="V234" t="str">
        <f>VLOOKUP(OrdersRawTable9[[#This Row],[Product_ID]],ProductsTable10[],3,FALSE)</f>
        <v>Electronics</v>
      </c>
      <c r="W234" s="45">
        <f>OrdersRawTable9[[#This Row],[Unit_Price]]*OrdersRawTable9[[#This Row],[Quantity]]</f>
        <v>210.76</v>
      </c>
      <c r="X234" s="47">
        <f>OrdersRawTable9[[#This Row],[Gross_Sales]]*OrdersRawTable9[[#This Row],[Discount_Pct]]</f>
        <v>21.076000000000001</v>
      </c>
      <c r="Y234" s="45">
        <f>OrdersRawTable9[[#This Row],[Gross_Sales]]-OrdersRawTable9[[#This Row],[Discount_Amount]]</f>
        <v>189.684</v>
      </c>
      <c r="Z234" s="45">
        <f>OrdersRawTable9[[#This Row],[Unit_Cost]]*OrdersRawTable9[[#This Row],[Quantity]]</f>
        <v>134.58000000000001</v>
      </c>
      <c r="AA234" s="45">
        <f>OrdersRawTable9[[#This Row],[Net_Sales]]-OrdersRawTable9[[#This Row],[Total_Cost]]</f>
        <v>55.103999999999985</v>
      </c>
      <c r="AB234" s="48">
        <f>IF(OrdersRawTable9[[#This Row],[Net_Sales]]=0,0,OrdersRawTable9[[#This Row],[Profit]]/OrdersRawTable9[[#This Row],[Net_Sales]])</f>
        <v>0.29050420699690005</v>
      </c>
      <c r="AC234" s="45" t="str">
        <f>IF(COUNTIF(ReturnsRawTable[Order_Line_ID],OrdersRawTable9[[#This Row],[Order_Line_ID]])&gt;0,"Yes","No")</f>
        <v>No</v>
      </c>
      <c r="AD234" s="45" t="str">
        <f>IFERROR(VLOOKUP(OrdersRawTable9[[#This Row],[Order_Line_ID]],ReturnsRawTable[[#All],[Order_Line_ID]:[Return_Reason_Raw]],3,FALSE),"")</f>
        <v/>
      </c>
      <c r="AE234" s="49" t="str">
        <f>IFERROR(VLOOKUP(OrdersRawTable9[[#This Row],[Order_Line_ID]],ReturnsRawTable[[#All],[Order_Line_ID]:[Return_Date]],2,FALSE),"")</f>
        <v/>
      </c>
      <c r="AF234" s="45" t="str">
        <f>IFERROR(VLOOKUP(OrdersRawTable9[[#This Row],[Order_Line_ID]],ReturnsRawTable[[Order_Line_ID]:[Refund_Status]],4,FALSE),"")</f>
        <v/>
      </c>
      <c r="AG234" s="45" t="str">
        <f>VLOOKUP(OrdersRawTable9[[#This Row],[Order_ID]],ShipmentsTable[],6,FALSE)</f>
        <v>Late</v>
      </c>
      <c r="AH234" s="49">
        <f>VLOOKUP(OrdersRawTable9[[#This Row],[Order_ID]],ShipmentsTable[],3,FALSE)</f>
        <v>45979</v>
      </c>
    </row>
    <row r="235" spans="1:34" ht="15" customHeight="1">
      <c r="A235" s="14" t="s">
        <v>589</v>
      </c>
      <c r="B235" s="10" t="s">
        <v>587</v>
      </c>
      <c r="C235" s="20">
        <v>45974</v>
      </c>
      <c r="D235" s="10" t="s">
        <v>249</v>
      </c>
      <c r="E235" s="10" t="s">
        <v>250</v>
      </c>
      <c r="F235" s="10" t="str">
        <f>TRIM(LEFT(OrdersRawTable9[[#This Row],[Customer_Info]],FIND(",",OrdersRawTable9[[#This Row],[Customer_Info]])-1))</f>
        <v>Maya Dubois</v>
      </c>
      <c r="G23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235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35" s="10">
        <f>LEN(OrdersRawTable9[[#This Row],[Customer_Info]])-LEN(SUBSTITUTE(OrdersRawTable9[[#This Row],[Customer_Info]],",",""))</f>
        <v>2</v>
      </c>
      <c r="J235" s="10" t="s">
        <v>238</v>
      </c>
      <c r="K235" s="23">
        <v>4</v>
      </c>
      <c r="L235" s="26">
        <v>82.77</v>
      </c>
      <c r="M235" s="29">
        <v>0.05</v>
      </c>
      <c r="N235" s="10" t="s">
        <v>50</v>
      </c>
      <c r="O235" s="10" t="str">
        <f>IF(TRIM(OrdersRawTable9[[#This Row],[Sales_Channel_Raw]])="Market place","Marketplace",TRIM(OrdersRawTable9[[#This Row],[Sales_Channel_Raw]]))</f>
        <v>Marketplace</v>
      </c>
      <c r="P235" s="10" t="s">
        <v>51</v>
      </c>
      <c r="Q235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235" s="15" t="s">
        <v>101</v>
      </c>
      <c r="S235" t="str">
        <f>VLOOKUP(OrdersRawTable9[[#This Row],[Customer_ID_Raw]],CustomersTable11[],4,FALSE)</f>
        <v>Manitoba</v>
      </c>
      <c r="T235" t="str">
        <f>VLOOKUP(OrdersRawTable9[[#This Row],[Customer_ID_Raw]],CustomersTable11[],5,FALSE)</f>
        <v>Small Business</v>
      </c>
      <c r="U235" s="45">
        <f>VLOOKUP(OrdersRawTable9[[#This Row],[Product_ID]],ProductsTable10[],4,FALSE)</f>
        <v>46.51</v>
      </c>
      <c r="V235" t="str">
        <f>VLOOKUP(OrdersRawTable9[[#This Row],[Product_ID]],ProductsTable10[],3,FALSE)</f>
        <v>Office</v>
      </c>
      <c r="W235" s="45">
        <f>OrdersRawTable9[[#This Row],[Unit_Price]]*OrdersRawTable9[[#This Row],[Quantity]]</f>
        <v>331.08</v>
      </c>
      <c r="X235" s="47">
        <f>OrdersRawTable9[[#This Row],[Gross_Sales]]*OrdersRawTable9[[#This Row],[Discount_Pct]]</f>
        <v>16.553999999999998</v>
      </c>
      <c r="Y235" s="45">
        <f>OrdersRawTable9[[#This Row],[Gross_Sales]]-OrdersRawTable9[[#This Row],[Discount_Amount]]</f>
        <v>314.52600000000001</v>
      </c>
      <c r="Z235" s="45">
        <f>OrdersRawTable9[[#This Row],[Unit_Cost]]*OrdersRawTable9[[#This Row],[Quantity]]</f>
        <v>186.04</v>
      </c>
      <c r="AA235" s="45">
        <f>OrdersRawTable9[[#This Row],[Net_Sales]]-OrdersRawTable9[[#This Row],[Total_Cost]]</f>
        <v>128.48600000000002</v>
      </c>
      <c r="AB235" s="48">
        <f>IF(OrdersRawTable9[[#This Row],[Net_Sales]]=0,0,OrdersRawTable9[[#This Row],[Profit]]/OrdersRawTable9[[#This Row],[Net_Sales]])</f>
        <v>0.40850676891576537</v>
      </c>
      <c r="AC235" s="45" t="str">
        <f>IF(COUNTIF(ReturnsRawTable[Order_Line_ID],OrdersRawTable9[[#This Row],[Order_Line_ID]])&gt;0,"Yes","No")</f>
        <v>No</v>
      </c>
      <c r="AD235" s="45" t="str">
        <f>IFERROR(VLOOKUP(OrdersRawTable9[[#This Row],[Order_Line_ID]],ReturnsRawTable[[#All],[Order_Line_ID]:[Return_Reason_Raw]],3,FALSE),"")</f>
        <v/>
      </c>
      <c r="AE235" s="49" t="str">
        <f>IFERROR(VLOOKUP(OrdersRawTable9[[#This Row],[Order_Line_ID]],ReturnsRawTable[[#All],[Order_Line_ID]:[Return_Date]],2,FALSE),"")</f>
        <v/>
      </c>
      <c r="AF235" s="45" t="str">
        <f>IFERROR(VLOOKUP(OrdersRawTable9[[#This Row],[Order_Line_ID]],ReturnsRawTable[[Order_Line_ID]:[Refund_Status]],4,FALSE),"")</f>
        <v/>
      </c>
      <c r="AG235" s="45" t="str">
        <f>VLOOKUP(OrdersRawTable9[[#This Row],[Order_ID]],ShipmentsTable[],6,FALSE)</f>
        <v>Late</v>
      </c>
      <c r="AH235" s="49">
        <f>VLOOKUP(OrdersRawTable9[[#This Row],[Order_ID]],ShipmentsTable[],3,FALSE)</f>
        <v>45979</v>
      </c>
    </row>
    <row r="236" spans="1:34" ht="15" customHeight="1">
      <c r="A236" s="14" t="s">
        <v>590</v>
      </c>
      <c r="B236" s="10" t="s">
        <v>587</v>
      </c>
      <c r="C236" s="20">
        <v>45974</v>
      </c>
      <c r="D236" s="10" t="s">
        <v>249</v>
      </c>
      <c r="E236" s="10" t="s">
        <v>250</v>
      </c>
      <c r="F236" s="10" t="str">
        <f>TRIM(LEFT(OrdersRawTable9[[#This Row],[Customer_Info]],FIND(",",OrdersRawTable9[[#This Row],[Customer_Info]])-1))</f>
        <v>Maya Dubois</v>
      </c>
      <c r="G23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236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36" s="10">
        <f>LEN(OrdersRawTable9[[#This Row],[Customer_Info]])-LEN(SUBSTITUTE(OrdersRawTable9[[#This Row],[Customer_Info]],",",""))</f>
        <v>2</v>
      </c>
      <c r="J236" s="10" t="s">
        <v>108</v>
      </c>
      <c r="K236" s="23">
        <v>2</v>
      </c>
      <c r="L236" s="26">
        <v>33.369999999999997</v>
      </c>
      <c r="M236" s="29">
        <v>0</v>
      </c>
      <c r="N236" s="10" t="s">
        <v>50</v>
      </c>
      <c r="O236" s="10" t="str">
        <f>IF(TRIM(OrdersRawTable9[[#This Row],[Sales_Channel_Raw]])="Market place","Marketplace",TRIM(OrdersRawTable9[[#This Row],[Sales_Channel_Raw]]))</f>
        <v>Marketplace</v>
      </c>
      <c r="P236" s="10" t="s">
        <v>46</v>
      </c>
      <c r="Q236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236" s="15" t="s">
        <v>47</v>
      </c>
      <c r="S236" t="str">
        <f>VLOOKUP(OrdersRawTable9[[#This Row],[Customer_ID_Raw]],CustomersTable11[],4,FALSE)</f>
        <v>Manitoba</v>
      </c>
      <c r="T236" t="str">
        <f>VLOOKUP(OrdersRawTable9[[#This Row],[Customer_ID_Raw]],CustomersTable11[],5,FALSE)</f>
        <v>Small Business</v>
      </c>
      <c r="U236" s="45">
        <f>VLOOKUP(OrdersRawTable9[[#This Row],[Product_ID]],ProductsTable10[],4,FALSE)</f>
        <v>18.670000000000002</v>
      </c>
      <c r="V236" t="str">
        <f>VLOOKUP(OrdersRawTable9[[#This Row],[Product_ID]],ProductsTable10[],3,FALSE)</f>
        <v>Fitness</v>
      </c>
      <c r="W236" s="45">
        <f>OrdersRawTable9[[#This Row],[Unit_Price]]*OrdersRawTable9[[#This Row],[Quantity]]</f>
        <v>66.739999999999995</v>
      </c>
      <c r="X236" s="47">
        <f>OrdersRawTable9[[#This Row],[Gross_Sales]]*OrdersRawTable9[[#This Row],[Discount_Pct]]</f>
        <v>0</v>
      </c>
      <c r="Y236" s="45">
        <f>OrdersRawTable9[[#This Row],[Gross_Sales]]-OrdersRawTable9[[#This Row],[Discount_Amount]]</f>
        <v>66.739999999999995</v>
      </c>
      <c r="Z236" s="45">
        <f>OrdersRawTable9[[#This Row],[Unit_Cost]]*OrdersRawTable9[[#This Row],[Quantity]]</f>
        <v>37.340000000000003</v>
      </c>
      <c r="AA236" s="45">
        <f>OrdersRawTable9[[#This Row],[Net_Sales]]-OrdersRawTable9[[#This Row],[Total_Cost]]</f>
        <v>29.399999999999991</v>
      </c>
      <c r="AB236" s="48">
        <f>IF(OrdersRawTable9[[#This Row],[Net_Sales]]=0,0,OrdersRawTable9[[#This Row],[Profit]]/OrdersRawTable9[[#This Row],[Net_Sales]])</f>
        <v>0.44051543302367385</v>
      </c>
      <c r="AC236" s="45" t="str">
        <f>IF(COUNTIF(ReturnsRawTable[Order_Line_ID],OrdersRawTable9[[#This Row],[Order_Line_ID]])&gt;0,"Yes","No")</f>
        <v>Yes</v>
      </c>
      <c r="AD236" s="45" t="str">
        <f>IFERROR(VLOOKUP(OrdersRawTable9[[#This Row],[Order_Line_ID]],ReturnsRawTable[[#All],[Order_Line_ID]:[Return_Reason_Raw]],3,FALSE),"")</f>
        <v>Changed Mind</v>
      </c>
      <c r="AE236" s="49">
        <f>IFERROR(VLOOKUP(OrdersRawTable9[[#This Row],[Order_Line_ID]],ReturnsRawTable[[#All],[Order_Line_ID]:[Return_Date]],2,FALSE),"")</f>
        <v>45988</v>
      </c>
      <c r="AF236" s="45" t="str">
        <f>IFERROR(VLOOKUP(OrdersRawTable9[[#This Row],[Order_Line_ID]],ReturnsRawTable[[Order_Line_ID]:[Refund_Status]],4,FALSE),"")</f>
        <v>Refunded</v>
      </c>
      <c r="AG236" s="45" t="str">
        <f>VLOOKUP(OrdersRawTable9[[#This Row],[Order_ID]],ShipmentsTable[],6,FALSE)</f>
        <v>Late</v>
      </c>
      <c r="AH236" s="49">
        <f>VLOOKUP(OrdersRawTable9[[#This Row],[Order_ID]],ShipmentsTable[],3,FALSE)</f>
        <v>45979</v>
      </c>
    </row>
    <row r="237" spans="1:34" ht="15" customHeight="1">
      <c r="A237" s="14" t="s">
        <v>591</v>
      </c>
      <c r="B237" s="10" t="s">
        <v>592</v>
      </c>
      <c r="C237" s="20">
        <v>45795</v>
      </c>
      <c r="D237" s="10" t="s">
        <v>593</v>
      </c>
      <c r="E237" s="10" t="s">
        <v>594</v>
      </c>
      <c r="F237" s="10" t="str">
        <f>TRIM(LEFT(OrdersRawTable9[[#This Row],[Customer_Info]],FIND(",",OrdersRawTable9[[#This Row],[Customer_Info]])-1))</f>
        <v>Amina Martin</v>
      </c>
      <c r="G23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237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237" s="10">
        <f>LEN(OrdersRawTable9[[#This Row],[Customer_Info]])-LEN(SUBSTITUTE(OrdersRawTable9[[#This Row],[Customer_Info]],",",""))</f>
        <v>2</v>
      </c>
      <c r="J237" s="10" t="s">
        <v>39</v>
      </c>
      <c r="K237" s="23">
        <v>2</v>
      </c>
      <c r="L237" s="26">
        <v>236.51</v>
      </c>
      <c r="M237" s="29">
        <v>0</v>
      </c>
      <c r="N237" s="10" t="s">
        <v>40</v>
      </c>
      <c r="O237" s="10" t="str">
        <f>IF(TRIM(OrdersRawTable9[[#This Row],[Sales_Channel_Raw]])="Market place","Marketplace",TRIM(OrdersRawTable9[[#This Row],[Sales_Channel_Raw]]))</f>
        <v>Online</v>
      </c>
      <c r="P237" s="10" t="s">
        <v>58</v>
      </c>
      <c r="Q237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237" s="15" t="s">
        <v>101</v>
      </c>
      <c r="S237" t="str">
        <f>VLOOKUP(OrdersRawTable9[[#This Row],[Customer_ID_Raw]],CustomersTable11[],4,FALSE)</f>
        <v>Nova Scotia</v>
      </c>
      <c r="T237" t="str">
        <f>VLOOKUP(OrdersRawTable9[[#This Row],[Customer_ID_Raw]],CustomersTable11[],5,FALSE)</f>
        <v>Consumer</v>
      </c>
      <c r="U237" s="45">
        <f>VLOOKUP(OrdersRawTable9[[#This Row],[Product_ID]],ProductsTable10[],4,FALSE)</f>
        <v>142.84</v>
      </c>
      <c r="V237" t="str">
        <f>VLOOKUP(OrdersRawTable9[[#This Row],[Product_ID]],ProductsTable10[],3,FALSE)</f>
        <v>Fitness</v>
      </c>
      <c r="W237" s="45">
        <f>OrdersRawTable9[[#This Row],[Unit_Price]]*OrdersRawTable9[[#This Row],[Quantity]]</f>
        <v>473.02</v>
      </c>
      <c r="X237" s="47">
        <f>OrdersRawTable9[[#This Row],[Gross_Sales]]*OrdersRawTable9[[#This Row],[Discount_Pct]]</f>
        <v>0</v>
      </c>
      <c r="Y237" s="45">
        <f>OrdersRawTable9[[#This Row],[Gross_Sales]]-OrdersRawTable9[[#This Row],[Discount_Amount]]</f>
        <v>473.02</v>
      </c>
      <c r="Z237" s="45">
        <f>OrdersRawTable9[[#This Row],[Unit_Cost]]*OrdersRawTable9[[#This Row],[Quantity]]</f>
        <v>285.68</v>
      </c>
      <c r="AA237" s="45">
        <f>OrdersRawTable9[[#This Row],[Net_Sales]]-OrdersRawTable9[[#This Row],[Total_Cost]]</f>
        <v>187.33999999999997</v>
      </c>
      <c r="AB237" s="48">
        <f>IF(OrdersRawTable9[[#This Row],[Net_Sales]]=0,0,OrdersRawTable9[[#This Row],[Profit]]/OrdersRawTable9[[#This Row],[Net_Sales]])</f>
        <v>0.39605090693839579</v>
      </c>
      <c r="AC237" s="45" t="str">
        <f>IF(COUNTIF(ReturnsRawTable[Order_Line_ID],OrdersRawTable9[[#This Row],[Order_Line_ID]])&gt;0,"Yes","No")</f>
        <v>No</v>
      </c>
      <c r="AD237" s="45" t="str">
        <f>IFERROR(VLOOKUP(OrdersRawTable9[[#This Row],[Order_Line_ID]],ReturnsRawTable[[#All],[Order_Line_ID]:[Return_Reason_Raw]],3,FALSE),"")</f>
        <v/>
      </c>
      <c r="AE237" s="49" t="str">
        <f>IFERROR(VLOOKUP(OrdersRawTable9[[#This Row],[Order_Line_ID]],ReturnsRawTable[[#All],[Order_Line_ID]:[Return_Date]],2,FALSE),"")</f>
        <v/>
      </c>
      <c r="AF237" s="45" t="str">
        <f>IFERROR(VLOOKUP(OrdersRawTable9[[#This Row],[Order_Line_ID]],ReturnsRawTable[[Order_Line_ID]:[Refund_Status]],4,FALSE),"")</f>
        <v/>
      </c>
      <c r="AG237" s="45" t="str">
        <f>VLOOKUP(OrdersRawTable9[[#This Row],[Order_ID]],ShipmentsTable[],6,FALSE)</f>
        <v>Late</v>
      </c>
      <c r="AH237" s="49">
        <f>VLOOKUP(OrdersRawTable9[[#This Row],[Order_ID]],ShipmentsTable[],3,FALSE)</f>
        <v>45804</v>
      </c>
    </row>
    <row r="238" spans="1:34" ht="15" customHeight="1">
      <c r="A238" s="14" t="s">
        <v>595</v>
      </c>
      <c r="B238" s="10" t="s">
        <v>592</v>
      </c>
      <c r="C238" s="20">
        <v>45795</v>
      </c>
      <c r="D238" s="10" t="s">
        <v>593</v>
      </c>
      <c r="E238" s="10" t="s">
        <v>594</v>
      </c>
      <c r="F238" s="10" t="str">
        <f>TRIM(LEFT(OrdersRawTable9[[#This Row],[Customer_Info]],FIND(",",OrdersRawTable9[[#This Row],[Customer_Info]])-1))</f>
        <v>Amina Martin</v>
      </c>
      <c r="G23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238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238" s="10">
        <f>LEN(OrdersRawTable9[[#This Row],[Customer_Info]])-LEN(SUBSTITUTE(OrdersRawTable9[[#This Row],[Customer_Info]],",",""))</f>
        <v>2</v>
      </c>
      <c r="J238" s="10" t="s">
        <v>279</v>
      </c>
      <c r="K238" s="23">
        <v>1</v>
      </c>
      <c r="L238" s="26">
        <v>52.79</v>
      </c>
      <c r="M238" s="29">
        <v>0</v>
      </c>
      <c r="N238" s="10" t="s">
        <v>66</v>
      </c>
      <c r="O238" s="10" t="str">
        <f>IF(TRIM(OrdersRawTable9[[#This Row],[Sales_Channel_Raw]])="Market place","Marketplace",TRIM(OrdersRawTable9[[#This Row],[Sales_Channel_Raw]]))</f>
        <v>Marketplace</v>
      </c>
      <c r="P238" s="10" t="s">
        <v>98</v>
      </c>
      <c r="Q238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238" s="15" t="s">
        <v>101</v>
      </c>
      <c r="S238" t="str">
        <f>VLOOKUP(OrdersRawTable9[[#This Row],[Customer_ID_Raw]],CustomersTable11[],4,FALSE)</f>
        <v>Nova Scotia</v>
      </c>
      <c r="T238" t="str">
        <f>VLOOKUP(OrdersRawTable9[[#This Row],[Customer_ID_Raw]],CustomersTable11[],5,FALSE)</f>
        <v>Consumer</v>
      </c>
      <c r="U238" s="45">
        <f>VLOOKUP(OrdersRawTable9[[#This Row],[Product_ID]],ProductsTable10[],4,FALSE)</f>
        <v>28.17</v>
      </c>
      <c r="V238" t="str">
        <f>VLOOKUP(OrdersRawTable9[[#This Row],[Product_ID]],ProductsTable10[],3,FALSE)</f>
        <v>Office</v>
      </c>
      <c r="W238" s="45">
        <f>OrdersRawTable9[[#This Row],[Unit_Price]]*OrdersRawTable9[[#This Row],[Quantity]]</f>
        <v>52.79</v>
      </c>
      <c r="X238" s="47">
        <f>OrdersRawTable9[[#This Row],[Gross_Sales]]*OrdersRawTable9[[#This Row],[Discount_Pct]]</f>
        <v>0</v>
      </c>
      <c r="Y238" s="45">
        <f>OrdersRawTable9[[#This Row],[Gross_Sales]]-OrdersRawTable9[[#This Row],[Discount_Amount]]</f>
        <v>52.79</v>
      </c>
      <c r="Z238" s="45">
        <f>OrdersRawTable9[[#This Row],[Unit_Cost]]*OrdersRawTable9[[#This Row],[Quantity]]</f>
        <v>28.17</v>
      </c>
      <c r="AA238" s="45">
        <f>OrdersRawTable9[[#This Row],[Net_Sales]]-OrdersRawTable9[[#This Row],[Total_Cost]]</f>
        <v>24.619999999999997</v>
      </c>
      <c r="AB238" s="48">
        <f>IF(OrdersRawTable9[[#This Row],[Net_Sales]]=0,0,OrdersRawTable9[[#This Row],[Profit]]/OrdersRawTable9[[#This Row],[Net_Sales]])</f>
        <v>0.46637620761507859</v>
      </c>
      <c r="AC238" s="45" t="str">
        <f>IF(COUNTIF(ReturnsRawTable[Order_Line_ID],OrdersRawTable9[[#This Row],[Order_Line_ID]])&gt;0,"Yes","No")</f>
        <v>No</v>
      </c>
      <c r="AD238" s="45" t="str">
        <f>IFERROR(VLOOKUP(OrdersRawTable9[[#This Row],[Order_Line_ID]],ReturnsRawTable[[#All],[Order_Line_ID]:[Return_Reason_Raw]],3,FALSE),"")</f>
        <v/>
      </c>
      <c r="AE238" s="49" t="str">
        <f>IFERROR(VLOOKUP(OrdersRawTable9[[#This Row],[Order_Line_ID]],ReturnsRawTable[[#All],[Order_Line_ID]:[Return_Date]],2,FALSE),"")</f>
        <v/>
      </c>
      <c r="AF238" s="45" t="str">
        <f>IFERROR(VLOOKUP(OrdersRawTable9[[#This Row],[Order_Line_ID]],ReturnsRawTable[[Order_Line_ID]:[Refund_Status]],4,FALSE),"")</f>
        <v/>
      </c>
      <c r="AG238" s="45" t="str">
        <f>VLOOKUP(OrdersRawTable9[[#This Row],[Order_ID]],ShipmentsTable[],6,FALSE)</f>
        <v>Late</v>
      </c>
      <c r="AH238" s="49">
        <f>VLOOKUP(OrdersRawTable9[[#This Row],[Order_ID]],ShipmentsTable[],3,FALSE)</f>
        <v>45804</v>
      </c>
    </row>
    <row r="239" spans="1:34" ht="15" customHeight="1">
      <c r="A239" s="14" t="s">
        <v>596</v>
      </c>
      <c r="B239" s="10" t="s">
        <v>597</v>
      </c>
      <c r="C239" s="20">
        <v>45934</v>
      </c>
      <c r="D239" s="10" t="s">
        <v>598</v>
      </c>
      <c r="E239" s="10" t="s">
        <v>599</v>
      </c>
      <c r="F239" s="10" t="str">
        <f>TRIM(LEFT(OrdersRawTable9[[#This Row],[Customer_Info]],FIND(",",OrdersRawTable9[[#This Row],[Customer_Info]])-1))</f>
        <v>Yara Dubois</v>
      </c>
      <c r="G23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239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39" s="10">
        <f>LEN(OrdersRawTable9[[#This Row],[Customer_Info]])-LEN(SUBSTITUTE(OrdersRawTable9[[#This Row],[Customer_Info]],",",""))</f>
        <v>2</v>
      </c>
      <c r="J239" s="10" t="s">
        <v>270</v>
      </c>
      <c r="K239" s="23">
        <v>2</v>
      </c>
      <c r="L239" s="26">
        <v>214.38</v>
      </c>
      <c r="M239" s="29">
        <v>0.15</v>
      </c>
      <c r="N239" s="10" t="s">
        <v>50</v>
      </c>
      <c r="O239" s="10" t="str">
        <f>IF(TRIM(OrdersRawTable9[[#This Row],[Sales_Channel_Raw]])="Market place","Marketplace",TRIM(OrdersRawTable9[[#This Row],[Sales_Channel_Raw]]))</f>
        <v>Marketplace</v>
      </c>
      <c r="P239" s="10" t="s">
        <v>58</v>
      </c>
      <c r="Q239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239" s="15" t="s">
        <v>67</v>
      </c>
      <c r="S239" t="str">
        <f>VLOOKUP(OrdersRawTable9[[#This Row],[Customer_ID_Raw]],CustomersTable11[],4,FALSE)</f>
        <v>Quebec</v>
      </c>
      <c r="T239" t="str">
        <f>VLOOKUP(OrdersRawTable9[[#This Row],[Customer_ID_Raw]],CustomersTable11[],5,FALSE)</f>
        <v>Small Business</v>
      </c>
      <c r="U239" s="45">
        <f>VLOOKUP(OrdersRawTable9[[#This Row],[Product_ID]],ProductsTable10[],4,FALSE)</f>
        <v>131.51</v>
      </c>
      <c r="V239" t="str">
        <f>VLOOKUP(OrdersRawTable9[[#This Row],[Product_ID]],ProductsTable10[],3,FALSE)</f>
        <v>Fitness</v>
      </c>
      <c r="W239" s="45">
        <f>OrdersRawTable9[[#This Row],[Unit_Price]]*OrdersRawTable9[[#This Row],[Quantity]]</f>
        <v>428.76</v>
      </c>
      <c r="X239" s="47">
        <f>OrdersRawTable9[[#This Row],[Gross_Sales]]*OrdersRawTable9[[#This Row],[Discount_Pct]]</f>
        <v>64.313999999999993</v>
      </c>
      <c r="Y239" s="45">
        <f>OrdersRawTable9[[#This Row],[Gross_Sales]]-OrdersRawTable9[[#This Row],[Discount_Amount]]</f>
        <v>364.44600000000003</v>
      </c>
      <c r="Z239" s="45">
        <f>OrdersRawTable9[[#This Row],[Unit_Cost]]*OrdersRawTable9[[#This Row],[Quantity]]</f>
        <v>263.02</v>
      </c>
      <c r="AA239" s="45">
        <f>OrdersRawTable9[[#This Row],[Net_Sales]]-OrdersRawTable9[[#This Row],[Total_Cost]]</f>
        <v>101.42600000000004</v>
      </c>
      <c r="AB239" s="48">
        <f>IF(OrdersRawTable9[[#This Row],[Net_Sales]]=0,0,OrdersRawTable9[[#This Row],[Profit]]/OrdersRawTable9[[#This Row],[Net_Sales]])</f>
        <v>0.27830186090669135</v>
      </c>
      <c r="AC239" s="45" t="str">
        <f>IF(COUNTIF(ReturnsRawTable[Order_Line_ID],OrdersRawTable9[[#This Row],[Order_Line_ID]])&gt;0,"Yes","No")</f>
        <v>No</v>
      </c>
      <c r="AD239" s="45" t="str">
        <f>IFERROR(VLOOKUP(OrdersRawTable9[[#This Row],[Order_Line_ID]],ReturnsRawTable[[#All],[Order_Line_ID]:[Return_Reason_Raw]],3,FALSE),"")</f>
        <v/>
      </c>
      <c r="AE239" s="49" t="str">
        <f>IFERROR(VLOOKUP(OrdersRawTable9[[#This Row],[Order_Line_ID]],ReturnsRawTable[[#All],[Order_Line_ID]:[Return_Date]],2,FALSE),"")</f>
        <v/>
      </c>
      <c r="AF239" s="45" t="str">
        <f>IFERROR(VLOOKUP(OrdersRawTable9[[#This Row],[Order_Line_ID]],ReturnsRawTable[[Order_Line_ID]:[Refund_Status]],4,FALSE),"")</f>
        <v/>
      </c>
      <c r="AG239" s="45" t="str">
        <f>VLOOKUP(OrdersRawTable9[[#This Row],[Order_ID]],ShipmentsTable[],6,FALSE)</f>
        <v>Late</v>
      </c>
      <c r="AH239" s="49">
        <f>VLOOKUP(OrdersRawTable9[[#This Row],[Order_ID]],ShipmentsTable[],3,FALSE)</f>
        <v>45942</v>
      </c>
    </row>
    <row r="240" spans="1:34" ht="15" customHeight="1">
      <c r="A240" s="14" t="s">
        <v>600</v>
      </c>
      <c r="B240" s="10" t="s">
        <v>597</v>
      </c>
      <c r="C240" s="20">
        <v>45934</v>
      </c>
      <c r="D240" s="10" t="s">
        <v>598</v>
      </c>
      <c r="E240" s="10" t="s">
        <v>599</v>
      </c>
      <c r="F240" s="10" t="str">
        <f>TRIM(LEFT(OrdersRawTable9[[#This Row],[Customer_Info]],FIND(",",OrdersRawTable9[[#This Row],[Customer_Info]])-1))</f>
        <v>Yara Dubois</v>
      </c>
      <c r="G24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240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40" s="10">
        <f>LEN(OrdersRawTable9[[#This Row],[Customer_Info]])-LEN(SUBSTITUTE(OrdersRawTable9[[#This Row],[Customer_Info]],",",""))</f>
        <v>2</v>
      </c>
      <c r="J240" s="10" t="s">
        <v>204</v>
      </c>
      <c r="K240" s="23">
        <v>2</v>
      </c>
      <c r="L240" s="26">
        <v>244.25</v>
      </c>
      <c r="M240" s="29">
        <v>0.15</v>
      </c>
      <c r="N240" s="10" t="s">
        <v>70</v>
      </c>
      <c r="O240" s="10" t="str">
        <f>IF(TRIM(OrdersRawTable9[[#This Row],[Sales_Channel_Raw]])="Market place","Marketplace",TRIM(OrdersRawTable9[[#This Row],[Sales_Channel_Raw]]))</f>
        <v>online</v>
      </c>
      <c r="P240" s="10" t="s">
        <v>58</v>
      </c>
      <c r="Q240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240" s="15" t="s">
        <v>52</v>
      </c>
      <c r="S240" t="str">
        <f>VLOOKUP(OrdersRawTable9[[#This Row],[Customer_ID_Raw]],CustomersTable11[],4,FALSE)</f>
        <v>Quebec</v>
      </c>
      <c r="T240" t="str">
        <f>VLOOKUP(OrdersRawTable9[[#This Row],[Customer_ID_Raw]],CustomersTable11[],5,FALSE)</f>
        <v>Small Business</v>
      </c>
      <c r="U240" s="45">
        <f>VLOOKUP(OrdersRawTable9[[#This Row],[Product_ID]],ProductsTable10[],4,FALSE)</f>
        <v>150.96</v>
      </c>
      <c r="V240" t="str">
        <f>VLOOKUP(OrdersRawTable9[[#This Row],[Product_ID]],ProductsTable10[],3,FALSE)</f>
        <v>Office</v>
      </c>
      <c r="W240" s="45">
        <f>OrdersRawTable9[[#This Row],[Unit_Price]]*OrdersRawTable9[[#This Row],[Quantity]]</f>
        <v>488.5</v>
      </c>
      <c r="X240" s="47">
        <f>OrdersRawTable9[[#This Row],[Gross_Sales]]*OrdersRawTable9[[#This Row],[Discount_Pct]]</f>
        <v>73.274999999999991</v>
      </c>
      <c r="Y240" s="45">
        <f>OrdersRawTable9[[#This Row],[Gross_Sales]]-OrdersRawTable9[[#This Row],[Discount_Amount]]</f>
        <v>415.22500000000002</v>
      </c>
      <c r="Z240" s="45">
        <f>OrdersRawTable9[[#This Row],[Unit_Cost]]*OrdersRawTable9[[#This Row],[Quantity]]</f>
        <v>301.92</v>
      </c>
      <c r="AA240" s="45">
        <f>OrdersRawTable9[[#This Row],[Net_Sales]]-OrdersRawTable9[[#This Row],[Total_Cost]]</f>
        <v>113.30500000000001</v>
      </c>
      <c r="AB240" s="48">
        <f>IF(OrdersRawTable9[[#This Row],[Net_Sales]]=0,0,OrdersRawTable9[[#This Row],[Profit]]/OrdersRawTable9[[#This Row],[Net_Sales]])</f>
        <v>0.27287615148413513</v>
      </c>
      <c r="AC240" s="45" t="str">
        <f>IF(COUNTIF(ReturnsRawTable[Order_Line_ID],OrdersRawTable9[[#This Row],[Order_Line_ID]])&gt;0,"Yes","No")</f>
        <v>No</v>
      </c>
      <c r="AD240" s="45" t="str">
        <f>IFERROR(VLOOKUP(OrdersRawTable9[[#This Row],[Order_Line_ID]],ReturnsRawTable[[#All],[Order_Line_ID]:[Return_Reason_Raw]],3,FALSE),"")</f>
        <v/>
      </c>
      <c r="AE240" s="49" t="str">
        <f>IFERROR(VLOOKUP(OrdersRawTable9[[#This Row],[Order_Line_ID]],ReturnsRawTable[[#All],[Order_Line_ID]:[Return_Date]],2,FALSE),"")</f>
        <v/>
      </c>
      <c r="AF240" s="45" t="str">
        <f>IFERROR(VLOOKUP(OrdersRawTable9[[#This Row],[Order_Line_ID]],ReturnsRawTable[[Order_Line_ID]:[Refund_Status]],4,FALSE),"")</f>
        <v/>
      </c>
      <c r="AG240" s="45" t="str">
        <f>VLOOKUP(OrdersRawTable9[[#This Row],[Order_ID]],ShipmentsTable[],6,FALSE)</f>
        <v>Late</v>
      </c>
      <c r="AH240" s="49">
        <f>VLOOKUP(OrdersRawTable9[[#This Row],[Order_ID]],ShipmentsTable[],3,FALSE)</f>
        <v>45942</v>
      </c>
    </row>
    <row r="241" spans="1:34" ht="15" customHeight="1">
      <c r="A241" s="14" t="s">
        <v>601</v>
      </c>
      <c r="B241" s="10" t="s">
        <v>597</v>
      </c>
      <c r="C241" s="20">
        <v>45934</v>
      </c>
      <c r="D241" s="10" t="s">
        <v>598</v>
      </c>
      <c r="E241" s="10" t="s">
        <v>599</v>
      </c>
      <c r="F241" s="10" t="str">
        <f>TRIM(LEFT(OrdersRawTable9[[#This Row],[Customer_Info]],FIND(",",OrdersRawTable9[[#This Row],[Customer_Info]])-1))</f>
        <v>Yara Dubois</v>
      </c>
      <c r="G24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241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41" s="10">
        <f>LEN(OrdersRawTable9[[#This Row],[Customer_Info]])-LEN(SUBSTITUTE(OrdersRawTable9[[#This Row],[Customer_Info]],",",""))</f>
        <v>2</v>
      </c>
      <c r="J241" s="10" t="s">
        <v>121</v>
      </c>
      <c r="K241" s="23">
        <v>1</v>
      </c>
      <c r="L241" s="26">
        <v>287.16000000000003</v>
      </c>
      <c r="M241" s="29">
        <v>0</v>
      </c>
      <c r="N241" s="10" t="s">
        <v>66</v>
      </c>
      <c r="O241" s="10" t="str">
        <f>IF(TRIM(OrdersRawTable9[[#This Row],[Sales_Channel_Raw]])="Market place","Marketplace",TRIM(OrdersRawTable9[[#This Row],[Sales_Channel_Raw]]))</f>
        <v>Marketplace</v>
      </c>
      <c r="P241" s="10" t="s">
        <v>46</v>
      </c>
      <c r="Q241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241" s="15" t="s">
        <v>67</v>
      </c>
      <c r="S241" t="str">
        <f>VLOOKUP(OrdersRawTable9[[#This Row],[Customer_ID_Raw]],CustomersTable11[],4,FALSE)</f>
        <v>Quebec</v>
      </c>
      <c r="T241" t="str">
        <f>VLOOKUP(OrdersRawTable9[[#This Row],[Customer_ID_Raw]],CustomersTable11[],5,FALSE)</f>
        <v>Small Business</v>
      </c>
      <c r="U241" s="45">
        <f>VLOOKUP(OrdersRawTable9[[#This Row],[Product_ID]],ProductsTable10[],4,FALSE)</f>
        <v>148.21</v>
      </c>
      <c r="V241" t="str">
        <f>VLOOKUP(OrdersRawTable9[[#This Row],[Product_ID]],ProductsTable10[],3,FALSE)</f>
        <v>Accessories</v>
      </c>
      <c r="W241" s="45">
        <f>OrdersRawTable9[[#This Row],[Unit_Price]]*OrdersRawTable9[[#This Row],[Quantity]]</f>
        <v>287.16000000000003</v>
      </c>
      <c r="X241" s="47">
        <f>OrdersRawTable9[[#This Row],[Gross_Sales]]*OrdersRawTable9[[#This Row],[Discount_Pct]]</f>
        <v>0</v>
      </c>
      <c r="Y241" s="45">
        <f>OrdersRawTable9[[#This Row],[Gross_Sales]]-OrdersRawTable9[[#This Row],[Discount_Amount]]</f>
        <v>287.16000000000003</v>
      </c>
      <c r="Z241" s="45">
        <f>OrdersRawTable9[[#This Row],[Unit_Cost]]*OrdersRawTable9[[#This Row],[Quantity]]</f>
        <v>148.21</v>
      </c>
      <c r="AA241" s="45">
        <f>OrdersRawTable9[[#This Row],[Net_Sales]]-OrdersRawTable9[[#This Row],[Total_Cost]]</f>
        <v>138.95000000000002</v>
      </c>
      <c r="AB241" s="48">
        <f>IF(OrdersRawTable9[[#This Row],[Net_Sales]]=0,0,OrdersRawTable9[[#This Row],[Profit]]/OrdersRawTable9[[#This Row],[Net_Sales]])</f>
        <v>0.48387658448251847</v>
      </c>
      <c r="AC241" s="45" t="str">
        <f>IF(COUNTIF(ReturnsRawTable[Order_Line_ID],OrdersRawTable9[[#This Row],[Order_Line_ID]])&gt;0,"Yes","No")</f>
        <v>Yes</v>
      </c>
      <c r="AD241" s="45" t="str">
        <f>IFERROR(VLOOKUP(OrdersRawTable9[[#This Row],[Order_Line_ID]],ReturnsRawTable[[#All],[Order_Line_ID]:[Return_Reason_Raw]],3,FALSE),"")</f>
        <v>Wrong Item</v>
      </c>
      <c r="AE241" s="49">
        <f>IFERROR(VLOOKUP(OrdersRawTable9[[#This Row],[Order_Line_ID]],ReturnsRawTable[[#All],[Order_Line_ID]:[Return_Date]],2,FALSE),"")</f>
        <v>45957</v>
      </c>
      <c r="AF241" s="45" t="str">
        <f>IFERROR(VLOOKUP(OrdersRawTable9[[#This Row],[Order_Line_ID]],ReturnsRawTable[[Order_Line_ID]:[Refund_Status]],4,FALSE),"")</f>
        <v>Pending</v>
      </c>
      <c r="AG241" s="45" t="str">
        <f>VLOOKUP(OrdersRawTable9[[#This Row],[Order_ID]],ShipmentsTable[],6,FALSE)</f>
        <v>Late</v>
      </c>
      <c r="AH241" s="49">
        <f>VLOOKUP(OrdersRawTable9[[#This Row],[Order_ID]],ShipmentsTable[],3,FALSE)</f>
        <v>45942</v>
      </c>
    </row>
    <row r="242" spans="1:34" ht="15" customHeight="1">
      <c r="A242" s="14" t="s">
        <v>602</v>
      </c>
      <c r="B242" s="10" t="s">
        <v>603</v>
      </c>
      <c r="C242" s="20">
        <v>45977</v>
      </c>
      <c r="D242" s="10" t="s">
        <v>104</v>
      </c>
      <c r="E242" s="10" t="s">
        <v>105</v>
      </c>
      <c r="F242" s="10" t="str">
        <f>TRIM(LEFT(OrdersRawTable9[[#This Row],[Customer_Info]],FIND(",",OrdersRawTable9[[#This Row],[Customer_Info]])-1))</f>
        <v>Liam Khan</v>
      </c>
      <c r="G24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242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42" s="10">
        <f>LEN(OrdersRawTable9[[#This Row],[Customer_Info]])-LEN(SUBSTITUTE(OrdersRawTable9[[#This Row],[Customer_Info]],",",""))</f>
        <v>2</v>
      </c>
      <c r="J242" s="10" t="s">
        <v>117</v>
      </c>
      <c r="K242" s="23">
        <v>1</v>
      </c>
      <c r="L242" s="26">
        <v>251.17</v>
      </c>
      <c r="M242" s="29">
        <v>0</v>
      </c>
      <c r="N242" s="10" t="s">
        <v>64</v>
      </c>
      <c r="O242" s="10" t="str">
        <f>IF(TRIM(OrdersRawTable9[[#This Row],[Sales_Channel_Raw]])="Market place","Marketplace",TRIM(OrdersRawTable9[[#This Row],[Sales_Channel_Raw]]))</f>
        <v>Retail Store</v>
      </c>
      <c r="P242" s="10" t="s">
        <v>51</v>
      </c>
      <c r="Q242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242" s="15" t="s">
        <v>67</v>
      </c>
      <c r="S242" t="str">
        <f>VLOOKUP(OrdersRawTable9[[#This Row],[Customer_ID_Raw]],CustomersTable11[],4,FALSE)</f>
        <v>Ontario</v>
      </c>
      <c r="T242" t="str">
        <f>VLOOKUP(OrdersRawTable9[[#This Row],[Customer_ID_Raw]],CustomersTable11[],5,FALSE)</f>
        <v>Small Business</v>
      </c>
      <c r="U242" s="45">
        <f>VLOOKUP(OrdersRawTable9[[#This Row],[Product_ID]],ProductsTable10[],4,FALSE)</f>
        <v>151.59</v>
      </c>
      <c r="V242" t="str">
        <f>VLOOKUP(OrdersRawTable9[[#This Row],[Product_ID]],ProductsTable10[],3,FALSE)</f>
        <v>Fitness</v>
      </c>
      <c r="W242" s="45">
        <f>OrdersRawTable9[[#This Row],[Unit_Price]]*OrdersRawTable9[[#This Row],[Quantity]]</f>
        <v>251.17</v>
      </c>
      <c r="X242" s="47">
        <f>OrdersRawTable9[[#This Row],[Gross_Sales]]*OrdersRawTable9[[#This Row],[Discount_Pct]]</f>
        <v>0</v>
      </c>
      <c r="Y242" s="45">
        <f>OrdersRawTable9[[#This Row],[Gross_Sales]]-OrdersRawTable9[[#This Row],[Discount_Amount]]</f>
        <v>251.17</v>
      </c>
      <c r="Z242" s="45">
        <f>OrdersRawTable9[[#This Row],[Unit_Cost]]*OrdersRawTable9[[#This Row],[Quantity]]</f>
        <v>151.59</v>
      </c>
      <c r="AA242" s="45">
        <f>OrdersRawTable9[[#This Row],[Net_Sales]]-OrdersRawTable9[[#This Row],[Total_Cost]]</f>
        <v>99.579999999999984</v>
      </c>
      <c r="AB242" s="48">
        <f>IF(OrdersRawTable9[[#This Row],[Net_Sales]]=0,0,OrdersRawTable9[[#This Row],[Profit]]/OrdersRawTable9[[#This Row],[Net_Sales]])</f>
        <v>0.39646454592507063</v>
      </c>
      <c r="AC242" s="45" t="str">
        <f>IF(COUNTIF(ReturnsRawTable[Order_Line_ID],OrdersRawTable9[[#This Row],[Order_Line_ID]])&gt;0,"Yes","No")</f>
        <v>No</v>
      </c>
      <c r="AD242" s="45" t="str">
        <f>IFERROR(VLOOKUP(OrdersRawTable9[[#This Row],[Order_Line_ID]],ReturnsRawTable[[#All],[Order_Line_ID]:[Return_Reason_Raw]],3,FALSE),"")</f>
        <v/>
      </c>
      <c r="AE242" s="49" t="str">
        <f>IFERROR(VLOOKUP(OrdersRawTable9[[#This Row],[Order_Line_ID]],ReturnsRawTable[[#All],[Order_Line_ID]:[Return_Date]],2,FALSE),"")</f>
        <v/>
      </c>
      <c r="AF242" s="45" t="str">
        <f>IFERROR(VLOOKUP(OrdersRawTable9[[#This Row],[Order_Line_ID]],ReturnsRawTable[[Order_Line_ID]:[Refund_Status]],4,FALSE),"")</f>
        <v/>
      </c>
      <c r="AG242" s="45" t="str">
        <f>VLOOKUP(OrdersRawTable9[[#This Row],[Order_ID]],ShipmentsTable[],6,FALSE)</f>
        <v>On time</v>
      </c>
      <c r="AH242" s="49">
        <f>VLOOKUP(OrdersRawTable9[[#This Row],[Order_ID]],ShipmentsTable[],3,FALSE)</f>
        <v>45979</v>
      </c>
    </row>
    <row r="243" spans="1:34" ht="15" customHeight="1">
      <c r="A243" s="14" t="s">
        <v>604</v>
      </c>
      <c r="B243" s="10" t="s">
        <v>603</v>
      </c>
      <c r="C243" s="20">
        <v>45977</v>
      </c>
      <c r="D243" s="10" t="s">
        <v>104</v>
      </c>
      <c r="E243" s="10" t="s">
        <v>105</v>
      </c>
      <c r="F243" s="10" t="str">
        <f>TRIM(LEFT(OrdersRawTable9[[#This Row],[Customer_Info]],FIND(",",OrdersRawTable9[[#This Row],[Customer_Info]])-1))</f>
        <v>Liam Khan</v>
      </c>
      <c r="G24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243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43" s="10">
        <f>LEN(OrdersRawTable9[[#This Row],[Customer_Info]])-LEN(SUBSTITUTE(OrdersRawTable9[[#This Row],[Customer_Info]],",",""))</f>
        <v>2</v>
      </c>
      <c r="J243" s="10" t="s">
        <v>201</v>
      </c>
      <c r="K243" s="23">
        <v>4</v>
      </c>
      <c r="L243" s="26">
        <v>154.47</v>
      </c>
      <c r="M243" s="29">
        <v>0.05</v>
      </c>
      <c r="N243" s="10" t="s">
        <v>45</v>
      </c>
      <c r="O243" s="10" t="str">
        <f>IF(TRIM(OrdersRawTable9[[#This Row],[Sales_Channel_Raw]])="Market place","Marketplace",TRIM(OrdersRawTable9[[#This Row],[Sales_Channel_Raw]]))</f>
        <v>Retail Store</v>
      </c>
      <c r="P243" s="10" t="s">
        <v>46</v>
      </c>
      <c r="Q243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243" s="15" t="s">
        <v>101</v>
      </c>
      <c r="S243" t="str">
        <f>VLOOKUP(OrdersRawTable9[[#This Row],[Customer_ID_Raw]],CustomersTable11[],4,FALSE)</f>
        <v>Ontario</v>
      </c>
      <c r="T243" t="str">
        <f>VLOOKUP(OrdersRawTable9[[#This Row],[Customer_ID_Raw]],CustomersTable11[],5,FALSE)</f>
        <v>Small Business</v>
      </c>
      <c r="U243" s="45">
        <f>VLOOKUP(OrdersRawTable9[[#This Row],[Product_ID]],ProductsTable10[],4,FALSE)</f>
        <v>102.57</v>
      </c>
      <c r="V243" t="str">
        <f>VLOOKUP(OrdersRawTable9[[#This Row],[Product_ID]],ProductsTable10[],3,FALSE)</f>
        <v>Fitness</v>
      </c>
      <c r="W243" s="45">
        <f>OrdersRawTable9[[#This Row],[Unit_Price]]*OrdersRawTable9[[#This Row],[Quantity]]</f>
        <v>617.88</v>
      </c>
      <c r="X243" s="47">
        <f>OrdersRawTable9[[#This Row],[Gross_Sales]]*OrdersRawTable9[[#This Row],[Discount_Pct]]</f>
        <v>30.894000000000002</v>
      </c>
      <c r="Y243" s="45">
        <f>OrdersRawTable9[[#This Row],[Gross_Sales]]-OrdersRawTable9[[#This Row],[Discount_Amount]]</f>
        <v>586.98599999999999</v>
      </c>
      <c r="Z243" s="45">
        <f>OrdersRawTable9[[#This Row],[Unit_Cost]]*OrdersRawTable9[[#This Row],[Quantity]]</f>
        <v>410.28</v>
      </c>
      <c r="AA243" s="45">
        <f>OrdersRawTable9[[#This Row],[Net_Sales]]-OrdersRawTable9[[#This Row],[Total_Cost]]</f>
        <v>176.70600000000002</v>
      </c>
      <c r="AB243" s="48">
        <f>IF(OrdersRawTable9[[#This Row],[Net_Sales]]=0,0,OrdersRawTable9[[#This Row],[Profit]]/OrdersRawTable9[[#This Row],[Net_Sales]])</f>
        <v>0.30103954779159986</v>
      </c>
      <c r="AC243" s="45" t="str">
        <f>IF(COUNTIF(ReturnsRawTable[Order_Line_ID],OrdersRawTable9[[#This Row],[Order_Line_ID]])&gt;0,"Yes","No")</f>
        <v>No</v>
      </c>
      <c r="AD243" s="45" t="str">
        <f>IFERROR(VLOOKUP(OrdersRawTable9[[#This Row],[Order_Line_ID]],ReturnsRawTable[[#All],[Order_Line_ID]:[Return_Reason_Raw]],3,FALSE),"")</f>
        <v/>
      </c>
      <c r="AE243" s="49" t="str">
        <f>IFERROR(VLOOKUP(OrdersRawTable9[[#This Row],[Order_Line_ID]],ReturnsRawTable[[#All],[Order_Line_ID]:[Return_Date]],2,FALSE),"")</f>
        <v/>
      </c>
      <c r="AF243" s="45" t="str">
        <f>IFERROR(VLOOKUP(OrdersRawTable9[[#This Row],[Order_Line_ID]],ReturnsRawTable[[Order_Line_ID]:[Refund_Status]],4,FALSE),"")</f>
        <v/>
      </c>
      <c r="AG243" s="45" t="str">
        <f>VLOOKUP(OrdersRawTable9[[#This Row],[Order_ID]],ShipmentsTable[],6,FALSE)</f>
        <v>On time</v>
      </c>
      <c r="AH243" s="49">
        <f>VLOOKUP(OrdersRawTable9[[#This Row],[Order_ID]],ShipmentsTable[],3,FALSE)</f>
        <v>45979</v>
      </c>
    </row>
    <row r="244" spans="1:34" ht="15" customHeight="1">
      <c r="A244" s="14" t="s">
        <v>605</v>
      </c>
      <c r="B244" s="10" t="s">
        <v>603</v>
      </c>
      <c r="C244" s="20">
        <v>45977</v>
      </c>
      <c r="D244" s="10" t="s">
        <v>104</v>
      </c>
      <c r="E244" s="10" t="s">
        <v>105</v>
      </c>
      <c r="F244" s="10" t="str">
        <f>TRIM(LEFT(OrdersRawTable9[[#This Row],[Customer_Info]],FIND(",",OrdersRawTable9[[#This Row],[Customer_Info]])-1))</f>
        <v>Liam Khan</v>
      </c>
      <c r="G24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244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44" s="10">
        <f>LEN(OrdersRawTable9[[#This Row],[Customer_Info]])-LEN(SUBSTITUTE(OrdersRawTable9[[#This Row],[Customer_Info]],",",""))</f>
        <v>2</v>
      </c>
      <c r="J244" s="10" t="s">
        <v>69</v>
      </c>
      <c r="K244" s="23">
        <v>1</v>
      </c>
      <c r="L244" s="26">
        <v>75.75</v>
      </c>
      <c r="M244" s="29">
        <v>0</v>
      </c>
      <c r="N244" s="10" t="s">
        <v>45</v>
      </c>
      <c r="O244" s="10" t="str">
        <f>IF(TRIM(OrdersRawTable9[[#This Row],[Sales_Channel_Raw]])="Market place","Marketplace",TRIM(OrdersRawTable9[[#This Row],[Sales_Channel_Raw]]))</f>
        <v>Retail Store</v>
      </c>
      <c r="P244" s="10" t="s">
        <v>58</v>
      </c>
      <c r="Q244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244" s="15" t="s">
        <v>42</v>
      </c>
      <c r="S244" t="str">
        <f>VLOOKUP(OrdersRawTable9[[#This Row],[Customer_ID_Raw]],CustomersTable11[],4,FALSE)</f>
        <v>Ontario</v>
      </c>
      <c r="T244" t="str">
        <f>VLOOKUP(OrdersRawTable9[[#This Row],[Customer_ID_Raw]],CustomersTable11[],5,FALSE)</f>
        <v>Small Business</v>
      </c>
      <c r="U244" s="45">
        <f>VLOOKUP(OrdersRawTable9[[#This Row],[Product_ID]],ProductsTable10[],4,FALSE)</f>
        <v>42.37</v>
      </c>
      <c r="V244" t="str">
        <f>VLOOKUP(OrdersRawTable9[[#This Row],[Product_ID]],ProductsTable10[],3,FALSE)</f>
        <v>Office</v>
      </c>
      <c r="W244" s="45">
        <f>OrdersRawTable9[[#This Row],[Unit_Price]]*OrdersRawTable9[[#This Row],[Quantity]]</f>
        <v>75.75</v>
      </c>
      <c r="X244" s="47">
        <f>OrdersRawTable9[[#This Row],[Gross_Sales]]*OrdersRawTable9[[#This Row],[Discount_Pct]]</f>
        <v>0</v>
      </c>
      <c r="Y244" s="45">
        <f>OrdersRawTable9[[#This Row],[Gross_Sales]]-OrdersRawTable9[[#This Row],[Discount_Amount]]</f>
        <v>75.75</v>
      </c>
      <c r="Z244" s="45">
        <f>OrdersRawTable9[[#This Row],[Unit_Cost]]*OrdersRawTable9[[#This Row],[Quantity]]</f>
        <v>42.37</v>
      </c>
      <c r="AA244" s="45">
        <f>OrdersRawTable9[[#This Row],[Net_Sales]]-OrdersRawTable9[[#This Row],[Total_Cost]]</f>
        <v>33.380000000000003</v>
      </c>
      <c r="AB244" s="48">
        <f>IF(OrdersRawTable9[[#This Row],[Net_Sales]]=0,0,OrdersRawTable9[[#This Row],[Profit]]/OrdersRawTable9[[#This Row],[Net_Sales]])</f>
        <v>0.44066006600660068</v>
      </c>
      <c r="AC244" s="45" t="str">
        <f>IF(COUNTIF(ReturnsRawTable[Order_Line_ID],OrdersRawTable9[[#This Row],[Order_Line_ID]])&gt;0,"Yes","No")</f>
        <v>No</v>
      </c>
      <c r="AD244" s="45" t="str">
        <f>IFERROR(VLOOKUP(OrdersRawTable9[[#This Row],[Order_Line_ID]],ReturnsRawTable[[#All],[Order_Line_ID]:[Return_Reason_Raw]],3,FALSE),"")</f>
        <v/>
      </c>
      <c r="AE244" s="49" t="str">
        <f>IFERROR(VLOOKUP(OrdersRawTable9[[#This Row],[Order_Line_ID]],ReturnsRawTable[[#All],[Order_Line_ID]:[Return_Date]],2,FALSE),"")</f>
        <v/>
      </c>
      <c r="AF244" s="45" t="str">
        <f>IFERROR(VLOOKUP(OrdersRawTable9[[#This Row],[Order_Line_ID]],ReturnsRawTable[[Order_Line_ID]:[Refund_Status]],4,FALSE),"")</f>
        <v/>
      </c>
      <c r="AG244" s="45" t="str">
        <f>VLOOKUP(OrdersRawTable9[[#This Row],[Order_ID]],ShipmentsTable[],6,FALSE)</f>
        <v>On time</v>
      </c>
      <c r="AH244" s="49">
        <f>VLOOKUP(OrdersRawTable9[[#This Row],[Order_ID]],ShipmentsTable[],3,FALSE)</f>
        <v>45979</v>
      </c>
    </row>
    <row r="245" spans="1:34" ht="15" customHeight="1">
      <c r="A245" s="14" t="s">
        <v>606</v>
      </c>
      <c r="B245" s="10" t="s">
        <v>603</v>
      </c>
      <c r="C245" s="20">
        <v>45977</v>
      </c>
      <c r="D245" s="10" t="s">
        <v>104</v>
      </c>
      <c r="E245" s="10" t="s">
        <v>105</v>
      </c>
      <c r="F245" s="10" t="str">
        <f>TRIM(LEFT(OrdersRawTable9[[#This Row],[Customer_Info]],FIND(",",OrdersRawTable9[[#This Row],[Customer_Info]])-1))</f>
        <v>Liam Khan</v>
      </c>
      <c r="G24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245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45" s="10">
        <f>LEN(OrdersRawTable9[[#This Row],[Customer_Info]])-LEN(SUBSTITUTE(OrdersRawTable9[[#This Row],[Customer_Info]],",",""))</f>
        <v>2</v>
      </c>
      <c r="J245" s="10" t="s">
        <v>316</v>
      </c>
      <c r="K245" s="23">
        <v>4</v>
      </c>
      <c r="L245" s="26">
        <v>180.37</v>
      </c>
      <c r="M245" s="29">
        <v>0</v>
      </c>
      <c r="N245" s="10" t="s">
        <v>45</v>
      </c>
      <c r="O245" s="10" t="str">
        <f>IF(TRIM(OrdersRawTable9[[#This Row],[Sales_Channel_Raw]])="Market place","Marketplace",TRIM(OrdersRawTable9[[#This Row],[Sales_Channel_Raw]]))</f>
        <v>Retail Store</v>
      </c>
      <c r="P245" s="10" t="s">
        <v>58</v>
      </c>
      <c r="Q245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245" s="15" t="s">
        <v>52</v>
      </c>
      <c r="S245" t="str">
        <f>VLOOKUP(OrdersRawTable9[[#This Row],[Customer_ID_Raw]],CustomersTable11[],4,FALSE)</f>
        <v>Ontario</v>
      </c>
      <c r="T245" t="str">
        <f>VLOOKUP(OrdersRawTable9[[#This Row],[Customer_ID_Raw]],CustomersTable11[],5,FALSE)</f>
        <v>Small Business</v>
      </c>
      <c r="U245" s="45">
        <f>VLOOKUP(OrdersRawTable9[[#This Row],[Product_ID]],ProductsTable10[],4,FALSE)</f>
        <v>107.55</v>
      </c>
      <c r="V245" t="str">
        <f>VLOOKUP(OrdersRawTable9[[#This Row],[Product_ID]],ProductsTable10[],3,FALSE)</f>
        <v>Accessories</v>
      </c>
      <c r="W245" s="45">
        <f>OrdersRawTable9[[#This Row],[Unit_Price]]*OrdersRawTable9[[#This Row],[Quantity]]</f>
        <v>721.48</v>
      </c>
      <c r="X245" s="47">
        <f>OrdersRawTable9[[#This Row],[Gross_Sales]]*OrdersRawTable9[[#This Row],[Discount_Pct]]</f>
        <v>0</v>
      </c>
      <c r="Y245" s="45">
        <f>OrdersRawTable9[[#This Row],[Gross_Sales]]-OrdersRawTable9[[#This Row],[Discount_Amount]]</f>
        <v>721.48</v>
      </c>
      <c r="Z245" s="45">
        <f>OrdersRawTable9[[#This Row],[Unit_Cost]]*OrdersRawTable9[[#This Row],[Quantity]]</f>
        <v>430.2</v>
      </c>
      <c r="AA245" s="45">
        <f>OrdersRawTable9[[#This Row],[Net_Sales]]-OrdersRawTable9[[#This Row],[Total_Cost]]</f>
        <v>291.28000000000003</v>
      </c>
      <c r="AB245" s="48">
        <f>IF(OrdersRawTable9[[#This Row],[Net_Sales]]=0,0,OrdersRawTable9[[#This Row],[Profit]]/OrdersRawTable9[[#This Row],[Net_Sales]])</f>
        <v>0.40372567500138606</v>
      </c>
      <c r="AC245" s="45" t="str">
        <f>IF(COUNTIF(ReturnsRawTable[Order_Line_ID],OrdersRawTable9[[#This Row],[Order_Line_ID]])&gt;0,"Yes","No")</f>
        <v>No</v>
      </c>
      <c r="AD245" s="45" t="str">
        <f>IFERROR(VLOOKUP(OrdersRawTable9[[#This Row],[Order_Line_ID]],ReturnsRawTable[[#All],[Order_Line_ID]:[Return_Reason_Raw]],3,FALSE),"")</f>
        <v/>
      </c>
      <c r="AE245" s="49" t="str">
        <f>IFERROR(VLOOKUP(OrdersRawTable9[[#This Row],[Order_Line_ID]],ReturnsRawTable[[#All],[Order_Line_ID]:[Return_Date]],2,FALSE),"")</f>
        <v/>
      </c>
      <c r="AF245" s="45" t="str">
        <f>IFERROR(VLOOKUP(OrdersRawTable9[[#This Row],[Order_Line_ID]],ReturnsRawTable[[Order_Line_ID]:[Refund_Status]],4,FALSE),"")</f>
        <v/>
      </c>
      <c r="AG245" s="45" t="str">
        <f>VLOOKUP(OrdersRawTable9[[#This Row],[Order_ID]],ShipmentsTable[],6,FALSE)</f>
        <v>On time</v>
      </c>
      <c r="AH245" s="49">
        <f>VLOOKUP(OrdersRawTable9[[#This Row],[Order_ID]],ShipmentsTable[],3,FALSE)</f>
        <v>45979</v>
      </c>
    </row>
    <row r="246" spans="1:34" ht="15" customHeight="1">
      <c r="A246" s="14" t="s">
        <v>607</v>
      </c>
      <c r="B246" s="10" t="s">
        <v>608</v>
      </c>
      <c r="C246" s="20">
        <v>45744.041666666664</v>
      </c>
      <c r="D246" s="10" t="s">
        <v>609</v>
      </c>
      <c r="E246" s="10" t="s">
        <v>610</v>
      </c>
      <c r="F246" s="10" t="str">
        <f>TRIM(LEFT(OrdersRawTable9[[#This Row],[Customer_Info]],FIND(",",OrdersRawTable9[[#This Row],[Customer_Info]])-1))</f>
        <v>Adam Johnson</v>
      </c>
      <c r="G24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246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46" s="10">
        <f>LEN(OrdersRawTable9[[#This Row],[Customer_Info]])-LEN(SUBSTITUTE(OrdersRawTable9[[#This Row],[Customer_Info]],",",""))</f>
        <v>2</v>
      </c>
      <c r="J246" s="10" t="s">
        <v>69</v>
      </c>
      <c r="K246" s="23">
        <v>2</v>
      </c>
      <c r="L246" s="26">
        <v>75.75</v>
      </c>
      <c r="M246" s="29">
        <v>0</v>
      </c>
      <c r="N246" s="10" t="s">
        <v>70</v>
      </c>
      <c r="O246" s="10" t="str">
        <f>IF(TRIM(OrdersRawTable9[[#This Row],[Sales_Channel_Raw]])="Market place","Marketplace",TRIM(OrdersRawTable9[[#This Row],[Sales_Channel_Raw]]))</f>
        <v>online</v>
      </c>
      <c r="P246" s="10" t="s">
        <v>98</v>
      </c>
      <c r="Q246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246" s="15" t="s">
        <v>101</v>
      </c>
      <c r="S246" t="str">
        <f>VLOOKUP(OrdersRawTable9[[#This Row],[Customer_ID_Raw]],CustomersTable11[],4,FALSE)</f>
        <v>British Columbia</v>
      </c>
      <c r="T246" t="str">
        <f>VLOOKUP(OrdersRawTable9[[#This Row],[Customer_ID_Raw]],CustomersTable11[],5,FALSE)</f>
        <v>Small Business</v>
      </c>
      <c r="U246" s="45">
        <f>VLOOKUP(OrdersRawTable9[[#This Row],[Product_ID]],ProductsTable10[],4,FALSE)</f>
        <v>42.37</v>
      </c>
      <c r="V246" t="str">
        <f>VLOOKUP(OrdersRawTable9[[#This Row],[Product_ID]],ProductsTable10[],3,FALSE)</f>
        <v>Office</v>
      </c>
      <c r="W246" s="45">
        <f>OrdersRawTable9[[#This Row],[Unit_Price]]*OrdersRawTable9[[#This Row],[Quantity]]</f>
        <v>151.5</v>
      </c>
      <c r="X246" s="47">
        <f>OrdersRawTable9[[#This Row],[Gross_Sales]]*OrdersRawTable9[[#This Row],[Discount_Pct]]</f>
        <v>0</v>
      </c>
      <c r="Y246" s="45">
        <f>OrdersRawTable9[[#This Row],[Gross_Sales]]-OrdersRawTable9[[#This Row],[Discount_Amount]]</f>
        <v>151.5</v>
      </c>
      <c r="Z246" s="45">
        <f>OrdersRawTable9[[#This Row],[Unit_Cost]]*OrdersRawTable9[[#This Row],[Quantity]]</f>
        <v>84.74</v>
      </c>
      <c r="AA246" s="45">
        <f>OrdersRawTable9[[#This Row],[Net_Sales]]-OrdersRawTable9[[#This Row],[Total_Cost]]</f>
        <v>66.760000000000005</v>
      </c>
      <c r="AB246" s="48">
        <f>IF(OrdersRawTable9[[#This Row],[Net_Sales]]=0,0,OrdersRawTable9[[#This Row],[Profit]]/OrdersRawTable9[[#This Row],[Net_Sales]])</f>
        <v>0.44066006600660068</v>
      </c>
      <c r="AC246" s="45" t="str">
        <f>IF(COUNTIF(ReturnsRawTable[Order_Line_ID],OrdersRawTable9[[#This Row],[Order_Line_ID]])&gt;0,"Yes","No")</f>
        <v>Yes</v>
      </c>
      <c r="AD246" s="45" t="str">
        <f>IFERROR(VLOOKUP(OrdersRawTable9[[#This Row],[Order_Line_ID]],ReturnsRawTable[[#All],[Order_Line_ID]:[Return_Reason_Raw]],3,FALSE),"")</f>
        <v>Wrong item</v>
      </c>
      <c r="AE246" s="49">
        <f>IFERROR(VLOOKUP(OrdersRawTable9[[#This Row],[Order_Line_ID]],ReturnsRawTable[[#All],[Order_Line_ID]:[Return_Date]],2,FALSE),"")</f>
        <v>45751.041666666664</v>
      </c>
      <c r="AF246" s="45" t="str">
        <f>IFERROR(VLOOKUP(OrdersRawTable9[[#This Row],[Order_Line_ID]],ReturnsRawTable[[Order_Line_ID]:[Refund_Status]],4,FALSE),"")</f>
        <v>Refunded</v>
      </c>
      <c r="AG246" s="45" t="str">
        <f>VLOOKUP(OrdersRawTable9[[#This Row],[Order_ID]],ShipmentsTable[],6,FALSE)</f>
        <v>On time</v>
      </c>
      <c r="AH246" s="49">
        <f>VLOOKUP(OrdersRawTable9[[#This Row],[Order_ID]],ShipmentsTable[],3,FALSE)</f>
        <v>45749.041666666664</v>
      </c>
    </row>
    <row r="247" spans="1:34" ht="15" customHeight="1">
      <c r="A247" s="14" t="s">
        <v>611</v>
      </c>
      <c r="B247" s="10" t="s">
        <v>608</v>
      </c>
      <c r="C247" s="20">
        <v>45744.041666666664</v>
      </c>
      <c r="D247" s="10" t="s">
        <v>609</v>
      </c>
      <c r="E247" s="10" t="s">
        <v>610</v>
      </c>
      <c r="F247" s="10" t="str">
        <f>TRIM(LEFT(OrdersRawTable9[[#This Row],[Customer_Info]],FIND(",",OrdersRawTable9[[#This Row],[Customer_Info]])-1))</f>
        <v>Adam Johnson</v>
      </c>
      <c r="G24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247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47" s="10">
        <f>LEN(OrdersRawTable9[[#This Row],[Customer_Info]])-LEN(SUBSTITUTE(OrdersRawTable9[[#This Row],[Customer_Info]],",",""))</f>
        <v>2</v>
      </c>
      <c r="J247" s="10" t="s">
        <v>238</v>
      </c>
      <c r="K247" s="23">
        <v>4</v>
      </c>
      <c r="L247" s="26">
        <v>82.77</v>
      </c>
      <c r="M247" s="29">
        <v>0.05</v>
      </c>
      <c r="N247" s="10" t="s">
        <v>66</v>
      </c>
      <c r="O247" s="10" t="str">
        <f>IF(TRIM(OrdersRawTable9[[#This Row],[Sales_Channel_Raw]])="Market place","Marketplace",TRIM(OrdersRawTable9[[#This Row],[Sales_Channel_Raw]]))</f>
        <v>Marketplace</v>
      </c>
      <c r="P247" s="10" t="s">
        <v>58</v>
      </c>
      <c r="Q247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247" s="15" t="s">
        <v>101</v>
      </c>
      <c r="S247" t="str">
        <f>VLOOKUP(OrdersRawTable9[[#This Row],[Customer_ID_Raw]],CustomersTable11[],4,FALSE)</f>
        <v>British Columbia</v>
      </c>
      <c r="T247" t="str">
        <f>VLOOKUP(OrdersRawTable9[[#This Row],[Customer_ID_Raw]],CustomersTable11[],5,FALSE)</f>
        <v>Small Business</v>
      </c>
      <c r="U247" s="45">
        <f>VLOOKUP(OrdersRawTable9[[#This Row],[Product_ID]],ProductsTable10[],4,FALSE)</f>
        <v>46.51</v>
      </c>
      <c r="V247" t="str">
        <f>VLOOKUP(OrdersRawTable9[[#This Row],[Product_ID]],ProductsTable10[],3,FALSE)</f>
        <v>Office</v>
      </c>
      <c r="W247" s="45">
        <f>OrdersRawTable9[[#This Row],[Unit_Price]]*OrdersRawTable9[[#This Row],[Quantity]]</f>
        <v>331.08</v>
      </c>
      <c r="X247" s="47">
        <f>OrdersRawTable9[[#This Row],[Gross_Sales]]*OrdersRawTable9[[#This Row],[Discount_Pct]]</f>
        <v>16.553999999999998</v>
      </c>
      <c r="Y247" s="45">
        <f>OrdersRawTable9[[#This Row],[Gross_Sales]]-OrdersRawTable9[[#This Row],[Discount_Amount]]</f>
        <v>314.52600000000001</v>
      </c>
      <c r="Z247" s="45">
        <f>OrdersRawTable9[[#This Row],[Unit_Cost]]*OrdersRawTable9[[#This Row],[Quantity]]</f>
        <v>186.04</v>
      </c>
      <c r="AA247" s="45">
        <f>OrdersRawTable9[[#This Row],[Net_Sales]]-OrdersRawTable9[[#This Row],[Total_Cost]]</f>
        <v>128.48600000000002</v>
      </c>
      <c r="AB247" s="48">
        <f>IF(OrdersRawTable9[[#This Row],[Net_Sales]]=0,0,OrdersRawTable9[[#This Row],[Profit]]/OrdersRawTable9[[#This Row],[Net_Sales]])</f>
        <v>0.40850676891576537</v>
      </c>
      <c r="AC247" s="45" t="str">
        <f>IF(COUNTIF(ReturnsRawTable[Order_Line_ID],OrdersRawTable9[[#This Row],[Order_Line_ID]])&gt;0,"Yes","No")</f>
        <v>No</v>
      </c>
      <c r="AD247" s="45" t="str">
        <f>IFERROR(VLOOKUP(OrdersRawTable9[[#This Row],[Order_Line_ID]],ReturnsRawTable[[#All],[Order_Line_ID]:[Return_Reason_Raw]],3,FALSE),"")</f>
        <v/>
      </c>
      <c r="AE247" s="49" t="str">
        <f>IFERROR(VLOOKUP(OrdersRawTable9[[#This Row],[Order_Line_ID]],ReturnsRawTable[[#All],[Order_Line_ID]:[Return_Date]],2,FALSE),"")</f>
        <v/>
      </c>
      <c r="AF247" s="45" t="str">
        <f>IFERROR(VLOOKUP(OrdersRawTable9[[#This Row],[Order_Line_ID]],ReturnsRawTable[[Order_Line_ID]:[Refund_Status]],4,FALSE),"")</f>
        <v/>
      </c>
      <c r="AG247" s="45" t="str">
        <f>VLOOKUP(OrdersRawTable9[[#This Row],[Order_ID]],ShipmentsTable[],6,FALSE)</f>
        <v>On time</v>
      </c>
      <c r="AH247" s="49">
        <f>VLOOKUP(OrdersRawTable9[[#This Row],[Order_ID]],ShipmentsTable[],3,FALSE)</f>
        <v>45749.041666666664</v>
      </c>
    </row>
    <row r="248" spans="1:34" ht="15" customHeight="1">
      <c r="A248" s="14" t="s">
        <v>612</v>
      </c>
      <c r="B248" s="10" t="s">
        <v>608</v>
      </c>
      <c r="C248" s="20">
        <v>45744.041666666664</v>
      </c>
      <c r="D248" s="10" t="s">
        <v>609</v>
      </c>
      <c r="E248" s="10" t="s">
        <v>610</v>
      </c>
      <c r="F248" s="10" t="str">
        <f>TRIM(LEFT(OrdersRawTable9[[#This Row],[Customer_Info]],FIND(",",OrdersRawTable9[[#This Row],[Customer_Info]])-1))</f>
        <v>Adam Johnson</v>
      </c>
      <c r="G24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248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48" s="10">
        <f>LEN(OrdersRawTable9[[#This Row],[Customer_Info]])-LEN(SUBSTITUTE(OrdersRawTable9[[#This Row],[Customer_Info]],",",""))</f>
        <v>2</v>
      </c>
      <c r="J248" s="10" t="s">
        <v>309</v>
      </c>
      <c r="K248" s="23">
        <v>2</v>
      </c>
      <c r="L248" s="26">
        <v>56.99</v>
      </c>
      <c r="M248" s="29">
        <v>0.15</v>
      </c>
      <c r="N248" s="10" t="s">
        <v>40</v>
      </c>
      <c r="O248" s="10" t="str">
        <f>IF(TRIM(OrdersRawTable9[[#This Row],[Sales_Channel_Raw]])="Market place","Marketplace",TRIM(OrdersRawTable9[[#This Row],[Sales_Channel_Raw]]))</f>
        <v>Online</v>
      </c>
      <c r="P248" s="10"/>
      <c r="Q248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248" s="15" t="s">
        <v>101</v>
      </c>
      <c r="S248" t="str">
        <f>VLOOKUP(OrdersRawTable9[[#This Row],[Customer_ID_Raw]],CustomersTable11[],4,FALSE)</f>
        <v>British Columbia</v>
      </c>
      <c r="T248" t="str">
        <f>VLOOKUP(OrdersRawTable9[[#This Row],[Customer_ID_Raw]],CustomersTable11[],5,FALSE)</f>
        <v>Small Business</v>
      </c>
      <c r="U248" s="45">
        <f>VLOOKUP(OrdersRawTable9[[#This Row],[Product_ID]],ProductsTable10[],4,FALSE)</f>
        <v>33.65</v>
      </c>
      <c r="V248" t="str">
        <f>VLOOKUP(OrdersRawTable9[[#This Row],[Product_ID]],ProductsTable10[],3,FALSE)</f>
        <v>Home</v>
      </c>
      <c r="W248" s="45">
        <f>OrdersRawTable9[[#This Row],[Unit_Price]]*OrdersRawTable9[[#This Row],[Quantity]]</f>
        <v>113.98</v>
      </c>
      <c r="X248" s="47">
        <f>OrdersRawTable9[[#This Row],[Gross_Sales]]*OrdersRawTable9[[#This Row],[Discount_Pct]]</f>
        <v>17.097000000000001</v>
      </c>
      <c r="Y248" s="45">
        <f>OrdersRawTable9[[#This Row],[Gross_Sales]]-OrdersRawTable9[[#This Row],[Discount_Amount]]</f>
        <v>96.88300000000001</v>
      </c>
      <c r="Z248" s="45">
        <f>OrdersRawTable9[[#This Row],[Unit_Cost]]*OrdersRawTable9[[#This Row],[Quantity]]</f>
        <v>67.3</v>
      </c>
      <c r="AA248" s="45">
        <f>OrdersRawTable9[[#This Row],[Net_Sales]]-OrdersRawTable9[[#This Row],[Total_Cost]]</f>
        <v>29.583000000000013</v>
      </c>
      <c r="AB248" s="48">
        <f>IF(OrdersRawTable9[[#This Row],[Net_Sales]]=0,0,OrdersRawTable9[[#This Row],[Profit]]/OrdersRawTable9[[#This Row],[Net_Sales]])</f>
        <v>0.30534768741678114</v>
      </c>
      <c r="AC248" s="45" t="str">
        <f>IF(COUNTIF(ReturnsRawTable[Order_Line_ID],OrdersRawTable9[[#This Row],[Order_Line_ID]])&gt;0,"Yes","No")</f>
        <v>No</v>
      </c>
      <c r="AD248" s="45" t="str">
        <f>IFERROR(VLOOKUP(OrdersRawTable9[[#This Row],[Order_Line_ID]],ReturnsRawTable[[#All],[Order_Line_ID]:[Return_Reason_Raw]],3,FALSE),"")</f>
        <v/>
      </c>
      <c r="AE248" s="49" t="str">
        <f>IFERROR(VLOOKUP(OrdersRawTable9[[#This Row],[Order_Line_ID]],ReturnsRawTable[[#All],[Order_Line_ID]:[Return_Date]],2,FALSE),"")</f>
        <v/>
      </c>
      <c r="AF248" s="45" t="str">
        <f>IFERROR(VLOOKUP(OrdersRawTable9[[#This Row],[Order_Line_ID]],ReturnsRawTable[[Order_Line_ID]:[Refund_Status]],4,FALSE),"")</f>
        <v/>
      </c>
      <c r="AG248" s="45" t="str">
        <f>VLOOKUP(OrdersRawTable9[[#This Row],[Order_ID]],ShipmentsTable[],6,FALSE)</f>
        <v>On time</v>
      </c>
      <c r="AH248" s="49">
        <f>VLOOKUP(OrdersRawTable9[[#This Row],[Order_ID]],ShipmentsTable[],3,FALSE)</f>
        <v>45749.041666666664</v>
      </c>
    </row>
    <row r="249" spans="1:34" ht="15" customHeight="1">
      <c r="A249" s="14" t="s">
        <v>613</v>
      </c>
      <c r="B249" s="10" t="s">
        <v>608</v>
      </c>
      <c r="C249" s="20">
        <v>45744.041666666664</v>
      </c>
      <c r="D249" s="10" t="s">
        <v>609</v>
      </c>
      <c r="E249" s="10" t="s">
        <v>610</v>
      </c>
      <c r="F249" s="10" t="str">
        <f>TRIM(LEFT(OrdersRawTable9[[#This Row],[Customer_Info]],FIND(",",OrdersRawTable9[[#This Row],[Customer_Info]])-1))</f>
        <v>Adam Johnson</v>
      </c>
      <c r="G24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249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49" s="10">
        <f>LEN(OrdersRawTable9[[#This Row],[Customer_Info]])-LEN(SUBSTITUTE(OrdersRawTable9[[#This Row],[Customer_Info]],",",""))</f>
        <v>2</v>
      </c>
      <c r="J249" s="10" t="s">
        <v>93</v>
      </c>
      <c r="K249" s="23">
        <v>2</v>
      </c>
      <c r="L249" s="26">
        <v>208.89</v>
      </c>
      <c r="M249" s="29">
        <v>0.05</v>
      </c>
      <c r="N249" s="10" t="s">
        <v>50</v>
      </c>
      <c r="O249" s="10" t="str">
        <f>IF(TRIM(OrdersRawTable9[[#This Row],[Sales_Channel_Raw]])="Market place","Marketplace",TRIM(OrdersRawTable9[[#This Row],[Sales_Channel_Raw]]))</f>
        <v>Marketplace</v>
      </c>
      <c r="P249" s="10"/>
      <c r="Q249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249" s="15" t="s">
        <v>101</v>
      </c>
      <c r="S249" t="str">
        <f>VLOOKUP(OrdersRawTable9[[#This Row],[Customer_ID_Raw]],CustomersTable11[],4,FALSE)</f>
        <v>British Columbia</v>
      </c>
      <c r="T249" t="str">
        <f>VLOOKUP(OrdersRawTable9[[#This Row],[Customer_ID_Raw]],CustomersTable11[],5,FALSE)</f>
        <v>Small Business</v>
      </c>
      <c r="U249" s="45">
        <f>VLOOKUP(OrdersRawTable9[[#This Row],[Product_ID]],ProductsTable10[],4,FALSE)</f>
        <v>133.05000000000001</v>
      </c>
      <c r="V249" t="str">
        <f>VLOOKUP(OrdersRawTable9[[#This Row],[Product_ID]],ProductsTable10[],3,FALSE)</f>
        <v>Accessories</v>
      </c>
      <c r="W249" s="45">
        <f>OrdersRawTable9[[#This Row],[Unit_Price]]*OrdersRawTable9[[#This Row],[Quantity]]</f>
        <v>417.78</v>
      </c>
      <c r="X249" s="47">
        <f>OrdersRawTable9[[#This Row],[Gross_Sales]]*OrdersRawTable9[[#This Row],[Discount_Pct]]</f>
        <v>20.888999999999999</v>
      </c>
      <c r="Y249" s="45">
        <f>OrdersRawTable9[[#This Row],[Gross_Sales]]-OrdersRawTable9[[#This Row],[Discount_Amount]]</f>
        <v>396.89099999999996</v>
      </c>
      <c r="Z249" s="45">
        <f>OrdersRawTable9[[#This Row],[Unit_Cost]]*OrdersRawTable9[[#This Row],[Quantity]]</f>
        <v>266.10000000000002</v>
      </c>
      <c r="AA249" s="45">
        <f>OrdersRawTable9[[#This Row],[Net_Sales]]-OrdersRawTable9[[#This Row],[Total_Cost]]</f>
        <v>130.79099999999994</v>
      </c>
      <c r="AB249" s="48">
        <f>IF(OrdersRawTable9[[#This Row],[Net_Sales]]=0,0,OrdersRawTable9[[#This Row],[Profit]]/OrdersRawTable9[[#This Row],[Net_Sales]])</f>
        <v>0.32953884063886546</v>
      </c>
      <c r="AC249" s="45" t="str">
        <f>IF(COUNTIF(ReturnsRawTable[Order_Line_ID],OrdersRawTable9[[#This Row],[Order_Line_ID]])&gt;0,"Yes","No")</f>
        <v>No</v>
      </c>
      <c r="AD249" s="45" t="str">
        <f>IFERROR(VLOOKUP(OrdersRawTable9[[#This Row],[Order_Line_ID]],ReturnsRawTable[[#All],[Order_Line_ID]:[Return_Reason_Raw]],3,FALSE),"")</f>
        <v/>
      </c>
      <c r="AE249" s="49" t="str">
        <f>IFERROR(VLOOKUP(OrdersRawTable9[[#This Row],[Order_Line_ID]],ReturnsRawTable[[#All],[Order_Line_ID]:[Return_Date]],2,FALSE),"")</f>
        <v/>
      </c>
      <c r="AF249" s="45" t="str">
        <f>IFERROR(VLOOKUP(OrdersRawTable9[[#This Row],[Order_Line_ID]],ReturnsRawTable[[Order_Line_ID]:[Refund_Status]],4,FALSE),"")</f>
        <v/>
      </c>
      <c r="AG249" s="45" t="str">
        <f>VLOOKUP(OrdersRawTable9[[#This Row],[Order_ID]],ShipmentsTable[],6,FALSE)</f>
        <v>On time</v>
      </c>
      <c r="AH249" s="49">
        <f>VLOOKUP(OrdersRawTable9[[#This Row],[Order_ID]],ShipmentsTable[],3,FALSE)</f>
        <v>45749.041666666664</v>
      </c>
    </row>
    <row r="250" spans="1:34" ht="15" customHeight="1">
      <c r="A250" s="14" t="s">
        <v>614</v>
      </c>
      <c r="B250" s="10" t="s">
        <v>615</v>
      </c>
      <c r="C250" s="20">
        <v>45900</v>
      </c>
      <c r="D250" s="10" t="s">
        <v>616</v>
      </c>
      <c r="E250" s="10" t="s">
        <v>617</v>
      </c>
      <c r="F250" s="10" t="str">
        <f>TRIM(LEFT(OrdersRawTable9[[#This Row],[Customer_Info]],FIND(",",OrdersRawTable9[[#This Row],[Customer_Info]])-1))</f>
        <v>Emma Singh</v>
      </c>
      <c r="G25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250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50" s="10">
        <f>LEN(OrdersRawTable9[[#This Row],[Customer_Info]])-LEN(SUBSTITUTE(OrdersRawTable9[[#This Row],[Customer_Info]],",",""))</f>
        <v>2</v>
      </c>
      <c r="J250" s="10" t="s">
        <v>130</v>
      </c>
      <c r="K250" s="23">
        <v>4</v>
      </c>
      <c r="L250" s="26">
        <v>265.73</v>
      </c>
      <c r="M250" s="29">
        <v>0.15</v>
      </c>
      <c r="N250" s="10" t="s">
        <v>45</v>
      </c>
      <c r="O250" s="10" t="str">
        <f>IF(TRIM(OrdersRawTable9[[#This Row],[Sales_Channel_Raw]])="Market place","Marketplace",TRIM(OrdersRawTable9[[#This Row],[Sales_Channel_Raw]]))</f>
        <v>Retail Store</v>
      </c>
      <c r="P250" s="10" t="s">
        <v>46</v>
      </c>
      <c r="Q250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250" s="15" t="s">
        <v>67</v>
      </c>
      <c r="S250" t="str">
        <f>VLOOKUP(OrdersRawTable9[[#This Row],[Customer_ID_Raw]],CustomersTable11[],4,FALSE)</f>
        <v>Alberta</v>
      </c>
      <c r="T250" t="str">
        <f>VLOOKUP(OrdersRawTable9[[#This Row],[Customer_ID_Raw]],CustomersTable11[],5,FALSE)</f>
        <v>Small Business</v>
      </c>
      <c r="U250" s="45">
        <f>VLOOKUP(OrdersRawTable9[[#This Row],[Product_ID]],ProductsTable10[],4,FALSE)</f>
        <v>154.16999999999999</v>
      </c>
      <c r="V250" t="str">
        <f>VLOOKUP(OrdersRawTable9[[#This Row],[Product_ID]],ProductsTable10[],3,FALSE)</f>
        <v>Electronics</v>
      </c>
      <c r="W250" s="45">
        <f>OrdersRawTable9[[#This Row],[Unit_Price]]*OrdersRawTable9[[#This Row],[Quantity]]</f>
        <v>1062.92</v>
      </c>
      <c r="X250" s="47">
        <f>OrdersRawTable9[[#This Row],[Gross_Sales]]*OrdersRawTable9[[#This Row],[Discount_Pct]]</f>
        <v>159.43800000000002</v>
      </c>
      <c r="Y250" s="45">
        <f>OrdersRawTable9[[#This Row],[Gross_Sales]]-OrdersRawTable9[[#This Row],[Discount_Amount]]</f>
        <v>903.48200000000008</v>
      </c>
      <c r="Z250" s="45">
        <f>OrdersRawTable9[[#This Row],[Unit_Cost]]*OrdersRawTable9[[#This Row],[Quantity]]</f>
        <v>616.67999999999995</v>
      </c>
      <c r="AA250" s="45">
        <f>OrdersRawTable9[[#This Row],[Net_Sales]]-OrdersRawTable9[[#This Row],[Total_Cost]]</f>
        <v>286.80200000000013</v>
      </c>
      <c r="AB250" s="48">
        <f>IF(OrdersRawTable9[[#This Row],[Net_Sales]]=0,0,OrdersRawTable9[[#This Row],[Profit]]/OrdersRawTable9[[#This Row],[Net_Sales]])</f>
        <v>0.31744074591414118</v>
      </c>
      <c r="AC250" s="45" t="str">
        <f>IF(COUNTIF(ReturnsRawTable[Order_Line_ID],OrdersRawTable9[[#This Row],[Order_Line_ID]])&gt;0,"Yes","No")</f>
        <v>No</v>
      </c>
      <c r="AD250" s="45" t="str">
        <f>IFERROR(VLOOKUP(OrdersRawTable9[[#This Row],[Order_Line_ID]],ReturnsRawTable[[#All],[Order_Line_ID]:[Return_Reason_Raw]],3,FALSE),"")</f>
        <v/>
      </c>
      <c r="AE250" s="49" t="str">
        <f>IFERROR(VLOOKUP(OrdersRawTable9[[#This Row],[Order_Line_ID]],ReturnsRawTable[[#All],[Order_Line_ID]:[Return_Date]],2,FALSE),"")</f>
        <v/>
      </c>
      <c r="AF250" s="45" t="str">
        <f>IFERROR(VLOOKUP(OrdersRawTable9[[#This Row],[Order_Line_ID]],ReturnsRawTable[[Order_Line_ID]:[Refund_Status]],4,FALSE),"")</f>
        <v/>
      </c>
      <c r="AG250" s="45" t="str">
        <f>VLOOKUP(OrdersRawTable9[[#This Row],[Order_ID]],ShipmentsTable[],6,FALSE)</f>
        <v>Late</v>
      </c>
      <c r="AH250" s="49">
        <f>VLOOKUP(OrdersRawTable9[[#This Row],[Order_ID]],ShipmentsTable[],3,FALSE)</f>
        <v>45904</v>
      </c>
    </row>
    <row r="251" spans="1:34" ht="15" customHeight="1">
      <c r="A251" s="14" t="s">
        <v>618</v>
      </c>
      <c r="B251" s="10" t="s">
        <v>615</v>
      </c>
      <c r="C251" s="20">
        <v>45900</v>
      </c>
      <c r="D251" s="10" t="s">
        <v>616</v>
      </c>
      <c r="E251" s="10" t="s">
        <v>617</v>
      </c>
      <c r="F251" s="10" t="str">
        <f>TRIM(LEFT(OrdersRawTable9[[#This Row],[Customer_Info]],FIND(",",OrdersRawTable9[[#This Row],[Customer_Info]])-1))</f>
        <v>Emma Singh</v>
      </c>
      <c r="G25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251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51" s="10">
        <f>LEN(OrdersRawTable9[[#This Row],[Customer_Info]])-LEN(SUBSTITUTE(OrdersRawTable9[[#This Row],[Customer_Info]],",",""))</f>
        <v>2</v>
      </c>
      <c r="J251" s="10" t="s">
        <v>303</v>
      </c>
      <c r="K251" s="23">
        <v>3</v>
      </c>
      <c r="L251" s="26">
        <v>72.81</v>
      </c>
      <c r="M251" s="29">
        <v>0</v>
      </c>
      <c r="N251" s="10" t="s">
        <v>66</v>
      </c>
      <c r="O251" s="10" t="str">
        <f>IF(TRIM(OrdersRawTable9[[#This Row],[Sales_Channel_Raw]])="Market place","Marketplace",TRIM(OrdersRawTable9[[#This Row],[Sales_Channel_Raw]]))</f>
        <v>Marketplace</v>
      </c>
      <c r="P251" s="10" t="s">
        <v>98</v>
      </c>
      <c r="Q251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251" s="15" t="s">
        <v>67</v>
      </c>
      <c r="S251" t="str">
        <f>VLOOKUP(OrdersRawTable9[[#This Row],[Customer_ID_Raw]],CustomersTable11[],4,FALSE)</f>
        <v>Alberta</v>
      </c>
      <c r="T251" t="str">
        <f>VLOOKUP(OrdersRawTable9[[#This Row],[Customer_ID_Raw]],CustomersTable11[],5,FALSE)</f>
        <v>Small Business</v>
      </c>
      <c r="U251" s="45">
        <f>VLOOKUP(OrdersRawTable9[[#This Row],[Product_ID]],ProductsTable10[],4,FALSE)</f>
        <v>37.99</v>
      </c>
      <c r="V251" t="str">
        <f>VLOOKUP(OrdersRawTable9[[#This Row],[Product_ID]],ProductsTable10[],3,FALSE)</f>
        <v>Accessories</v>
      </c>
      <c r="W251" s="45">
        <f>OrdersRawTable9[[#This Row],[Unit_Price]]*OrdersRawTable9[[#This Row],[Quantity]]</f>
        <v>218.43</v>
      </c>
      <c r="X251" s="47">
        <f>OrdersRawTable9[[#This Row],[Gross_Sales]]*OrdersRawTable9[[#This Row],[Discount_Pct]]</f>
        <v>0</v>
      </c>
      <c r="Y251" s="45">
        <f>OrdersRawTable9[[#This Row],[Gross_Sales]]-OrdersRawTable9[[#This Row],[Discount_Amount]]</f>
        <v>218.43</v>
      </c>
      <c r="Z251" s="45">
        <f>OrdersRawTable9[[#This Row],[Unit_Cost]]*OrdersRawTable9[[#This Row],[Quantity]]</f>
        <v>113.97</v>
      </c>
      <c r="AA251" s="45">
        <f>OrdersRawTable9[[#This Row],[Net_Sales]]-OrdersRawTable9[[#This Row],[Total_Cost]]</f>
        <v>104.46000000000001</v>
      </c>
      <c r="AB251" s="48">
        <f>IF(OrdersRawTable9[[#This Row],[Net_Sales]]=0,0,OrdersRawTable9[[#This Row],[Profit]]/OrdersRawTable9[[#This Row],[Net_Sales]])</f>
        <v>0.47823101222359571</v>
      </c>
      <c r="AC251" s="45" t="str">
        <f>IF(COUNTIF(ReturnsRawTable[Order_Line_ID],OrdersRawTable9[[#This Row],[Order_Line_ID]])&gt;0,"Yes","No")</f>
        <v>Yes</v>
      </c>
      <c r="AD251" s="45" t="str">
        <f>IFERROR(VLOOKUP(OrdersRawTable9[[#This Row],[Order_Line_ID]],ReturnsRawTable[[#All],[Order_Line_ID]:[Return_Reason_Raw]],3,FALSE),"")</f>
        <v>Not as Described</v>
      </c>
      <c r="AE251" s="49">
        <f>IFERROR(VLOOKUP(OrdersRawTable9[[#This Row],[Order_Line_ID]],ReturnsRawTable[[#All],[Order_Line_ID]:[Return_Date]],2,FALSE),"")</f>
        <v>45912</v>
      </c>
      <c r="AF251" s="45" t="str">
        <f>IFERROR(VLOOKUP(OrdersRawTable9[[#This Row],[Order_Line_ID]],ReturnsRawTable[[Order_Line_ID]:[Refund_Status]],4,FALSE),"")</f>
        <v>Refunded</v>
      </c>
      <c r="AG251" s="45" t="str">
        <f>VLOOKUP(OrdersRawTable9[[#This Row],[Order_ID]],ShipmentsTable[],6,FALSE)</f>
        <v>Late</v>
      </c>
      <c r="AH251" s="49">
        <f>VLOOKUP(OrdersRawTable9[[#This Row],[Order_ID]],ShipmentsTable[],3,FALSE)</f>
        <v>45904</v>
      </c>
    </row>
    <row r="252" spans="1:34" ht="15" customHeight="1">
      <c r="A252" s="14" t="s">
        <v>619</v>
      </c>
      <c r="B252" s="10" t="s">
        <v>620</v>
      </c>
      <c r="C252" s="20">
        <v>45986</v>
      </c>
      <c r="D252" s="10" t="s">
        <v>621</v>
      </c>
      <c r="E252" s="10" t="s">
        <v>622</v>
      </c>
      <c r="F252" s="10" t="str">
        <f>TRIM(LEFT(OrdersRawTable9[[#This Row],[Customer_Info]],FIND(",",OrdersRawTable9[[#This Row],[Customer_Info]])-1))</f>
        <v>Sofia Gagnon</v>
      </c>
      <c r="G25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252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252" s="10">
        <f>LEN(OrdersRawTable9[[#This Row],[Customer_Info]])-LEN(SUBSTITUTE(OrdersRawTable9[[#This Row],[Customer_Info]],",",""))</f>
        <v>2</v>
      </c>
      <c r="J252" s="10" t="s">
        <v>83</v>
      </c>
      <c r="K252" s="23">
        <v>2</v>
      </c>
      <c r="L252" s="26">
        <v>115.28</v>
      </c>
      <c r="M252" s="29">
        <v>0.15</v>
      </c>
      <c r="N252" s="10" t="s">
        <v>70</v>
      </c>
      <c r="O252" s="10" t="str">
        <f>IF(TRIM(OrdersRawTable9[[#This Row],[Sales_Channel_Raw]])="Market place","Marketplace",TRIM(OrdersRawTable9[[#This Row],[Sales_Channel_Raw]]))</f>
        <v>online</v>
      </c>
      <c r="P252" s="10" t="s">
        <v>46</v>
      </c>
      <c r="Q252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252" s="15" t="s">
        <v>101</v>
      </c>
      <c r="S252" t="str">
        <f>VLOOKUP(OrdersRawTable9[[#This Row],[Customer_ID_Raw]],CustomersTable11[],4,FALSE)</f>
        <v>Quebec</v>
      </c>
      <c r="T252" t="str">
        <f>VLOOKUP(OrdersRawTable9[[#This Row],[Customer_ID_Raw]],CustomersTable11[],5,FALSE)</f>
        <v>Corporate</v>
      </c>
      <c r="U252" s="45">
        <f>VLOOKUP(OrdersRawTable9[[#This Row],[Product_ID]],ProductsTable10[],4,FALSE)</f>
        <v>61.65</v>
      </c>
      <c r="V252" t="str">
        <f>VLOOKUP(OrdersRawTable9[[#This Row],[Product_ID]],ProductsTable10[],3,FALSE)</f>
        <v>Office</v>
      </c>
      <c r="W252" s="45">
        <f>OrdersRawTable9[[#This Row],[Unit_Price]]*OrdersRawTable9[[#This Row],[Quantity]]</f>
        <v>230.56</v>
      </c>
      <c r="X252" s="47">
        <f>OrdersRawTable9[[#This Row],[Gross_Sales]]*OrdersRawTable9[[#This Row],[Discount_Pct]]</f>
        <v>34.583999999999996</v>
      </c>
      <c r="Y252" s="45">
        <f>OrdersRawTable9[[#This Row],[Gross_Sales]]-OrdersRawTable9[[#This Row],[Discount_Amount]]</f>
        <v>195.976</v>
      </c>
      <c r="Z252" s="45">
        <f>OrdersRawTable9[[#This Row],[Unit_Cost]]*OrdersRawTable9[[#This Row],[Quantity]]</f>
        <v>123.3</v>
      </c>
      <c r="AA252" s="45">
        <f>OrdersRawTable9[[#This Row],[Net_Sales]]-OrdersRawTable9[[#This Row],[Total_Cost]]</f>
        <v>72.676000000000002</v>
      </c>
      <c r="AB252" s="48">
        <f>IF(OrdersRawTable9[[#This Row],[Net_Sales]]=0,0,OrdersRawTable9[[#This Row],[Profit]]/OrdersRawTable9[[#This Row],[Net_Sales]])</f>
        <v>0.37084132750949095</v>
      </c>
      <c r="AC252" s="45" t="str">
        <f>IF(COUNTIF(ReturnsRawTable[Order_Line_ID],OrdersRawTable9[[#This Row],[Order_Line_ID]])&gt;0,"Yes","No")</f>
        <v>No</v>
      </c>
      <c r="AD252" s="45" t="str">
        <f>IFERROR(VLOOKUP(OrdersRawTable9[[#This Row],[Order_Line_ID]],ReturnsRawTable[[#All],[Order_Line_ID]:[Return_Reason_Raw]],3,FALSE),"")</f>
        <v/>
      </c>
      <c r="AE252" s="49" t="str">
        <f>IFERROR(VLOOKUP(OrdersRawTable9[[#This Row],[Order_Line_ID]],ReturnsRawTable[[#All],[Order_Line_ID]:[Return_Date]],2,FALSE),"")</f>
        <v/>
      </c>
      <c r="AF252" s="45" t="str">
        <f>IFERROR(VLOOKUP(OrdersRawTable9[[#This Row],[Order_Line_ID]],ReturnsRawTable[[Order_Line_ID]:[Refund_Status]],4,FALSE),"")</f>
        <v/>
      </c>
      <c r="AG252" s="45" t="str">
        <f>VLOOKUP(OrdersRawTable9[[#This Row],[Order_ID]],ShipmentsTable[],6,FALSE)</f>
        <v>Late</v>
      </c>
      <c r="AH252" s="49">
        <f>VLOOKUP(OrdersRawTable9[[#This Row],[Order_ID]],ShipmentsTable[],3,FALSE)</f>
        <v>45991</v>
      </c>
    </row>
    <row r="253" spans="1:34" ht="15" customHeight="1">
      <c r="A253" s="14" t="s">
        <v>623</v>
      </c>
      <c r="B253" s="10" t="s">
        <v>624</v>
      </c>
      <c r="C253" s="20">
        <v>45671</v>
      </c>
      <c r="D253" s="10" t="s">
        <v>625</v>
      </c>
      <c r="E253" s="10" t="s">
        <v>164</v>
      </c>
      <c r="F253" s="10" t="str">
        <f>TRIM(LEFT(OrdersRawTable9[[#This Row],[Customer_Info]],FIND(",",OrdersRawTable9[[#This Row],[Customer_Info]])-1))</f>
        <v>Yara Ali</v>
      </c>
      <c r="G25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253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53" s="10">
        <f>LEN(OrdersRawTable9[[#This Row],[Customer_Info]])-LEN(SUBSTITUTE(OrdersRawTable9[[#This Row],[Customer_Info]],",",""))</f>
        <v>2</v>
      </c>
      <c r="J253" s="10" t="s">
        <v>303</v>
      </c>
      <c r="K253" s="23">
        <v>1</v>
      </c>
      <c r="L253" s="26">
        <v>72.81</v>
      </c>
      <c r="M253" s="29">
        <v>0.15</v>
      </c>
      <c r="N253" s="10" t="s">
        <v>45</v>
      </c>
      <c r="O253" s="10" t="str">
        <f>IF(TRIM(OrdersRawTable9[[#This Row],[Sales_Channel_Raw]])="Market place","Marketplace",TRIM(OrdersRawTable9[[#This Row],[Sales_Channel_Raw]]))</f>
        <v>Retail Store</v>
      </c>
      <c r="P253" s="10" t="s">
        <v>58</v>
      </c>
      <c r="Q253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253" s="15" t="s">
        <v>42</v>
      </c>
      <c r="S253" t="str">
        <f>VLOOKUP(OrdersRawTable9[[#This Row],[Customer_ID_Raw]],CustomersTable11[],4,FALSE)</f>
        <v>Ontario</v>
      </c>
      <c r="T253" t="str">
        <f>VLOOKUP(OrdersRawTable9[[#This Row],[Customer_ID_Raw]],CustomersTable11[],5,FALSE)</f>
        <v>Small Business</v>
      </c>
      <c r="U253" s="45">
        <f>VLOOKUP(OrdersRawTable9[[#This Row],[Product_ID]],ProductsTable10[],4,FALSE)</f>
        <v>37.99</v>
      </c>
      <c r="V253" t="str">
        <f>VLOOKUP(OrdersRawTable9[[#This Row],[Product_ID]],ProductsTable10[],3,FALSE)</f>
        <v>Accessories</v>
      </c>
      <c r="W253" s="45">
        <f>OrdersRawTable9[[#This Row],[Unit_Price]]*OrdersRawTable9[[#This Row],[Quantity]]</f>
        <v>72.81</v>
      </c>
      <c r="X253" s="47">
        <f>OrdersRawTable9[[#This Row],[Gross_Sales]]*OrdersRawTable9[[#This Row],[Discount_Pct]]</f>
        <v>10.9215</v>
      </c>
      <c r="Y253" s="45">
        <f>OrdersRawTable9[[#This Row],[Gross_Sales]]-OrdersRawTable9[[#This Row],[Discount_Amount]]</f>
        <v>61.888500000000001</v>
      </c>
      <c r="Z253" s="45">
        <f>OrdersRawTable9[[#This Row],[Unit_Cost]]*OrdersRawTable9[[#This Row],[Quantity]]</f>
        <v>37.99</v>
      </c>
      <c r="AA253" s="45">
        <f>OrdersRawTable9[[#This Row],[Net_Sales]]-OrdersRawTable9[[#This Row],[Total_Cost]]</f>
        <v>23.898499999999999</v>
      </c>
      <c r="AB253" s="48">
        <f>IF(OrdersRawTable9[[#This Row],[Net_Sales]]=0,0,OrdersRawTable9[[#This Row],[Profit]]/OrdersRawTable9[[#This Row],[Net_Sales]])</f>
        <v>0.38615413202775956</v>
      </c>
      <c r="AC253" s="45" t="str">
        <f>IF(COUNTIF(ReturnsRawTable[Order_Line_ID],OrdersRawTable9[[#This Row],[Order_Line_ID]])&gt;0,"Yes","No")</f>
        <v>No</v>
      </c>
      <c r="AD253" s="45" t="str">
        <f>IFERROR(VLOOKUP(OrdersRawTable9[[#This Row],[Order_Line_ID]],ReturnsRawTable[[#All],[Order_Line_ID]:[Return_Reason_Raw]],3,FALSE),"")</f>
        <v/>
      </c>
      <c r="AE253" s="49" t="str">
        <f>IFERROR(VLOOKUP(OrdersRawTable9[[#This Row],[Order_Line_ID]],ReturnsRawTable[[#All],[Order_Line_ID]:[Return_Date]],2,FALSE),"")</f>
        <v/>
      </c>
      <c r="AF253" s="45" t="str">
        <f>IFERROR(VLOOKUP(OrdersRawTable9[[#This Row],[Order_Line_ID]],ReturnsRawTable[[Order_Line_ID]:[Refund_Status]],4,FALSE),"")</f>
        <v/>
      </c>
      <c r="AG253" s="45" t="str">
        <f>VLOOKUP(OrdersRawTable9[[#This Row],[Order_ID]],ShipmentsTable[],6,FALSE)</f>
        <v>Late</v>
      </c>
      <c r="AH253" s="49">
        <f>VLOOKUP(OrdersRawTable9[[#This Row],[Order_ID]],ShipmentsTable[],3,FALSE)</f>
        <v>45677</v>
      </c>
    </row>
    <row r="254" spans="1:34" ht="15" customHeight="1">
      <c r="A254" s="14" t="s">
        <v>626</v>
      </c>
      <c r="B254" s="10" t="s">
        <v>624</v>
      </c>
      <c r="C254" s="20">
        <v>45671</v>
      </c>
      <c r="D254" s="10" t="s">
        <v>163</v>
      </c>
      <c r="E254" s="10" t="s">
        <v>164</v>
      </c>
      <c r="F254" s="10" t="str">
        <f>TRIM(LEFT(OrdersRawTable9[[#This Row],[Customer_Info]],FIND(",",OrdersRawTable9[[#This Row],[Customer_Info]])-1))</f>
        <v>Yara Ali</v>
      </c>
      <c r="G25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254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54" s="10">
        <f>LEN(OrdersRawTable9[[#This Row],[Customer_Info]])-LEN(SUBSTITUTE(OrdersRawTable9[[#This Row],[Customer_Info]],",",""))</f>
        <v>2</v>
      </c>
      <c r="J254" s="10" t="s">
        <v>214</v>
      </c>
      <c r="K254" s="23">
        <v>1</v>
      </c>
      <c r="L254" s="26">
        <v>186.92</v>
      </c>
      <c r="M254" s="29">
        <v>0</v>
      </c>
      <c r="N254" s="10" t="s">
        <v>45</v>
      </c>
      <c r="O254" s="10" t="str">
        <f>IF(TRIM(OrdersRawTable9[[#This Row],[Sales_Channel_Raw]])="Market place","Marketplace",TRIM(OrdersRawTable9[[#This Row],[Sales_Channel_Raw]]))</f>
        <v>Retail Store</v>
      </c>
      <c r="P254" s="10" t="s">
        <v>58</v>
      </c>
      <c r="Q254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254" s="15" t="s">
        <v>47</v>
      </c>
      <c r="S254" t="str">
        <f>VLOOKUP(OrdersRawTable9[[#This Row],[Customer_ID_Raw]],CustomersTable11[],4,FALSE)</f>
        <v>Ontario</v>
      </c>
      <c r="T254" t="str">
        <f>VLOOKUP(OrdersRawTable9[[#This Row],[Customer_ID_Raw]],CustomersTable11[],5,FALSE)</f>
        <v>Small Business</v>
      </c>
      <c r="U254" s="45">
        <f>VLOOKUP(OrdersRawTable9[[#This Row],[Product_ID]],ProductsTable10[],4,FALSE)</f>
        <v>114.11</v>
      </c>
      <c r="V254" t="str">
        <f>VLOOKUP(OrdersRawTable9[[#This Row],[Product_ID]],ProductsTable10[],3,FALSE)</f>
        <v>Home</v>
      </c>
      <c r="W254" s="45">
        <f>OrdersRawTable9[[#This Row],[Unit_Price]]*OrdersRawTable9[[#This Row],[Quantity]]</f>
        <v>186.92</v>
      </c>
      <c r="X254" s="47">
        <f>OrdersRawTable9[[#This Row],[Gross_Sales]]*OrdersRawTable9[[#This Row],[Discount_Pct]]</f>
        <v>0</v>
      </c>
      <c r="Y254" s="45">
        <f>OrdersRawTable9[[#This Row],[Gross_Sales]]-OrdersRawTable9[[#This Row],[Discount_Amount]]</f>
        <v>186.92</v>
      </c>
      <c r="Z254" s="45">
        <f>OrdersRawTable9[[#This Row],[Unit_Cost]]*OrdersRawTable9[[#This Row],[Quantity]]</f>
        <v>114.11</v>
      </c>
      <c r="AA254" s="45">
        <f>OrdersRawTable9[[#This Row],[Net_Sales]]-OrdersRawTable9[[#This Row],[Total_Cost]]</f>
        <v>72.809999999999988</v>
      </c>
      <c r="AB254" s="48">
        <f>IF(OrdersRawTable9[[#This Row],[Net_Sales]]=0,0,OrdersRawTable9[[#This Row],[Profit]]/OrdersRawTable9[[#This Row],[Net_Sales]])</f>
        <v>0.38952493045153003</v>
      </c>
      <c r="AC254" s="45" t="str">
        <f>IF(COUNTIF(ReturnsRawTable[Order_Line_ID],OrdersRawTable9[[#This Row],[Order_Line_ID]])&gt;0,"Yes","No")</f>
        <v>No</v>
      </c>
      <c r="AD254" s="45" t="str">
        <f>IFERROR(VLOOKUP(OrdersRawTable9[[#This Row],[Order_Line_ID]],ReturnsRawTable[[#All],[Order_Line_ID]:[Return_Reason_Raw]],3,FALSE),"")</f>
        <v/>
      </c>
      <c r="AE254" s="49" t="str">
        <f>IFERROR(VLOOKUP(OrdersRawTable9[[#This Row],[Order_Line_ID]],ReturnsRawTable[[#All],[Order_Line_ID]:[Return_Date]],2,FALSE),"")</f>
        <v/>
      </c>
      <c r="AF254" s="45" t="str">
        <f>IFERROR(VLOOKUP(OrdersRawTable9[[#This Row],[Order_Line_ID]],ReturnsRawTable[[Order_Line_ID]:[Refund_Status]],4,FALSE),"")</f>
        <v/>
      </c>
      <c r="AG254" s="45" t="str">
        <f>VLOOKUP(OrdersRawTable9[[#This Row],[Order_ID]],ShipmentsTable[],6,FALSE)</f>
        <v>Late</v>
      </c>
      <c r="AH254" s="49">
        <f>VLOOKUP(OrdersRawTable9[[#This Row],[Order_ID]],ShipmentsTable[],3,FALSE)</f>
        <v>45677</v>
      </c>
    </row>
    <row r="255" spans="1:34" ht="15" customHeight="1">
      <c r="A255" s="14" t="s">
        <v>627</v>
      </c>
      <c r="B255" s="10" t="s">
        <v>624</v>
      </c>
      <c r="C255" s="20">
        <v>45671</v>
      </c>
      <c r="D255" s="10" t="s">
        <v>163</v>
      </c>
      <c r="E255" s="10" t="s">
        <v>164</v>
      </c>
      <c r="F255" s="10" t="str">
        <f>TRIM(LEFT(OrdersRawTable9[[#This Row],[Customer_Info]],FIND(",",OrdersRawTable9[[#This Row],[Customer_Info]])-1))</f>
        <v>Yara Ali</v>
      </c>
      <c r="G25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255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55" s="10">
        <f>LEN(OrdersRawTable9[[#This Row],[Customer_Info]])-LEN(SUBSTITUTE(OrdersRawTable9[[#This Row],[Customer_Info]],",",""))</f>
        <v>2</v>
      </c>
      <c r="J255" s="10" t="s">
        <v>428</v>
      </c>
      <c r="K255" s="23">
        <v>1</v>
      </c>
      <c r="L255" s="26">
        <v>110.88</v>
      </c>
      <c r="M255" s="29">
        <v>0.05</v>
      </c>
      <c r="N255" s="10" t="s">
        <v>66</v>
      </c>
      <c r="O255" s="10" t="str">
        <f>IF(TRIM(OrdersRawTable9[[#This Row],[Sales_Channel_Raw]])="Market place","Marketplace",TRIM(OrdersRawTable9[[#This Row],[Sales_Channel_Raw]]))</f>
        <v>Marketplace</v>
      </c>
      <c r="P255" s="10" t="s">
        <v>41</v>
      </c>
      <c r="Q255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255" s="15" t="s">
        <v>101</v>
      </c>
      <c r="S255" t="str">
        <f>VLOOKUP(OrdersRawTable9[[#This Row],[Customer_ID_Raw]],CustomersTable11[],4,FALSE)</f>
        <v>Ontario</v>
      </c>
      <c r="T255" t="str">
        <f>VLOOKUP(OrdersRawTable9[[#This Row],[Customer_ID_Raw]],CustomersTable11[],5,FALSE)</f>
        <v>Small Business</v>
      </c>
      <c r="U255" s="45">
        <f>VLOOKUP(OrdersRawTable9[[#This Row],[Product_ID]],ProductsTable10[],4,FALSE)</f>
        <v>57.09</v>
      </c>
      <c r="V255" t="str">
        <f>VLOOKUP(OrdersRawTable9[[#This Row],[Product_ID]],ProductsTable10[],3,FALSE)</f>
        <v>Electronics</v>
      </c>
      <c r="W255" s="45">
        <f>OrdersRawTable9[[#This Row],[Unit_Price]]*OrdersRawTable9[[#This Row],[Quantity]]</f>
        <v>110.88</v>
      </c>
      <c r="X255" s="47">
        <f>OrdersRawTable9[[#This Row],[Gross_Sales]]*OrdersRawTable9[[#This Row],[Discount_Pct]]</f>
        <v>5.5440000000000005</v>
      </c>
      <c r="Y255" s="45">
        <f>OrdersRawTable9[[#This Row],[Gross_Sales]]-OrdersRawTable9[[#This Row],[Discount_Amount]]</f>
        <v>105.336</v>
      </c>
      <c r="Z255" s="45">
        <f>OrdersRawTable9[[#This Row],[Unit_Cost]]*OrdersRawTable9[[#This Row],[Quantity]]</f>
        <v>57.09</v>
      </c>
      <c r="AA255" s="45">
        <f>OrdersRawTable9[[#This Row],[Net_Sales]]-OrdersRawTable9[[#This Row],[Total_Cost]]</f>
        <v>48.245999999999995</v>
      </c>
      <c r="AB255" s="48">
        <f>IF(OrdersRawTable9[[#This Row],[Net_Sales]]=0,0,OrdersRawTable9[[#This Row],[Profit]]/OrdersRawTable9[[#This Row],[Net_Sales]])</f>
        <v>0.45802005012531322</v>
      </c>
      <c r="AC255" s="45" t="str">
        <f>IF(COUNTIF(ReturnsRawTable[Order_Line_ID],OrdersRawTable9[[#This Row],[Order_Line_ID]])&gt;0,"Yes","No")</f>
        <v>No</v>
      </c>
      <c r="AD255" s="45" t="str">
        <f>IFERROR(VLOOKUP(OrdersRawTable9[[#This Row],[Order_Line_ID]],ReturnsRawTable[[#All],[Order_Line_ID]:[Return_Reason_Raw]],3,FALSE),"")</f>
        <v/>
      </c>
      <c r="AE255" s="49" t="str">
        <f>IFERROR(VLOOKUP(OrdersRawTable9[[#This Row],[Order_Line_ID]],ReturnsRawTable[[#All],[Order_Line_ID]:[Return_Date]],2,FALSE),"")</f>
        <v/>
      </c>
      <c r="AF255" s="45" t="str">
        <f>IFERROR(VLOOKUP(OrdersRawTable9[[#This Row],[Order_Line_ID]],ReturnsRawTable[[Order_Line_ID]:[Refund_Status]],4,FALSE),"")</f>
        <v/>
      </c>
      <c r="AG255" s="45" t="str">
        <f>VLOOKUP(OrdersRawTable9[[#This Row],[Order_ID]],ShipmentsTable[],6,FALSE)</f>
        <v>Late</v>
      </c>
      <c r="AH255" s="49">
        <f>VLOOKUP(OrdersRawTable9[[#This Row],[Order_ID]],ShipmentsTable[],3,FALSE)</f>
        <v>45677</v>
      </c>
    </row>
    <row r="256" spans="1:34" ht="15" customHeight="1">
      <c r="A256" s="14" t="s">
        <v>628</v>
      </c>
      <c r="B256" s="10" t="s">
        <v>629</v>
      </c>
      <c r="C256" s="20">
        <v>45699</v>
      </c>
      <c r="D256" s="10" t="s">
        <v>616</v>
      </c>
      <c r="E256" s="10" t="s">
        <v>617</v>
      </c>
      <c r="F256" s="10" t="str">
        <f>TRIM(LEFT(OrdersRawTable9[[#This Row],[Customer_Info]],FIND(",",OrdersRawTable9[[#This Row],[Customer_Info]])-1))</f>
        <v>Emma Singh</v>
      </c>
      <c r="G25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256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56" s="10">
        <f>LEN(OrdersRawTable9[[#This Row],[Customer_Info]])-LEN(SUBSTITUTE(OrdersRawTable9[[#This Row],[Customer_Info]],",",""))</f>
        <v>2</v>
      </c>
      <c r="J256" s="10" t="s">
        <v>80</v>
      </c>
      <c r="K256" s="23">
        <v>1</v>
      </c>
      <c r="L256" s="26">
        <v>142.16</v>
      </c>
      <c r="M256" s="29">
        <v>0</v>
      </c>
      <c r="N256" s="10" t="s">
        <v>40</v>
      </c>
      <c r="O256" s="10" t="str">
        <f>IF(TRIM(OrdersRawTable9[[#This Row],[Sales_Channel_Raw]])="Market place","Marketplace",TRIM(OrdersRawTable9[[#This Row],[Sales_Channel_Raw]]))</f>
        <v>Online</v>
      </c>
      <c r="P256" s="10" t="s">
        <v>46</v>
      </c>
      <c r="Q256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256" s="15" t="s">
        <v>67</v>
      </c>
      <c r="S256" t="str">
        <f>VLOOKUP(OrdersRawTable9[[#This Row],[Customer_ID_Raw]],CustomersTable11[],4,FALSE)</f>
        <v>Alberta</v>
      </c>
      <c r="T256" t="str">
        <f>VLOOKUP(OrdersRawTable9[[#This Row],[Customer_ID_Raw]],CustomersTable11[],5,FALSE)</f>
        <v>Small Business</v>
      </c>
      <c r="U256" s="45">
        <f>VLOOKUP(OrdersRawTable9[[#This Row],[Product_ID]],ProductsTable10[],4,FALSE)</f>
        <v>85.34</v>
      </c>
      <c r="V256" t="str">
        <f>VLOOKUP(OrdersRawTable9[[#This Row],[Product_ID]],ProductsTable10[],3,FALSE)</f>
        <v>Home</v>
      </c>
      <c r="W256" s="45">
        <f>OrdersRawTable9[[#This Row],[Unit_Price]]*OrdersRawTable9[[#This Row],[Quantity]]</f>
        <v>142.16</v>
      </c>
      <c r="X256" s="47">
        <f>OrdersRawTable9[[#This Row],[Gross_Sales]]*OrdersRawTable9[[#This Row],[Discount_Pct]]</f>
        <v>0</v>
      </c>
      <c r="Y256" s="45">
        <f>OrdersRawTable9[[#This Row],[Gross_Sales]]-OrdersRawTable9[[#This Row],[Discount_Amount]]</f>
        <v>142.16</v>
      </c>
      <c r="Z256" s="45">
        <f>OrdersRawTable9[[#This Row],[Unit_Cost]]*OrdersRawTable9[[#This Row],[Quantity]]</f>
        <v>85.34</v>
      </c>
      <c r="AA256" s="45">
        <f>OrdersRawTable9[[#This Row],[Net_Sales]]-OrdersRawTable9[[#This Row],[Total_Cost]]</f>
        <v>56.819999999999993</v>
      </c>
      <c r="AB256" s="48">
        <f>IF(OrdersRawTable9[[#This Row],[Net_Sales]]=0,0,OrdersRawTable9[[#This Row],[Profit]]/OrdersRawTable9[[#This Row],[Net_Sales]])</f>
        <v>0.39969048958919523</v>
      </c>
      <c r="AC256" s="45" t="str">
        <f>IF(COUNTIF(ReturnsRawTable[Order_Line_ID],OrdersRawTable9[[#This Row],[Order_Line_ID]])&gt;0,"Yes","No")</f>
        <v>No</v>
      </c>
      <c r="AD256" s="45" t="str">
        <f>IFERROR(VLOOKUP(OrdersRawTable9[[#This Row],[Order_Line_ID]],ReturnsRawTable[[#All],[Order_Line_ID]:[Return_Reason_Raw]],3,FALSE),"")</f>
        <v/>
      </c>
      <c r="AE256" s="49" t="str">
        <f>IFERROR(VLOOKUP(OrdersRawTable9[[#This Row],[Order_Line_ID]],ReturnsRawTable[[#All],[Order_Line_ID]:[Return_Date]],2,FALSE),"")</f>
        <v/>
      </c>
      <c r="AF256" s="45" t="str">
        <f>IFERROR(VLOOKUP(OrdersRawTable9[[#This Row],[Order_Line_ID]],ReturnsRawTable[[Order_Line_ID]:[Refund_Status]],4,FALSE),"")</f>
        <v/>
      </c>
      <c r="AG256" s="45" t="str">
        <f>VLOOKUP(OrdersRawTable9[[#This Row],[Order_ID]],ShipmentsTable[],6,FALSE)</f>
        <v>On time</v>
      </c>
      <c r="AH256" s="49">
        <f>VLOOKUP(OrdersRawTable9[[#This Row],[Order_ID]],ShipmentsTable[],3,FALSE)</f>
        <v>45701</v>
      </c>
    </row>
    <row r="257" spans="1:34" ht="15" customHeight="1">
      <c r="A257" s="14" t="s">
        <v>630</v>
      </c>
      <c r="B257" s="10" t="s">
        <v>629</v>
      </c>
      <c r="C257" s="20">
        <v>45699</v>
      </c>
      <c r="D257" s="10" t="s">
        <v>616</v>
      </c>
      <c r="E257" s="10" t="s">
        <v>617</v>
      </c>
      <c r="F257" s="10" t="str">
        <f>TRIM(LEFT(OrdersRawTable9[[#This Row],[Customer_Info]],FIND(",",OrdersRawTable9[[#This Row],[Customer_Info]])-1))</f>
        <v>Emma Singh</v>
      </c>
      <c r="G25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257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57" s="10">
        <f>LEN(OrdersRawTable9[[#This Row],[Customer_Info]])-LEN(SUBSTITUTE(OrdersRawTable9[[#This Row],[Customer_Info]],",",""))</f>
        <v>2</v>
      </c>
      <c r="J257" s="10" t="s">
        <v>49</v>
      </c>
      <c r="K257" s="23">
        <v>3</v>
      </c>
      <c r="L257" s="26">
        <v>300.16000000000003</v>
      </c>
      <c r="M257" s="29">
        <v>0.1</v>
      </c>
      <c r="N257" s="10" t="s">
        <v>45</v>
      </c>
      <c r="O257" s="10" t="str">
        <f>IF(TRIM(OrdersRawTable9[[#This Row],[Sales_Channel_Raw]])="Market place","Marketplace",TRIM(OrdersRawTable9[[#This Row],[Sales_Channel_Raw]]))</f>
        <v>Retail Store</v>
      </c>
      <c r="P257" s="10" t="s">
        <v>41</v>
      </c>
      <c r="Q257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257" s="15" t="s">
        <v>52</v>
      </c>
      <c r="S257" t="str">
        <f>VLOOKUP(OrdersRawTable9[[#This Row],[Customer_ID_Raw]],CustomersTable11[],4,FALSE)</f>
        <v>Alberta</v>
      </c>
      <c r="T257" t="str">
        <f>VLOOKUP(OrdersRawTable9[[#This Row],[Customer_ID_Raw]],CustomersTable11[],5,FALSE)</f>
        <v>Small Business</v>
      </c>
      <c r="U257" s="45">
        <f>VLOOKUP(OrdersRawTable9[[#This Row],[Product_ID]],ProductsTable10[],4,FALSE)</f>
        <v>158.46</v>
      </c>
      <c r="V257" t="str">
        <f>VLOOKUP(OrdersRawTable9[[#This Row],[Product_ID]],ProductsTable10[],3,FALSE)</f>
        <v>Office</v>
      </c>
      <c r="W257" s="45">
        <f>OrdersRawTable9[[#This Row],[Unit_Price]]*OrdersRawTable9[[#This Row],[Quantity]]</f>
        <v>900.48</v>
      </c>
      <c r="X257" s="47">
        <f>OrdersRawTable9[[#This Row],[Gross_Sales]]*OrdersRawTable9[[#This Row],[Discount_Pct]]</f>
        <v>90.048000000000002</v>
      </c>
      <c r="Y257" s="45">
        <f>OrdersRawTable9[[#This Row],[Gross_Sales]]-OrdersRawTable9[[#This Row],[Discount_Amount]]</f>
        <v>810.43200000000002</v>
      </c>
      <c r="Z257" s="45">
        <f>OrdersRawTable9[[#This Row],[Unit_Cost]]*OrdersRawTable9[[#This Row],[Quantity]]</f>
        <v>475.38</v>
      </c>
      <c r="AA257" s="45">
        <f>OrdersRawTable9[[#This Row],[Net_Sales]]-OrdersRawTable9[[#This Row],[Total_Cost]]</f>
        <v>335.05200000000002</v>
      </c>
      <c r="AB257" s="48">
        <f>IF(OrdersRawTable9[[#This Row],[Net_Sales]]=0,0,OrdersRawTable9[[#This Row],[Profit]]/OrdersRawTable9[[#This Row],[Net_Sales]])</f>
        <v>0.41342395167022034</v>
      </c>
      <c r="AC257" s="45" t="str">
        <f>IF(COUNTIF(ReturnsRawTable[Order_Line_ID],OrdersRawTable9[[#This Row],[Order_Line_ID]])&gt;0,"Yes","No")</f>
        <v>No</v>
      </c>
      <c r="AD257" s="45" t="str">
        <f>IFERROR(VLOOKUP(OrdersRawTable9[[#This Row],[Order_Line_ID]],ReturnsRawTable[[#All],[Order_Line_ID]:[Return_Reason_Raw]],3,FALSE),"")</f>
        <v/>
      </c>
      <c r="AE257" s="49" t="str">
        <f>IFERROR(VLOOKUP(OrdersRawTable9[[#This Row],[Order_Line_ID]],ReturnsRawTable[[#All],[Order_Line_ID]:[Return_Date]],2,FALSE),"")</f>
        <v/>
      </c>
      <c r="AF257" s="45" t="str">
        <f>IFERROR(VLOOKUP(OrdersRawTable9[[#This Row],[Order_Line_ID]],ReturnsRawTable[[Order_Line_ID]:[Refund_Status]],4,FALSE),"")</f>
        <v/>
      </c>
      <c r="AG257" s="45" t="str">
        <f>VLOOKUP(OrdersRawTable9[[#This Row],[Order_ID]],ShipmentsTable[],6,FALSE)</f>
        <v>On time</v>
      </c>
      <c r="AH257" s="49">
        <f>VLOOKUP(OrdersRawTable9[[#This Row],[Order_ID]],ShipmentsTable[],3,FALSE)</f>
        <v>45701</v>
      </c>
    </row>
    <row r="258" spans="1:34" ht="15" customHeight="1">
      <c r="A258" s="14" t="s">
        <v>631</v>
      </c>
      <c r="B258" s="10" t="s">
        <v>629</v>
      </c>
      <c r="C258" s="20">
        <v>45699</v>
      </c>
      <c r="D258" s="10" t="s">
        <v>616</v>
      </c>
      <c r="E258" s="10" t="s">
        <v>617</v>
      </c>
      <c r="F258" s="10" t="str">
        <f>TRIM(LEFT(OrdersRawTable9[[#This Row],[Customer_Info]],FIND(",",OrdersRawTable9[[#This Row],[Customer_Info]])-1))</f>
        <v>Emma Singh</v>
      </c>
      <c r="G25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258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58" s="10">
        <f>LEN(OrdersRawTable9[[#This Row],[Customer_Info]])-LEN(SUBSTITUTE(OrdersRawTable9[[#This Row],[Customer_Info]],",",""))</f>
        <v>2</v>
      </c>
      <c r="J258" s="10" t="s">
        <v>83</v>
      </c>
      <c r="K258" s="23">
        <v>3</v>
      </c>
      <c r="L258" s="26">
        <v>115.28</v>
      </c>
      <c r="M258" s="29">
        <v>0.15</v>
      </c>
      <c r="N258" s="10" t="s">
        <v>64</v>
      </c>
      <c r="O258" s="10" t="str">
        <f>IF(TRIM(OrdersRawTable9[[#This Row],[Sales_Channel_Raw]])="Market place","Marketplace",TRIM(OrdersRawTable9[[#This Row],[Sales_Channel_Raw]]))</f>
        <v>Retail Store</v>
      </c>
      <c r="P258" s="10" t="s">
        <v>58</v>
      </c>
      <c r="Q258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258" s="15" t="s">
        <v>67</v>
      </c>
      <c r="S258" t="str">
        <f>VLOOKUP(OrdersRawTable9[[#This Row],[Customer_ID_Raw]],CustomersTable11[],4,FALSE)</f>
        <v>Alberta</v>
      </c>
      <c r="T258" t="str">
        <f>VLOOKUP(OrdersRawTable9[[#This Row],[Customer_ID_Raw]],CustomersTable11[],5,FALSE)</f>
        <v>Small Business</v>
      </c>
      <c r="U258" s="45">
        <f>VLOOKUP(OrdersRawTable9[[#This Row],[Product_ID]],ProductsTable10[],4,FALSE)</f>
        <v>61.65</v>
      </c>
      <c r="V258" t="str">
        <f>VLOOKUP(OrdersRawTable9[[#This Row],[Product_ID]],ProductsTable10[],3,FALSE)</f>
        <v>Office</v>
      </c>
      <c r="W258" s="45">
        <f>OrdersRawTable9[[#This Row],[Unit_Price]]*OrdersRawTable9[[#This Row],[Quantity]]</f>
        <v>345.84000000000003</v>
      </c>
      <c r="X258" s="47">
        <f>OrdersRawTable9[[#This Row],[Gross_Sales]]*OrdersRawTable9[[#This Row],[Discount_Pct]]</f>
        <v>51.876000000000005</v>
      </c>
      <c r="Y258" s="45">
        <f>OrdersRawTable9[[#This Row],[Gross_Sales]]-OrdersRawTable9[[#This Row],[Discount_Amount]]</f>
        <v>293.96400000000006</v>
      </c>
      <c r="Z258" s="45">
        <f>OrdersRawTable9[[#This Row],[Unit_Cost]]*OrdersRawTable9[[#This Row],[Quantity]]</f>
        <v>184.95</v>
      </c>
      <c r="AA258" s="45">
        <f>OrdersRawTable9[[#This Row],[Net_Sales]]-OrdersRawTable9[[#This Row],[Total_Cost]]</f>
        <v>109.01400000000007</v>
      </c>
      <c r="AB258" s="48">
        <f>IF(OrdersRawTable9[[#This Row],[Net_Sales]]=0,0,OrdersRawTable9[[#This Row],[Profit]]/OrdersRawTable9[[#This Row],[Net_Sales]])</f>
        <v>0.37084132750949111</v>
      </c>
      <c r="AC258" s="45" t="str">
        <f>IF(COUNTIF(ReturnsRawTable[Order_Line_ID],OrdersRawTable9[[#This Row],[Order_Line_ID]])&gt;0,"Yes","No")</f>
        <v>No</v>
      </c>
      <c r="AD258" s="45" t="str">
        <f>IFERROR(VLOOKUP(OrdersRawTable9[[#This Row],[Order_Line_ID]],ReturnsRawTable[[#All],[Order_Line_ID]:[Return_Reason_Raw]],3,FALSE),"")</f>
        <v/>
      </c>
      <c r="AE258" s="49" t="str">
        <f>IFERROR(VLOOKUP(OrdersRawTable9[[#This Row],[Order_Line_ID]],ReturnsRawTable[[#All],[Order_Line_ID]:[Return_Date]],2,FALSE),"")</f>
        <v/>
      </c>
      <c r="AF258" s="45" t="str">
        <f>IFERROR(VLOOKUP(OrdersRawTable9[[#This Row],[Order_Line_ID]],ReturnsRawTable[[Order_Line_ID]:[Refund_Status]],4,FALSE),"")</f>
        <v/>
      </c>
      <c r="AG258" s="45" t="str">
        <f>VLOOKUP(OrdersRawTable9[[#This Row],[Order_ID]],ShipmentsTable[],6,FALSE)</f>
        <v>On time</v>
      </c>
      <c r="AH258" s="49">
        <f>VLOOKUP(OrdersRawTable9[[#This Row],[Order_ID]],ShipmentsTable[],3,FALSE)</f>
        <v>45701</v>
      </c>
    </row>
    <row r="259" spans="1:34" ht="15" customHeight="1">
      <c r="A259" s="14" t="s">
        <v>632</v>
      </c>
      <c r="B259" s="10" t="s">
        <v>633</v>
      </c>
      <c r="C259" s="20">
        <v>45876</v>
      </c>
      <c r="D259" s="10" t="s">
        <v>525</v>
      </c>
      <c r="E259" s="10" t="s">
        <v>526</v>
      </c>
      <c r="F259" s="10" t="str">
        <f>TRIM(LEFT(OrdersRawTable9[[#This Row],[Customer_Info]],FIND(",",OrdersRawTable9[[#This Row],[Customer_Info]])-1))</f>
        <v>Yara Johnson</v>
      </c>
      <c r="G25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259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259" s="10">
        <f>LEN(OrdersRawTable9[[#This Row],[Customer_Info]])-LEN(SUBSTITUTE(OrdersRawTable9[[#This Row],[Customer_Info]],",",""))</f>
        <v>2</v>
      </c>
      <c r="J259" s="10" t="s">
        <v>201</v>
      </c>
      <c r="K259" s="23">
        <v>2</v>
      </c>
      <c r="L259" s="26">
        <v>154.47</v>
      </c>
      <c r="M259" s="29">
        <v>0</v>
      </c>
      <c r="N259" s="10" t="s">
        <v>64</v>
      </c>
      <c r="O259" s="10" t="str">
        <f>IF(TRIM(OrdersRawTable9[[#This Row],[Sales_Channel_Raw]])="Market place","Marketplace",TRIM(OrdersRawTable9[[#This Row],[Sales_Channel_Raw]]))</f>
        <v>Retail Store</v>
      </c>
      <c r="P259" s="10" t="s">
        <v>46</v>
      </c>
      <c r="Q259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259" s="15" t="s">
        <v>101</v>
      </c>
      <c r="S259" t="str">
        <f>VLOOKUP(OrdersRawTable9[[#This Row],[Customer_ID_Raw]],CustomersTable11[],4,FALSE)</f>
        <v>British Columbia</v>
      </c>
      <c r="T259" t="str">
        <f>VLOOKUP(OrdersRawTable9[[#This Row],[Customer_ID_Raw]],CustomersTable11[],5,FALSE)</f>
        <v>Corporate</v>
      </c>
      <c r="U259" s="45">
        <f>VLOOKUP(OrdersRawTable9[[#This Row],[Product_ID]],ProductsTable10[],4,FALSE)</f>
        <v>102.57</v>
      </c>
      <c r="V259" t="str">
        <f>VLOOKUP(OrdersRawTable9[[#This Row],[Product_ID]],ProductsTable10[],3,FALSE)</f>
        <v>Fitness</v>
      </c>
      <c r="W259" s="45">
        <f>OrdersRawTable9[[#This Row],[Unit_Price]]*OrdersRawTable9[[#This Row],[Quantity]]</f>
        <v>308.94</v>
      </c>
      <c r="X259" s="47">
        <f>OrdersRawTable9[[#This Row],[Gross_Sales]]*OrdersRawTable9[[#This Row],[Discount_Pct]]</f>
        <v>0</v>
      </c>
      <c r="Y259" s="45">
        <f>OrdersRawTable9[[#This Row],[Gross_Sales]]-OrdersRawTable9[[#This Row],[Discount_Amount]]</f>
        <v>308.94</v>
      </c>
      <c r="Z259" s="45">
        <f>OrdersRawTable9[[#This Row],[Unit_Cost]]*OrdersRawTable9[[#This Row],[Quantity]]</f>
        <v>205.14</v>
      </c>
      <c r="AA259" s="45">
        <f>OrdersRawTable9[[#This Row],[Net_Sales]]-OrdersRawTable9[[#This Row],[Total_Cost]]</f>
        <v>103.80000000000001</v>
      </c>
      <c r="AB259" s="48">
        <f>IF(OrdersRawTable9[[#This Row],[Net_Sales]]=0,0,OrdersRawTable9[[#This Row],[Profit]]/OrdersRawTable9[[#This Row],[Net_Sales]])</f>
        <v>0.33598757040201988</v>
      </c>
      <c r="AC259" s="45" t="str">
        <f>IF(COUNTIF(ReturnsRawTable[Order_Line_ID],OrdersRawTable9[[#This Row],[Order_Line_ID]])&gt;0,"Yes","No")</f>
        <v>Yes</v>
      </c>
      <c r="AD259" s="45" t="str">
        <f>IFERROR(VLOOKUP(OrdersRawTable9[[#This Row],[Order_Line_ID]],ReturnsRawTable[[#All],[Order_Line_ID]:[Return_Reason_Raw]],3,FALSE),"")</f>
        <v>Late Delivery</v>
      </c>
      <c r="AE259" s="49">
        <f>IFERROR(VLOOKUP(OrdersRawTable9[[#This Row],[Order_Line_ID]],ReturnsRawTable[[#All],[Order_Line_ID]:[Return_Date]],2,FALSE),"")</f>
        <v>45891</v>
      </c>
      <c r="AF259" s="45" t="str">
        <f>IFERROR(VLOOKUP(OrdersRawTable9[[#This Row],[Order_Line_ID]],ReturnsRawTable[[Order_Line_ID]:[Refund_Status]],4,FALSE),"")</f>
        <v>Refunded</v>
      </c>
      <c r="AG259" s="45" t="str">
        <f>VLOOKUP(OrdersRawTable9[[#This Row],[Order_ID]],ShipmentsTable[],6,FALSE)</f>
        <v>Late</v>
      </c>
      <c r="AH259" s="49">
        <f>VLOOKUP(OrdersRawTable9[[#This Row],[Order_ID]],ShipmentsTable[],3,FALSE)</f>
        <v>45882</v>
      </c>
    </row>
    <row r="260" spans="1:34" ht="15" customHeight="1">
      <c r="A260" s="14" t="s">
        <v>634</v>
      </c>
      <c r="B260" s="10" t="s">
        <v>633</v>
      </c>
      <c r="C260" s="20">
        <v>45876</v>
      </c>
      <c r="D260" s="10" t="s">
        <v>525</v>
      </c>
      <c r="E260" s="10" t="s">
        <v>526</v>
      </c>
      <c r="F260" s="10" t="str">
        <f>TRIM(LEFT(OrdersRawTable9[[#This Row],[Customer_Info]],FIND(",",OrdersRawTable9[[#This Row],[Customer_Info]])-1))</f>
        <v>Yara Johnson</v>
      </c>
      <c r="G26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260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260" s="10">
        <f>LEN(OrdersRawTable9[[#This Row],[Customer_Info]])-LEN(SUBSTITUTE(OrdersRawTable9[[#This Row],[Customer_Info]],",",""))</f>
        <v>2</v>
      </c>
      <c r="J260" s="10" t="s">
        <v>270</v>
      </c>
      <c r="K260" s="23">
        <v>4</v>
      </c>
      <c r="L260" s="26">
        <v>214.38</v>
      </c>
      <c r="M260" s="29">
        <v>0</v>
      </c>
      <c r="N260" s="10" t="s">
        <v>66</v>
      </c>
      <c r="O260" s="10" t="str">
        <f>IF(TRIM(OrdersRawTable9[[#This Row],[Sales_Channel_Raw]])="Market place","Marketplace",TRIM(OrdersRawTable9[[#This Row],[Sales_Channel_Raw]]))</f>
        <v>Marketplace</v>
      </c>
      <c r="P260" s="10" t="s">
        <v>51</v>
      </c>
      <c r="Q260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260" s="15" t="s">
        <v>52</v>
      </c>
      <c r="S260" t="str">
        <f>VLOOKUP(OrdersRawTable9[[#This Row],[Customer_ID_Raw]],CustomersTable11[],4,FALSE)</f>
        <v>British Columbia</v>
      </c>
      <c r="T260" t="str">
        <f>VLOOKUP(OrdersRawTable9[[#This Row],[Customer_ID_Raw]],CustomersTable11[],5,FALSE)</f>
        <v>Corporate</v>
      </c>
      <c r="U260" s="45">
        <f>VLOOKUP(OrdersRawTable9[[#This Row],[Product_ID]],ProductsTable10[],4,FALSE)</f>
        <v>131.51</v>
      </c>
      <c r="V260" t="str">
        <f>VLOOKUP(OrdersRawTable9[[#This Row],[Product_ID]],ProductsTable10[],3,FALSE)</f>
        <v>Fitness</v>
      </c>
      <c r="W260" s="45">
        <f>OrdersRawTable9[[#This Row],[Unit_Price]]*OrdersRawTable9[[#This Row],[Quantity]]</f>
        <v>857.52</v>
      </c>
      <c r="X260" s="47">
        <f>OrdersRawTable9[[#This Row],[Gross_Sales]]*OrdersRawTable9[[#This Row],[Discount_Pct]]</f>
        <v>0</v>
      </c>
      <c r="Y260" s="45">
        <f>OrdersRawTable9[[#This Row],[Gross_Sales]]-OrdersRawTable9[[#This Row],[Discount_Amount]]</f>
        <v>857.52</v>
      </c>
      <c r="Z260" s="45">
        <f>OrdersRawTable9[[#This Row],[Unit_Cost]]*OrdersRawTable9[[#This Row],[Quantity]]</f>
        <v>526.04</v>
      </c>
      <c r="AA260" s="45">
        <f>OrdersRawTable9[[#This Row],[Net_Sales]]-OrdersRawTable9[[#This Row],[Total_Cost]]</f>
        <v>331.48</v>
      </c>
      <c r="AB260" s="48">
        <f>IF(OrdersRawTable9[[#This Row],[Net_Sales]]=0,0,OrdersRawTable9[[#This Row],[Profit]]/OrdersRawTable9[[#This Row],[Net_Sales]])</f>
        <v>0.38655658177068758</v>
      </c>
      <c r="AC260" s="45" t="str">
        <f>IF(COUNTIF(ReturnsRawTable[Order_Line_ID],OrdersRawTable9[[#This Row],[Order_Line_ID]])&gt;0,"Yes","No")</f>
        <v>Yes</v>
      </c>
      <c r="AD260" s="45" t="str">
        <f>IFERROR(VLOOKUP(OrdersRawTable9[[#This Row],[Order_Line_ID]],ReturnsRawTable[[#All],[Order_Line_ID]:[Return_Reason_Raw]],3,FALSE),"")</f>
        <v>Not as Described</v>
      </c>
      <c r="AE260" s="49">
        <f>IFERROR(VLOOKUP(OrdersRawTable9[[#This Row],[Order_Line_ID]],ReturnsRawTable[[#All],[Order_Line_ID]:[Return_Date]],2,FALSE),"")</f>
        <v>45889</v>
      </c>
      <c r="AF260" s="45" t="str">
        <f>IFERROR(VLOOKUP(OrdersRawTable9[[#This Row],[Order_Line_ID]],ReturnsRawTable[[Order_Line_ID]:[Refund_Status]],4,FALSE),"")</f>
        <v>Pending</v>
      </c>
      <c r="AG260" s="45" t="str">
        <f>VLOOKUP(OrdersRawTable9[[#This Row],[Order_ID]],ShipmentsTable[],6,FALSE)</f>
        <v>Late</v>
      </c>
      <c r="AH260" s="49">
        <f>VLOOKUP(OrdersRawTable9[[#This Row],[Order_ID]],ShipmentsTable[],3,FALSE)</f>
        <v>45882</v>
      </c>
    </row>
    <row r="261" spans="1:34" ht="15" customHeight="1">
      <c r="A261" s="14" t="s">
        <v>635</v>
      </c>
      <c r="B261" s="10" t="s">
        <v>633</v>
      </c>
      <c r="C261" s="20">
        <v>45876</v>
      </c>
      <c r="D261" s="10" t="s">
        <v>525</v>
      </c>
      <c r="E261" s="10" t="s">
        <v>526</v>
      </c>
      <c r="F261" s="10" t="str">
        <f>TRIM(LEFT(OrdersRawTable9[[#This Row],[Customer_Info]],FIND(",",OrdersRawTable9[[#This Row],[Customer_Info]])-1))</f>
        <v>Yara Johnson</v>
      </c>
      <c r="G26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261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261" s="10">
        <f>LEN(OrdersRawTable9[[#This Row],[Customer_Info]])-LEN(SUBSTITUTE(OrdersRawTable9[[#This Row],[Customer_Info]],",",""))</f>
        <v>2</v>
      </c>
      <c r="J261" s="10" t="s">
        <v>130</v>
      </c>
      <c r="K261" s="23">
        <v>1</v>
      </c>
      <c r="L261" s="26">
        <v>265.73</v>
      </c>
      <c r="M261" s="29">
        <v>0.1</v>
      </c>
      <c r="N261" s="10" t="s">
        <v>66</v>
      </c>
      <c r="O261" s="10" t="str">
        <f>IF(TRIM(OrdersRawTable9[[#This Row],[Sales_Channel_Raw]])="Market place","Marketplace",TRIM(OrdersRawTable9[[#This Row],[Sales_Channel_Raw]]))</f>
        <v>Marketplace</v>
      </c>
      <c r="P261" s="10" t="s">
        <v>98</v>
      </c>
      <c r="Q261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261" s="15" t="s">
        <v>42</v>
      </c>
      <c r="S261" t="str">
        <f>VLOOKUP(OrdersRawTable9[[#This Row],[Customer_ID_Raw]],CustomersTable11[],4,FALSE)</f>
        <v>British Columbia</v>
      </c>
      <c r="T261" t="str">
        <f>VLOOKUP(OrdersRawTable9[[#This Row],[Customer_ID_Raw]],CustomersTable11[],5,FALSE)</f>
        <v>Corporate</v>
      </c>
      <c r="U261" s="45">
        <f>VLOOKUP(OrdersRawTable9[[#This Row],[Product_ID]],ProductsTable10[],4,FALSE)</f>
        <v>154.16999999999999</v>
      </c>
      <c r="V261" t="str">
        <f>VLOOKUP(OrdersRawTable9[[#This Row],[Product_ID]],ProductsTable10[],3,FALSE)</f>
        <v>Electronics</v>
      </c>
      <c r="W261" s="45">
        <f>OrdersRawTable9[[#This Row],[Unit_Price]]*OrdersRawTable9[[#This Row],[Quantity]]</f>
        <v>265.73</v>
      </c>
      <c r="X261" s="47">
        <f>OrdersRawTable9[[#This Row],[Gross_Sales]]*OrdersRawTable9[[#This Row],[Discount_Pct]]</f>
        <v>26.573000000000004</v>
      </c>
      <c r="Y261" s="45">
        <f>OrdersRawTable9[[#This Row],[Gross_Sales]]-OrdersRawTable9[[#This Row],[Discount_Amount]]</f>
        <v>239.15700000000001</v>
      </c>
      <c r="Z261" s="45">
        <f>OrdersRawTable9[[#This Row],[Unit_Cost]]*OrdersRawTable9[[#This Row],[Quantity]]</f>
        <v>154.16999999999999</v>
      </c>
      <c r="AA261" s="45">
        <f>OrdersRawTable9[[#This Row],[Net_Sales]]-OrdersRawTable9[[#This Row],[Total_Cost]]</f>
        <v>84.987000000000023</v>
      </c>
      <c r="AB261" s="48">
        <f>IF(OrdersRawTable9[[#This Row],[Net_Sales]]=0,0,OrdersRawTable9[[#This Row],[Profit]]/OrdersRawTable9[[#This Row],[Net_Sales]])</f>
        <v>0.35536070447446666</v>
      </c>
      <c r="AC261" s="45" t="str">
        <f>IF(COUNTIF(ReturnsRawTable[Order_Line_ID],OrdersRawTable9[[#This Row],[Order_Line_ID]])&gt;0,"Yes","No")</f>
        <v>No</v>
      </c>
      <c r="AD261" s="45" t="str">
        <f>IFERROR(VLOOKUP(OrdersRawTable9[[#This Row],[Order_Line_ID]],ReturnsRawTable[[#All],[Order_Line_ID]:[Return_Reason_Raw]],3,FALSE),"")</f>
        <v/>
      </c>
      <c r="AE261" s="49" t="str">
        <f>IFERROR(VLOOKUP(OrdersRawTable9[[#This Row],[Order_Line_ID]],ReturnsRawTable[[#All],[Order_Line_ID]:[Return_Date]],2,FALSE),"")</f>
        <v/>
      </c>
      <c r="AF261" s="45" t="str">
        <f>IFERROR(VLOOKUP(OrdersRawTable9[[#This Row],[Order_Line_ID]],ReturnsRawTable[[Order_Line_ID]:[Refund_Status]],4,FALSE),"")</f>
        <v/>
      </c>
      <c r="AG261" s="45" t="str">
        <f>VLOOKUP(OrdersRawTable9[[#This Row],[Order_ID]],ShipmentsTable[],6,FALSE)</f>
        <v>Late</v>
      </c>
      <c r="AH261" s="49">
        <f>VLOOKUP(OrdersRawTable9[[#This Row],[Order_ID]],ShipmentsTable[],3,FALSE)</f>
        <v>45882</v>
      </c>
    </row>
    <row r="262" spans="1:34" ht="15" customHeight="1">
      <c r="A262" s="14" t="s">
        <v>636</v>
      </c>
      <c r="B262" s="10" t="s">
        <v>637</v>
      </c>
      <c r="C262" s="20">
        <v>45727.041666666664</v>
      </c>
      <c r="D262" s="10" t="s">
        <v>638</v>
      </c>
      <c r="E262" s="10" t="s">
        <v>639</v>
      </c>
      <c r="F262" s="10" t="str">
        <f>TRIM(LEFT(OrdersRawTable9[[#This Row],[Customer_Info]],FIND(",",OrdersRawTable9[[#This Row],[Customer_Info]])-1))</f>
        <v>Emma Brown</v>
      </c>
      <c r="G26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262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262" s="10">
        <f>LEN(OrdersRawTable9[[#This Row],[Customer_Info]])-LEN(SUBSTITUTE(OrdersRawTable9[[#This Row],[Customer_Info]],",",""))</f>
        <v>2</v>
      </c>
      <c r="J262" s="10" t="s">
        <v>180</v>
      </c>
      <c r="K262" s="23">
        <v>4</v>
      </c>
      <c r="L262" s="26">
        <v>91.75</v>
      </c>
      <c r="M262" s="29">
        <v>0</v>
      </c>
      <c r="N262" s="10" t="s">
        <v>70</v>
      </c>
      <c r="O262" s="10" t="str">
        <f>IF(TRIM(OrdersRawTable9[[#This Row],[Sales_Channel_Raw]])="Market place","Marketplace",TRIM(OrdersRawTable9[[#This Row],[Sales_Channel_Raw]]))</f>
        <v>online</v>
      </c>
      <c r="P262" s="10"/>
      <c r="Q262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262" s="15" t="s">
        <v>52</v>
      </c>
      <c r="S262" t="str">
        <f>VLOOKUP(OrdersRawTable9[[#This Row],[Customer_ID_Raw]],CustomersTable11[],4,FALSE)</f>
        <v>British Columbia</v>
      </c>
      <c r="T262" t="str">
        <f>VLOOKUP(OrdersRawTable9[[#This Row],[Customer_ID_Raw]],CustomersTable11[],5,FALSE)</f>
        <v>Corporate</v>
      </c>
      <c r="U262" s="45">
        <f>VLOOKUP(OrdersRawTable9[[#This Row],[Product_ID]],ProductsTable10[],4,FALSE)</f>
        <v>58.27</v>
      </c>
      <c r="V262" t="str">
        <f>VLOOKUP(OrdersRawTable9[[#This Row],[Product_ID]],ProductsTable10[],3,FALSE)</f>
        <v>Home</v>
      </c>
      <c r="W262" s="45">
        <f>OrdersRawTable9[[#This Row],[Unit_Price]]*OrdersRawTable9[[#This Row],[Quantity]]</f>
        <v>367</v>
      </c>
      <c r="X262" s="47">
        <f>OrdersRawTable9[[#This Row],[Gross_Sales]]*OrdersRawTable9[[#This Row],[Discount_Pct]]</f>
        <v>0</v>
      </c>
      <c r="Y262" s="45">
        <f>OrdersRawTable9[[#This Row],[Gross_Sales]]-OrdersRawTable9[[#This Row],[Discount_Amount]]</f>
        <v>367</v>
      </c>
      <c r="Z262" s="45">
        <f>OrdersRawTable9[[#This Row],[Unit_Cost]]*OrdersRawTable9[[#This Row],[Quantity]]</f>
        <v>233.08</v>
      </c>
      <c r="AA262" s="45">
        <f>OrdersRawTable9[[#This Row],[Net_Sales]]-OrdersRawTable9[[#This Row],[Total_Cost]]</f>
        <v>133.91999999999999</v>
      </c>
      <c r="AB262" s="48">
        <f>IF(OrdersRawTable9[[#This Row],[Net_Sales]]=0,0,OrdersRawTable9[[#This Row],[Profit]]/OrdersRawTable9[[#This Row],[Net_Sales]])</f>
        <v>0.3649046321525885</v>
      </c>
      <c r="AC262" s="45" t="str">
        <f>IF(COUNTIF(ReturnsRawTable[Order_Line_ID],OrdersRawTable9[[#This Row],[Order_Line_ID]])&gt;0,"Yes","No")</f>
        <v>No</v>
      </c>
      <c r="AD262" s="45" t="str">
        <f>IFERROR(VLOOKUP(OrdersRawTable9[[#This Row],[Order_Line_ID]],ReturnsRawTable[[#All],[Order_Line_ID]:[Return_Reason_Raw]],3,FALSE),"")</f>
        <v/>
      </c>
      <c r="AE262" s="49" t="str">
        <f>IFERROR(VLOOKUP(OrdersRawTable9[[#This Row],[Order_Line_ID]],ReturnsRawTable[[#All],[Order_Line_ID]:[Return_Date]],2,FALSE),"")</f>
        <v/>
      </c>
      <c r="AF262" s="45" t="str">
        <f>IFERROR(VLOOKUP(OrdersRawTable9[[#This Row],[Order_Line_ID]],ReturnsRawTable[[Order_Line_ID]:[Refund_Status]],4,FALSE),"")</f>
        <v/>
      </c>
      <c r="AG262" s="45" t="str">
        <f>VLOOKUP(OrdersRawTable9[[#This Row],[Order_ID]],ShipmentsTable[],6,FALSE)</f>
        <v>Late</v>
      </c>
      <c r="AH262" s="49">
        <f>VLOOKUP(OrdersRawTable9[[#This Row],[Order_ID]],ShipmentsTable[],3,FALSE)</f>
        <v>45737.041666666664</v>
      </c>
    </row>
    <row r="263" spans="1:34" ht="15" customHeight="1">
      <c r="A263" s="14" t="s">
        <v>640</v>
      </c>
      <c r="B263" s="10" t="s">
        <v>637</v>
      </c>
      <c r="C263" s="20">
        <v>45727.041666666664</v>
      </c>
      <c r="D263" s="10" t="s">
        <v>638</v>
      </c>
      <c r="E263" s="10" t="s">
        <v>639</v>
      </c>
      <c r="F263" s="10" t="str">
        <f>TRIM(LEFT(OrdersRawTable9[[#This Row],[Customer_Info]],FIND(",",OrdersRawTable9[[#This Row],[Customer_Info]])-1))</f>
        <v>Emma Brown</v>
      </c>
      <c r="G26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263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263" s="10">
        <f>LEN(OrdersRawTable9[[#This Row],[Customer_Info]])-LEN(SUBSTITUTE(OrdersRawTable9[[#This Row],[Customer_Info]],",",""))</f>
        <v>2</v>
      </c>
      <c r="J263" s="10" t="s">
        <v>428</v>
      </c>
      <c r="K263" s="23">
        <v>1</v>
      </c>
      <c r="L263" s="26">
        <v>110.88</v>
      </c>
      <c r="M263" s="29">
        <v>0.05</v>
      </c>
      <c r="N263" s="10" t="s">
        <v>66</v>
      </c>
      <c r="O263" s="10" t="str">
        <f>IF(TRIM(OrdersRawTable9[[#This Row],[Sales_Channel_Raw]])="Market place","Marketplace",TRIM(OrdersRawTable9[[#This Row],[Sales_Channel_Raw]]))</f>
        <v>Marketplace</v>
      </c>
      <c r="P263" s="10" t="s">
        <v>41</v>
      </c>
      <c r="Q263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263" s="15" t="s">
        <v>52</v>
      </c>
      <c r="S263" t="str">
        <f>VLOOKUP(OrdersRawTable9[[#This Row],[Customer_ID_Raw]],CustomersTable11[],4,FALSE)</f>
        <v>British Columbia</v>
      </c>
      <c r="T263" t="str">
        <f>VLOOKUP(OrdersRawTable9[[#This Row],[Customer_ID_Raw]],CustomersTable11[],5,FALSE)</f>
        <v>Corporate</v>
      </c>
      <c r="U263" s="45">
        <f>VLOOKUP(OrdersRawTable9[[#This Row],[Product_ID]],ProductsTable10[],4,FALSE)</f>
        <v>57.09</v>
      </c>
      <c r="V263" t="str">
        <f>VLOOKUP(OrdersRawTable9[[#This Row],[Product_ID]],ProductsTable10[],3,FALSE)</f>
        <v>Electronics</v>
      </c>
      <c r="W263" s="45">
        <f>OrdersRawTable9[[#This Row],[Unit_Price]]*OrdersRawTable9[[#This Row],[Quantity]]</f>
        <v>110.88</v>
      </c>
      <c r="X263" s="47">
        <f>OrdersRawTable9[[#This Row],[Gross_Sales]]*OrdersRawTable9[[#This Row],[Discount_Pct]]</f>
        <v>5.5440000000000005</v>
      </c>
      <c r="Y263" s="45">
        <f>OrdersRawTable9[[#This Row],[Gross_Sales]]-OrdersRawTable9[[#This Row],[Discount_Amount]]</f>
        <v>105.336</v>
      </c>
      <c r="Z263" s="45">
        <f>OrdersRawTable9[[#This Row],[Unit_Cost]]*OrdersRawTable9[[#This Row],[Quantity]]</f>
        <v>57.09</v>
      </c>
      <c r="AA263" s="45">
        <f>OrdersRawTable9[[#This Row],[Net_Sales]]-OrdersRawTable9[[#This Row],[Total_Cost]]</f>
        <v>48.245999999999995</v>
      </c>
      <c r="AB263" s="48">
        <f>IF(OrdersRawTable9[[#This Row],[Net_Sales]]=0,0,OrdersRawTable9[[#This Row],[Profit]]/OrdersRawTable9[[#This Row],[Net_Sales]])</f>
        <v>0.45802005012531322</v>
      </c>
      <c r="AC263" s="45" t="str">
        <f>IF(COUNTIF(ReturnsRawTable[Order_Line_ID],OrdersRawTable9[[#This Row],[Order_Line_ID]])&gt;0,"Yes","No")</f>
        <v>No</v>
      </c>
      <c r="AD263" s="45" t="str">
        <f>IFERROR(VLOOKUP(OrdersRawTable9[[#This Row],[Order_Line_ID]],ReturnsRawTable[[#All],[Order_Line_ID]:[Return_Reason_Raw]],3,FALSE),"")</f>
        <v/>
      </c>
      <c r="AE263" s="49" t="str">
        <f>IFERROR(VLOOKUP(OrdersRawTable9[[#This Row],[Order_Line_ID]],ReturnsRawTable[[#All],[Order_Line_ID]:[Return_Date]],2,FALSE),"")</f>
        <v/>
      </c>
      <c r="AF263" s="45" t="str">
        <f>IFERROR(VLOOKUP(OrdersRawTable9[[#This Row],[Order_Line_ID]],ReturnsRawTable[[Order_Line_ID]:[Refund_Status]],4,FALSE),"")</f>
        <v/>
      </c>
      <c r="AG263" s="45" t="str">
        <f>VLOOKUP(OrdersRawTable9[[#This Row],[Order_ID]],ShipmentsTable[],6,FALSE)</f>
        <v>Late</v>
      </c>
      <c r="AH263" s="49">
        <f>VLOOKUP(OrdersRawTable9[[#This Row],[Order_ID]],ShipmentsTable[],3,FALSE)</f>
        <v>45737.041666666664</v>
      </c>
    </row>
    <row r="264" spans="1:34" ht="15" customHeight="1">
      <c r="A264" s="14" t="s">
        <v>641</v>
      </c>
      <c r="B264" s="10" t="s">
        <v>637</v>
      </c>
      <c r="C264" s="20">
        <v>45727.041666666664</v>
      </c>
      <c r="D264" s="10" t="s">
        <v>638</v>
      </c>
      <c r="E264" s="10" t="s">
        <v>639</v>
      </c>
      <c r="F264" s="10" t="str">
        <f>TRIM(LEFT(OrdersRawTable9[[#This Row],[Customer_Info]],FIND(",",OrdersRawTable9[[#This Row],[Customer_Info]])-1))</f>
        <v>Emma Brown</v>
      </c>
      <c r="G26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264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264" s="10">
        <f>LEN(OrdersRawTable9[[#This Row],[Customer_Info]])-LEN(SUBSTITUTE(OrdersRawTable9[[#This Row],[Customer_Info]],",",""))</f>
        <v>2</v>
      </c>
      <c r="J264" s="10" t="s">
        <v>270</v>
      </c>
      <c r="K264" s="23">
        <v>4</v>
      </c>
      <c r="L264" s="26">
        <v>214.38</v>
      </c>
      <c r="M264" s="29">
        <v>0</v>
      </c>
      <c r="N264" s="10" t="s">
        <v>50</v>
      </c>
      <c r="O264" s="10" t="str">
        <f>IF(TRIM(OrdersRawTable9[[#This Row],[Sales_Channel_Raw]])="Market place","Marketplace",TRIM(OrdersRawTable9[[#This Row],[Sales_Channel_Raw]]))</f>
        <v>Marketplace</v>
      </c>
      <c r="P264" s="10" t="s">
        <v>41</v>
      </c>
      <c r="Q264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264" s="15" t="s">
        <v>42</v>
      </c>
      <c r="S264" t="str">
        <f>VLOOKUP(OrdersRawTable9[[#This Row],[Customer_ID_Raw]],CustomersTable11[],4,FALSE)</f>
        <v>British Columbia</v>
      </c>
      <c r="T264" t="str">
        <f>VLOOKUP(OrdersRawTable9[[#This Row],[Customer_ID_Raw]],CustomersTable11[],5,FALSE)</f>
        <v>Corporate</v>
      </c>
      <c r="U264" s="45">
        <f>VLOOKUP(OrdersRawTable9[[#This Row],[Product_ID]],ProductsTable10[],4,FALSE)</f>
        <v>131.51</v>
      </c>
      <c r="V264" t="str">
        <f>VLOOKUP(OrdersRawTable9[[#This Row],[Product_ID]],ProductsTable10[],3,FALSE)</f>
        <v>Fitness</v>
      </c>
      <c r="W264" s="45">
        <f>OrdersRawTable9[[#This Row],[Unit_Price]]*OrdersRawTable9[[#This Row],[Quantity]]</f>
        <v>857.52</v>
      </c>
      <c r="X264" s="47">
        <f>OrdersRawTable9[[#This Row],[Gross_Sales]]*OrdersRawTable9[[#This Row],[Discount_Pct]]</f>
        <v>0</v>
      </c>
      <c r="Y264" s="45">
        <f>OrdersRawTable9[[#This Row],[Gross_Sales]]-OrdersRawTable9[[#This Row],[Discount_Amount]]</f>
        <v>857.52</v>
      </c>
      <c r="Z264" s="45">
        <f>OrdersRawTable9[[#This Row],[Unit_Cost]]*OrdersRawTable9[[#This Row],[Quantity]]</f>
        <v>526.04</v>
      </c>
      <c r="AA264" s="45">
        <f>OrdersRawTable9[[#This Row],[Net_Sales]]-OrdersRawTable9[[#This Row],[Total_Cost]]</f>
        <v>331.48</v>
      </c>
      <c r="AB264" s="48">
        <f>IF(OrdersRawTable9[[#This Row],[Net_Sales]]=0,0,OrdersRawTable9[[#This Row],[Profit]]/OrdersRawTable9[[#This Row],[Net_Sales]])</f>
        <v>0.38655658177068758</v>
      </c>
      <c r="AC264" s="45" t="str">
        <f>IF(COUNTIF(ReturnsRawTable[Order_Line_ID],OrdersRawTable9[[#This Row],[Order_Line_ID]])&gt;0,"Yes","No")</f>
        <v>No</v>
      </c>
      <c r="AD264" s="45" t="str">
        <f>IFERROR(VLOOKUP(OrdersRawTable9[[#This Row],[Order_Line_ID]],ReturnsRawTable[[#All],[Order_Line_ID]:[Return_Reason_Raw]],3,FALSE),"")</f>
        <v/>
      </c>
      <c r="AE264" s="49" t="str">
        <f>IFERROR(VLOOKUP(OrdersRawTable9[[#This Row],[Order_Line_ID]],ReturnsRawTable[[#All],[Order_Line_ID]:[Return_Date]],2,FALSE),"")</f>
        <v/>
      </c>
      <c r="AF264" s="45" t="str">
        <f>IFERROR(VLOOKUP(OrdersRawTable9[[#This Row],[Order_Line_ID]],ReturnsRawTable[[Order_Line_ID]:[Refund_Status]],4,FALSE),"")</f>
        <v/>
      </c>
      <c r="AG264" s="45" t="str">
        <f>VLOOKUP(OrdersRawTable9[[#This Row],[Order_ID]],ShipmentsTable[],6,FALSE)</f>
        <v>Late</v>
      </c>
      <c r="AH264" s="49">
        <f>VLOOKUP(OrdersRawTable9[[#This Row],[Order_ID]],ShipmentsTable[],3,FALSE)</f>
        <v>45737.041666666664</v>
      </c>
    </row>
    <row r="265" spans="1:34" ht="15" customHeight="1">
      <c r="A265" s="14" t="s">
        <v>642</v>
      </c>
      <c r="B265" s="10" t="s">
        <v>637</v>
      </c>
      <c r="C265" s="20">
        <v>45727.041666666664</v>
      </c>
      <c r="D265" s="10" t="s">
        <v>638</v>
      </c>
      <c r="E265" s="10" t="s">
        <v>639</v>
      </c>
      <c r="F265" s="10" t="str">
        <f>TRIM(LEFT(OrdersRawTable9[[#This Row],[Customer_Info]],FIND(",",OrdersRawTable9[[#This Row],[Customer_Info]])-1))</f>
        <v>Emma Brown</v>
      </c>
      <c r="G26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265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265" s="10">
        <f>LEN(OrdersRawTable9[[#This Row],[Customer_Info]])-LEN(SUBSTITUTE(OrdersRawTable9[[#This Row],[Customer_Info]],",",""))</f>
        <v>2</v>
      </c>
      <c r="J265" s="10" t="s">
        <v>93</v>
      </c>
      <c r="K265" s="23">
        <v>1</v>
      </c>
      <c r="L265" s="26">
        <v>208.89</v>
      </c>
      <c r="M265" s="29">
        <v>0.15</v>
      </c>
      <c r="N265" s="10" t="s">
        <v>45</v>
      </c>
      <c r="O265" s="10" t="str">
        <f>IF(TRIM(OrdersRawTable9[[#This Row],[Sales_Channel_Raw]])="Market place","Marketplace",TRIM(OrdersRawTable9[[#This Row],[Sales_Channel_Raw]]))</f>
        <v>Retail Store</v>
      </c>
      <c r="P265" s="10" t="s">
        <v>46</v>
      </c>
      <c r="Q265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265" s="15" t="s">
        <v>101</v>
      </c>
      <c r="S265" t="str">
        <f>VLOOKUP(OrdersRawTable9[[#This Row],[Customer_ID_Raw]],CustomersTable11[],4,FALSE)</f>
        <v>British Columbia</v>
      </c>
      <c r="T265" t="str">
        <f>VLOOKUP(OrdersRawTable9[[#This Row],[Customer_ID_Raw]],CustomersTable11[],5,FALSE)</f>
        <v>Corporate</v>
      </c>
      <c r="U265" s="45">
        <f>VLOOKUP(OrdersRawTable9[[#This Row],[Product_ID]],ProductsTable10[],4,FALSE)</f>
        <v>133.05000000000001</v>
      </c>
      <c r="V265" t="str">
        <f>VLOOKUP(OrdersRawTable9[[#This Row],[Product_ID]],ProductsTable10[],3,FALSE)</f>
        <v>Accessories</v>
      </c>
      <c r="W265" s="45">
        <f>OrdersRawTable9[[#This Row],[Unit_Price]]*OrdersRawTable9[[#This Row],[Quantity]]</f>
        <v>208.89</v>
      </c>
      <c r="X265" s="47">
        <f>OrdersRawTable9[[#This Row],[Gross_Sales]]*OrdersRawTable9[[#This Row],[Discount_Pct]]</f>
        <v>31.333499999999997</v>
      </c>
      <c r="Y265" s="45">
        <f>OrdersRawTable9[[#This Row],[Gross_Sales]]-OrdersRawTable9[[#This Row],[Discount_Amount]]</f>
        <v>177.5565</v>
      </c>
      <c r="Z265" s="45">
        <f>OrdersRawTable9[[#This Row],[Unit_Cost]]*OrdersRawTable9[[#This Row],[Quantity]]</f>
        <v>133.05000000000001</v>
      </c>
      <c r="AA265" s="45">
        <f>OrdersRawTable9[[#This Row],[Net_Sales]]-OrdersRawTable9[[#This Row],[Total_Cost]]</f>
        <v>44.506499999999988</v>
      </c>
      <c r="AB265" s="48">
        <f>IF(OrdersRawTable9[[#This Row],[Net_Sales]]=0,0,OrdersRawTable9[[#This Row],[Profit]]/OrdersRawTable9[[#This Row],[Net_Sales]])</f>
        <v>0.2506610571846144</v>
      </c>
      <c r="AC265" s="45" t="str">
        <f>IF(COUNTIF(ReturnsRawTable[Order_Line_ID],OrdersRawTable9[[#This Row],[Order_Line_ID]])&gt;0,"Yes","No")</f>
        <v>No</v>
      </c>
      <c r="AD265" s="45" t="str">
        <f>IFERROR(VLOOKUP(OrdersRawTable9[[#This Row],[Order_Line_ID]],ReturnsRawTable[[#All],[Order_Line_ID]:[Return_Reason_Raw]],3,FALSE),"")</f>
        <v/>
      </c>
      <c r="AE265" s="49" t="str">
        <f>IFERROR(VLOOKUP(OrdersRawTable9[[#This Row],[Order_Line_ID]],ReturnsRawTable[[#All],[Order_Line_ID]:[Return_Date]],2,FALSE),"")</f>
        <v/>
      </c>
      <c r="AF265" s="45" t="str">
        <f>IFERROR(VLOOKUP(OrdersRawTable9[[#This Row],[Order_Line_ID]],ReturnsRawTable[[Order_Line_ID]:[Refund_Status]],4,FALSE),"")</f>
        <v/>
      </c>
      <c r="AG265" s="45" t="str">
        <f>VLOOKUP(OrdersRawTable9[[#This Row],[Order_ID]],ShipmentsTable[],6,FALSE)</f>
        <v>Late</v>
      </c>
      <c r="AH265" s="49">
        <f>VLOOKUP(OrdersRawTable9[[#This Row],[Order_ID]],ShipmentsTable[],3,FALSE)</f>
        <v>45737.041666666664</v>
      </c>
    </row>
    <row r="266" spans="1:34" ht="15" customHeight="1">
      <c r="A266" s="14" t="s">
        <v>643</v>
      </c>
      <c r="B266" s="10" t="s">
        <v>644</v>
      </c>
      <c r="C266" s="20">
        <v>45682</v>
      </c>
      <c r="D266" s="10" t="s">
        <v>645</v>
      </c>
      <c r="E266" s="10" t="s">
        <v>646</v>
      </c>
      <c r="F266" s="10" t="str">
        <f>TRIM(LEFT(OrdersRawTable9[[#This Row],[Customer_Info]],FIND(",",OrdersRawTable9[[#This Row],[Customer_Info]])-1))</f>
        <v>Sara Gagnon</v>
      </c>
      <c r="G26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266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266" s="10">
        <f>LEN(OrdersRawTable9[[#This Row],[Customer_Info]])-LEN(SUBSTITUTE(OrdersRawTable9[[#This Row],[Customer_Info]],",",""))</f>
        <v>2</v>
      </c>
      <c r="J266" s="10" t="s">
        <v>316</v>
      </c>
      <c r="K266" s="23">
        <v>4</v>
      </c>
      <c r="L266" s="26">
        <v>180.37</v>
      </c>
      <c r="M266" s="29">
        <v>0</v>
      </c>
      <c r="N266" s="10" t="s">
        <v>40</v>
      </c>
      <c r="O266" s="10" t="str">
        <f>IF(TRIM(OrdersRawTable9[[#This Row],[Sales_Channel_Raw]])="Market place","Marketplace",TRIM(OrdersRawTable9[[#This Row],[Sales_Channel_Raw]]))</f>
        <v>Online</v>
      </c>
      <c r="P266" s="10" t="s">
        <v>98</v>
      </c>
      <c r="Q266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266" s="15" t="s">
        <v>47</v>
      </c>
      <c r="S266" t="str">
        <f>VLOOKUP(OrdersRawTable9[[#This Row],[Customer_ID_Raw]],CustomersTable11[],4,FALSE)</f>
        <v>Nova Scotia</v>
      </c>
      <c r="T266" t="str">
        <f>VLOOKUP(OrdersRawTable9[[#This Row],[Customer_ID_Raw]],CustomersTable11[],5,FALSE)</f>
        <v>Corporate</v>
      </c>
      <c r="U266" s="45">
        <f>VLOOKUP(OrdersRawTable9[[#This Row],[Product_ID]],ProductsTable10[],4,FALSE)</f>
        <v>107.55</v>
      </c>
      <c r="V266" t="str">
        <f>VLOOKUP(OrdersRawTable9[[#This Row],[Product_ID]],ProductsTable10[],3,FALSE)</f>
        <v>Accessories</v>
      </c>
      <c r="W266" s="45">
        <f>OrdersRawTable9[[#This Row],[Unit_Price]]*OrdersRawTable9[[#This Row],[Quantity]]</f>
        <v>721.48</v>
      </c>
      <c r="X266" s="47">
        <f>OrdersRawTable9[[#This Row],[Gross_Sales]]*OrdersRawTable9[[#This Row],[Discount_Pct]]</f>
        <v>0</v>
      </c>
      <c r="Y266" s="45">
        <f>OrdersRawTable9[[#This Row],[Gross_Sales]]-OrdersRawTable9[[#This Row],[Discount_Amount]]</f>
        <v>721.48</v>
      </c>
      <c r="Z266" s="45">
        <f>OrdersRawTable9[[#This Row],[Unit_Cost]]*OrdersRawTable9[[#This Row],[Quantity]]</f>
        <v>430.2</v>
      </c>
      <c r="AA266" s="45">
        <f>OrdersRawTable9[[#This Row],[Net_Sales]]-OrdersRawTable9[[#This Row],[Total_Cost]]</f>
        <v>291.28000000000003</v>
      </c>
      <c r="AB266" s="48">
        <f>IF(OrdersRawTable9[[#This Row],[Net_Sales]]=0,0,OrdersRawTable9[[#This Row],[Profit]]/OrdersRawTable9[[#This Row],[Net_Sales]])</f>
        <v>0.40372567500138606</v>
      </c>
      <c r="AC266" s="45" t="str">
        <f>IF(COUNTIF(ReturnsRawTable[Order_Line_ID],OrdersRawTable9[[#This Row],[Order_Line_ID]])&gt;0,"Yes","No")</f>
        <v>No</v>
      </c>
      <c r="AD266" s="45" t="str">
        <f>IFERROR(VLOOKUP(OrdersRawTable9[[#This Row],[Order_Line_ID]],ReturnsRawTable[[#All],[Order_Line_ID]:[Return_Reason_Raw]],3,FALSE),"")</f>
        <v/>
      </c>
      <c r="AE266" s="49" t="str">
        <f>IFERROR(VLOOKUP(OrdersRawTable9[[#This Row],[Order_Line_ID]],ReturnsRawTable[[#All],[Order_Line_ID]:[Return_Date]],2,FALSE),"")</f>
        <v/>
      </c>
      <c r="AF266" s="45" t="str">
        <f>IFERROR(VLOOKUP(OrdersRawTable9[[#This Row],[Order_Line_ID]],ReturnsRawTable[[Order_Line_ID]:[Refund_Status]],4,FALSE),"")</f>
        <v/>
      </c>
      <c r="AG266" s="45" t="str">
        <f>VLOOKUP(OrdersRawTable9[[#This Row],[Order_ID]],ShipmentsTable[],6,FALSE)</f>
        <v>Late</v>
      </c>
      <c r="AH266" s="49">
        <f>VLOOKUP(OrdersRawTable9[[#This Row],[Order_ID]],ShipmentsTable[],3,FALSE)</f>
        <v>45687</v>
      </c>
    </row>
    <row r="267" spans="1:34" ht="15" customHeight="1">
      <c r="A267" s="14" t="s">
        <v>647</v>
      </c>
      <c r="B267" s="10" t="s">
        <v>644</v>
      </c>
      <c r="C267" s="20">
        <v>45682</v>
      </c>
      <c r="D267" s="10" t="s">
        <v>645</v>
      </c>
      <c r="E267" s="10" t="s">
        <v>646</v>
      </c>
      <c r="F267" s="10" t="str">
        <f>TRIM(LEFT(OrdersRawTable9[[#This Row],[Customer_Info]],FIND(",",OrdersRawTable9[[#This Row],[Customer_Info]])-1))</f>
        <v>Sara Gagnon</v>
      </c>
      <c r="G26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267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267" s="10">
        <f>LEN(OrdersRawTable9[[#This Row],[Customer_Info]])-LEN(SUBSTITUTE(OrdersRawTable9[[#This Row],[Customer_Info]],",",""))</f>
        <v>2</v>
      </c>
      <c r="J267" s="10" t="s">
        <v>495</v>
      </c>
      <c r="K267" s="23">
        <v>4</v>
      </c>
      <c r="L267" s="26">
        <v>207.71</v>
      </c>
      <c r="M267" s="29">
        <v>0</v>
      </c>
      <c r="N267" s="10" t="s">
        <v>45</v>
      </c>
      <c r="O267" s="10" t="str">
        <f>IF(TRIM(OrdersRawTable9[[#This Row],[Sales_Channel_Raw]])="Market place","Marketplace",TRIM(OrdersRawTable9[[#This Row],[Sales_Channel_Raw]]))</f>
        <v>Retail Store</v>
      </c>
      <c r="P267" s="10" t="s">
        <v>51</v>
      </c>
      <c r="Q267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267" s="15" t="s">
        <v>47</v>
      </c>
      <c r="S267" t="str">
        <f>VLOOKUP(OrdersRawTable9[[#This Row],[Customer_ID_Raw]],CustomersTable11[],4,FALSE)</f>
        <v>Nova Scotia</v>
      </c>
      <c r="T267" t="str">
        <f>VLOOKUP(OrdersRawTable9[[#This Row],[Customer_ID_Raw]],CustomersTable11[],5,FALSE)</f>
        <v>Corporate</v>
      </c>
      <c r="U267" s="45">
        <f>VLOOKUP(OrdersRawTable9[[#This Row],[Product_ID]],ProductsTable10[],4,FALSE)</f>
        <v>132.97</v>
      </c>
      <c r="V267" t="str">
        <f>VLOOKUP(OrdersRawTable9[[#This Row],[Product_ID]],ProductsTable10[],3,FALSE)</f>
        <v>Home</v>
      </c>
      <c r="W267" s="45">
        <f>OrdersRawTable9[[#This Row],[Unit_Price]]*OrdersRawTable9[[#This Row],[Quantity]]</f>
        <v>830.84</v>
      </c>
      <c r="X267" s="47">
        <f>OrdersRawTable9[[#This Row],[Gross_Sales]]*OrdersRawTable9[[#This Row],[Discount_Pct]]</f>
        <v>0</v>
      </c>
      <c r="Y267" s="45">
        <f>OrdersRawTable9[[#This Row],[Gross_Sales]]-OrdersRawTable9[[#This Row],[Discount_Amount]]</f>
        <v>830.84</v>
      </c>
      <c r="Z267" s="45">
        <f>OrdersRawTable9[[#This Row],[Unit_Cost]]*OrdersRawTable9[[#This Row],[Quantity]]</f>
        <v>531.88</v>
      </c>
      <c r="AA267" s="45">
        <f>OrdersRawTable9[[#This Row],[Net_Sales]]-OrdersRawTable9[[#This Row],[Total_Cost]]</f>
        <v>298.96000000000004</v>
      </c>
      <c r="AB267" s="48">
        <f>IF(OrdersRawTable9[[#This Row],[Net_Sales]]=0,0,OrdersRawTable9[[#This Row],[Profit]]/OrdersRawTable9[[#This Row],[Net_Sales]])</f>
        <v>0.35982860719272064</v>
      </c>
      <c r="AC267" s="45" t="str">
        <f>IF(COUNTIF(ReturnsRawTable[Order_Line_ID],OrdersRawTable9[[#This Row],[Order_Line_ID]])&gt;0,"Yes","No")</f>
        <v>No</v>
      </c>
      <c r="AD267" s="45" t="str">
        <f>IFERROR(VLOOKUP(OrdersRawTable9[[#This Row],[Order_Line_ID]],ReturnsRawTable[[#All],[Order_Line_ID]:[Return_Reason_Raw]],3,FALSE),"")</f>
        <v/>
      </c>
      <c r="AE267" s="49" t="str">
        <f>IFERROR(VLOOKUP(OrdersRawTable9[[#This Row],[Order_Line_ID]],ReturnsRawTable[[#All],[Order_Line_ID]:[Return_Date]],2,FALSE),"")</f>
        <v/>
      </c>
      <c r="AF267" s="45" t="str">
        <f>IFERROR(VLOOKUP(OrdersRawTable9[[#This Row],[Order_Line_ID]],ReturnsRawTable[[Order_Line_ID]:[Refund_Status]],4,FALSE),"")</f>
        <v/>
      </c>
      <c r="AG267" s="45" t="str">
        <f>VLOOKUP(OrdersRawTable9[[#This Row],[Order_ID]],ShipmentsTable[],6,FALSE)</f>
        <v>Late</v>
      </c>
      <c r="AH267" s="49">
        <f>VLOOKUP(OrdersRawTable9[[#This Row],[Order_ID]],ShipmentsTable[],3,FALSE)</f>
        <v>45687</v>
      </c>
    </row>
    <row r="268" spans="1:34" ht="15" customHeight="1">
      <c r="A268" s="14" t="s">
        <v>648</v>
      </c>
      <c r="B268" s="10" t="s">
        <v>644</v>
      </c>
      <c r="C268" s="20">
        <v>45682</v>
      </c>
      <c r="D268" s="10" t="s">
        <v>645</v>
      </c>
      <c r="E268" s="10" t="s">
        <v>646</v>
      </c>
      <c r="F268" s="10" t="str">
        <f>TRIM(LEFT(OrdersRawTable9[[#This Row],[Customer_Info]],FIND(",",OrdersRawTable9[[#This Row],[Customer_Info]])-1))</f>
        <v>Sara Gagnon</v>
      </c>
      <c r="G26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268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268" s="10">
        <f>LEN(OrdersRawTable9[[#This Row],[Customer_Info]])-LEN(SUBSTITUTE(OrdersRawTable9[[#This Row],[Customer_Info]],",",""))</f>
        <v>2</v>
      </c>
      <c r="J268" s="10" t="s">
        <v>100</v>
      </c>
      <c r="K268" s="23">
        <v>4</v>
      </c>
      <c r="L268" s="26">
        <v>42.72</v>
      </c>
      <c r="M268" s="29">
        <v>0.05</v>
      </c>
      <c r="N268" s="10" t="s">
        <v>66</v>
      </c>
      <c r="O268" s="10" t="str">
        <f>IF(TRIM(OrdersRawTable9[[#This Row],[Sales_Channel_Raw]])="Market place","Marketplace",TRIM(OrdersRawTable9[[#This Row],[Sales_Channel_Raw]]))</f>
        <v>Marketplace</v>
      </c>
      <c r="P268" s="10" t="s">
        <v>98</v>
      </c>
      <c r="Q268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268" s="15" t="s">
        <v>67</v>
      </c>
      <c r="S268" t="str">
        <f>VLOOKUP(OrdersRawTable9[[#This Row],[Customer_ID_Raw]],CustomersTable11[],4,FALSE)</f>
        <v>Nova Scotia</v>
      </c>
      <c r="T268" t="str">
        <f>VLOOKUP(OrdersRawTable9[[#This Row],[Customer_ID_Raw]],CustomersTable11[],5,FALSE)</f>
        <v>Corporate</v>
      </c>
      <c r="U268" s="45">
        <f>VLOOKUP(OrdersRawTable9[[#This Row],[Product_ID]],ProductsTable10[],4,FALSE)</f>
        <v>24.46</v>
      </c>
      <c r="V268" t="str">
        <f>VLOOKUP(OrdersRawTable9[[#This Row],[Product_ID]],ProductsTable10[],3,FALSE)</f>
        <v>Electronics</v>
      </c>
      <c r="W268" s="45">
        <f>OrdersRawTable9[[#This Row],[Unit_Price]]*OrdersRawTable9[[#This Row],[Quantity]]</f>
        <v>170.88</v>
      </c>
      <c r="X268" s="47">
        <f>OrdersRawTable9[[#This Row],[Gross_Sales]]*OrdersRawTable9[[#This Row],[Discount_Pct]]</f>
        <v>8.5440000000000005</v>
      </c>
      <c r="Y268" s="45">
        <f>OrdersRawTable9[[#This Row],[Gross_Sales]]-OrdersRawTable9[[#This Row],[Discount_Amount]]</f>
        <v>162.33599999999998</v>
      </c>
      <c r="Z268" s="45">
        <f>OrdersRawTable9[[#This Row],[Unit_Cost]]*OrdersRawTable9[[#This Row],[Quantity]]</f>
        <v>97.84</v>
      </c>
      <c r="AA268" s="45">
        <f>OrdersRawTable9[[#This Row],[Net_Sales]]-OrdersRawTable9[[#This Row],[Total_Cost]]</f>
        <v>64.495999999999981</v>
      </c>
      <c r="AB268" s="48">
        <f>IF(OrdersRawTable9[[#This Row],[Net_Sales]]=0,0,OrdersRawTable9[[#This Row],[Profit]]/OrdersRawTable9[[#This Row],[Net_Sales]])</f>
        <v>0.39729942834614618</v>
      </c>
      <c r="AC268" s="45" t="str">
        <f>IF(COUNTIF(ReturnsRawTable[Order_Line_ID],OrdersRawTable9[[#This Row],[Order_Line_ID]])&gt;0,"Yes","No")</f>
        <v>No</v>
      </c>
      <c r="AD268" s="45" t="str">
        <f>IFERROR(VLOOKUP(OrdersRawTable9[[#This Row],[Order_Line_ID]],ReturnsRawTable[[#All],[Order_Line_ID]:[Return_Reason_Raw]],3,FALSE),"")</f>
        <v/>
      </c>
      <c r="AE268" s="49" t="str">
        <f>IFERROR(VLOOKUP(OrdersRawTable9[[#This Row],[Order_Line_ID]],ReturnsRawTable[[#All],[Order_Line_ID]:[Return_Date]],2,FALSE),"")</f>
        <v/>
      </c>
      <c r="AF268" s="45" t="str">
        <f>IFERROR(VLOOKUP(OrdersRawTable9[[#This Row],[Order_Line_ID]],ReturnsRawTable[[Order_Line_ID]:[Refund_Status]],4,FALSE),"")</f>
        <v/>
      </c>
      <c r="AG268" s="45" t="str">
        <f>VLOOKUP(OrdersRawTable9[[#This Row],[Order_ID]],ShipmentsTable[],6,FALSE)</f>
        <v>Late</v>
      </c>
      <c r="AH268" s="49">
        <f>VLOOKUP(OrdersRawTable9[[#This Row],[Order_ID]],ShipmentsTable[],3,FALSE)</f>
        <v>45687</v>
      </c>
    </row>
    <row r="269" spans="1:34" ht="15" customHeight="1">
      <c r="A269" s="14" t="s">
        <v>649</v>
      </c>
      <c r="B269" s="10" t="s">
        <v>644</v>
      </c>
      <c r="C269" s="20">
        <v>45682</v>
      </c>
      <c r="D269" s="10" t="s">
        <v>645</v>
      </c>
      <c r="E269" s="10" t="s">
        <v>646</v>
      </c>
      <c r="F269" s="10" t="str">
        <f>TRIM(LEFT(OrdersRawTable9[[#This Row],[Customer_Info]],FIND(",",OrdersRawTable9[[#This Row],[Customer_Info]])-1))</f>
        <v>Sara Gagnon</v>
      </c>
      <c r="G26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269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269" s="10">
        <f>LEN(OrdersRawTable9[[#This Row],[Customer_Info]])-LEN(SUBSTITUTE(OrdersRawTable9[[#This Row],[Customer_Info]],",",""))</f>
        <v>2</v>
      </c>
      <c r="J269" s="10" t="s">
        <v>468</v>
      </c>
      <c r="K269" s="23">
        <v>2</v>
      </c>
      <c r="L269" s="26">
        <v>160</v>
      </c>
      <c r="M269" s="29">
        <v>0</v>
      </c>
      <c r="N269" s="10" t="s">
        <v>45</v>
      </c>
      <c r="O269" s="10" t="str">
        <f>IF(TRIM(OrdersRawTable9[[#This Row],[Sales_Channel_Raw]])="Market place","Marketplace",TRIM(OrdersRawTable9[[#This Row],[Sales_Channel_Raw]]))</f>
        <v>Retail Store</v>
      </c>
      <c r="P269" s="10" t="s">
        <v>58</v>
      </c>
      <c r="Q269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269" s="15" t="s">
        <v>101</v>
      </c>
      <c r="S269" t="str">
        <f>VLOOKUP(OrdersRawTable9[[#This Row],[Customer_ID_Raw]],CustomersTable11[],4,FALSE)</f>
        <v>Nova Scotia</v>
      </c>
      <c r="T269" t="str">
        <f>VLOOKUP(OrdersRawTable9[[#This Row],[Customer_ID_Raw]],CustomersTable11[],5,FALSE)</f>
        <v>Corporate</v>
      </c>
      <c r="U269" s="45">
        <f>VLOOKUP(OrdersRawTable9[[#This Row],[Product_ID]],ProductsTable10[],4,FALSE)</f>
        <v>101.58</v>
      </c>
      <c r="V269" t="str">
        <f>VLOOKUP(OrdersRawTable9[[#This Row],[Product_ID]],ProductsTable10[],3,FALSE)</f>
        <v>Fitness</v>
      </c>
      <c r="W269" s="45">
        <f>OrdersRawTable9[[#This Row],[Unit_Price]]*OrdersRawTable9[[#This Row],[Quantity]]</f>
        <v>320</v>
      </c>
      <c r="X269" s="47">
        <f>OrdersRawTable9[[#This Row],[Gross_Sales]]*OrdersRawTable9[[#This Row],[Discount_Pct]]</f>
        <v>0</v>
      </c>
      <c r="Y269" s="45">
        <f>OrdersRawTable9[[#This Row],[Gross_Sales]]-OrdersRawTable9[[#This Row],[Discount_Amount]]</f>
        <v>320</v>
      </c>
      <c r="Z269" s="45">
        <f>OrdersRawTable9[[#This Row],[Unit_Cost]]*OrdersRawTable9[[#This Row],[Quantity]]</f>
        <v>203.16</v>
      </c>
      <c r="AA269" s="45">
        <f>OrdersRawTable9[[#This Row],[Net_Sales]]-OrdersRawTable9[[#This Row],[Total_Cost]]</f>
        <v>116.84</v>
      </c>
      <c r="AB269" s="48">
        <f>IF(OrdersRawTable9[[#This Row],[Net_Sales]]=0,0,OrdersRawTable9[[#This Row],[Profit]]/OrdersRawTable9[[#This Row],[Net_Sales]])</f>
        <v>0.36512500000000003</v>
      </c>
      <c r="AC269" s="45" t="str">
        <f>IF(COUNTIF(ReturnsRawTable[Order_Line_ID],OrdersRawTable9[[#This Row],[Order_Line_ID]])&gt;0,"Yes","No")</f>
        <v>No</v>
      </c>
      <c r="AD269" s="45" t="str">
        <f>IFERROR(VLOOKUP(OrdersRawTable9[[#This Row],[Order_Line_ID]],ReturnsRawTable[[#All],[Order_Line_ID]:[Return_Reason_Raw]],3,FALSE),"")</f>
        <v/>
      </c>
      <c r="AE269" s="49" t="str">
        <f>IFERROR(VLOOKUP(OrdersRawTable9[[#This Row],[Order_Line_ID]],ReturnsRawTable[[#All],[Order_Line_ID]:[Return_Date]],2,FALSE),"")</f>
        <v/>
      </c>
      <c r="AF269" s="45" t="str">
        <f>IFERROR(VLOOKUP(OrdersRawTable9[[#This Row],[Order_Line_ID]],ReturnsRawTable[[Order_Line_ID]:[Refund_Status]],4,FALSE),"")</f>
        <v/>
      </c>
      <c r="AG269" s="45" t="str">
        <f>VLOOKUP(OrdersRawTable9[[#This Row],[Order_ID]],ShipmentsTable[],6,FALSE)</f>
        <v>Late</v>
      </c>
      <c r="AH269" s="49">
        <f>VLOOKUP(OrdersRawTable9[[#This Row],[Order_ID]],ShipmentsTable[],3,FALSE)</f>
        <v>45687</v>
      </c>
    </row>
    <row r="270" spans="1:34" ht="15" customHeight="1">
      <c r="A270" s="14" t="s">
        <v>650</v>
      </c>
      <c r="B270" s="10" t="s">
        <v>651</v>
      </c>
      <c r="C270" s="20">
        <v>45838</v>
      </c>
      <c r="D270" s="10" t="s">
        <v>652</v>
      </c>
      <c r="E270" s="10" t="s">
        <v>653</v>
      </c>
      <c r="F270" s="10" t="str">
        <f>TRIM(LEFT(OrdersRawTable9[[#This Row],[Customer_Info]],FIND(",",OrdersRawTable9[[#This Row],[Customer_Info]])-1))</f>
        <v>Liam Wilson</v>
      </c>
      <c r="G27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270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70" s="10">
        <f>LEN(OrdersRawTable9[[#This Row],[Customer_Info]])-LEN(SUBSTITUTE(OrdersRawTable9[[#This Row],[Customer_Info]],",",""))</f>
        <v>2</v>
      </c>
      <c r="J270" s="10" t="s">
        <v>303</v>
      </c>
      <c r="K270" s="23">
        <v>1</v>
      </c>
      <c r="L270" s="26">
        <v>72.81</v>
      </c>
      <c r="M270" s="29">
        <v>0.1</v>
      </c>
      <c r="N270" s="10" t="s">
        <v>40</v>
      </c>
      <c r="O270" s="10" t="str">
        <f>IF(TRIM(OrdersRawTable9[[#This Row],[Sales_Channel_Raw]])="Market place","Marketplace",TRIM(OrdersRawTable9[[#This Row],[Sales_Channel_Raw]]))</f>
        <v>Online</v>
      </c>
      <c r="P270" s="10" t="s">
        <v>98</v>
      </c>
      <c r="Q270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270" s="15" t="s">
        <v>101</v>
      </c>
      <c r="S270" t="str">
        <f>VLOOKUP(OrdersRawTable9[[#This Row],[Customer_ID_Raw]],CustomersTable11[],4,FALSE)</f>
        <v>Quebec</v>
      </c>
      <c r="T270" t="str">
        <f>VLOOKUP(OrdersRawTable9[[#This Row],[Customer_ID_Raw]],CustomersTable11[],5,FALSE)</f>
        <v>Small Business</v>
      </c>
      <c r="U270" s="45">
        <f>VLOOKUP(OrdersRawTable9[[#This Row],[Product_ID]],ProductsTable10[],4,FALSE)</f>
        <v>37.99</v>
      </c>
      <c r="V270" t="str">
        <f>VLOOKUP(OrdersRawTable9[[#This Row],[Product_ID]],ProductsTable10[],3,FALSE)</f>
        <v>Accessories</v>
      </c>
      <c r="W270" s="45">
        <f>OrdersRawTable9[[#This Row],[Unit_Price]]*OrdersRawTable9[[#This Row],[Quantity]]</f>
        <v>72.81</v>
      </c>
      <c r="X270" s="47">
        <f>OrdersRawTable9[[#This Row],[Gross_Sales]]*OrdersRawTable9[[#This Row],[Discount_Pct]]</f>
        <v>7.2810000000000006</v>
      </c>
      <c r="Y270" s="45">
        <f>OrdersRawTable9[[#This Row],[Gross_Sales]]-OrdersRawTable9[[#This Row],[Discount_Amount]]</f>
        <v>65.528999999999996</v>
      </c>
      <c r="Z270" s="45">
        <f>OrdersRawTable9[[#This Row],[Unit_Cost]]*OrdersRawTable9[[#This Row],[Quantity]]</f>
        <v>37.99</v>
      </c>
      <c r="AA270" s="45">
        <f>OrdersRawTable9[[#This Row],[Net_Sales]]-OrdersRawTable9[[#This Row],[Total_Cost]]</f>
        <v>27.538999999999994</v>
      </c>
      <c r="AB270" s="48">
        <f>IF(OrdersRawTable9[[#This Row],[Net_Sales]]=0,0,OrdersRawTable9[[#This Row],[Profit]]/OrdersRawTable9[[#This Row],[Net_Sales]])</f>
        <v>0.42025668024843954</v>
      </c>
      <c r="AC270" s="45" t="str">
        <f>IF(COUNTIF(ReturnsRawTable[Order_Line_ID],OrdersRawTable9[[#This Row],[Order_Line_ID]])&gt;0,"Yes","No")</f>
        <v>No</v>
      </c>
      <c r="AD270" s="45" t="str">
        <f>IFERROR(VLOOKUP(OrdersRawTable9[[#This Row],[Order_Line_ID]],ReturnsRawTable[[#All],[Order_Line_ID]:[Return_Reason_Raw]],3,FALSE),"")</f>
        <v/>
      </c>
      <c r="AE270" s="49" t="str">
        <f>IFERROR(VLOOKUP(OrdersRawTable9[[#This Row],[Order_Line_ID]],ReturnsRawTable[[#All],[Order_Line_ID]:[Return_Date]],2,FALSE),"")</f>
        <v/>
      </c>
      <c r="AF270" s="45" t="str">
        <f>IFERROR(VLOOKUP(OrdersRawTable9[[#This Row],[Order_Line_ID]],ReturnsRawTable[[Order_Line_ID]:[Refund_Status]],4,FALSE),"")</f>
        <v/>
      </c>
      <c r="AG270" s="45" t="str">
        <f>VLOOKUP(OrdersRawTable9[[#This Row],[Order_ID]],ShipmentsTable[],6,FALSE)</f>
        <v>Late</v>
      </c>
      <c r="AH270" s="49">
        <f>VLOOKUP(OrdersRawTable9[[#This Row],[Order_ID]],ShipmentsTable[],3,FALSE)</f>
        <v>45847</v>
      </c>
    </row>
    <row r="271" spans="1:34" ht="15" customHeight="1">
      <c r="A271" s="14" t="s">
        <v>654</v>
      </c>
      <c r="B271" s="10" t="s">
        <v>651</v>
      </c>
      <c r="C271" s="20">
        <v>45838</v>
      </c>
      <c r="D271" s="10" t="s">
        <v>652</v>
      </c>
      <c r="E271" s="10" t="s">
        <v>653</v>
      </c>
      <c r="F271" s="10" t="str">
        <f>TRIM(LEFT(OrdersRawTable9[[#This Row],[Customer_Info]],FIND(",",OrdersRawTable9[[#This Row],[Customer_Info]])-1))</f>
        <v>Liam Wilson</v>
      </c>
      <c r="G27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271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71" s="10">
        <f>LEN(OrdersRawTable9[[#This Row],[Customer_Info]])-LEN(SUBSTITUTE(OrdersRawTable9[[#This Row],[Customer_Info]],",",""))</f>
        <v>2</v>
      </c>
      <c r="J271" s="10" t="s">
        <v>121</v>
      </c>
      <c r="K271" s="23">
        <v>4</v>
      </c>
      <c r="L271" s="26">
        <v>287.16000000000003</v>
      </c>
      <c r="M271" s="29">
        <v>0.1</v>
      </c>
      <c r="N271" s="10" t="s">
        <v>64</v>
      </c>
      <c r="O271" s="10" t="str">
        <f>IF(TRIM(OrdersRawTable9[[#This Row],[Sales_Channel_Raw]])="Market place","Marketplace",TRIM(OrdersRawTable9[[#This Row],[Sales_Channel_Raw]]))</f>
        <v>Retail Store</v>
      </c>
      <c r="P271" s="10" t="s">
        <v>41</v>
      </c>
      <c r="Q271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271" s="15" t="s">
        <v>42</v>
      </c>
      <c r="S271" t="str">
        <f>VLOOKUP(OrdersRawTable9[[#This Row],[Customer_ID_Raw]],CustomersTable11[],4,FALSE)</f>
        <v>Quebec</v>
      </c>
      <c r="T271" t="str">
        <f>VLOOKUP(OrdersRawTable9[[#This Row],[Customer_ID_Raw]],CustomersTable11[],5,FALSE)</f>
        <v>Small Business</v>
      </c>
      <c r="U271" s="45">
        <f>VLOOKUP(OrdersRawTable9[[#This Row],[Product_ID]],ProductsTable10[],4,FALSE)</f>
        <v>148.21</v>
      </c>
      <c r="V271" t="str">
        <f>VLOOKUP(OrdersRawTable9[[#This Row],[Product_ID]],ProductsTable10[],3,FALSE)</f>
        <v>Accessories</v>
      </c>
      <c r="W271" s="45">
        <f>OrdersRawTable9[[#This Row],[Unit_Price]]*OrdersRawTable9[[#This Row],[Quantity]]</f>
        <v>1148.6400000000001</v>
      </c>
      <c r="X271" s="47">
        <f>OrdersRawTable9[[#This Row],[Gross_Sales]]*OrdersRawTable9[[#This Row],[Discount_Pct]]</f>
        <v>114.86400000000002</v>
      </c>
      <c r="Y271" s="45">
        <f>OrdersRawTable9[[#This Row],[Gross_Sales]]-OrdersRawTable9[[#This Row],[Discount_Amount]]</f>
        <v>1033.7760000000001</v>
      </c>
      <c r="Z271" s="45">
        <f>OrdersRawTable9[[#This Row],[Unit_Cost]]*OrdersRawTable9[[#This Row],[Quantity]]</f>
        <v>592.84</v>
      </c>
      <c r="AA271" s="45">
        <f>OrdersRawTable9[[#This Row],[Net_Sales]]-OrdersRawTable9[[#This Row],[Total_Cost]]</f>
        <v>440.93600000000004</v>
      </c>
      <c r="AB271" s="48">
        <f>IF(OrdersRawTable9[[#This Row],[Net_Sales]]=0,0,OrdersRawTable9[[#This Row],[Profit]]/OrdersRawTable9[[#This Row],[Net_Sales]])</f>
        <v>0.42652953831390938</v>
      </c>
      <c r="AC271" s="45" t="str">
        <f>IF(COUNTIF(ReturnsRawTable[Order_Line_ID],OrdersRawTable9[[#This Row],[Order_Line_ID]])&gt;0,"Yes","No")</f>
        <v>No</v>
      </c>
      <c r="AD271" s="45" t="str">
        <f>IFERROR(VLOOKUP(OrdersRawTable9[[#This Row],[Order_Line_ID]],ReturnsRawTable[[#All],[Order_Line_ID]:[Return_Reason_Raw]],3,FALSE),"")</f>
        <v/>
      </c>
      <c r="AE271" s="49" t="str">
        <f>IFERROR(VLOOKUP(OrdersRawTable9[[#This Row],[Order_Line_ID]],ReturnsRawTable[[#All],[Order_Line_ID]:[Return_Date]],2,FALSE),"")</f>
        <v/>
      </c>
      <c r="AF271" s="45" t="str">
        <f>IFERROR(VLOOKUP(OrdersRawTable9[[#This Row],[Order_Line_ID]],ReturnsRawTable[[Order_Line_ID]:[Refund_Status]],4,FALSE),"")</f>
        <v/>
      </c>
      <c r="AG271" s="45" t="str">
        <f>VLOOKUP(OrdersRawTable9[[#This Row],[Order_ID]],ShipmentsTable[],6,FALSE)</f>
        <v>Late</v>
      </c>
      <c r="AH271" s="49">
        <f>VLOOKUP(OrdersRawTable9[[#This Row],[Order_ID]],ShipmentsTable[],3,FALSE)</f>
        <v>45847</v>
      </c>
    </row>
    <row r="272" spans="1:34" ht="15" customHeight="1">
      <c r="A272" s="14" t="s">
        <v>655</v>
      </c>
      <c r="B272" s="10" t="s">
        <v>651</v>
      </c>
      <c r="C272" s="20">
        <v>45838</v>
      </c>
      <c r="D272" s="10" t="s">
        <v>652</v>
      </c>
      <c r="E272" s="10" t="s">
        <v>653</v>
      </c>
      <c r="F272" s="10" t="str">
        <f>TRIM(LEFT(OrdersRawTable9[[#This Row],[Customer_Info]],FIND(",",OrdersRawTable9[[#This Row],[Customer_Info]])-1))</f>
        <v>Liam Wilson</v>
      </c>
      <c r="G27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272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72" s="10">
        <f>LEN(OrdersRawTable9[[#This Row],[Customer_Info]])-LEN(SUBSTITUTE(OrdersRawTable9[[#This Row],[Customer_Info]],",",""))</f>
        <v>2</v>
      </c>
      <c r="J272" s="10" t="s">
        <v>456</v>
      </c>
      <c r="K272" s="23">
        <v>1</v>
      </c>
      <c r="L272" s="26">
        <v>275.76</v>
      </c>
      <c r="M272" s="29">
        <v>0</v>
      </c>
      <c r="N272" s="10" t="s">
        <v>50</v>
      </c>
      <c r="O272" s="10" t="str">
        <f>IF(TRIM(OrdersRawTable9[[#This Row],[Sales_Channel_Raw]])="Market place","Marketplace",TRIM(OrdersRawTable9[[#This Row],[Sales_Channel_Raw]]))</f>
        <v>Marketplace</v>
      </c>
      <c r="P272" s="10" t="s">
        <v>46</v>
      </c>
      <c r="Q272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272" s="15" t="s">
        <v>47</v>
      </c>
      <c r="S272" t="str">
        <f>VLOOKUP(OrdersRawTable9[[#This Row],[Customer_ID_Raw]],CustomersTable11[],4,FALSE)</f>
        <v>Quebec</v>
      </c>
      <c r="T272" t="str">
        <f>VLOOKUP(OrdersRawTable9[[#This Row],[Customer_ID_Raw]],CustomersTable11[],5,FALSE)</f>
        <v>Small Business</v>
      </c>
      <c r="U272" s="45">
        <f>VLOOKUP(OrdersRawTable9[[#This Row],[Product_ID]],ProductsTable10[],4,FALSE)</f>
        <v>156.97</v>
      </c>
      <c r="V272" t="str">
        <f>VLOOKUP(OrdersRawTable9[[#This Row],[Product_ID]],ProductsTable10[],3,FALSE)</f>
        <v>Home</v>
      </c>
      <c r="W272" s="45">
        <f>OrdersRawTable9[[#This Row],[Unit_Price]]*OrdersRawTable9[[#This Row],[Quantity]]</f>
        <v>275.76</v>
      </c>
      <c r="X272" s="47">
        <f>OrdersRawTable9[[#This Row],[Gross_Sales]]*OrdersRawTable9[[#This Row],[Discount_Pct]]</f>
        <v>0</v>
      </c>
      <c r="Y272" s="45">
        <f>OrdersRawTable9[[#This Row],[Gross_Sales]]-OrdersRawTable9[[#This Row],[Discount_Amount]]</f>
        <v>275.76</v>
      </c>
      <c r="Z272" s="45">
        <f>OrdersRawTable9[[#This Row],[Unit_Cost]]*OrdersRawTable9[[#This Row],[Quantity]]</f>
        <v>156.97</v>
      </c>
      <c r="AA272" s="45">
        <f>OrdersRawTable9[[#This Row],[Net_Sales]]-OrdersRawTable9[[#This Row],[Total_Cost]]</f>
        <v>118.78999999999999</v>
      </c>
      <c r="AB272" s="48">
        <f>IF(OrdersRawTable9[[#This Row],[Net_Sales]]=0,0,OrdersRawTable9[[#This Row],[Profit]]/OrdersRawTable9[[#This Row],[Net_Sales]])</f>
        <v>0.43077313606034229</v>
      </c>
      <c r="AC272" s="45" t="str">
        <f>IF(COUNTIF(ReturnsRawTable[Order_Line_ID],OrdersRawTable9[[#This Row],[Order_Line_ID]])&gt;0,"Yes","No")</f>
        <v>No</v>
      </c>
      <c r="AD272" s="45" t="str">
        <f>IFERROR(VLOOKUP(OrdersRawTable9[[#This Row],[Order_Line_ID]],ReturnsRawTable[[#All],[Order_Line_ID]:[Return_Reason_Raw]],3,FALSE),"")</f>
        <v/>
      </c>
      <c r="AE272" s="49" t="str">
        <f>IFERROR(VLOOKUP(OrdersRawTable9[[#This Row],[Order_Line_ID]],ReturnsRawTable[[#All],[Order_Line_ID]:[Return_Date]],2,FALSE),"")</f>
        <v/>
      </c>
      <c r="AF272" s="45" t="str">
        <f>IFERROR(VLOOKUP(OrdersRawTable9[[#This Row],[Order_Line_ID]],ReturnsRawTable[[Order_Line_ID]:[Refund_Status]],4,FALSE),"")</f>
        <v/>
      </c>
      <c r="AG272" s="45" t="str">
        <f>VLOOKUP(OrdersRawTable9[[#This Row],[Order_ID]],ShipmentsTable[],6,FALSE)</f>
        <v>Late</v>
      </c>
      <c r="AH272" s="49">
        <f>VLOOKUP(OrdersRawTable9[[#This Row],[Order_ID]],ShipmentsTable[],3,FALSE)</f>
        <v>45847</v>
      </c>
    </row>
    <row r="273" spans="1:34" ht="15" customHeight="1">
      <c r="A273" s="14" t="s">
        <v>656</v>
      </c>
      <c r="B273" s="10" t="s">
        <v>651</v>
      </c>
      <c r="C273" s="20">
        <v>45838</v>
      </c>
      <c r="D273" s="10" t="s">
        <v>657</v>
      </c>
      <c r="E273" s="10" t="s">
        <v>653</v>
      </c>
      <c r="F273" s="10" t="str">
        <f>TRIM(LEFT(OrdersRawTable9[[#This Row],[Customer_Info]],FIND(",",OrdersRawTable9[[#This Row],[Customer_Info]])-1))</f>
        <v>Liam Wilson</v>
      </c>
      <c r="G27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273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73" s="10">
        <f>LEN(OrdersRawTable9[[#This Row],[Customer_Info]])-LEN(SUBSTITUTE(OrdersRawTable9[[#This Row],[Customer_Info]],",",""))</f>
        <v>2</v>
      </c>
      <c r="J273" s="10" t="s">
        <v>180</v>
      </c>
      <c r="K273" s="23">
        <v>1</v>
      </c>
      <c r="L273" s="26">
        <v>91.75</v>
      </c>
      <c r="M273" s="29">
        <v>0</v>
      </c>
      <c r="N273" s="10" t="s">
        <v>70</v>
      </c>
      <c r="O273" s="10" t="str">
        <f>IF(TRIM(OrdersRawTable9[[#This Row],[Sales_Channel_Raw]])="Market place","Marketplace",TRIM(OrdersRawTable9[[#This Row],[Sales_Channel_Raw]]))</f>
        <v>online</v>
      </c>
      <c r="P273" s="10" t="s">
        <v>46</v>
      </c>
      <c r="Q273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273" s="15" t="s">
        <v>67</v>
      </c>
      <c r="S273" t="str">
        <f>VLOOKUP(OrdersRawTable9[[#This Row],[Customer_ID_Raw]],CustomersTable11[],4,FALSE)</f>
        <v>Quebec</v>
      </c>
      <c r="T273" t="str">
        <f>VLOOKUP(OrdersRawTable9[[#This Row],[Customer_ID_Raw]],CustomersTable11[],5,FALSE)</f>
        <v>Small Business</v>
      </c>
      <c r="U273" s="45">
        <f>VLOOKUP(OrdersRawTable9[[#This Row],[Product_ID]],ProductsTable10[],4,FALSE)</f>
        <v>58.27</v>
      </c>
      <c r="V273" t="str">
        <f>VLOOKUP(OrdersRawTable9[[#This Row],[Product_ID]],ProductsTable10[],3,FALSE)</f>
        <v>Home</v>
      </c>
      <c r="W273" s="45">
        <f>OrdersRawTable9[[#This Row],[Unit_Price]]*OrdersRawTable9[[#This Row],[Quantity]]</f>
        <v>91.75</v>
      </c>
      <c r="X273" s="47">
        <f>OrdersRawTable9[[#This Row],[Gross_Sales]]*OrdersRawTable9[[#This Row],[Discount_Pct]]</f>
        <v>0</v>
      </c>
      <c r="Y273" s="45">
        <f>OrdersRawTable9[[#This Row],[Gross_Sales]]-OrdersRawTable9[[#This Row],[Discount_Amount]]</f>
        <v>91.75</v>
      </c>
      <c r="Z273" s="45">
        <f>OrdersRawTable9[[#This Row],[Unit_Cost]]*OrdersRawTable9[[#This Row],[Quantity]]</f>
        <v>58.27</v>
      </c>
      <c r="AA273" s="45">
        <f>OrdersRawTable9[[#This Row],[Net_Sales]]-OrdersRawTable9[[#This Row],[Total_Cost]]</f>
        <v>33.479999999999997</v>
      </c>
      <c r="AB273" s="48">
        <f>IF(OrdersRawTable9[[#This Row],[Net_Sales]]=0,0,OrdersRawTable9[[#This Row],[Profit]]/OrdersRawTable9[[#This Row],[Net_Sales]])</f>
        <v>0.3649046321525885</v>
      </c>
      <c r="AC273" s="45" t="str">
        <f>IF(COUNTIF(ReturnsRawTable[Order_Line_ID],OrdersRawTable9[[#This Row],[Order_Line_ID]])&gt;0,"Yes","No")</f>
        <v>No</v>
      </c>
      <c r="AD273" s="45" t="str">
        <f>IFERROR(VLOOKUP(OrdersRawTable9[[#This Row],[Order_Line_ID]],ReturnsRawTable[[#All],[Order_Line_ID]:[Return_Reason_Raw]],3,FALSE),"")</f>
        <v/>
      </c>
      <c r="AE273" s="49" t="str">
        <f>IFERROR(VLOOKUP(OrdersRawTable9[[#This Row],[Order_Line_ID]],ReturnsRawTable[[#All],[Order_Line_ID]:[Return_Date]],2,FALSE),"")</f>
        <v/>
      </c>
      <c r="AF273" s="45" t="str">
        <f>IFERROR(VLOOKUP(OrdersRawTable9[[#This Row],[Order_Line_ID]],ReturnsRawTable[[Order_Line_ID]:[Refund_Status]],4,FALSE),"")</f>
        <v/>
      </c>
      <c r="AG273" s="45" t="str">
        <f>VLOOKUP(OrdersRawTable9[[#This Row],[Order_ID]],ShipmentsTable[],6,FALSE)</f>
        <v>Late</v>
      </c>
      <c r="AH273" s="49">
        <f>VLOOKUP(OrdersRawTable9[[#This Row],[Order_ID]],ShipmentsTable[],3,FALSE)</f>
        <v>45847</v>
      </c>
    </row>
    <row r="274" spans="1:34" ht="15" customHeight="1">
      <c r="A274" s="14" t="s">
        <v>658</v>
      </c>
      <c r="B274" s="10" t="s">
        <v>659</v>
      </c>
      <c r="C274" s="20">
        <v>45950</v>
      </c>
      <c r="D274" s="10" t="s">
        <v>660</v>
      </c>
      <c r="E274" s="10" t="s">
        <v>661</v>
      </c>
      <c r="F274" s="10" t="str">
        <f>TRIM(LEFT(OrdersRawTable9[[#This Row],[Customer_Info]],FIND(",",OrdersRawTable9[[#This Row],[Customer_Info]])-1))</f>
        <v>Sara Wilson</v>
      </c>
      <c r="G27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274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74" s="10">
        <f>LEN(OrdersRawTable9[[#This Row],[Customer_Info]])-LEN(SUBSTITUTE(OrdersRawTable9[[#This Row],[Customer_Info]],",",""))</f>
        <v>2</v>
      </c>
      <c r="J274" s="10" t="s">
        <v>63</v>
      </c>
      <c r="K274" s="23">
        <v>2</v>
      </c>
      <c r="L274" s="26">
        <v>105.38</v>
      </c>
      <c r="M274" s="29">
        <v>0.15</v>
      </c>
      <c r="N274" s="10" t="s">
        <v>64</v>
      </c>
      <c r="O274" s="10" t="str">
        <f>IF(TRIM(OrdersRawTable9[[#This Row],[Sales_Channel_Raw]])="Market place","Marketplace",TRIM(OrdersRawTable9[[#This Row],[Sales_Channel_Raw]]))</f>
        <v>Retail Store</v>
      </c>
      <c r="P274" s="10" t="s">
        <v>46</v>
      </c>
      <c r="Q274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274" s="15" t="s">
        <v>52</v>
      </c>
      <c r="S274" t="str">
        <f>VLOOKUP(OrdersRawTable9[[#This Row],[Customer_ID_Raw]],CustomersTable11[],4,FALSE)</f>
        <v>Quebec</v>
      </c>
      <c r="T274" t="str">
        <f>VLOOKUP(OrdersRawTable9[[#This Row],[Customer_ID_Raw]],CustomersTable11[],5,FALSE)</f>
        <v>Small Business</v>
      </c>
      <c r="U274" s="45">
        <f>VLOOKUP(OrdersRawTable9[[#This Row],[Product_ID]],ProductsTable10[],4,FALSE)</f>
        <v>67.290000000000006</v>
      </c>
      <c r="V274" t="str">
        <f>VLOOKUP(OrdersRawTable9[[#This Row],[Product_ID]],ProductsTable10[],3,FALSE)</f>
        <v>Electronics</v>
      </c>
      <c r="W274" s="45">
        <f>OrdersRawTable9[[#This Row],[Unit_Price]]*OrdersRawTable9[[#This Row],[Quantity]]</f>
        <v>210.76</v>
      </c>
      <c r="X274" s="47">
        <f>OrdersRawTable9[[#This Row],[Gross_Sales]]*OrdersRawTable9[[#This Row],[Discount_Pct]]</f>
        <v>31.613999999999997</v>
      </c>
      <c r="Y274" s="45">
        <f>OrdersRawTable9[[#This Row],[Gross_Sales]]-OrdersRawTable9[[#This Row],[Discount_Amount]]</f>
        <v>179.14599999999999</v>
      </c>
      <c r="Z274" s="45">
        <f>OrdersRawTable9[[#This Row],[Unit_Cost]]*OrdersRawTable9[[#This Row],[Quantity]]</f>
        <v>134.58000000000001</v>
      </c>
      <c r="AA274" s="45">
        <f>OrdersRawTable9[[#This Row],[Net_Sales]]-OrdersRawTable9[[#This Row],[Total_Cost]]</f>
        <v>44.565999999999974</v>
      </c>
      <c r="AB274" s="48">
        <f>IF(OrdersRawTable9[[#This Row],[Net_Sales]]=0,0,OrdersRawTable9[[#This Row],[Profit]]/OrdersRawTable9[[#This Row],[Net_Sales]])</f>
        <v>0.24876916034965882</v>
      </c>
      <c r="AC274" s="45" t="str">
        <f>IF(COUNTIF(ReturnsRawTable[Order_Line_ID],OrdersRawTable9[[#This Row],[Order_Line_ID]])&gt;0,"Yes","No")</f>
        <v>Yes</v>
      </c>
      <c r="AD274" s="45" t="str">
        <f>IFERROR(VLOOKUP(OrdersRawTable9[[#This Row],[Order_Line_ID]],ReturnsRawTable[[#All],[Order_Line_ID]:[Return_Reason_Raw]],3,FALSE),"")</f>
        <v>damaged</v>
      </c>
      <c r="AE274" s="49">
        <f>IFERROR(VLOOKUP(OrdersRawTable9[[#This Row],[Order_Line_ID]],ReturnsRawTable[[#All],[Order_Line_ID]:[Return_Date]],2,FALSE),"")</f>
        <v>45974</v>
      </c>
      <c r="AF274" s="45" t="str">
        <f>IFERROR(VLOOKUP(OrdersRawTable9[[#This Row],[Order_Line_ID]],ReturnsRawTable[[Order_Line_ID]:[Refund_Status]],4,FALSE),"")</f>
        <v>Pending</v>
      </c>
      <c r="AG274" s="45" t="str">
        <f>VLOOKUP(OrdersRawTable9[[#This Row],[Order_ID]],ShipmentsTable[],6,FALSE)</f>
        <v>Late</v>
      </c>
      <c r="AH274" s="49">
        <f>VLOOKUP(OrdersRawTable9[[#This Row],[Order_ID]],ShipmentsTable[],3,FALSE)</f>
        <v>45955</v>
      </c>
    </row>
    <row r="275" spans="1:34" ht="15" customHeight="1">
      <c r="A275" s="14" t="s">
        <v>662</v>
      </c>
      <c r="B275" s="10" t="s">
        <v>659</v>
      </c>
      <c r="C275" s="20">
        <v>45950</v>
      </c>
      <c r="D275" s="10" t="s">
        <v>660</v>
      </c>
      <c r="E275" s="10" t="s">
        <v>661</v>
      </c>
      <c r="F275" s="10" t="str">
        <f>TRIM(LEFT(OrdersRawTable9[[#This Row],[Customer_Info]],FIND(",",OrdersRawTable9[[#This Row],[Customer_Info]])-1))</f>
        <v>Sara Wilson</v>
      </c>
      <c r="G27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275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75" s="10">
        <f>LEN(OrdersRawTable9[[#This Row],[Customer_Info]])-LEN(SUBSTITUTE(OrdersRawTable9[[#This Row],[Customer_Info]],",",""))</f>
        <v>2</v>
      </c>
      <c r="J275" s="10" t="s">
        <v>136</v>
      </c>
      <c r="K275" s="23">
        <v>3</v>
      </c>
      <c r="L275" s="26">
        <v>141.46</v>
      </c>
      <c r="M275" s="29">
        <v>0.15</v>
      </c>
      <c r="N275" s="10" t="s">
        <v>45</v>
      </c>
      <c r="O275" s="10" t="str">
        <f>IF(TRIM(OrdersRawTable9[[#This Row],[Sales_Channel_Raw]])="Market place","Marketplace",TRIM(OrdersRawTable9[[#This Row],[Sales_Channel_Raw]]))</f>
        <v>Retail Store</v>
      </c>
      <c r="P275" s="10" t="s">
        <v>51</v>
      </c>
      <c r="Q275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275" s="15" t="s">
        <v>42</v>
      </c>
      <c r="S275" t="str">
        <f>VLOOKUP(OrdersRawTable9[[#This Row],[Customer_ID_Raw]],CustomersTable11[],4,FALSE)</f>
        <v>Quebec</v>
      </c>
      <c r="T275" t="str">
        <f>VLOOKUP(OrdersRawTable9[[#This Row],[Customer_ID_Raw]],CustomersTable11[],5,FALSE)</f>
        <v>Small Business</v>
      </c>
      <c r="U275" s="45">
        <f>VLOOKUP(OrdersRawTable9[[#This Row],[Product_ID]],ProductsTable10[],4,FALSE)</f>
        <v>78.650000000000006</v>
      </c>
      <c r="V275" t="str">
        <f>VLOOKUP(OrdersRawTable9[[#This Row],[Product_ID]],ProductsTable10[],3,FALSE)</f>
        <v>Fitness</v>
      </c>
      <c r="W275" s="45">
        <f>OrdersRawTable9[[#This Row],[Unit_Price]]*OrdersRawTable9[[#This Row],[Quantity]]</f>
        <v>424.38</v>
      </c>
      <c r="X275" s="47">
        <f>OrdersRawTable9[[#This Row],[Gross_Sales]]*OrdersRawTable9[[#This Row],[Discount_Pct]]</f>
        <v>63.656999999999996</v>
      </c>
      <c r="Y275" s="45">
        <f>OrdersRawTable9[[#This Row],[Gross_Sales]]-OrdersRawTable9[[#This Row],[Discount_Amount]]</f>
        <v>360.72300000000001</v>
      </c>
      <c r="Z275" s="45">
        <f>OrdersRawTable9[[#This Row],[Unit_Cost]]*OrdersRawTable9[[#This Row],[Quantity]]</f>
        <v>235.95000000000002</v>
      </c>
      <c r="AA275" s="45">
        <f>OrdersRawTable9[[#This Row],[Net_Sales]]-OrdersRawTable9[[#This Row],[Total_Cost]]</f>
        <v>124.773</v>
      </c>
      <c r="AB275" s="48">
        <f>IF(OrdersRawTable9[[#This Row],[Net_Sales]]=0,0,OrdersRawTable9[[#This Row],[Profit]]/OrdersRawTable9[[#This Row],[Net_Sales]])</f>
        <v>0.34589699021132558</v>
      </c>
      <c r="AC275" s="45" t="str">
        <f>IF(COUNTIF(ReturnsRawTable[Order_Line_ID],OrdersRawTable9[[#This Row],[Order_Line_ID]])&gt;0,"Yes","No")</f>
        <v>No</v>
      </c>
      <c r="AD275" s="45" t="str">
        <f>IFERROR(VLOOKUP(OrdersRawTable9[[#This Row],[Order_Line_ID]],ReturnsRawTable[[#All],[Order_Line_ID]:[Return_Reason_Raw]],3,FALSE),"")</f>
        <v/>
      </c>
      <c r="AE275" s="49" t="str">
        <f>IFERROR(VLOOKUP(OrdersRawTable9[[#This Row],[Order_Line_ID]],ReturnsRawTable[[#All],[Order_Line_ID]:[Return_Date]],2,FALSE),"")</f>
        <v/>
      </c>
      <c r="AF275" s="45" t="str">
        <f>IFERROR(VLOOKUP(OrdersRawTable9[[#This Row],[Order_Line_ID]],ReturnsRawTable[[Order_Line_ID]:[Refund_Status]],4,FALSE),"")</f>
        <v/>
      </c>
      <c r="AG275" s="45" t="str">
        <f>VLOOKUP(OrdersRawTable9[[#This Row],[Order_ID]],ShipmentsTable[],6,FALSE)</f>
        <v>Late</v>
      </c>
      <c r="AH275" s="49">
        <f>VLOOKUP(OrdersRawTable9[[#This Row],[Order_ID]],ShipmentsTable[],3,FALSE)</f>
        <v>45955</v>
      </c>
    </row>
    <row r="276" spans="1:34" ht="15" customHeight="1">
      <c r="A276" s="14" t="s">
        <v>663</v>
      </c>
      <c r="B276" s="10" t="s">
        <v>659</v>
      </c>
      <c r="C276" s="20">
        <v>45950</v>
      </c>
      <c r="D276" s="10" t="s">
        <v>660</v>
      </c>
      <c r="E276" s="10" t="s">
        <v>661</v>
      </c>
      <c r="F276" s="10" t="str">
        <f>TRIM(LEFT(OrdersRawTable9[[#This Row],[Customer_Info]],FIND(",",OrdersRawTable9[[#This Row],[Customer_Info]])-1))</f>
        <v>Sara Wilson</v>
      </c>
      <c r="G27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276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76" s="10">
        <f>LEN(OrdersRawTable9[[#This Row],[Customer_Info]])-LEN(SUBSTITUTE(OrdersRawTable9[[#This Row],[Customer_Info]],",",""))</f>
        <v>2</v>
      </c>
      <c r="J276" s="10" t="s">
        <v>72</v>
      </c>
      <c r="K276" s="23">
        <v>3</v>
      </c>
      <c r="L276" s="26">
        <v>210.2</v>
      </c>
      <c r="M276" s="29">
        <v>0</v>
      </c>
      <c r="N276" s="10" t="s">
        <v>70</v>
      </c>
      <c r="O276" s="10" t="str">
        <f>IF(TRIM(OrdersRawTable9[[#This Row],[Sales_Channel_Raw]])="Market place","Marketplace",TRIM(OrdersRawTable9[[#This Row],[Sales_Channel_Raw]]))</f>
        <v>online</v>
      </c>
      <c r="P276" s="10" t="s">
        <v>51</v>
      </c>
      <c r="Q276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276" s="15" t="s">
        <v>47</v>
      </c>
      <c r="S276" t="str">
        <f>VLOOKUP(OrdersRawTable9[[#This Row],[Customer_ID_Raw]],CustomersTable11[],4,FALSE)</f>
        <v>Quebec</v>
      </c>
      <c r="T276" t="str">
        <f>VLOOKUP(OrdersRawTable9[[#This Row],[Customer_ID_Raw]],CustomersTable11[],5,FALSE)</f>
        <v>Small Business</v>
      </c>
      <c r="U276" s="45">
        <f>VLOOKUP(OrdersRawTable9[[#This Row],[Product_ID]],ProductsTable10[],4,FALSE)</f>
        <v>136.25</v>
      </c>
      <c r="V276" t="str">
        <f>VLOOKUP(OrdersRawTable9[[#This Row],[Product_ID]],ProductsTable10[],3,FALSE)</f>
        <v>Fitness</v>
      </c>
      <c r="W276" s="45">
        <f>OrdersRawTable9[[#This Row],[Unit_Price]]*OrdersRawTable9[[#This Row],[Quantity]]</f>
        <v>630.59999999999991</v>
      </c>
      <c r="X276" s="47">
        <f>OrdersRawTable9[[#This Row],[Gross_Sales]]*OrdersRawTable9[[#This Row],[Discount_Pct]]</f>
        <v>0</v>
      </c>
      <c r="Y276" s="45">
        <f>OrdersRawTable9[[#This Row],[Gross_Sales]]-OrdersRawTable9[[#This Row],[Discount_Amount]]</f>
        <v>630.59999999999991</v>
      </c>
      <c r="Z276" s="45">
        <f>OrdersRawTable9[[#This Row],[Unit_Cost]]*OrdersRawTable9[[#This Row],[Quantity]]</f>
        <v>408.75</v>
      </c>
      <c r="AA276" s="45">
        <f>OrdersRawTable9[[#This Row],[Net_Sales]]-OrdersRawTable9[[#This Row],[Total_Cost]]</f>
        <v>221.84999999999991</v>
      </c>
      <c r="AB276" s="48">
        <f>IF(OrdersRawTable9[[#This Row],[Net_Sales]]=0,0,OrdersRawTable9[[#This Row],[Profit]]/OrdersRawTable9[[#This Row],[Net_Sales]])</f>
        <v>0.35180780209324441</v>
      </c>
      <c r="AC276" s="45" t="str">
        <f>IF(COUNTIF(ReturnsRawTable[Order_Line_ID],OrdersRawTable9[[#This Row],[Order_Line_ID]])&gt;0,"Yes","No")</f>
        <v>No</v>
      </c>
      <c r="AD276" s="45" t="str">
        <f>IFERROR(VLOOKUP(OrdersRawTable9[[#This Row],[Order_Line_ID]],ReturnsRawTable[[#All],[Order_Line_ID]:[Return_Reason_Raw]],3,FALSE),"")</f>
        <v/>
      </c>
      <c r="AE276" s="49" t="str">
        <f>IFERROR(VLOOKUP(OrdersRawTable9[[#This Row],[Order_Line_ID]],ReturnsRawTable[[#All],[Order_Line_ID]:[Return_Date]],2,FALSE),"")</f>
        <v/>
      </c>
      <c r="AF276" s="45" t="str">
        <f>IFERROR(VLOOKUP(OrdersRawTable9[[#This Row],[Order_Line_ID]],ReturnsRawTable[[Order_Line_ID]:[Refund_Status]],4,FALSE),"")</f>
        <v/>
      </c>
      <c r="AG276" s="45" t="str">
        <f>VLOOKUP(OrdersRawTable9[[#This Row],[Order_ID]],ShipmentsTable[],6,FALSE)</f>
        <v>Late</v>
      </c>
      <c r="AH276" s="49">
        <f>VLOOKUP(OrdersRawTable9[[#This Row],[Order_ID]],ShipmentsTable[],3,FALSE)</f>
        <v>45955</v>
      </c>
    </row>
    <row r="277" spans="1:34" ht="15" customHeight="1">
      <c r="A277" s="14" t="s">
        <v>664</v>
      </c>
      <c r="B277" s="10" t="s">
        <v>659</v>
      </c>
      <c r="C277" s="20">
        <v>45950</v>
      </c>
      <c r="D277" s="10" t="s">
        <v>660</v>
      </c>
      <c r="E277" s="10" t="s">
        <v>661</v>
      </c>
      <c r="F277" s="10" t="str">
        <f>TRIM(LEFT(OrdersRawTable9[[#This Row],[Customer_Info]],FIND(",",OrdersRawTable9[[#This Row],[Customer_Info]])-1))</f>
        <v>Sara Wilson</v>
      </c>
      <c r="G27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277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77" s="10">
        <f>LEN(OrdersRawTable9[[#This Row],[Customer_Info]])-LEN(SUBSTITUTE(OrdersRawTable9[[#This Row],[Customer_Info]],",",""))</f>
        <v>2</v>
      </c>
      <c r="J277" s="10" t="s">
        <v>150</v>
      </c>
      <c r="K277" s="23">
        <v>4</v>
      </c>
      <c r="L277" s="26">
        <v>263.04000000000002</v>
      </c>
      <c r="M277" s="29">
        <v>0.05</v>
      </c>
      <c r="N277" s="10" t="s">
        <v>40</v>
      </c>
      <c r="O277" s="10" t="str">
        <f>IF(TRIM(OrdersRawTable9[[#This Row],[Sales_Channel_Raw]])="Market place","Marketplace",TRIM(OrdersRawTable9[[#This Row],[Sales_Channel_Raw]]))</f>
        <v>Online</v>
      </c>
      <c r="P277" s="10" t="s">
        <v>98</v>
      </c>
      <c r="Q277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277" s="15" t="s">
        <v>101</v>
      </c>
      <c r="S277" t="str">
        <f>VLOOKUP(OrdersRawTable9[[#This Row],[Customer_ID_Raw]],CustomersTable11[],4,FALSE)</f>
        <v>Quebec</v>
      </c>
      <c r="T277" t="str">
        <f>VLOOKUP(OrdersRawTable9[[#This Row],[Customer_ID_Raw]],CustomersTable11[],5,FALSE)</f>
        <v>Small Business</v>
      </c>
      <c r="U277" s="45">
        <f>VLOOKUP(OrdersRawTable9[[#This Row],[Product_ID]],ProductsTable10[],4,FALSE)</f>
        <v>161.84</v>
      </c>
      <c r="V277" t="str">
        <f>VLOOKUP(OrdersRawTable9[[#This Row],[Product_ID]],ProductsTable10[],3,FALSE)</f>
        <v>Office</v>
      </c>
      <c r="W277" s="45">
        <f>OrdersRawTable9[[#This Row],[Unit_Price]]*OrdersRawTable9[[#This Row],[Quantity]]</f>
        <v>1052.1600000000001</v>
      </c>
      <c r="X277" s="47">
        <f>OrdersRawTable9[[#This Row],[Gross_Sales]]*OrdersRawTable9[[#This Row],[Discount_Pct]]</f>
        <v>52.608000000000004</v>
      </c>
      <c r="Y277" s="45">
        <f>OrdersRawTable9[[#This Row],[Gross_Sales]]-OrdersRawTable9[[#This Row],[Discount_Amount]]</f>
        <v>999.55200000000013</v>
      </c>
      <c r="Z277" s="45">
        <f>OrdersRawTable9[[#This Row],[Unit_Cost]]*OrdersRawTable9[[#This Row],[Quantity]]</f>
        <v>647.36</v>
      </c>
      <c r="AA277" s="45">
        <f>OrdersRawTable9[[#This Row],[Net_Sales]]-OrdersRawTable9[[#This Row],[Total_Cost]]</f>
        <v>352.19200000000012</v>
      </c>
      <c r="AB277" s="48">
        <f>IF(OrdersRawTable9[[#This Row],[Net_Sales]]=0,0,OrdersRawTable9[[#This Row],[Profit]]/OrdersRawTable9[[#This Row],[Net_Sales]])</f>
        <v>0.35234985273402492</v>
      </c>
      <c r="AC277" s="45" t="str">
        <f>IF(COUNTIF(ReturnsRawTable[Order_Line_ID],OrdersRawTable9[[#This Row],[Order_Line_ID]])&gt;0,"Yes","No")</f>
        <v>No</v>
      </c>
      <c r="AD277" s="45" t="str">
        <f>IFERROR(VLOOKUP(OrdersRawTable9[[#This Row],[Order_Line_ID]],ReturnsRawTable[[#All],[Order_Line_ID]:[Return_Reason_Raw]],3,FALSE),"")</f>
        <v/>
      </c>
      <c r="AE277" s="49" t="str">
        <f>IFERROR(VLOOKUP(OrdersRawTable9[[#This Row],[Order_Line_ID]],ReturnsRawTable[[#All],[Order_Line_ID]:[Return_Date]],2,FALSE),"")</f>
        <v/>
      </c>
      <c r="AF277" s="45" t="str">
        <f>IFERROR(VLOOKUP(OrdersRawTable9[[#This Row],[Order_Line_ID]],ReturnsRawTable[[Order_Line_ID]:[Refund_Status]],4,FALSE),"")</f>
        <v/>
      </c>
      <c r="AG277" s="45" t="str">
        <f>VLOOKUP(OrdersRawTable9[[#This Row],[Order_ID]],ShipmentsTable[],6,FALSE)</f>
        <v>Late</v>
      </c>
      <c r="AH277" s="49">
        <f>VLOOKUP(OrdersRawTable9[[#This Row],[Order_ID]],ShipmentsTable[],3,FALSE)</f>
        <v>45955</v>
      </c>
    </row>
    <row r="278" spans="1:34" ht="15" customHeight="1">
      <c r="A278" s="14" t="s">
        <v>665</v>
      </c>
      <c r="B278" s="10" t="s">
        <v>666</v>
      </c>
      <c r="C278" s="20">
        <v>45781</v>
      </c>
      <c r="D278" s="10" t="s">
        <v>667</v>
      </c>
      <c r="E278" s="10" t="s">
        <v>668</v>
      </c>
      <c r="F278" s="10" t="str">
        <f>TRIM(LEFT(OrdersRawTable9[[#This Row],[Customer_Info]],FIND(",",OrdersRawTable9[[#This Row],[Customer_Info]])-1))</f>
        <v>Maya Tremblay</v>
      </c>
      <c r="G27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278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78" s="10">
        <f>LEN(OrdersRawTable9[[#This Row],[Customer_Info]])-LEN(SUBSTITUTE(OrdersRawTable9[[#This Row],[Customer_Info]],",",""))</f>
        <v>2</v>
      </c>
      <c r="J278" s="10" t="s">
        <v>309</v>
      </c>
      <c r="K278" s="23">
        <v>4</v>
      </c>
      <c r="L278" s="26">
        <v>56.99</v>
      </c>
      <c r="M278" s="29">
        <v>0.15</v>
      </c>
      <c r="N278" s="10" t="s">
        <v>70</v>
      </c>
      <c r="O278" s="10" t="str">
        <f>IF(TRIM(OrdersRawTable9[[#This Row],[Sales_Channel_Raw]])="Market place","Marketplace",TRIM(OrdersRawTable9[[#This Row],[Sales_Channel_Raw]]))</f>
        <v>online</v>
      </c>
      <c r="P278" s="10"/>
      <c r="Q278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278" s="15" t="s">
        <v>52</v>
      </c>
      <c r="S278" t="str">
        <f>VLOOKUP(OrdersRawTable9[[#This Row],[Customer_ID_Raw]],CustomersTable11[],4,FALSE)</f>
        <v>Alberta</v>
      </c>
      <c r="T278" t="str">
        <f>VLOOKUP(OrdersRawTable9[[#This Row],[Customer_ID_Raw]],CustomersTable11[],5,FALSE)</f>
        <v>Small Business</v>
      </c>
      <c r="U278" s="45">
        <f>VLOOKUP(OrdersRawTable9[[#This Row],[Product_ID]],ProductsTable10[],4,FALSE)</f>
        <v>33.65</v>
      </c>
      <c r="V278" t="str">
        <f>VLOOKUP(OrdersRawTable9[[#This Row],[Product_ID]],ProductsTable10[],3,FALSE)</f>
        <v>Home</v>
      </c>
      <c r="W278" s="45">
        <f>OrdersRawTable9[[#This Row],[Unit_Price]]*OrdersRawTable9[[#This Row],[Quantity]]</f>
        <v>227.96</v>
      </c>
      <c r="X278" s="47">
        <f>OrdersRawTable9[[#This Row],[Gross_Sales]]*OrdersRawTable9[[#This Row],[Discount_Pct]]</f>
        <v>34.194000000000003</v>
      </c>
      <c r="Y278" s="45">
        <f>OrdersRawTable9[[#This Row],[Gross_Sales]]-OrdersRawTable9[[#This Row],[Discount_Amount]]</f>
        <v>193.76600000000002</v>
      </c>
      <c r="Z278" s="45">
        <f>OrdersRawTable9[[#This Row],[Unit_Cost]]*OrdersRawTable9[[#This Row],[Quantity]]</f>
        <v>134.6</v>
      </c>
      <c r="AA278" s="45">
        <f>OrdersRawTable9[[#This Row],[Net_Sales]]-OrdersRawTable9[[#This Row],[Total_Cost]]</f>
        <v>59.166000000000025</v>
      </c>
      <c r="AB278" s="48">
        <f>IF(OrdersRawTable9[[#This Row],[Net_Sales]]=0,0,OrdersRawTable9[[#This Row],[Profit]]/OrdersRawTable9[[#This Row],[Net_Sales]])</f>
        <v>0.30534768741678114</v>
      </c>
      <c r="AC278" s="45" t="str">
        <f>IF(COUNTIF(ReturnsRawTable[Order_Line_ID],OrdersRawTable9[[#This Row],[Order_Line_ID]])&gt;0,"Yes","No")</f>
        <v>No</v>
      </c>
      <c r="AD278" s="45" t="str">
        <f>IFERROR(VLOOKUP(OrdersRawTable9[[#This Row],[Order_Line_ID]],ReturnsRawTable[[#All],[Order_Line_ID]:[Return_Reason_Raw]],3,FALSE),"")</f>
        <v/>
      </c>
      <c r="AE278" s="49" t="str">
        <f>IFERROR(VLOOKUP(OrdersRawTable9[[#This Row],[Order_Line_ID]],ReturnsRawTable[[#All],[Order_Line_ID]:[Return_Date]],2,FALSE),"")</f>
        <v/>
      </c>
      <c r="AF278" s="45" t="str">
        <f>IFERROR(VLOOKUP(OrdersRawTable9[[#This Row],[Order_Line_ID]],ReturnsRawTable[[Order_Line_ID]:[Refund_Status]],4,FALSE),"")</f>
        <v/>
      </c>
      <c r="AG278" s="45" t="str">
        <f>VLOOKUP(OrdersRawTable9[[#This Row],[Order_ID]],ShipmentsTable[],6,FALSE)</f>
        <v>Late</v>
      </c>
      <c r="AH278" s="49">
        <f>VLOOKUP(OrdersRawTable9[[#This Row],[Order_ID]],ShipmentsTable[],3,FALSE)</f>
        <v>45788</v>
      </c>
    </row>
    <row r="279" spans="1:34" ht="15" customHeight="1">
      <c r="A279" s="14" t="s">
        <v>669</v>
      </c>
      <c r="B279" s="10" t="s">
        <v>666</v>
      </c>
      <c r="C279" s="20">
        <v>45781</v>
      </c>
      <c r="D279" s="10" t="s">
        <v>667</v>
      </c>
      <c r="E279" s="10" t="s">
        <v>668</v>
      </c>
      <c r="F279" s="10" t="str">
        <f>TRIM(LEFT(OrdersRawTable9[[#This Row],[Customer_Info]],FIND(",",OrdersRawTable9[[#This Row],[Customer_Info]])-1))</f>
        <v>Maya Tremblay</v>
      </c>
      <c r="G27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279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79" s="10">
        <f>LEN(OrdersRawTable9[[#This Row],[Customer_Info]])-LEN(SUBSTITUTE(OrdersRawTable9[[#This Row],[Customer_Info]],",",""))</f>
        <v>2</v>
      </c>
      <c r="J279" s="10" t="s">
        <v>332</v>
      </c>
      <c r="K279" s="23">
        <v>3</v>
      </c>
      <c r="L279" s="26">
        <v>273.89</v>
      </c>
      <c r="M279" s="29">
        <v>0</v>
      </c>
      <c r="N279" s="10" t="s">
        <v>70</v>
      </c>
      <c r="O279" s="10" t="str">
        <f>IF(TRIM(OrdersRawTable9[[#This Row],[Sales_Channel_Raw]])="Market place","Marketplace",TRIM(OrdersRawTable9[[#This Row],[Sales_Channel_Raw]]))</f>
        <v>online</v>
      </c>
      <c r="P279" s="10" t="s">
        <v>41</v>
      </c>
      <c r="Q279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279" s="15" t="s">
        <v>101</v>
      </c>
      <c r="S279" t="str">
        <f>VLOOKUP(OrdersRawTable9[[#This Row],[Customer_ID_Raw]],CustomersTable11[],4,FALSE)</f>
        <v>Alberta</v>
      </c>
      <c r="T279" t="str">
        <f>VLOOKUP(OrdersRawTable9[[#This Row],[Customer_ID_Raw]],CustomersTable11[],5,FALSE)</f>
        <v>Small Business</v>
      </c>
      <c r="U279" s="45">
        <f>VLOOKUP(OrdersRawTable9[[#This Row],[Product_ID]],ProductsTable10[],4,FALSE)</f>
        <v>140.66999999999999</v>
      </c>
      <c r="V279" t="str">
        <f>VLOOKUP(OrdersRawTable9[[#This Row],[Product_ID]],ProductsTable10[],3,FALSE)</f>
        <v>Home</v>
      </c>
      <c r="W279" s="45">
        <f>OrdersRawTable9[[#This Row],[Unit_Price]]*OrdersRawTable9[[#This Row],[Quantity]]</f>
        <v>821.67</v>
      </c>
      <c r="X279" s="47">
        <f>OrdersRawTable9[[#This Row],[Gross_Sales]]*OrdersRawTable9[[#This Row],[Discount_Pct]]</f>
        <v>0</v>
      </c>
      <c r="Y279" s="45">
        <f>OrdersRawTable9[[#This Row],[Gross_Sales]]-OrdersRawTable9[[#This Row],[Discount_Amount]]</f>
        <v>821.67</v>
      </c>
      <c r="Z279" s="45">
        <f>OrdersRawTable9[[#This Row],[Unit_Cost]]*OrdersRawTable9[[#This Row],[Quantity]]</f>
        <v>422.01</v>
      </c>
      <c r="AA279" s="45">
        <f>OrdersRawTable9[[#This Row],[Net_Sales]]-OrdersRawTable9[[#This Row],[Total_Cost]]</f>
        <v>399.65999999999997</v>
      </c>
      <c r="AB279" s="48">
        <f>IF(OrdersRawTable9[[#This Row],[Net_Sales]]=0,0,OrdersRawTable9[[#This Row],[Profit]]/OrdersRawTable9[[#This Row],[Net_Sales]])</f>
        <v>0.48639964949432252</v>
      </c>
      <c r="AC279" s="45" t="str">
        <f>IF(COUNTIF(ReturnsRawTable[Order_Line_ID],OrdersRawTable9[[#This Row],[Order_Line_ID]])&gt;0,"Yes","No")</f>
        <v>No</v>
      </c>
      <c r="AD279" s="45" t="str">
        <f>IFERROR(VLOOKUP(OrdersRawTable9[[#This Row],[Order_Line_ID]],ReturnsRawTable[[#All],[Order_Line_ID]:[Return_Reason_Raw]],3,FALSE),"")</f>
        <v/>
      </c>
      <c r="AE279" s="49" t="str">
        <f>IFERROR(VLOOKUP(OrdersRawTable9[[#This Row],[Order_Line_ID]],ReturnsRawTable[[#All],[Order_Line_ID]:[Return_Date]],2,FALSE),"")</f>
        <v/>
      </c>
      <c r="AF279" s="45" t="str">
        <f>IFERROR(VLOOKUP(OrdersRawTable9[[#This Row],[Order_Line_ID]],ReturnsRawTable[[Order_Line_ID]:[Refund_Status]],4,FALSE),"")</f>
        <v/>
      </c>
      <c r="AG279" s="45" t="str">
        <f>VLOOKUP(OrdersRawTable9[[#This Row],[Order_ID]],ShipmentsTable[],6,FALSE)</f>
        <v>Late</v>
      </c>
      <c r="AH279" s="49">
        <f>VLOOKUP(OrdersRawTable9[[#This Row],[Order_ID]],ShipmentsTable[],3,FALSE)</f>
        <v>45788</v>
      </c>
    </row>
    <row r="280" spans="1:34" ht="15" customHeight="1">
      <c r="A280" s="14" t="s">
        <v>670</v>
      </c>
      <c r="B280" s="10" t="s">
        <v>671</v>
      </c>
      <c r="C280" s="20">
        <v>45689</v>
      </c>
      <c r="D280" s="10" t="s">
        <v>672</v>
      </c>
      <c r="E280" s="10" t="s">
        <v>673</v>
      </c>
      <c r="F280" s="10" t="str">
        <f>TRIM(LEFT(OrdersRawTable9[[#This Row],[Customer_Info]],FIND(",",OrdersRawTable9[[#This Row],[Customer_Info]])-1))</f>
        <v>Adam Tremblay</v>
      </c>
      <c r="G28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280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80" s="10">
        <f>LEN(OrdersRawTable9[[#This Row],[Customer_Info]])-LEN(SUBSTITUTE(OrdersRawTable9[[#This Row],[Customer_Info]],",",""))</f>
        <v>2</v>
      </c>
      <c r="J280" s="10" t="s">
        <v>521</v>
      </c>
      <c r="K280" s="23">
        <v>4</v>
      </c>
      <c r="L280" s="26">
        <v>37.82</v>
      </c>
      <c r="M280" s="29">
        <v>0</v>
      </c>
      <c r="N280" s="10" t="s">
        <v>40</v>
      </c>
      <c r="O280" s="10" t="str">
        <f>IF(TRIM(OrdersRawTable9[[#This Row],[Sales_Channel_Raw]])="Market place","Marketplace",TRIM(OrdersRawTable9[[#This Row],[Sales_Channel_Raw]]))</f>
        <v>Online</v>
      </c>
      <c r="P280" s="10"/>
      <c r="Q280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280" s="15" t="s">
        <v>67</v>
      </c>
      <c r="S280" t="str">
        <f>VLOOKUP(OrdersRawTable9[[#This Row],[Customer_ID_Raw]],CustomersTable11[],4,FALSE)</f>
        <v>Alberta</v>
      </c>
      <c r="T280" t="str">
        <f>VLOOKUP(OrdersRawTable9[[#This Row],[Customer_ID_Raw]],CustomersTable11[],5,FALSE)</f>
        <v>Small Business</v>
      </c>
      <c r="U280" s="45">
        <f>VLOOKUP(OrdersRawTable9[[#This Row],[Product_ID]],ProductsTable10[],4,FALSE)</f>
        <v>24.76</v>
      </c>
      <c r="V280" t="str">
        <f>VLOOKUP(OrdersRawTable9[[#This Row],[Product_ID]],ProductsTable10[],3,FALSE)</f>
        <v>Electronics</v>
      </c>
      <c r="W280" s="45">
        <f>OrdersRawTable9[[#This Row],[Unit_Price]]*OrdersRawTable9[[#This Row],[Quantity]]</f>
        <v>151.28</v>
      </c>
      <c r="X280" s="47">
        <f>OrdersRawTable9[[#This Row],[Gross_Sales]]*OrdersRawTable9[[#This Row],[Discount_Pct]]</f>
        <v>0</v>
      </c>
      <c r="Y280" s="45">
        <f>OrdersRawTable9[[#This Row],[Gross_Sales]]-OrdersRawTable9[[#This Row],[Discount_Amount]]</f>
        <v>151.28</v>
      </c>
      <c r="Z280" s="45">
        <f>OrdersRawTable9[[#This Row],[Unit_Cost]]*OrdersRawTable9[[#This Row],[Quantity]]</f>
        <v>99.04</v>
      </c>
      <c r="AA280" s="45">
        <f>OrdersRawTable9[[#This Row],[Net_Sales]]-OrdersRawTable9[[#This Row],[Total_Cost]]</f>
        <v>52.239999999999995</v>
      </c>
      <c r="AB280" s="48">
        <f>IF(OrdersRawTable9[[#This Row],[Net_Sales]]=0,0,OrdersRawTable9[[#This Row],[Profit]]/OrdersRawTable9[[#This Row],[Net_Sales]])</f>
        <v>0.34531993654151238</v>
      </c>
      <c r="AC280" s="45" t="str">
        <f>IF(COUNTIF(ReturnsRawTable[Order_Line_ID],OrdersRawTable9[[#This Row],[Order_Line_ID]])&gt;0,"Yes","No")</f>
        <v>No</v>
      </c>
      <c r="AD280" s="45" t="str">
        <f>IFERROR(VLOOKUP(OrdersRawTable9[[#This Row],[Order_Line_ID]],ReturnsRawTable[[#All],[Order_Line_ID]:[Return_Reason_Raw]],3,FALSE),"")</f>
        <v/>
      </c>
      <c r="AE280" s="49" t="str">
        <f>IFERROR(VLOOKUP(OrdersRawTable9[[#This Row],[Order_Line_ID]],ReturnsRawTable[[#All],[Order_Line_ID]:[Return_Date]],2,FALSE),"")</f>
        <v/>
      </c>
      <c r="AF280" s="45" t="str">
        <f>IFERROR(VLOOKUP(OrdersRawTable9[[#This Row],[Order_Line_ID]],ReturnsRawTable[[Order_Line_ID]:[Refund_Status]],4,FALSE),"")</f>
        <v/>
      </c>
      <c r="AG280" s="45" t="str">
        <f>VLOOKUP(OrdersRawTable9[[#This Row],[Order_ID]],ShipmentsTable[],6,FALSE)</f>
        <v>Late</v>
      </c>
      <c r="AH280" s="49">
        <f>VLOOKUP(OrdersRawTable9[[#This Row],[Order_ID]],ShipmentsTable[],3,FALSE)</f>
        <v>45695</v>
      </c>
    </row>
    <row r="281" spans="1:34" ht="15" customHeight="1">
      <c r="A281" s="14" t="s">
        <v>674</v>
      </c>
      <c r="B281" s="10" t="s">
        <v>675</v>
      </c>
      <c r="C281" s="20">
        <v>45781</v>
      </c>
      <c r="D281" s="10" t="s">
        <v>676</v>
      </c>
      <c r="E281" s="10" t="s">
        <v>677</v>
      </c>
      <c r="F281" s="10" t="str">
        <f>TRIM(LEFT(OrdersRawTable9[[#This Row],[Customer_Info]],FIND(",",OrdersRawTable9[[#This Row],[Customer_Info]])-1))</f>
        <v>Omar Ali</v>
      </c>
      <c r="G28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281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281" s="10">
        <f>LEN(OrdersRawTable9[[#This Row],[Customer_Info]])-LEN(SUBSTITUTE(OrdersRawTable9[[#This Row],[Customer_Info]],",",""))</f>
        <v>2</v>
      </c>
      <c r="J281" s="10" t="s">
        <v>270</v>
      </c>
      <c r="K281" s="23">
        <v>3</v>
      </c>
      <c r="L281" s="26">
        <v>214.38</v>
      </c>
      <c r="M281" s="29">
        <v>0</v>
      </c>
      <c r="N281" s="10" t="s">
        <v>64</v>
      </c>
      <c r="O281" s="10" t="str">
        <f>IF(TRIM(OrdersRawTable9[[#This Row],[Sales_Channel_Raw]])="Market place","Marketplace",TRIM(OrdersRawTable9[[#This Row],[Sales_Channel_Raw]]))</f>
        <v>Retail Store</v>
      </c>
      <c r="P281" s="10" t="s">
        <v>51</v>
      </c>
      <c r="Q281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281" s="15" t="s">
        <v>52</v>
      </c>
      <c r="S281" t="str">
        <f>VLOOKUP(OrdersRawTable9[[#This Row],[Customer_ID_Raw]],CustomersTable11[],4,FALSE)</f>
        <v>Quebec</v>
      </c>
      <c r="T281" t="str">
        <f>VLOOKUP(OrdersRawTable9[[#This Row],[Customer_ID_Raw]],CustomersTable11[],5,FALSE)</f>
        <v>Corporate</v>
      </c>
      <c r="U281" s="45">
        <f>VLOOKUP(OrdersRawTable9[[#This Row],[Product_ID]],ProductsTable10[],4,FALSE)</f>
        <v>131.51</v>
      </c>
      <c r="V281" t="str">
        <f>VLOOKUP(OrdersRawTable9[[#This Row],[Product_ID]],ProductsTable10[],3,FALSE)</f>
        <v>Fitness</v>
      </c>
      <c r="W281" s="45">
        <f>OrdersRawTable9[[#This Row],[Unit_Price]]*OrdersRawTable9[[#This Row],[Quantity]]</f>
        <v>643.14</v>
      </c>
      <c r="X281" s="47">
        <f>OrdersRawTable9[[#This Row],[Gross_Sales]]*OrdersRawTable9[[#This Row],[Discount_Pct]]</f>
        <v>0</v>
      </c>
      <c r="Y281" s="45">
        <f>OrdersRawTable9[[#This Row],[Gross_Sales]]-OrdersRawTable9[[#This Row],[Discount_Amount]]</f>
        <v>643.14</v>
      </c>
      <c r="Z281" s="45">
        <f>OrdersRawTable9[[#This Row],[Unit_Cost]]*OrdersRawTable9[[#This Row],[Quantity]]</f>
        <v>394.53</v>
      </c>
      <c r="AA281" s="45">
        <f>OrdersRawTable9[[#This Row],[Net_Sales]]-OrdersRawTable9[[#This Row],[Total_Cost]]</f>
        <v>248.61</v>
      </c>
      <c r="AB281" s="48">
        <f>IF(OrdersRawTable9[[#This Row],[Net_Sales]]=0,0,OrdersRawTable9[[#This Row],[Profit]]/OrdersRawTable9[[#This Row],[Net_Sales]])</f>
        <v>0.38655658177068758</v>
      </c>
      <c r="AC281" s="45" t="str">
        <f>IF(COUNTIF(ReturnsRawTable[Order_Line_ID],OrdersRawTable9[[#This Row],[Order_Line_ID]])&gt;0,"Yes","No")</f>
        <v>No</v>
      </c>
      <c r="AD281" s="45" t="str">
        <f>IFERROR(VLOOKUP(OrdersRawTable9[[#This Row],[Order_Line_ID]],ReturnsRawTable[[#All],[Order_Line_ID]:[Return_Reason_Raw]],3,FALSE),"")</f>
        <v/>
      </c>
      <c r="AE281" s="49" t="str">
        <f>IFERROR(VLOOKUP(OrdersRawTable9[[#This Row],[Order_Line_ID]],ReturnsRawTable[[#All],[Order_Line_ID]:[Return_Date]],2,FALSE),"")</f>
        <v/>
      </c>
      <c r="AF281" s="45" t="str">
        <f>IFERROR(VLOOKUP(OrdersRawTable9[[#This Row],[Order_Line_ID]],ReturnsRawTable[[Order_Line_ID]:[Refund_Status]],4,FALSE),"")</f>
        <v/>
      </c>
      <c r="AG281" s="45" t="str">
        <f>VLOOKUP(OrdersRawTable9[[#This Row],[Order_ID]],ShipmentsTable[],6,FALSE)</f>
        <v>Late</v>
      </c>
      <c r="AH281" s="49">
        <f>VLOOKUP(OrdersRawTable9[[#This Row],[Order_ID]],ShipmentsTable[],3,FALSE)</f>
        <v>45787</v>
      </c>
    </row>
    <row r="282" spans="1:34" ht="15" customHeight="1">
      <c r="A282" s="14" t="s">
        <v>678</v>
      </c>
      <c r="B282" s="10" t="s">
        <v>679</v>
      </c>
      <c r="C282" s="20">
        <v>45888</v>
      </c>
      <c r="D282" s="10" t="s">
        <v>680</v>
      </c>
      <c r="E282" s="10" t="s">
        <v>681</v>
      </c>
      <c r="F282" s="10" t="str">
        <f>TRIM(LEFT(OrdersRawTable9[[#This Row],[Customer_Info]],FIND(",",OrdersRawTable9[[#This Row],[Customer_Info]])-1))</f>
        <v>Amina Tremblay</v>
      </c>
      <c r="G28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282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282" s="10">
        <f>LEN(OrdersRawTable9[[#This Row],[Customer_Info]])-LEN(SUBSTITUTE(OrdersRawTable9[[#This Row],[Customer_Info]],",",""))</f>
        <v>2</v>
      </c>
      <c r="J282" s="10" t="s">
        <v>119</v>
      </c>
      <c r="K282" s="23">
        <v>2</v>
      </c>
      <c r="L282" s="26">
        <v>103.3</v>
      </c>
      <c r="M282" s="29">
        <v>0.05</v>
      </c>
      <c r="N282" s="10" t="s">
        <v>40</v>
      </c>
      <c r="O282" s="10" t="str">
        <f>IF(TRIM(OrdersRawTable9[[#This Row],[Sales_Channel_Raw]])="Market place","Marketplace",TRIM(OrdersRawTable9[[#This Row],[Sales_Channel_Raw]]))</f>
        <v>Online</v>
      </c>
      <c r="P282" s="10" t="s">
        <v>46</v>
      </c>
      <c r="Q282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282" s="15" t="s">
        <v>47</v>
      </c>
      <c r="S282" t="str">
        <f>VLOOKUP(OrdersRawTable9[[#This Row],[Customer_ID_Raw]],CustomersTable11[],4,FALSE)</f>
        <v>British Columbia</v>
      </c>
      <c r="T282" t="str">
        <f>VLOOKUP(OrdersRawTable9[[#This Row],[Customer_ID_Raw]],CustomersTable11[],5,FALSE)</f>
        <v>Corporate</v>
      </c>
      <c r="U282" s="45">
        <f>VLOOKUP(OrdersRawTable9[[#This Row],[Product_ID]],ProductsTable10[],4,FALSE)</f>
        <v>70.180000000000007</v>
      </c>
      <c r="V282" t="str">
        <f>VLOOKUP(OrdersRawTable9[[#This Row],[Product_ID]],ProductsTable10[],3,FALSE)</f>
        <v>Home</v>
      </c>
      <c r="W282" s="45">
        <f>OrdersRawTable9[[#This Row],[Unit_Price]]*OrdersRawTable9[[#This Row],[Quantity]]</f>
        <v>206.6</v>
      </c>
      <c r="X282" s="47">
        <f>OrdersRawTable9[[#This Row],[Gross_Sales]]*OrdersRawTable9[[#This Row],[Discount_Pct]]</f>
        <v>10.33</v>
      </c>
      <c r="Y282" s="45">
        <f>OrdersRawTable9[[#This Row],[Gross_Sales]]-OrdersRawTable9[[#This Row],[Discount_Amount]]</f>
        <v>196.26999999999998</v>
      </c>
      <c r="Z282" s="45">
        <f>OrdersRawTable9[[#This Row],[Unit_Cost]]*OrdersRawTable9[[#This Row],[Quantity]]</f>
        <v>140.36000000000001</v>
      </c>
      <c r="AA282" s="45">
        <f>OrdersRawTable9[[#This Row],[Net_Sales]]-OrdersRawTable9[[#This Row],[Total_Cost]]</f>
        <v>55.909999999999968</v>
      </c>
      <c r="AB282" s="48">
        <f>IF(OrdersRawTable9[[#This Row],[Net_Sales]]=0,0,OrdersRawTable9[[#This Row],[Profit]]/OrdersRawTable9[[#This Row],[Net_Sales]])</f>
        <v>0.28486268915269769</v>
      </c>
      <c r="AC282" s="45" t="str">
        <f>IF(COUNTIF(ReturnsRawTable[Order_Line_ID],OrdersRawTable9[[#This Row],[Order_Line_ID]])&gt;0,"Yes","No")</f>
        <v>No</v>
      </c>
      <c r="AD282" s="45" t="str">
        <f>IFERROR(VLOOKUP(OrdersRawTable9[[#This Row],[Order_Line_ID]],ReturnsRawTable[[#All],[Order_Line_ID]:[Return_Reason_Raw]],3,FALSE),"")</f>
        <v/>
      </c>
      <c r="AE282" s="49" t="str">
        <f>IFERROR(VLOOKUP(OrdersRawTable9[[#This Row],[Order_Line_ID]],ReturnsRawTable[[#All],[Order_Line_ID]:[Return_Date]],2,FALSE),"")</f>
        <v/>
      </c>
      <c r="AF282" s="45" t="str">
        <f>IFERROR(VLOOKUP(OrdersRawTable9[[#This Row],[Order_Line_ID]],ReturnsRawTable[[Order_Line_ID]:[Refund_Status]],4,FALSE),"")</f>
        <v/>
      </c>
      <c r="AG282" s="45" t="str">
        <f>VLOOKUP(OrdersRawTable9[[#This Row],[Order_ID]],ShipmentsTable[],6,FALSE)</f>
        <v>On time</v>
      </c>
      <c r="AH282" s="49">
        <f>VLOOKUP(OrdersRawTable9[[#This Row],[Order_ID]],ShipmentsTable[],3,FALSE)</f>
        <v>45890</v>
      </c>
    </row>
    <row r="283" spans="1:34" ht="15" customHeight="1">
      <c r="A283" s="14" t="s">
        <v>682</v>
      </c>
      <c r="B283" s="10" t="s">
        <v>683</v>
      </c>
      <c r="C283" s="20">
        <v>45917</v>
      </c>
      <c r="D283" s="10" t="s">
        <v>684</v>
      </c>
      <c r="E283" s="10" t="s">
        <v>685</v>
      </c>
      <c r="F283" s="10" t="str">
        <f>TRIM(LEFT(OrdersRawTable9[[#This Row],[Customer_Info]],FIND(",",OrdersRawTable9[[#This Row],[Customer_Info]])-1))</f>
        <v>Emma Martin</v>
      </c>
      <c r="G28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283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283" s="10">
        <f>LEN(OrdersRawTable9[[#This Row],[Customer_Info]])-LEN(SUBSTITUTE(OrdersRawTable9[[#This Row],[Customer_Info]],",",""))</f>
        <v>2</v>
      </c>
      <c r="J283" s="10" t="s">
        <v>150</v>
      </c>
      <c r="K283" s="23">
        <v>4</v>
      </c>
      <c r="L283" s="26">
        <v>263.04000000000002</v>
      </c>
      <c r="M283" s="29">
        <v>0</v>
      </c>
      <c r="N283" s="10" t="s">
        <v>66</v>
      </c>
      <c r="O283" s="10" t="str">
        <f>IF(TRIM(OrdersRawTable9[[#This Row],[Sales_Channel_Raw]])="Market place","Marketplace",TRIM(OrdersRawTable9[[#This Row],[Sales_Channel_Raw]]))</f>
        <v>Marketplace</v>
      </c>
      <c r="P283" s="10"/>
      <c r="Q283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283" s="15" t="s">
        <v>42</v>
      </c>
      <c r="S283" t="str">
        <f>VLOOKUP(OrdersRawTable9[[#This Row],[Customer_ID_Raw]],CustomersTable11[],4,FALSE)</f>
        <v>British Columbia</v>
      </c>
      <c r="T283" t="str">
        <f>VLOOKUP(OrdersRawTable9[[#This Row],[Customer_ID_Raw]],CustomersTable11[],5,FALSE)</f>
        <v>Consumer</v>
      </c>
      <c r="U283" s="45">
        <f>VLOOKUP(OrdersRawTable9[[#This Row],[Product_ID]],ProductsTable10[],4,FALSE)</f>
        <v>161.84</v>
      </c>
      <c r="V283" t="str">
        <f>VLOOKUP(OrdersRawTable9[[#This Row],[Product_ID]],ProductsTable10[],3,FALSE)</f>
        <v>Office</v>
      </c>
      <c r="W283" s="45">
        <f>OrdersRawTable9[[#This Row],[Unit_Price]]*OrdersRawTable9[[#This Row],[Quantity]]</f>
        <v>1052.1600000000001</v>
      </c>
      <c r="X283" s="47">
        <f>OrdersRawTable9[[#This Row],[Gross_Sales]]*OrdersRawTable9[[#This Row],[Discount_Pct]]</f>
        <v>0</v>
      </c>
      <c r="Y283" s="45">
        <f>OrdersRawTable9[[#This Row],[Gross_Sales]]-OrdersRawTable9[[#This Row],[Discount_Amount]]</f>
        <v>1052.1600000000001</v>
      </c>
      <c r="Z283" s="45">
        <f>OrdersRawTable9[[#This Row],[Unit_Cost]]*OrdersRawTable9[[#This Row],[Quantity]]</f>
        <v>647.36</v>
      </c>
      <c r="AA283" s="45">
        <f>OrdersRawTable9[[#This Row],[Net_Sales]]-OrdersRawTable9[[#This Row],[Total_Cost]]</f>
        <v>404.80000000000007</v>
      </c>
      <c r="AB283" s="48">
        <f>IF(OrdersRawTable9[[#This Row],[Net_Sales]]=0,0,OrdersRawTable9[[#This Row],[Profit]]/OrdersRawTable9[[#This Row],[Net_Sales]])</f>
        <v>0.38473236009732364</v>
      </c>
      <c r="AC283" s="45" t="str">
        <f>IF(COUNTIF(ReturnsRawTable[Order_Line_ID],OrdersRawTable9[[#This Row],[Order_Line_ID]])&gt;0,"Yes","No")</f>
        <v>No</v>
      </c>
      <c r="AD283" s="45" t="str">
        <f>IFERROR(VLOOKUP(OrdersRawTable9[[#This Row],[Order_Line_ID]],ReturnsRawTable[[#All],[Order_Line_ID]:[Return_Reason_Raw]],3,FALSE),"")</f>
        <v/>
      </c>
      <c r="AE283" s="49" t="str">
        <f>IFERROR(VLOOKUP(OrdersRawTable9[[#This Row],[Order_Line_ID]],ReturnsRawTable[[#All],[Order_Line_ID]:[Return_Date]],2,FALSE),"")</f>
        <v/>
      </c>
      <c r="AF283" s="45" t="str">
        <f>IFERROR(VLOOKUP(OrdersRawTable9[[#This Row],[Order_Line_ID]],ReturnsRawTable[[Order_Line_ID]:[Refund_Status]],4,FALSE),"")</f>
        <v/>
      </c>
      <c r="AG283" s="45" t="str">
        <f>VLOOKUP(OrdersRawTable9[[#This Row],[Order_ID]],ShipmentsTable[],6,FALSE)</f>
        <v>Late</v>
      </c>
      <c r="AH283" s="49">
        <f>VLOOKUP(OrdersRawTable9[[#This Row],[Order_ID]],ShipmentsTable[],3,FALSE)</f>
        <v>45921</v>
      </c>
    </row>
    <row r="284" spans="1:34" ht="15" customHeight="1">
      <c r="A284" s="14" t="s">
        <v>686</v>
      </c>
      <c r="B284" s="10" t="s">
        <v>683</v>
      </c>
      <c r="C284" s="20">
        <v>45917</v>
      </c>
      <c r="D284" s="10" t="s">
        <v>684</v>
      </c>
      <c r="E284" s="10" t="s">
        <v>685</v>
      </c>
      <c r="F284" s="10" t="str">
        <f>TRIM(LEFT(OrdersRawTable9[[#This Row],[Customer_Info]],FIND(",",OrdersRawTable9[[#This Row],[Customer_Info]])-1))</f>
        <v>Emma Martin</v>
      </c>
      <c r="G28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284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284" s="10">
        <f>LEN(OrdersRawTable9[[#This Row],[Customer_Info]])-LEN(SUBSTITUTE(OrdersRawTable9[[#This Row],[Customer_Info]],",",""))</f>
        <v>2</v>
      </c>
      <c r="J284" s="10" t="s">
        <v>270</v>
      </c>
      <c r="K284" s="23">
        <v>4</v>
      </c>
      <c r="L284" s="26">
        <v>214.38</v>
      </c>
      <c r="M284" s="29">
        <v>0.15</v>
      </c>
      <c r="N284" s="10" t="s">
        <v>50</v>
      </c>
      <c r="O284" s="10" t="str">
        <f>IF(TRIM(OrdersRawTable9[[#This Row],[Sales_Channel_Raw]])="Market place","Marketplace",TRIM(OrdersRawTable9[[#This Row],[Sales_Channel_Raw]]))</f>
        <v>Marketplace</v>
      </c>
      <c r="P284" s="10" t="s">
        <v>51</v>
      </c>
      <c r="Q284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284" s="15" t="s">
        <v>101</v>
      </c>
      <c r="S284" t="str">
        <f>VLOOKUP(OrdersRawTable9[[#This Row],[Customer_ID_Raw]],CustomersTable11[],4,FALSE)</f>
        <v>British Columbia</v>
      </c>
      <c r="T284" t="str">
        <f>VLOOKUP(OrdersRawTable9[[#This Row],[Customer_ID_Raw]],CustomersTable11[],5,FALSE)</f>
        <v>Consumer</v>
      </c>
      <c r="U284" s="45">
        <f>VLOOKUP(OrdersRawTable9[[#This Row],[Product_ID]],ProductsTable10[],4,FALSE)</f>
        <v>131.51</v>
      </c>
      <c r="V284" t="str">
        <f>VLOOKUP(OrdersRawTable9[[#This Row],[Product_ID]],ProductsTable10[],3,FALSE)</f>
        <v>Fitness</v>
      </c>
      <c r="W284" s="45">
        <f>OrdersRawTable9[[#This Row],[Unit_Price]]*OrdersRawTable9[[#This Row],[Quantity]]</f>
        <v>857.52</v>
      </c>
      <c r="X284" s="47">
        <f>OrdersRawTable9[[#This Row],[Gross_Sales]]*OrdersRawTable9[[#This Row],[Discount_Pct]]</f>
        <v>128.62799999999999</v>
      </c>
      <c r="Y284" s="45">
        <f>OrdersRawTable9[[#This Row],[Gross_Sales]]-OrdersRawTable9[[#This Row],[Discount_Amount]]</f>
        <v>728.89200000000005</v>
      </c>
      <c r="Z284" s="45">
        <f>OrdersRawTable9[[#This Row],[Unit_Cost]]*OrdersRawTable9[[#This Row],[Quantity]]</f>
        <v>526.04</v>
      </c>
      <c r="AA284" s="45">
        <f>OrdersRawTable9[[#This Row],[Net_Sales]]-OrdersRawTable9[[#This Row],[Total_Cost]]</f>
        <v>202.85200000000009</v>
      </c>
      <c r="AB284" s="48">
        <f>IF(OrdersRawTable9[[#This Row],[Net_Sales]]=0,0,OrdersRawTable9[[#This Row],[Profit]]/OrdersRawTable9[[#This Row],[Net_Sales]])</f>
        <v>0.27830186090669135</v>
      </c>
      <c r="AC284" s="45" t="str">
        <f>IF(COUNTIF(ReturnsRawTable[Order_Line_ID],OrdersRawTable9[[#This Row],[Order_Line_ID]])&gt;0,"Yes","No")</f>
        <v>No</v>
      </c>
      <c r="AD284" s="45" t="str">
        <f>IFERROR(VLOOKUP(OrdersRawTable9[[#This Row],[Order_Line_ID]],ReturnsRawTable[[#All],[Order_Line_ID]:[Return_Reason_Raw]],3,FALSE),"")</f>
        <v/>
      </c>
      <c r="AE284" s="49" t="str">
        <f>IFERROR(VLOOKUP(OrdersRawTable9[[#This Row],[Order_Line_ID]],ReturnsRawTable[[#All],[Order_Line_ID]:[Return_Date]],2,FALSE),"")</f>
        <v/>
      </c>
      <c r="AF284" s="45" t="str">
        <f>IFERROR(VLOOKUP(OrdersRawTable9[[#This Row],[Order_Line_ID]],ReturnsRawTable[[Order_Line_ID]:[Refund_Status]],4,FALSE),"")</f>
        <v/>
      </c>
      <c r="AG284" s="45" t="str">
        <f>VLOOKUP(OrdersRawTable9[[#This Row],[Order_ID]],ShipmentsTable[],6,FALSE)</f>
        <v>Late</v>
      </c>
      <c r="AH284" s="49">
        <f>VLOOKUP(OrdersRawTable9[[#This Row],[Order_ID]],ShipmentsTable[],3,FALSE)</f>
        <v>45921</v>
      </c>
    </row>
    <row r="285" spans="1:34" ht="15" customHeight="1">
      <c r="A285" s="14" t="s">
        <v>687</v>
      </c>
      <c r="B285" s="10" t="s">
        <v>683</v>
      </c>
      <c r="C285" s="20">
        <v>45917</v>
      </c>
      <c r="D285" s="10" t="s">
        <v>684</v>
      </c>
      <c r="E285" s="10" t="s">
        <v>685</v>
      </c>
      <c r="F285" s="10" t="str">
        <f>TRIM(LEFT(OrdersRawTable9[[#This Row],[Customer_Info]],FIND(",",OrdersRawTable9[[#This Row],[Customer_Info]])-1))</f>
        <v>Emma Martin</v>
      </c>
      <c r="G28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285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285" s="10">
        <f>LEN(OrdersRawTable9[[#This Row],[Customer_Info]])-LEN(SUBSTITUTE(OrdersRawTable9[[#This Row],[Customer_Info]],",",""))</f>
        <v>2</v>
      </c>
      <c r="J285" s="10" t="s">
        <v>241</v>
      </c>
      <c r="K285" s="23">
        <v>4</v>
      </c>
      <c r="L285" s="26">
        <v>300.56</v>
      </c>
      <c r="M285" s="29">
        <v>0.05</v>
      </c>
      <c r="N285" s="10" t="s">
        <v>45</v>
      </c>
      <c r="O285" s="10" t="str">
        <f>IF(TRIM(OrdersRawTable9[[#This Row],[Sales_Channel_Raw]])="Market place","Marketplace",TRIM(OrdersRawTable9[[#This Row],[Sales_Channel_Raw]]))</f>
        <v>Retail Store</v>
      </c>
      <c r="P285" s="10" t="s">
        <v>41</v>
      </c>
      <c r="Q285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285" s="15" t="s">
        <v>42</v>
      </c>
      <c r="S285" t="str">
        <f>VLOOKUP(OrdersRawTable9[[#This Row],[Customer_ID_Raw]],CustomersTable11[],4,FALSE)</f>
        <v>British Columbia</v>
      </c>
      <c r="T285" t="str">
        <f>VLOOKUP(OrdersRawTable9[[#This Row],[Customer_ID_Raw]],CustomersTable11[],5,FALSE)</f>
        <v>Consumer</v>
      </c>
      <c r="U285" s="45">
        <f>VLOOKUP(OrdersRawTable9[[#This Row],[Product_ID]],ProductsTable10[],4,FALSE)</f>
        <v>158.86000000000001</v>
      </c>
      <c r="V285" t="str">
        <f>VLOOKUP(OrdersRawTable9[[#This Row],[Product_ID]],ProductsTable10[],3,FALSE)</f>
        <v>Accessories</v>
      </c>
      <c r="W285" s="45">
        <f>OrdersRawTable9[[#This Row],[Unit_Price]]*OrdersRawTable9[[#This Row],[Quantity]]</f>
        <v>1202.24</v>
      </c>
      <c r="X285" s="47">
        <f>OrdersRawTable9[[#This Row],[Gross_Sales]]*OrdersRawTable9[[#This Row],[Discount_Pct]]</f>
        <v>60.112000000000002</v>
      </c>
      <c r="Y285" s="45">
        <f>OrdersRawTable9[[#This Row],[Gross_Sales]]-OrdersRawTable9[[#This Row],[Discount_Amount]]</f>
        <v>1142.1279999999999</v>
      </c>
      <c r="Z285" s="45">
        <f>OrdersRawTable9[[#This Row],[Unit_Cost]]*OrdersRawTable9[[#This Row],[Quantity]]</f>
        <v>635.44000000000005</v>
      </c>
      <c r="AA285" s="45">
        <f>OrdersRawTable9[[#This Row],[Net_Sales]]-OrdersRawTable9[[#This Row],[Total_Cost]]</f>
        <v>506.68799999999987</v>
      </c>
      <c r="AB285" s="48">
        <f>IF(OrdersRawTable9[[#This Row],[Net_Sales]]=0,0,OrdersRawTable9[[#This Row],[Profit]]/OrdersRawTable9[[#This Row],[Net_Sales]])</f>
        <v>0.44363503915498081</v>
      </c>
      <c r="AC285" s="45" t="str">
        <f>IF(COUNTIF(ReturnsRawTable[Order_Line_ID],OrdersRawTable9[[#This Row],[Order_Line_ID]])&gt;0,"Yes","No")</f>
        <v>No</v>
      </c>
      <c r="AD285" s="45" t="str">
        <f>IFERROR(VLOOKUP(OrdersRawTable9[[#This Row],[Order_Line_ID]],ReturnsRawTable[[#All],[Order_Line_ID]:[Return_Reason_Raw]],3,FALSE),"")</f>
        <v/>
      </c>
      <c r="AE285" s="49" t="str">
        <f>IFERROR(VLOOKUP(OrdersRawTable9[[#This Row],[Order_Line_ID]],ReturnsRawTable[[#All],[Order_Line_ID]:[Return_Date]],2,FALSE),"")</f>
        <v/>
      </c>
      <c r="AF285" s="45" t="str">
        <f>IFERROR(VLOOKUP(OrdersRawTable9[[#This Row],[Order_Line_ID]],ReturnsRawTable[[Order_Line_ID]:[Refund_Status]],4,FALSE),"")</f>
        <v/>
      </c>
      <c r="AG285" s="45" t="str">
        <f>VLOOKUP(OrdersRawTable9[[#This Row],[Order_ID]],ShipmentsTable[],6,FALSE)</f>
        <v>Late</v>
      </c>
      <c r="AH285" s="49">
        <f>VLOOKUP(OrdersRawTable9[[#This Row],[Order_ID]],ShipmentsTable[],3,FALSE)</f>
        <v>45921</v>
      </c>
    </row>
    <row r="286" spans="1:34" ht="15" customHeight="1">
      <c r="A286" s="14" t="s">
        <v>688</v>
      </c>
      <c r="B286" s="10" t="s">
        <v>683</v>
      </c>
      <c r="C286" s="20">
        <v>45917</v>
      </c>
      <c r="D286" s="10" t="s">
        <v>684</v>
      </c>
      <c r="E286" s="10" t="s">
        <v>685</v>
      </c>
      <c r="F286" s="10" t="str">
        <f>TRIM(LEFT(OrdersRawTable9[[#This Row],[Customer_Info]],FIND(",",OrdersRawTable9[[#This Row],[Customer_Info]])-1))</f>
        <v>Emma Martin</v>
      </c>
      <c r="G28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286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286" s="10">
        <f>LEN(OrdersRawTable9[[#This Row],[Customer_Info]])-LEN(SUBSTITUTE(OrdersRawTable9[[#This Row],[Customer_Info]],",",""))</f>
        <v>2</v>
      </c>
      <c r="J286" s="10" t="s">
        <v>303</v>
      </c>
      <c r="K286" s="23">
        <v>2</v>
      </c>
      <c r="L286" s="26">
        <v>72.81</v>
      </c>
      <c r="M286" s="29">
        <v>0.15</v>
      </c>
      <c r="N286" s="10" t="s">
        <v>66</v>
      </c>
      <c r="O286" s="10" t="str">
        <f>IF(TRIM(OrdersRawTable9[[#This Row],[Sales_Channel_Raw]])="Market place","Marketplace",TRIM(OrdersRawTable9[[#This Row],[Sales_Channel_Raw]]))</f>
        <v>Marketplace</v>
      </c>
      <c r="P286" s="10" t="s">
        <v>58</v>
      </c>
      <c r="Q286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286" s="15" t="s">
        <v>52</v>
      </c>
      <c r="S286" t="str">
        <f>VLOOKUP(OrdersRawTable9[[#This Row],[Customer_ID_Raw]],CustomersTable11[],4,FALSE)</f>
        <v>British Columbia</v>
      </c>
      <c r="T286" t="str">
        <f>VLOOKUP(OrdersRawTable9[[#This Row],[Customer_ID_Raw]],CustomersTable11[],5,FALSE)</f>
        <v>Consumer</v>
      </c>
      <c r="U286" s="45">
        <f>VLOOKUP(OrdersRawTable9[[#This Row],[Product_ID]],ProductsTable10[],4,FALSE)</f>
        <v>37.99</v>
      </c>
      <c r="V286" t="str">
        <f>VLOOKUP(OrdersRawTable9[[#This Row],[Product_ID]],ProductsTable10[],3,FALSE)</f>
        <v>Accessories</v>
      </c>
      <c r="W286" s="45">
        <f>OrdersRawTable9[[#This Row],[Unit_Price]]*OrdersRawTable9[[#This Row],[Quantity]]</f>
        <v>145.62</v>
      </c>
      <c r="X286" s="47">
        <f>OrdersRawTable9[[#This Row],[Gross_Sales]]*OrdersRawTable9[[#This Row],[Discount_Pct]]</f>
        <v>21.843</v>
      </c>
      <c r="Y286" s="45">
        <f>OrdersRawTable9[[#This Row],[Gross_Sales]]-OrdersRawTable9[[#This Row],[Discount_Amount]]</f>
        <v>123.777</v>
      </c>
      <c r="Z286" s="45">
        <f>OrdersRawTable9[[#This Row],[Unit_Cost]]*OrdersRawTable9[[#This Row],[Quantity]]</f>
        <v>75.98</v>
      </c>
      <c r="AA286" s="45">
        <f>OrdersRawTable9[[#This Row],[Net_Sales]]-OrdersRawTable9[[#This Row],[Total_Cost]]</f>
        <v>47.796999999999997</v>
      </c>
      <c r="AB286" s="48">
        <f>IF(OrdersRawTable9[[#This Row],[Net_Sales]]=0,0,OrdersRawTable9[[#This Row],[Profit]]/OrdersRawTable9[[#This Row],[Net_Sales]])</f>
        <v>0.38615413202775956</v>
      </c>
      <c r="AC286" s="45" t="str">
        <f>IF(COUNTIF(ReturnsRawTable[Order_Line_ID],OrdersRawTable9[[#This Row],[Order_Line_ID]])&gt;0,"Yes","No")</f>
        <v>No</v>
      </c>
      <c r="AD286" s="45" t="str">
        <f>IFERROR(VLOOKUP(OrdersRawTable9[[#This Row],[Order_Line_ID]],ReturnsRawTable[[#All],[Order_Line_ID]:[Return_Reason_Raw]],3,FALSE),"")</f>
        <v/>
      </c>
      <c r="AE286" s="49" t="str">
        <f>IFERROR(VLOOKUP(OrdersRawTable9[[#This Row],[Order_Line_ID]],ReturnsRawTable[[#All],[Order_Line_ID]:[Return_Date]],2,FALSE),"")</f>
        <v/>
      </c>
      <c r="AF286" s="45" t="str">
        <f>IFERROR(VLOOKUP(OrdersRawTable9[[#This Row],[Order_Line_ID]],ReturnsRawTable[[Order_Line_ID]:[Refund_Status]],4,FALSE),"")</f>
        <v/>
      </c>
      <c r="AG286" s="45" t="str">
        <f>VLOOKUP(OrdersRawTable9[[#This Row],[Order_ID]],ShipmentsTable[],6,FALSE)</f>
        <v>Late</v>
      </c>
      <c r="AH286" s="49">
        <f>VLOOKUP(OrdersRawTable9[[#This Row],[Order_ID]],ShipmentsTable[],3,FALSE)</f>
        <v>45921</v>
      </c>
    </row>
    <row r="287" spans="1:34" ht="15" customHeight="1">
      <c r="A287" s="14" t="s">
        <v>689</v>
      </c>
      <c r="B287" s="10" t="s">
        <v>690</v>
      </c>
      <c r="C287" s="20">
        <v>45827</v>
      </c>
      <c r="D287" s="10" t="s">
        <v>437</v>
      </c>
      <c r="E287" s="10" t="s">
        <v>438</v>
      </c>
      <c r="F287" s="10" t="str">
        <f>TRIM(LEFT(OrdersRawTable9[[#This Row],[Customer_Info]],FIND(",",OrdersRawTable9[[#This Row],[Customer_Info]])-1))</f>
        <v>Sara Dubois</v>
      </c>
      <c r="G28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287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287" s="10">
        <f>LEN(OrdersRawTable9[[#This Row],[Customer_Info]])-LEN(SUBSTITUTE(OrdersRawTable9[[#This Row],[Customer_Info]],",",""))</f>
        <v>2</v>
      </c>
      <c r="J287" s="10" t="s">
        <v>150</v>
      </c>
      <c r="K287" s="23">
        <v>3</v>
      </c>
      <c r="L287" s="26">
        <v>263.04000000000002</v>
      </c>
      <c r="M287" s="29">
        <v>0.1</v>
      </c>
      <c r="N287" s="10" t="s">
        <v>66</v>
      </c>
      <c r="O287" s="10" t="str">
        <f>IF(TRIM(OrdersRawTable9[[#This Row],[Sales_Channel_Raw]])="Market place","Marketplace",TRIM(OrdersRawTable9[[#This Row],[Sales_Channel_Raw]]))</f>
        <v>Marketplace</v>
      </c>
      <c r="P287" s="10" t="s">
        <v>98</v>
      </c>
      <c r="Q287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287" s="15" t="s">
        <v>42</v>
      </c>
      <c r="S287" t="str">
        <f>VLOOKUP(OrdersRawTable9[[#This Row],[Customer_ID_Raw]],CustomersTable11[],4,FALSE)</f>
        <v>Alberta</v>
      </c>
      <c r="T287" t="str">
        <f>VLOOKUP(OrdersRawTable9[[#This Row],[Customer_ID_Raw]],CustomersTable11[],5,FALSE)</f>
        <v>Consumer</v>
      </c>
      <c r="U287" s="45">
        <f>VLOOKUP(OrdersRawTable9[[#This Row],[Product_ID]],ProductsTable10[],4,FALSE)</f>
        <v>161.84</v>
      </c>
      <c r="V287" t="str">
        <f>VLOOKUP(OrdersRawTable9[[#This Row],[Product_ID]],ProductsTable10[],3,FALSE)</f>
        <v>Office</v>
      </c>
      <c r="W287" s="45">
        <f>OrdersRawTable9[[#This Row],[Unit_Price]]*OrdersRawTable9[[#This Row],[Quantity]]</f>
        <v>789.12000000000012</v>
      </c>
      <c r="X287" s="47">
        <f>OrdersRawTable9[[#This Row],[Gross_Sales]]*OrdersRawTable9[[#This Row],[Discount_Pct]]</f>
        <v>78.91200000000002</v>
      </c>
      <c r="Y287" s="45">
        <f>OrdersRawTable9[[#This Row],[Gross_Sales]]-OrdersRawTable9[[#This Row],[Discount_Amount]]</f>
        <v>710.20800000000008</v>
      </c>
      <c r="Z287" s="45">
        <f>OrdersRawTable9[[#This Row],[Unit_Cost]]*OrdersRawTable9[[#This Row],[Quantity]]</f>
        <v>485.52</v>
      </c>
      <c r="AA287" s="45">
        <f>OrdersRawTable9[[#This Row],[Net_Sales]]-OrdersRawTable9[[#This Row],[Total_Cost]]</f>
        <v>224.6880000000001</v>
      </c>
      <c r="AB287" s="48">
        <f>IF(OrdersRawTable9[[#This Row],[Net_Sales]]=0,0,OrdersRawTable9[[#This Row],[Profit]]/OrdersRawTable9[[#This Row],[Net_Sales]])</f>
        <v>0.31636928899702632</v>
      </c>
      <c r="AC287" s="45" t="str">
        <f>IF(COUNTIF(ReturnsRawTable[Order_Line_ID],OrdersRawTable9[[#This Row],[Order_Line_ID]])&gt;0,"Yes","No")</f>
        <v>Yes</v>
      </c>
      <c r="AD287" s="45" t="str">
        <f>IFERROR(VLOOKUP(OrdersRawTable9[[#This Row],[Order_Line_ID]],ReturnsRawTable[[#All],[Order_Line_ID]:[Return_Reason_Raw]],3,FALSE),"")</f>
        <v>Wrong Item</v>
      </c>
      <c r="AE287" s="49">
        <f>IFERROR(VLOOKUP(OrdersRawTable9[[#This Row],[Order_Line_ID]],ReturnsRawTable[[#All],[Order_Line_ID]:[Return_Date]],2,FALSE),"")</f>
        <v>45843</v>
      </c>
      <c r="AF287" s="45" t="str">
        <f>IFERROR(VLOOKUP(OrdersRawTable9[[#This Row],[Order_Line_ID]],ReturnsRawTable[[Order_Line_ID]:[Refund_Status]],4,FALSE),"")</f>
        <v>Pending</v>
      </c>
      <c r="AG287" s="45" t="str">
        <f>VLOOKUP(OrdersRawTable9[[#This Row],[Order_ID]],ShipmentsTable[],6,FALSE)</f>
        <v>Late</v>
      </c>
      <c r="AH287" s="49">
        <f>VLOOKUP(OrdersRawTable9[[#This Row],[Order_ID]],ShipmentsTable[],3,FALSE)</f>
        <v>45836</v>
      </c>
    </row>
    <row r="288" spans="1:34" ht="15" customHeight="1">
      <c r="A288" s="14" t="s">
        <v>691</v>
      </c>
      <c r="B288" s="10" t="s">
        <v>690</v>
      </c>
      <c r="C288" s="20">
        <v>45827</v>
      </c>
      <c r="D288" s="10" t="s">
        <v>437</v>
      </c>
      <c r="E288" s="10" t="s">
        <v>438</v>
      </c>
      <c r="F288" s="10" t="str">
        <f>TRIM(LEFT(OrdersRawTable9[[#This Row],[Customer_Info]],FIND(",",OrdersRawTable9[[#This Row],[Customer_Info]])-1))</f>
        <v>Sara Dubois</v>
      </c>
      <c r="G28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288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288" s="10">
        <f>LEN(OrdersRawTable9[[#This Row],[Customer_Info]])-LEN(SUBSTITUTE(OrdersRawTable9[[#This Row],[Customer_Info]],",",""))</f>
        <v>2</v>
      </c>
      <c r="J288" s="10" t="s">
        <v>77</v>
      </c>
      <c r="K288" s="23">
        <v>2</v>
      </c>
      <c r="L288" s="26">
        <v>34.909999999999997</v>
      </c>
      <c r="M288" s="29">
        <v>0.1</v>
      </c>
      <c r="N288" s="10" t="s">
        <v>45</v>
      </c>
      <c r="O288" s="10" t="str">
        <f>IF(TRIM(OrdersRawTable9[[#This Row],[Sales_Channel_Raw]])="Market place","Marketplace",TRIM(OrdersRawTable9[[#This Row],[Sales_Channel_Raw]]))</f>
        <v>Retail Store</v>
      </c>
      <c r="P288" s="10" t="s">
        <v>98</v>
      </c>
      <c r="Q288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288" s="15" t="s">
        <v>52</v>
      </c>
      <c r="S288" t="str">
        <f>VLOOKUP(OrdersRawTable9[[#This Row],[Customer_ID_Raw]],CustomersTable11[],4,FALSE)</f>
        <v>Alberta</v>
      </c>
      <c r="T288" t="str">
        <f>VLOOKUP(OrdersRawTable9[[#This Row],[Customer_ID_Raw]],CustomersTable11[],5,FALSE)</f>
        <v>Consumer</v>
      </c>
      <c r="U288" s="45">
        <f>VLOOKUP(OrdersRawTable9[[#This Row],[Product_ID]],ProductsTable10[],4,FALSE)</f>
        <v>19.670000000000002</v>
      </c>
      <c r="V288" t="str">
        <f>VLOOKUP(OrdersRawTable9[[#This Row],[Product_ID]],ProductsTable10[],3,FALSE)</f>
        <v>Accessories</v>
      </c>
      <c r="W288" s="45">
        <f>OrdersRawTable9[[#This Row],[Unit_Price]]*OrdersRawTable9[[#This Row],[Quantity]]</f>
        <v>69.819999999999993</v>
      </c>
      <c r="X288" s="47">
        <f>OrdersRawTable9[[#This Row],[Gross_Sales]]*OrdersRawTable9[[#This Row],[Discount_Pct]]</f>
        <v>6.9819999999999993</v>
      </c>
      <c r="Y288" s="45">
        <f>OrdersRawTable9[[#This Row],[Gross_Sales]]-OrdersRawTable9[[#This Row],[Discount_Amount]]</f>
        <v>62.837999999999994</v>
      </c>
      <c r="Z288" s="45">
        <f>OrdersRawTable9[[#This Row],[Unit_Cost]]*OrdersRawTable9[[#This Row],[Quantity]]</f>
        <v>39.340000000000003</v>
      </c>
      <c r="AA288" s="45">
        <f>OrdersRawTable9[[#This Row],[Net_Sales]]-OrdersRawTable9[[#This Row],[Total_Cost]]</f>
        <v>23.49799999999999</v>
      </c>
      <c r="AB288" s="48">
        <f>IF(OrdersRawTable9[[#This Row],[Net_Sales]]=0,0,OrdersRawTable9[[#This Row],[Profit]]/OrdersRawTable9[[#This Row],[Net_Sales]])</f>
        <v>0.37394570164550101</v>
      </c>
      <c r="AC288" s="45" t="str">
        <f>IF(COUNTIF(ReturnsRawTable[Order_Line_ID],OrdersRawTable9[[#This Row],[Order_Line_ID]])&gt;0,"Yes","No")</f>
        <v>No</v>
      </c>
      <c r="AD288" s="45" t="str">
        <f>IFERROR(VLOOKUP(OrdersRawTable9[[#This Row],[Order_Line_ID]],ReturnsRawTable[[#All],[Order_Line_ID]:[Return_Reason_Raw]],3,FALSE),"")</f>
        <v/>
      </c>
      <c r="AE288" s="49" t="str">
        <f>IFERROR(VLOOKUP(OrdersRawTable9[[#This Row],[Order_Line_ID]],ReturnsRawTable[[#All],[Order_Line_ID]:[Return_Date]],2,FALSE),"")</f>
        <v/>
      </c>
      <c r="AF288" s="45" t="str">
        <f>IFERROR(VLOOKUP(OrdersRawTable9[[#This Row],[Order_Line_ID]],ReturnsRawTable[[Order_Line_ID]:[Refund_Status]],4,FALSE),"")</f>
        <v/>
      </c>
      <c r="AG288" s="45" t="str">
        <f>VLOOKUP(OrdersRawTable9[[#This Row],[Order_ID]],ShipmentsTable[],6,FALSE)</f>
        <v>Late</v>
      </c>
      <c r="AH288" s="49">
        <f>VLOOKUP(OrdersRawTable9[[#This Row],[Order_ID]],ShipmentsTable[],3,FALSE)</f>
        <v>45836</v>
      </c>
    </row>
    <row r="289" spans="1:34" ht="15" customHeight="1">
      <c r="A289" s="14" t="s">
        <v>692</v>
      </c>
      <c r="B289" s="10" t="s">
        <v>693</v>
      </c>
      <c r="C289" s="20">
        <v>45704</v>
      </c>
      <c r="D289" s="10" t="s">
        <v>694</v>
      </c>
      <c r="E289" s="10" t="s">
        <v>695</v>
      </c>
      <c r="F289" s="10" t="str">
        <f>TRIM(LEFT(OrdersRawTable9[[#This Row],[Customer_Info]],FIND(",",OrdersRawTable9[[#This Row],[Customer_Info]])-1))</f>
        <v>Adam Brown</v>
      </c>
      <c r="G28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289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89" s="10">
        <f>LEN(OrdersRawTable9[[#This Row],[Customer_Info]])-LEN(SUBSTITUTE(OrdersRawTable9[[#This Row],[Customer_Info]],",",""))</f>
        <v>2</v>
      </c>
      <c r="J289" s="10" t="s">
        <v>130</v>
      </c>
      <c r="K289" s="23">
        <v>1</v>
      </c>
      <c r="L289" s="26">
        <v>265.73</v>
      </c>
      <c r="M289" s="29">
        <v>0</v>
      </c>
      <c r="N289" s="10" t="s">
        <v>66</v>
      </c>
      <c r="O289" s="10" t="str">
        <f>IF(TRIM(OrdersRawTable9[[#This Row],[Sales_Channel_Raw]])="Market place","Marketplace",TRIM(OrdersRawTable9[[#This Row],[Sales_Channel_Raw]]))</f>
        <v>Marketplace</v>
      </c>
      <c r="P289" s="10" t="s">
        <v>58</v>
      </c>
      <c r="Q289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289" s="15" t="s">
        <v>42</v>
      </c>
      <c r="S289" t="str">
        <f>VLOOKUP(OrdersRawTable9[[#This Row],[Customer_ID_Raw]],CustomersTable11[],4,FALSE)</f>
        <v>Quebec</v>
      </c>
      <c r="T289" t="str">
        <f>VLOOKUP(OrdersRawTable9[[#This Row],[Customer_ID_Raw]],CustomersTable11[],5,FALSE)</f>
        <v>Small Business</v>
      </c>
      <c r="U289" s="45">
        <f>VLOOKUP(OrdersRawTable9[[#This Row],[Product_ID]],ProductsTable10[],4,FALSE)</f>
        <v>154.16999999999999</v>
      </c>
      <c r="V289" t="str">
        <f>VLOOKUP(OrdersRawTable9[[#This Row],[Product_ID]],ProductsTable10[],3,FALSE)</f>
        <v>Electronics</v>
      </c>
      <c r="W289" s="45">
        <f>OrdersRawTable9[[#This Row],[Unit_Price]]*OrdersRawTable9[[#This Row],[Quantity]]</f>
        <v>265.73</v>
      </c>
      <c r="X289" s="47">
        <f>OrdersRawTable9[[#This Row],[Gross_Sales]]*OrdersRawTable9[[#This Row],[Discount_Pct]]</f>
        <v>0</v>
      </c>
      <c r="Y289" s="45">
        <f>OrdersRawTable9[[#This Row],[Gross_Sales]]-OrdersRawTable9[[#This Row],[Discount_Amount]]</f>
        <v>265.73</v>
      </c>
      <c r="Z289" s="45">
        <f>OrdersRawTable9[[#This Row],[Unit_Cost]]*OrdersRawTable9[[#This Row],[Quantity]]</f>
        <v>154.16999999999999</v>
      </c>
      <c r="AA289" s="45">
        <f>OrdersRawTable9[[#This Row],[Net_Sales]]-OrdersRawTable9[[#This Row],[Total_Cost]]</f>
        <v>111.56000000000003</v>
      </c>
      <c r="AB289" s="48">
        <f>IF(OrdersRawTable9[[#This Row],[Net_Sales]]=0,0,OrdersRawTable9[[#This Row],[Profit]]/OrdersRawTable9[[#This Row],[Net_Sales]])</f>
        <v>0.41982463402701997</v>
      </c>
      <c r="AC289" s="45" t="str">
        <f>IF(COUNTIF(ReturnsRawTable[Order_Line_ID],OrdersRawTable9[[#This Row],[Order_Line_ID]])&gt;0,"Yes","No")</f>
        <v>No</v>
      </c>
      <c r="AD289" s="45" t="str">
        <f>IFERROR(VLOOKUP(OrdersRawTable9[[#This Row],[Order_Line_ID]],ReturnsRawTable[[#All],[Order_Line_ID]:[Return_Reason_Raw]],3,FALSE),"")</f>
        <v/>
      </c>
      <c r="AE289" s="49" t="str">
        <f>IFERROR(VLOOKUP(OrdersRawTable9[[#This Row],[Order_Line_ID]],ReturnsRawTable[[#All],[Order_Line_ID]:[Return_Date]],2,FALSE),"")</f>
        <v/>
      </c>
      <c r="AF289" s="45" t="str">
        <f>IFERROR(VLOOKUP(OrdersRawTable9[[#This Row],[Order_Line_ID]],ReturnsRawTable[[Order_Line_ID]:[Refund_Status]],4,FALSE),"")</f>
        <v/>
      </c>
      <c r="AG289" s="45" t="str">
        <f>VLOOKUP(OrdersRawTable9[[#This Row],[Order_ID]],ShipmentsTable[],6,FALSE)</f>
        <v>On time</v>
      </c>
      <c r="AH289" s="49">
        <f>VLOOKUP(OrdersRawTable9[[#This Row],[Order_ID]],ShipmentsTable[],3,FALSE)</f>
        <v>45707</v>
      </c>
    </row>
    <row r="290" spans="1:34" ht="15" customHeight="1">
      <c r="A290" s="14" t="s">
        <v>696</v>
      </c>
      <c r="B290" s="10" t="s">
        <v>693</v>
      </c>
      <c r="C290" s="20">
        <v>45704</v>
      </c>
      <c r="D290" s="10" t="s">
        <v>697</v>
      </c>
      <c r="E290" s="10" t="s">
        <v>695</v>
      </c>
      <c r="F290" s="10" t="str">
        <f>TRIM(LEFT(OrdersRawTable9[[#This Row],[Customer_Info]],FIND(",",OrdersRawTable9[[#This Row],[Customer_Info]])-1))</f>
        <v>Adam Brown</v>
      </c>
      <c r="G29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290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90" s="10">
        <f>LEN(OrdersRawTable9[[#This Row],[Customer_Info]])-LEN(SUBSTITUTE(OrdersRawTable9[[#This Row],[Customer_Info]],",",""))</f>
        <v>2</v>
      </c>
      <c r="J290" s="10" t="s">
        <v>72</v>
      </c>
      <c r="K290" s="23">
        <v>1</v>
      </c>
      <c r="L290" s="26">
        <v>210.2</v>
      </c>
      <c r="M290" s="29">
        <v>0</v>
      </c>
      <c r="N290" s="10" t="s">
        <v>50</v>
      </c>
      <c r="O290" s="10" t="str">
        <f>IF(TRIM(OrdersRawTable9[[#This Row],[Sales_Channel_Raw]])="Market place","Marketplace",TRIM(OrdersRawTable9[[#This Row],[Sales_Channel_Raw]]))</f>
        <v>Marketplace</v>
      </c>
      <c r="P290" s="10" t="s">
        <v>41</v>
      </c>
      <c r="Q290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290" s="15" t="s">
        <v>101</v>
      </c>
      <c r="S290" t="str">
        <f>VLOOKUP(OrdersRawTable9[[#This Row],[Customer_ID_Raw]],CustomersTable11[],4,FALSE)</f>
        <v>Quebec</v>
      </c>
      <c r="T290" t="str">
        <f>VLOOKUP(OrdersRawTable9[[#This Row],[Customer_ID_Raw]],CustomersTable11[],5,FALSE)</f>
        <v>Small Business</v>
      </c>
      <c r="U290" s="45">
        <f>VLOOKUP(OrdersRawTable9[[#This Row],[Product_ID]],ProductsTable10[],4,FALSE)</f>
        <v>136.25</v>
      </c>
      <c r="V290" t="str">
        <f>VLOOKUP(OrdersRawTable9[[#This Row],[Product_ID]],ProductsTable10[],3,FALSE)</f>
        <v>Fitness</v>
      </c>
      <c r="W290" s="45">
        <f>OrdersRawTable9[[#This Row],[Unit_Price]]*OrdersRawTable9[[#This Row],[Quantity]]</f>
        <v>210.2</v>
      </c>
      <c r="X290" s="47">
        <f>OrdersRawTable9[[#This Row],[Gross_Sales]]*OrdersRawTable9[[#This Row],[Discount_Pct]]</f>
        <v>0</v>
      </c>
      <c r="Y290" s="45">
        <f>OrdersRawTable9[[#This Row],[Gross_Sales]]-OrdersRawTable9[[#This Row],[Discount_Amount]]</f>
        <v>210.2</v>
      </c>
      <c r="Z290" s="45">
        <f>OrdersRawTable9[[#This Row],[Unit_Cost]]*OrdersRawTable9[[#This Row],[Quantity]]</f>
        <v>136.25</v>
      </c>
      <c r="AA290" s="45">
        <f>OrdersRawTable9[[#This Row],[Net_Sales]]-OrdersRawTable9[[#This Row],[Total_Cost]]</f>
        <v>73.949999999999989</v>
      </c>
      <c r="AB290" s="48">
        <f>IF(OrdersRawTable9[[#This Row],[Net_Sales]]=0,0,OrdersRawTable9[[#This Row],[Profit]]/OrdersRawTable9[[#This Row],[Net_Sales]])</f>
        <v>0.35180780209324447</v>
      </c>
      <c r="AC290" s="45" t="str">
        <f>IF(COUNTIF(ReturnsRawTable[Order_Line_ID],OrdersRawTable9[[#This Row],[Order_Line_ID]])&gt;0,"Yes","No")</f>
        <v>No</v>
      </c>
      <c r="AD290" s="45" t="str">
        <f>IFERROR(VLOOKUP(OrdersRawTable9[[#This Row],[Order_Line_ID]],ReturnsRawTable[[#All],[Order_Line_ID]:[Return_Reason_Raw]],3,FALSE),"")</f>
        <v/>
      </c>
      <c r="AE290" s="49" t="str">
        <f>IFERROR(VLOOKUP(OrdersRawTable9[[#This Row],[Order_Line_ID]],ReturnsRawTable[[#All],[Order_Line_ID]:[Return_Date]],2,FALSE),"")</f>
        <v/>
      </c>
      <c r="AF290" s="45" t="str">
        <f>IFERROR(VLOOKUP(OrdersRawTable9[[#This Row],[Order_Line_ID]],ReturnsRawTable[[Order_Line_ID]:[Refund_Status]],4,FALSE),"")</f>
        <v/>
      </c>
      <c r="AG290" s="45" t="str">
        <f>VLOOKUP(OrdersRawTable9[[#This Row],[Order_ID]],ShipmentsTable[],6,FALSE)</f>
        <v>On time</v>
      </c>
      <c r="AH290" s="49">
        <f>VLOOKUP(OrdersRawTable9[[#This Row],[Order_ID]],ShipmentsTable[],3,FALSE)</f>
        <v>45707</v>
      </c>
    </row>
    <row r="291" spans="1:34" ht="15" customHeight="1">
      <c r="A291" s="14" t="s">
        <v>698</v>
      </c>
      <c r="B291" s="10" t="s">
        <v>693</v>
      </c>
      <c r="C291" s="20">
        <v>45704</v>
      </c>
      <c r="D291" s="10" t="s">
        <v>697</v>
      </c>
      <c r="E291" s="10" t="s">
        <v>695</v>
      </c>
      <c r="F291" s="10" t="str">
        <f>TRIM(LEFT(OrdersRawTable9[[#This Row],[Customer_Info]],FIND(",",OrdersRawTable9[[#This Row],[Customer_Info]])-1))</f>
        <v>Adam Brown</v>
      </c>
      <c r="G29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291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91" s="10">
        <f>LEN(OrdersRawTable9[[#This Row],[Customer_Info]])-LEN(SUBSTITUTE(OrdersRawTable9[[#This Row],[Customer_Info]],",",""))</f>
        <v>2</v>
      </c>
      <c r="J291" s="10" t="s">
        <v>251</v>
      </c>
      <c r="K291" s="23">
        <v>2</v>
      </c>
      <c r="L291" s="26">
        <v>228.91</v>
      </c>
      <c r="M291" s="29">
        <v>0</v>
      </c>
      <c r="N291" s="10" t="s">
        <v>40</v>
      </c>
      <c r="O291" s="10" t="str">
        <f>IF(TRIM(OrdersRawTable9[[#This Row],[Sales_Channel_Raw]])="Market place","Marketplace",TRIM(OrdersRawTable9[[#This Row],[Sales_Channel_Raw]]))</f>
        <v>Online</v>
      </c>
      <c r="P291" s="10" t="s">
        <v>58</v>
      </c>
      <c r="Q291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291" s="15" t="s">
        <v>67</v>
      </c>
      <c r="S291" t="str">
        <f>VLOOKUP(OrdersRawTable9[[#This Row],[Customer_ID_Raw]],CustomersTable11[],4,FALSE)</f>
        <v>Quebec</v>
      </c>
      <c r="T291" t="str">
        <f>VLOOKUP(OrdersRawTable9[[#This Row],[Customer_ID_Raw]],CustomersTable11[],5,FALSE)</f>
        <v>Small Business</v>
      </c>
      <c r="U291" s="45">
        <f>VLOOKUP(OrdersRawTable9[[#This Row],[Product_ID]],ProductsTable10[],4,FALSE)</f>
        <v>149.4</v>
      </c>
      <c r="V291" t="str">
        <f>VLOOKUP(OrdersRawTable9[[#This Row],[Product_ID]],ProductsTable10[],3,FALSE)</f>
        <v>Office</v>
      </c>
      <c r="W291" s="45">
        <f>OrdersRawTable9[[#This Row],[Unit_Price]]*OrdersRawTable9[[#This Row],[Quantity]]</f>
        <v>457.82</v>
      </c>
      <c r="X291" s="47">
        <f>OrdersRawTable9[[#This Row],[Gross_Sales]]*OrdersRawTable9[[#This Row],[Discount_Pct]]</f>
        <v>0</v>
      </c>
      <c r="Y291" s="45">
        <f>OrdersRawTable9[[#This Row],[Gross_Sales]]-OrdersRawTable9[[#This Row],[Discount_Amount]]</f>
        <v>457.82</v>
      </c>
      <c r="Z291" s="45">
        <f>OrdersRawTable9[[#This Row],[Unit_Cost]]*OrdersRawTable9[[#This Row],[Quantity]]</f>
        <v>298.8</v>
      </c>
      <c r="AA291" s="45">
        <f>OrdersRawTable9[[#This Row],[Net_Sales]]-OrdersRawTable9[[#This Row],[Total_Cost]]</f>
        <v>159.01999999999998</v>
      </c>
      <c r="AB291" s="48">
        <f>IF(OrdersRawTable9[[#This Row],[Net_Sales]]=0,0,OrdersRawTable9[[#This Row],[Profit]]/OrdersRawTable9[[#This Row],[Net_Sales]])</f>
        <v>0.34734175003276391</v>
      </c>
      <c r="AC291" s="45" t="str">
        <f>IF(COUNTIF(ReturnsRawTable[Order_Line_ID],OrdersRawTable9[[#This Row],[Order_Line_ID]])&gt;0,"Yes","No")</f>
        <v>No</v>
      </c>
      <c r="AD291" s="45" t="str">
        <f>IFERROR(VLOOKUP(OrdersRawTable9[[#This Row],[Order_Line_ID]],ReturnsRawTable[[#All],[Order_Line_ID]:[Return_Reason_Raw]],3,FALSE),"")</f>
        <v/>
      </c>
      <c r="AE291" s="49" t="str">
        <f>IFERROR(VLOOKUP(OrdersRawTable9[[#This Row],[Order_Line_ID]],ReturnsRawTable[[#All],[Order_Line_ID]:[Return_Date]],2,FALSE),"")</f>
        <v/>
      </c>
      <c r="AF291" s="45" t="str">
        <f>IFERROR(VLOOKUP(OrdersRawTable9[[#This Row],[Order_Line_ID]],ReturnsRawTable[[Order_Line_ID]:[Refund_Status]],4,FALSE),"")</f>
        <v/>
      </c>
      <c r="AG291" s="45" t="str">
        <f>VLOOKUP(OrdersRawTable9[[#This Row],[Order_ID]],ShipmentsTable[],6,FALSE)</f>
        <v>On time</v>
      </c>
      <c r="AH291" s="49">
        <f>VLOOKUP(OrdersRawTable9[[#This Row],[Order_ID]],ShipmentsTable[],3,FALSE)</f>
        <v>45707</v>
      </c>
    </row>
    <row r="292" spans="1:34" ht="15" customHeight="1">
      <c r="A292" s="14" t="s">
        <v>699</v>
      </c>
      <c r="B292" s="10" t="s">
        <v>693</v>
      </c>
      <c r="C292" s="20">
        <v>45704</v>
      </c>
      <c r="D292" s="10" t="s">
        <v>697</v>
      </c>
      <c r="E292" s="10" t="s">
        <v>695</v>
      </c>
      <c r="F292" s="10" t="str">
        <f>TRIM(LEFT(OrdersRawTable9[[#This Row],[Customer_Info]],FIND(",",OrdersRawTable9[[#This Row],[Customer_Info]])-1))</f>
        <v>Adam Brown</v>
      </c>
      <c r="G29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292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292" s="10">
        <f>LEN(OrdersRawTable9[[#This Row],[Customer_Info]])-LEN(SUBSTITUTE(OrdersRawTable9[[#This Row],[Customer_Info]],",",""))</f>
        <v>2</v>
      </c>
      <c r="J292" s="10" t="s">
        <v>150</v>
      </c>
      <c r="K292" s="23">
        <v>4</v>
      </c>
      <c r="L292" s="26">
        <v>263.04000000000002</v>
      </c>
      <c r="M292" s="29">
        <v>0.15</v>
      </c>
      <c r="N292" s="10" t="s">
        <v>64</v>
      </c>
      <c r="O292" s="10" t="str">
        <f>IF(TRIM(OrdersRawTable9[[#This Row],[Sales_Channel_Raw]])="Market place","Marketplace",TRIM(OrdersRawTable9[[#This Row],[Sales_Channel_Raw]]))</f>
        <v>Retail Store</v>
      </c>
      <c r="P292" s="10" t="s">
        <v>46</v>
      </c>
      <c r="Q292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292" s="15" t="s">
        <v>67</v>
      </c>
      <c r="S292" t="str">
        <f>VLOOKUP(OrdersRawTable9[[#This Row],[Customer_ID_Raw]],CustomersTable11[],4,FALSE)</f>
        <v>Quebec</v>
      </c>
      <c r="T292" t="str">
        <f>VLOOKUP(OrdersRawTable9[[#This Row],[Customer_ID_Raw]],CustomersTable11[],5,FALSE)</f>
        <v>Small Business</v>
      </c>
      <c r="U292" s="45">
        <f>VLOOKUP(OrdersRawTable9[[#This Row],[Product_ID]],ProductsTable10[],4,FALSE)</f>
        <v>161.84</v>
      </c>
      <c r="V292" t="str">
        <f>VLOOKUP(OrdersRawTable9[[#This Row],[Product_ID]],ProductsTable10[],3,FALSE)</f>
        <v>Office</v>
      </c>
      <c r="W292" s="45">
        <f>OrdersRawTable9[[#This Row],[Unit_Price]]*OrdersRawTable9[[#This Row],[Quantity]]</f>
        <v>1052.1600000000001</v>
      </c>
      <c r="X292" s="47">
        <f>OrdersRawTable9[[#This Row],[Gross_Sales]]*OrdersRawTable9[[#This Row],[Discount_Pct]]</f>
        <v>157.82400000000001</v>
      </c>
      <c r="Y292" s="45">
        <f>OrdersRawTable9[[#This Row],[Gross_Sales]]-OrdersRawTable9[[#This Row],[Discount_Amount]]</f>
        <v>894.33600000000001</v>
      </c>
      <c r="Z292" s="45">
        <f>OrdersRawTable9[[#This Row],[Unit_Cost]]*OrdersRawTable9[[#This Row],[Quantity]]</f>
        <v>647.36</v>
      </c>
      <c r="AA292" s="45">
        <f>OrdersRawTable9[[#This Row],[Net_Sales]]-OrdersRawTable9[[#This Row],[Total_Cost]]</f>
        <v>246.976</v>
      </c>
      <c r="AB292" s="48">
        <f>IF(OrdersRawTable9[[#This Row],[Net_Sales]]=0,0,OrdersRawTable9[[#This Row],[Profit]]/OrdersRawTable9[[#This Row],[Net_Sales]])</f>
        <v>0.27615571776155717</v>
      </c>
      <c r="AC292" s="45" t="str">
        <f>IF(COUNTIF(ReturnsRawTable[Order_Line_ID],OrdersRawTable9[[#This Row],[Order_Line_ID]])&gt;0,"Yes","No")</f>
        <v>No</v>
      </c>
      <c r="AD292" s="45" t="str">
        <f>IFERROR(VLOOKUP(OrdersRawTable9[[#This Row],[Order_Line_ID]],ReturnsRawTable[[#All],[Order_Line_ID]:[Return_Reason_Raw]],3,FALSE),"")</f>
        <v/>
      </c>
      <c r="AE292" s="49" t="str">
        <f>IFERROR(VLOOKUP(OrdersRawTable9[[#This Row],[Order_Line_ID]],ReturnsRawTable[[#All],[Order_Line_ID]:[Return_Date]],2,FALSE),"")</f>
        <v/>
      </c>
      <c r="AF292" s="45" t="str">
        <f>IFERROR(VLOOKUP(OrdersRawTable9[[#This Row],[Order_Line_ID]],ReturnsRawTable[[Order_Line_ID]:[Refund_Status]],4,FALSE),"")</f>
        <v/>
      </c>
      <c r="AG292" s="45" t="str">
        <f>VLOOKUP(OrdersRawTable9[[#This Row],[Order_ID]],ShipmentsTable[],6,FALSE)</f>
        <v>On time</v>
      </c>
      <c r="AH292" s="49">
        <f>VLOOKUP(OrdersRawTable9[[#This Row],[Order_ID]],ShipmentsTable[],3,FALSE)</f>
        <v>45707</v>
      </c>
    </row>
    <row r="293" spans="1:34" ht="15" customHeight="1">
      <c r="A293" s="14" t="s">
        <v>700</v>
      </c>
      <c r="B293" s="10" t="s">
        <v>701</v>
      </c>
      <c r="C293" s="20">
        <v>45767</v>
      </c>
      <c r="D293" s="10" t="s">
        <v>256</v>
      </c>
      <c r="E293" s="10" t="s">
        <v>257</v>
      </c>
      <c r="F293" s="10" t="str">
        <f>TRIM(LEFT(OrdersRawTable9[[#This Row],[Customer_Info]],FIND(",",OrdersRawTable9[[#This Row],[Customer_Info]])-1))</f>
        <v>Ethan Khan</v>
      </c>
      <c r="G29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293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293" s="10">
        <f>LEN(OrdersRawTable9[[#This Row],[Customer_Info]])-LEN(SUBSTITUTE(OrdersRawTable9[[#This Row],[Customer_Info]],",",""))</f>
        <v>2</v>
      </c>
      <c r="J293" s="10" t="s">
        <v>117</v>
      </c>
      <c r="K293" s="23">
        <v>2</v>
      </c>
      <c r="L293" s="26">
        <v>251.17</v>
      </c>
      <c r="M293" s="29">
        <v>0</v>
      </c>
      <c r="N293" s="10" t="s">
        <v>50</v>
      </c>
      <c r="O293" s="10" t="str">
        <f>IF(TRIM(OrdersRawTable9[[#This Row],[Sales_Channel_Raw]])="Market place","Marketplace",TRIM(OrdersRawTable9[[#This Row],[Sales_Channel_Raw]]))</f>
        <v>Marketplace</v>
      </c>
      <c r="P293" s="10" t="s">
        <v>51</v>
      </c>
      <c r="Q293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293" s="15" t="s">
        <v>52</v>
      </c>
      <c r="S293" t="str">
        <f>VLOOKUP(OrdersRawTable9[[#This Row],[Customer_ID_Raw]],CustomersTable11[],4,FALSE)</f>
        <v>Manitoba</v>
      </c>
      <c r="T293" t="str">
        <f>VLOOKUP(OrdersRawTable9[[#This Row],[Customer_ID_Raw]],CustomersTable11[],5,FALSE)</f>
        <v>Consumer</v>
      </c>
      <c r="U293" s="45">
        <f>VLOOKUP(OrdersRawTable9[[#This Row],[Product_ID]],ProductsTable10[],4,FALSE)</f>
        <v>151.59</v>
      </c>
      <c r="V293" t="str">
        <f>VLOOKUP(OrdersRawTable9[[#This Row],[Product_ID]],ProductsTable10[],3,FALSE)</f>
        <v>Fitness</v>
      </c>
      <c r="W293" s="45">
        <f>OrdersRawTable9[[#This Row],[Unit_Price]]*OrdersRawTable9[[#This Row],[Quantity]]</f>
        <v>502.34</v>
      </c>
      <c r="X293" s="47">
        <f>OrdersRawTable9[[#This Row],[Gross_Sales]]*OrdersRawTable9[[#This Row],[Discount_Pct]]</f>
        <v>0</v>
      </c>
      <c r="Y293" s="45">
        <f>OrdersRawTable9[[#This Row],[Gross_Sales]]-OrdersRawTable9[[#This Row],[Discount_Amount]]</f>
        <v>502.34</v>
      </c>
      <c r="Z293" s="45">
        <f>OrdersRawTable9[[#This Row],[Unit_Cost]]*OrdersRawTable9[[#This Row],[Quantity]]</f>
        <v>303.18</v>
      </c>
      <c r="AA293" s="45">
        <f>OrdersRawTable9[[#This Row],[Net_Sales]]-OrdersRawTable9[[#This Row],[Total_Cost]]</f>
        <v>199.15999999999997</v>
      </c>
      <c r="AB293" s="48">
        <f>IF(OrdersRawTable9[[#This Row],[Net_Sales]]=0,0,OrdersRawTable9[[#This Row],[Profit]]/OrdersRawTable9[[#This Row],[Net_Sales]])</f>
        <v>0.39646454592507063</v>
      </c>
      <c r="AC293" s="45" t="str">
        <f>IF(COUNTIF(ReturnsRawTable[Order_Line_ID],OrdersRawTable9[[#This Row],[Order_Line_ID]])&gt;0,"Yes","No")</f>
        <v>No</v>
      </c>
      <c r="AD293" s="45" t="str">
        <f>IFERROR(VLOOKUP(OrdersRawTable9[[#This Row],[Order_Line_ID]],ReturnsRawTable[[#All],[Order_Line_ID]:[Return_Reason_Raw]],3,FALSE),"")</f>
        <v/>
      </c>
      <c r="AE293" s="49" t="str">
        <f>IFERROR(VLOOKUP(OrdersRawTable9[[#This Row],[Order_Line_ID]],ReturnsRawTable[[#All],[Order_Line_ID]:[Return_Date]],2,FALSE),"")</f>
        <v/>
      </c>
      <c r="AF293" s="45" t="str">
        <f>IFERROR(VLOOKUP(OrdersRawTable9[[#This Row],[Order_Line_ID]],ReturnsRawTable[[Order_Line_ID]:[Refund_Status]],4,FALSE),"")</f>
        <v/>
      </c>
      <c r="AG293" s="45" t="str">
        <f>VLOOKUP(OrdersRawTable9[[#This Row],[Order_ID]],ShipmentsTable[],6,FALSE)</f>
        <v>Late</v>
      </c>
      <c r="AH293" s="49">
        <f>VLOOKUP(OrdersRawTable9[[#This Row],[Order_ID]],ShipmentsTable[],3,FALSE)</f>
        <v>45777</v>
      </c>
    </row>
    <row r="294" spans="1:34" ht="15" customHeight="1">
      <c r="A294" s="14" t="s">
        <v>702</v>
      </c>
      <c r="B294" s="10" t="s">
        <v>701</v>
      </c>
      <c r="C294" s="20">
        <v>45767</v>
      </c>
      <c r="D294" s="10" t="s">
        <v>256</v>
      </c>
      <c r="E294" s="10" t="s">
        <v>257</v>
      </c>
      <c r="F294" s="10" t="str">
        <f>TRIM(LEFT(OrdersRawTable9[[#This Row],[Customer_Info]],FIND(",",OrdersRawTable9[[#This Row],[Customer_Info]])-1))</f>
        <v>Ethan Khan</v>
      </c>
      <c r="G29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294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294" s="10">
        <f>LEN(OrdersRawTable9[[#This Row],[Customer_Info]])-LEN(SUBSTITUTE(OrdersRawTable9[[#This Row],[Customer_Info]],",",""))</f>
        <v>2</v>
      </c>
      <c r="J294" s="10" t="s">
        <v>495</v>
      </c>
      <c r="K294" s="23">
        <v>2</v>
      </c>
      <c r="L294" s="26">
        <v>207.71</v>
      </c>
      <c r="M294" s="29">
        <v>0.05</v>
      </c>
      <c r="N294" s="10" t="s">
        <v>64</v>
      </c>
      <c r="O294" s="10" t="str">
        <f>IF(TRIM(OrdersRawTable9[[#This Row],[Sales_Channel_Raw]])="Market place","Marketplace",TRIM(OrdersRawTable9[[#This Row],[Sales_Channel_Raw]]))</f>
        <v>Retail Store</v>
      </c>
      <c r="P294" s="10" t="s">
        <v>98</v>
      </c>
      <c r="Q294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294" s="15" t="s">
        <v>52</v>
      </c>
      <c r="S294" t="str">
        <f>VLOOKUP(OrdersRawTable9[[#This Row],[Customer_ID_Raw]],CustomersTable11[],4,FALSE)</f>
        <v>Manitoba</v>
      </c>
      <c r="T294" t="str">
        <f>VLOOKUP(OrdersRawTable9[[#This Row],[Customer_ID_Raw]],CustomersTable11[],5,FALSE)</f>
        <v>Consumer</v>
      </c>
      <c r="U294" s="45">
        <f>VLOOKUP(OrdersRawTable9[[#This Row],[Product_ID]],ProductsTable10[],4,FALSE)</f>
        <v>132.97</v>
      </c>
      <c r="V294" t="str">
        <f>VLOOKUP(OrdersRawTable9[[#This Row],[Product_ID]],ProductsTable10[],3,FALSE)</f>
        <v>Home</v>
      </c>
      <c r="W294" s="45">
        <f>OrdersRawTable9[[#This Row],[Unit_Price]]*OrdersRawTable9[[#This Row],[Quantity]]</f>
        <v>415.42</v>
      </c>
      <c r="X294" s="47">
        <f>OrdersRawTable9[[#This Row],[Gross_Sales]]*OrdersRawTable9[[#This Row],[Discount_Pct]]</f>
        <v>20.771000000000001</v>
      </c>
      <c r="Y294" s="45">
        <f>OrdersRawTable9[[#This Row],[Gross_Sales]]-OrdersRawTable9[[#This Row],[Discount_Amount]]</f>
        <v>394.649</v>
      </c>
      <c r="Z294" s="45">
        <f>OrdersRawTable9[[#This Row],[Unit_Cost]]*OrdersRawTable9[[#This Row],[Quantity]]</f>
        <v>265.94</v>
      </c>
      <c r="AA294" s="45">
        <f>OrdersRawTable9[[#This Row],[Net_Sales]]-OrdersRawTable9[[#This Row],[Total_Cost]]</f>
        <v>128.709</v>
      </c>
      <c r="AB294" s="48">
        <f>IF(OrdersRawTable9[[#This Row],[Net_Sales]]=0,0,OrdersRawTable9[[#This Row],[Profit]]/OrdersRawTable9[[#This Row],[Net_Sales]])</f>
        <v>0.3261353759923375</v>
      </c>
      <c r="AC294" s="45" t="str">
        <f>IF(COUNTIF(ReturnsRawTable[Order_Line_ID],OrdersRawTable9[[#This Row],[Order_Line_ID]])&gt;0,"Yes","No")</f>
        <v>No</v>
      </c>
      <c r="AD294" s="45" t="str">
        <f>IFERROR(VLOOKUP(OrdersRawTable9[[#This Row],[Order_Line_ID]],ReturnsRawTable[[#All],[Order_Line_ID]:[Return_Reason_Raw]],3,FALSE),"")</f>
        <v/>
      </c>
      <c r="AE294" s="49" t="str">
        <f>IFERROR(VLOOKUP(OrdersRawTable9[[#This Row],[Order_Line_ID]],ReturnsRawTable[[#All],[Order_Line_ID]:[Return_Date]],2,FALSE),"")</f>
        <v/>
      </c>
      <c r="AF294" s="45" t="str">
        <f>IFERROR(VLOOKUP(OrdersRawTable9[[#This Row],[Order_Line_ID]],ReturnsRawTable[[Order_Line_ID]:[Refund_Status]],4,FALSE),"")</f>
        <v/>
      </c>
      <c r="AG294" s="45" t="str">
        <f>VLOOKUP(OrdersRawTable9[[#This Row],[Order_ID]],ShipmentsTable[],6,FALSE)</f>
        <v>Late</v>
      </c>
      <c r="AH294" s="49">
        <f>VLOOKUP(OrdersRawTable9[[#This Row],[Order_ID]],ShipmentsTable[],3,FALSE)</f>
        <v>45777</v>
      </c>
    </row>
    <row r="295" spans="1:34" ht="15" customHeight="1">
      <c r="A295" s="14" t="s">
        <v>703</v>
      </c>
      <c r="B295" s="10" t="s">
        <v>701</v>
      </c>
      <c r="C295" s="20">
        <v>45767</v>
      </c>
      <c r="D295" s="10" t="s">
        <v>256</v>
      </c>
      <c r="E295" s="10" t="s">
        <v>257</v>
      </c>
      <c r="F295" s="10" t="str">
        <f>TRIM(LEFT(OrdersRawTable9[[#This Row],[Customer_Info]],FIND(",",OrdersRawTable9[[#This Row],[Customer_Info]])-1))</f>
        <v>Ethan Khan</v>
      </c>
      <c r="G29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295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295" s="10">
        <f>LEN(OrdersRawTable9[[#This Row],[Customer_Info]])-LEN(SUBSTITUTE(OrdersRawTable9[[#This Row],[Customer_Info]],",",""))</f>
        <v>2</v>
      </c>
      <c r="J295" s="10" t="s">
        <v>100</v>
      </c>
      <c r="K295" s="23">
        <v>2</v>
      </c>
      <c r="L295" s="26">
        <v>42.72</v>
      </c>
      <c r="M295" s="29">
        <v>0</v>
      </c>
      <c r="N295" s="10" t="s">
        <v>70</v>
      </c>
      <c r="O295" s="10" t="str">
        <f>IF(TRIM(OrdersRawTable9[[#This Row],[Sales_Channel_Raw]])="Market place","Marketplace",TRIM(OrdersRawTable9[[#This Row],[Sales_Channel_Raw]]))</f>
        <v>online</v>
      </c>
      <c r="P295" s="10" t="s">
        <v>58</v>
      </c>
      <c r="Q295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295" s="15" t="s">
        <v>101</v>
      </c>
      <c r="S295" t="str">
        <f>VLOOKUP(OrdersRawTable9[[#This Row],[Customer_ID_Raw]],CustomersTable11[],4,FALSE)</f>
        <v>Manitoba</v>
      </c>
      <c r="T295" t="str">
        <f>VLOOKUP(OrdersRawTable9[[#This Row],[Customer_ID_Raw]],CustomersTable11[],5,FALSE)</f>
        <v>Consumer</v>
      </c>
      <c r="U295" s="45">
        <f>VLOOKUP(OrdersRawTable9[[#This Row],[Product_ID]],ProductsTable10[],4,FALSE)</f>
        <v>24.46</v>
      </c>
      <c r="V295" t="str">
        <f>VLOOKUP(OrdersRawTable9[[#This Row],[Product_ID]],ProductsTable10[],3,FALSE)</f>
        <v>Electronics</v>
      </c>
      <c r="W295" s="45">
        <f>OrdersRawTable9[[#This Row],[Unit_Price]]*OrdersRawTable9[[#This Row],[Quantity]]</f>
        <v>85.44</v>
      </c>
      <c r="X295" s="47">
        <f>OrdersRawTable9[[#This Row],[Gross_Sales]]*OrdersRawTable9[[#This Row],[Discount_Pct]]</f>
        <v>0</v>
      </c>
      <c r="Y295" s="45">
        <f>OrdersRawTable9[[#This Row],[Gross_Sales]]-OrdersRawTable9[[#This Row],[Discount_Amount]]</f>
        <v>85.44</v>
      </c>
      <c r="Z295" s="45">
        <f>OrdersRawTable9[[#This Row],[Unit_Cost]]*OrdersRawTable9[[#This Row],[Quantity]]</f>
        <v>48.92</v>
      </c>
      <c r="AA295" s="45">
        <f>OrdersRawTable9[[#This Row],[Net_Sales]]-OrdersRawTable9[[#This Row],[Total_Cost]]</f>
        <v>36.519999999999996</v>
      </c>
      <c r="AB295" s="48">
        <f>IF(OrdersRawTable9[[#This Row],[Net_Sales]]=0,0,OrdersRawTable9[[#This Row],[Profit]]/OrdersRawTable9[[#This Row],[Net_Sales]])</f>
        <v>0.42743445692883891</v>
      </c>
      <c r="AC295" s="45" t="str">
        <f>IF(COUNTIF(ReturnsRawTable[Order_Line_ID],OrdersRawTable9[[#This Row],[Order_Line_ID]])&gt;0,"Yes","No")</f>
        <v>No</v>
      </c>
      <c r="AD295" s="45" t="str">
        <f>IFERROR(VLOOKUP(OrdersRawTable9[[#This Row],[Order_Line_ID]],ReturnsRawTable[[#All],[Order_Line_ID]:[Return_Reason_Raw]],3,FALSE),"")</f>
        <v/>
      </c>
      <c r="AE295" s="49" t="str">
        <f>IFERROR(VLOOKUP(OrdersRawTable9[[#This Row],[Order_Line_ID]],ReturnsRawTable[[#All],[Order_Line_ID]:[Return_Date]],2,FALSE),"")</f>
        <v/>
      </c>
      <c r="AF295" s="45" t="str">
        <f>IFERROR(VLOOKUP(OrdersRawTable9[[#This Row],[Order_Line_ID]],ReturnsRawTable[[Order_Line_ID]:[Refund_Status]],4,FALSE),"")</f>
        <v/>
      </c>
      <c r="AG295" s="45" t="str">
        <f>VLOOKUP(OrdersRawTable9[[#This Row],[Order_ID]],ShipmentsTable[],6,FALSE)</f>
        <v>Late</v>
      </c>
      <c r="AH295" s="49">
        <f>VLOOKUP(OrdersRawTable9[[#This Row],[Order_ID]],ShipmentsTable[],3,FALSE)</f>
        <v>45777</v>
      </c>
    </row>
    <row r="296" spans="1:34" ht="15" customHeight="1">
      <c r="A296" s="14" t="s">
        <v>704</v>
      </c>
      <c r="B296" s="10" t="s">
        <v>701</v>
      </c>
      <c r="C296" s="20">
        <v>45767</v>
      </c>
      <c r="D296" s="10" t="s">
        <v>256</v>
      </c>
      <c r="E296" s="10" t="s">
        <v>257</v>
      </c>
      <c r="F296" s="10" t="str">
        <f>TRIM(LEFT(OrdersRawTable9[[#This Row],[Customer_Info]],FIND(",",OrdersRawTable9[[#This Row],[Customer_Info]])-1))</f>
        <v>Ethan Khan</v>
      </c>
      <c r="G29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296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296" s="10">
        <f>LEN(OrdersRawTable9[[#This Row],[Customer_Info]])-LEN(SUBSTITUTE(OrdersRawTable9[[#This Row],[Customer_Info]],",",""))</f>
        <v>2</v>
      </c>
      <c r="J296" s="10" t="s">
        <v>201</v>
      </c>
      <c r="K296" s="23">
        <v>2</v>
      </c>
      <c r="L296" s="26">
        <v>154.47</v>
      </c>
      <c r="M296" s="29">
        <v>0.1</v>
      </c>
      <c r="N296" s="10" t="s">
        <v>70</v>
      </c>
      <c r="O296" s="10" t="str">
        <f>IF(TRIM(OrdersRawTable9[[#This Row],[Sales_Channel_Raw]])="Market place","Marketplace",TRIM(OrdersRawTable9[[#This Row],[Sales_Channel_Raw]]))</f>
        <v>online</v>
      </c>
      <c r="P296" s="10" t="s">
        <v>58</v>
      </c>
      <c r="Q296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296" s="15" t="s">
        <v>47</v>
      </c>
      <c r="S296" t="str">
        <f>VLOOKUP(OrdersRawTable9[[#This Row],[Customer_ID_Raw]],CustomersTable11[],4,FALSE)</f>
        <v>Manitoba</v>
      </c>
      <c r="T296" t="str">
        <f>VLOOKUP(OrdersRawTable9[[#This Row],[Customer_ID_Raw]],CustomersTable11[],5,FALSE)</f>
        <v>Consumer</v>
      </c>
      <c r="U296" s="45">
        <f>VLOOKUP(OrdersRawTable9[[#This Row],[Product_ID]],ProductsTable10[],4,FALSE)</f>
        <v>102.57</v>
      </c>
      <c r="V296" t="str">
        <f>VLOOKUP(OrdersRawTable9[[#This Row],[Product_ID]],ProductsTable10[],3,FALSE)</f>
        <v>Fitness</v>
      </c>
      <c r="W296" s="45">
        <f>OrdersRawTable9[[#This Row],[Unit_Price]]*OrdersRawTable9[[#This Row],[Quantity]]</f>
        <v>308.94</v>
      </c>
      <c r="X296" s="47">
        <f>OrdersRawTable9[[#This Row],[Gross_Sales]]*OrdersRawTable9[[#This Row],[Discount_Pct]]</f>
        <v>30.894000000000002</v>
      </c>
      <c r="Y296" s="45">
        <f>OrdersRawTable9[[#This Row],[Gross_Sales]]-OrdersRawTable9[[#This Row],[Discount_Amount]]</f>
        <v>278.04599999999999</v>
      </c>
      <c r="Z296" s="45">
        <f>OrdersRawTable9[[#This Row],[Unit_Cost]]*OrdersRawTable9[[#This Row],[Quantity]]</f>
        <v>205.14</v>
      </c>
      <c r="AA296" s="45">
        <f>OrdersRawTable9[[#This Row],[Net_Sales]]-OrdersRawTable9[[#This Row],[Total_Cost]]</f>
        <v>72.906000000000006</v>
      </c>
      <c r="AB296" s="48">
        <f>IF(OrdersRawTable9[[#This Row],[Net_Sales]]=0,0,OrdersRawTable9[[#This Row],[Profit]]/OrdersRawTable9[[#This Row],[Net_Sales]])</f>
        <v>0.26220841155779984</v>
      </c>
      <c r="AC296" s="45" t="str">
        <f>IF(COUNTIF(ReturnsRawTable[Order_Line_ID],OrdersRawTable9[[#This Row],[Order_Line_ID]])&gt;0,"Yes","No")</f>
        <v>No</v>
      </c>
      <c r="AD296" s="45" t="str">
        <f>IFERROR(VLOOKUP(OrdersRawTable9[[#This Row],[Order_Line_ID]],ReturnsRawTable[[#All],[Order_Line_ID]:[Return_Reason_Raw]],3,FALSE),"")</f>
        <v/>
      </c>
      <c r="AE296" s="49" t="str">
        <f>IFERROR(VLOOKUP(OrdersRawTable9[[#This Row],[Order_Line_ID]],ReturnsRawTable[[#All],[Order_Line_ID]:[Return_Date]],2,FALSE),"")</f>
        <v/>
      </c>
      <c r="AF296" s="45" t="str">
        <f>IFERROR(VLOOKUP(OrdersRawTable9[[#This Row],[Order_Line_ID]],ReturnsRawTable[[Order_Line_ID]:[Refund_Status]],4,FALSE),"")</f>
        <v/>
      </c>
      <c r="AG296" s="45" t="str">
        <f>VLOOKUP(OrdersRawTable9[[#This Row],[Order_ID]],ShipmentsTable[],6,FALSE)</f>
        <v>Late</v>
      </c>
      <c r="AH296" s="49">
        <f>VLOOKUP(OrdersRawTable9[[#This Row],[Order_ID]],ShipmentsTable[],3,FALSE)</f>
        <v>45777</v>
      </c>
    </row>
    <row r="297" spans="1:34" ht="15" customHeight="1">
      <c r="A297" s="14" t="s">
        <v>705</v>
      </c>
      <c r="B297" s="10" t="s">
        <v>706</v>
      </c>
      <c r="C297" s="20">
        <v>45929</v>
      </c>
      <c r="D297" s="10" t="s">
        <v>307</v>
      </c>
      <c r="E297" s="10" t="s">
        <v>308</v>
      </c>
      <c r="F297" s="10" t="str">
        <f>TRIM(LEFT(OrdersRawTable9[[#This Row],[Customer_Info]],FIND(",",OrdersRawTable9[[#This Row],[Customer_Info]])-1))</f>
        <v>Yara Johnson</v>
      </c>
      <c r="G29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297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297" s="10">
        <f>LEN(OrdersRawTable9[[#This Row],[Customer_Info]])-LEN(SUBSTITUTE(OrdersRawTable9[[#This Row],[Customer_Info]],",",""))</f>
        <v>2</v>
      </c>
      <c r="J297" s="10" t="s">
        <v>276</v>
      </c>
      <c r="K297" s="23">
        <v>1</v>
      </c>
      <c r="L297" s="26">
        <v>182.94</v>
      </c>
      <c r="M297" s="29">
        <v>0</v>
      </c>
      <c r="N297" s="10" t="s">
        <v>50</v>
      </c>
      <c r="O297" s="10" t="str">
        <f>IF(TRIM(OrdersRawTable9[[#This Row],[Sales_Channel_Raw]])="Market place","Marketplace",TRIM(OrdersRawTable9[[#This Row],[Sales_Channel_Raw]]))</f>
        <v>Marketplace</v>
      </c>
      <c r="P297" s="10" t="s">
        <v>46</v>
      </c>
      <c r="Q297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297" s="15" t="s">
        <v>67</v>
      </c>
      <c r="S297" t="str">
        <f>VLOOKUP(OrdersRawTable9[[#This Row],[Customer_ID_Raw]],CustomersTable11[],4,FALSE)</f>
        <v>Quebec</v>
      </c>
      <c r="T297" t="str">
        <f>VLOOKUP(OrdersRawTable9[[#This Row],[Customer_ID_Raw]],CustomersTable11[],5,FALSE)</f>
        <v>Consumer</v>
      </c>
      <c r="U297" s="45">
        <f>VLOOKUP(OrdersRawTable9[[#This Row],[Product_ID]],ProductsTable10[],4,FALSE)</f>
        <v>118.95</v>
      </c>
      <c r="V297" t="str">
        <f>VLOOKUP(OrdersRawTable9[[#This Row],[Product_ID]],ProductsTable10[],3,FALSE)</f>
        <v>Fitness</v>
      </c>
      <c r="W297" s="45">
        <f>OrdersRawTable9[[#This Row],[Unit_Price]]*OrdersRawTable9[[#This Row],[Quantity]]</f>
        <v>182.94</v>
      </c>
      <c r="X297" s="47">
        <f>OrdersRawTable9[[#This Row],[Gross_Sales]]*OrdersRawTable9[[#This Row],[Discount_Pct]]</f>
        <v>0</v>
      </c>
      <c r="Y297" s="45">
        <f>OrdersRawTable9[[#This Row],[Gross_Sales]]-OrdersRawTable9[[#This Row],[Discount_Amount]]</f>
        <v>182.94</v>
      </c>
      <c r="Z297" s="45">
        <f>OrdersRawTable9[[#This Row],[Unit_Cost]]*OrdersRawTable9[[#This Row],[Quantity]]</f>
        <v>118.95</v>
      </c>
      <c r="AA297" s="45">
        <f>OrdersRawTable9[[#This Row],[Net_Sales]]-OrdersRawTable9[[#This Row],[Total_Cost]]</f>
        <v>63.989999999999995</v>
      </c>
      <c r="AB297" s="48">
        <f>IF(OrdersRawTable9[[#This Row],[Net_Sales]]=0,0,OrdersRawTable9[[#This Row],[Profit]]/OrdersRawTable9[[#This Row],[Net_Sales]])</f>
        <v>0.34978681534929484</v>
      </c>
      <c r="AC297" s="45" t="str">
        <f>IF(COUNTIF(ReturnsRawTable[Order_Line_ID],OrdersRawTable9[[#This Row],[Order_Line_ID]])&gt;0,"Yes","No")</f>
        <v>No</v>
      </c>
      <c r="AD297" s="45" t="str">
        <f>IFERROR(VLOOKUP(OrdersRawTable9[[#This Row],[Order_Line_ID]],ReturnsRawTable[[#All],[Order_Line_ID]:[Return_Reason_Raw]],3,FALSE),"")</f>
        <v/>
      </c>
      <c r="AE297" s="49" t="str">
        <f>IFERROR(VLOOKUP(OrdersRawTable9[[#This Row],[Order_Line_ID]],ReturnsRawTable[[#All],[Order_Line_ID]:[Return_Date]],2,FALSE),"")</f>
        <v/>
      </c>
      <c r="AF297" s="45" t="str">
        <f>IFERROR(VLOOKUP(OrdersRawTable9[[#This Row],[Order_Line_ID]],ReturnsRawTable[[Order_Line_ID]:[Refund_Status]],4,FALSE),"")</f>
        <v/>
      </c>
      <c r="AG297" s="45" t="str">
        <f>VLOOKUP(OrdersRawTable9[[#This Row],[Order_ID]],ShipmentsTable[],6,FALSE)</f>
        <v>Late</v>
      </c>
      <c r="AH297" s="49">
        <f>VLOOKUP(OrdersRawTable9[[#This Row],[Order_ID]],ShipmentsTable[],3,FALSE)</f>
        <v>45934</v>
      </c>
    </row>
    <row r="298" spans="1:34" ht="15" customHeight="1">
      <c r="A298" s="14" t="s">
        <v>707</v>
      </c>
      <c r="B298" s="10" t="s">
        <v>706</v>
      </c>
      <c r="C298" s="20">
        <v>45929</v>
      </c>
      <c r="D298" s="10" t="s">
        <v>307</v>
      </c>
      <c r="E298" s="10" t="s">
        <v>308</v>
      </c>
      <c r="F298" s="10" t="str">
        <f>TRIM(LEFT(OrdersRawTable9[[#This Row],[Customer_Info]],FIND(",",OrdersRawTable9[[#This Row],[Customer_Info]])-1))</f>
        <v>Yara Johnson</v>
      </c>
      <c r="G29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298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298" s="10">
        <f>LEN(OrdersRawTable9[[#This Row],[Customer_Info]])-LEN(SUBSTITUTE(OrdersRawTable9[[#This Row],[Customer_Info]],",",""))</f>
        <v>2</v>
      </c>
      <c r="J298" s="10" t="s">
        <v>171</v>
      </c>
      <c r="K298" s="23">
        <v>1</v>
      </c>
      <c r="L298" s="26">
        <v>228.81</v>
      </c>
      <c r="M298" s="29">
        <v>0.15</v>
      </c>
      <c r="N298" s="10" t="s">
        <v>70</v>
      </c>
      <c r="O298" s="10" t="str">
        <f>IF(TRIM(OrdersRawTable9[[#This Row],[Sales_Channel_Raw]])="Market place","Marketplace",TRIM(OrdersRawTable9[[#This Row],[Sales_Channel_Raw]]))</f>
        <v>online</v>
      </c>
      <c r="P298" s="10" t="s">
        <v>46</v>
      </c>
      <c r="Q298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298" s="15" t="s">
        <v>47</v>
      </c>
      <c r="S298" t="str">
        <f>VLOOKUP(OrdersRawTable9[[#This Row],[Customer_ID_Raw]],CustomersTable11[],4,FALSE)</f>
        <v>Quebec</v>
      </c>
      <c r="T298" t="str">
        <f>VLOOKUP(OrdersRawTable9[[#This Row],[Customer_ID_Raw]],CustomersTable11[],5,FALSE)</f>
        <v>Consumer</v>
      </c>
      <c r="U298" s="45">
        <f>VLOOKUP(OrdersRawTable9[[#This Row],[Product_ID]],ProductsTable10[],4,FALSE)</f>
        <v>130.9</v>
      </c>
      <c r="V298" t="str">
        <f>VLOOKUP(OrdersRawTable9[[#This Row],[Product_ID]],ProductsTable10[],3,FALSE)</f>
        <v>Accessories</v>
      </c>
      <c r="W298" s="45">
        <f>OrdersRawTable9[[#This Row],[Unit_Price]]*OrdersRawTable9[[#This Row],[Quantity]]</f>
        <v>228.81</v>
      </c>
      <c r="X298" s="47">
        <f>OrdersRawTable9[[#This Row],[Gross_Sales]]*OrdersRawTable9[[#This Row],[Discount_Pct]]</f>
        <v>34.3215</v>
      </c>
      <c r="Y298" s="45">
        <f>OrdersRawTable9[[#This Row],[Gross_Sales]]-OrdersRawTable9[[#This Row],[Discount_Amount]]</f>
        <v>194.48849999999999</v>
      </c>
      <c r="Z298" s="45">
        <f>OrdersRawTable9[[#This Row],[Unit_Cost]]*OrdersRawTable9[[#This Row],[Quantity]]</f>
        <v>130.9</v>
      </c>
      <c r="AA298" s="45">
        <f>OrdersRawTable9[[#This Row],[Net_Sales]]-OrdersRawTable9[[#This Row],[Total_Cost]]</f>
        <v>63.588499999999982</v>
      </c>
      <c r="AB298" s="48">
        <f>IF(OrdersRawTable9[[#This Row],[Net_Sales]]=0,0,OrdersRawTable9[[#This Row],[Profit]]/OrdersRawTable9[[#This Row],[Net_Sales]])</f>
        <v>0.32695249333508142</v>
      </c>
      <c r="AC298" s="45" t="str">
        <f>IF(COUNTIF(ReturnsRawTable[Order_Line_ID],OrdersRawTable9[[#This Row],[Order_Line_ID]])&gt;0,"Yes","No")</f>
        <v>No</v>
      </c>
      <c r="AD298" s="45" t="str">
        <f>IFERROR(VLOOKUP(OrdersRawTable9[[#This Row],[Order_Line_ID]],ReturnsRawTable[[#All],[Order_Line_ID]:[Return_Reason_Raw]],3,FALSE),"")</f>
        <v/>
      </c>
      <c r="AE298" s="49" t="str">
        <f>IFERROR(VLOOKUP(OrdersRawTable9[[#This Row],[Order_Line_ID]],ReturnsRawTable[[#All],[Order_Line_ID]:[Return_Date]],2,FALSE),"")</f>
        <v/>
      </c>
      <c r="AF298" s="45" t="str">
        <f>IFERROR(VLOOKUP(OrdersRawTable9[[#This Row],[Order_Line_ID]],ReturnsRawTable[[Order_Line_ID]:[Refund_Status]],4,FALSE),"")</f>
        <v/>
      </c>
      <c r="AG298" s="45" t="str">
        <f>VLOOKUP(OrdersRawTable9[[#This Row],[Order_ID]],ShipmentsTable[],6,FALSE)</f>
        <v>Late</v>
      </c>
      <c r="AH298" s="49">
        <f>VLOOKUP(OrdersRawTable9[[#This Row],[Order_ID]],ShipmentsTable[],3,FALSE)</f>
        <v>45934</v>
      </c>
    </row>
    <row r="299" spans="1:34" ht="15" customHeight="1">
      <c r="A299" s="14" t="s">
        <v>708</v>
      </c>
      <c r="B299" s="10" t="s">
        <v>706</v>
      </c>
      <c r="C299" s="20">
        <v>45929</v>
      </c>
      <c r="D299" s="10" t="s">
        <v>307</v>
      </c>
      <c r="E299" s="10" t="s">
        <v>308</v>
      </c>
      <c r="F299" s="10" t="str">
        <f>TRIM(LEFT(OrdersRawTable9[[#This Row],[Customer_Info]],FIND(",",OrdersRawTable9[[#This Row],[Customer_Info]])-1))</f>
        <v>Yara Johnson</v>
      </c>
      <c r="G29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299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299" s="10">
        <f>LEN(OrdersRawTable9[[#This Row],[Customer_Info]])-LEN(SUBSTITUTE(OrdersRawTable9[[#This Row],[Customer_Info]],",",""))</f>
        <v>2</v>
      </c>
      <c r="J299" s="10" t="s">
        <v>214</v>
      </c>
      <c r="K299" s="23">
        <v>3</v>
      </c>
      <c r="L299" s="26">
        <v>186.92</v>
      </c>
      <c r="M299" s="29">
        <v>0.05</v>
      </c>
      <c r="N299" s="10" t="s">
        <v>40</v>
      </c>
      <c r="O299" s="10" t="str">
        <f>IF(TRIM(OrdersRawTable9[[#This Row],[Sales_Channel_Raw]])="Market place","Marketplace",TRIM(OrdersRawTable9[[#This Row],[Sales_Channel_Raw]]))</f>
        <v>Online</v>
      </c>
      <c r="P299" s="10" t="s">
        <v>41</v>
      </c>
      <c r="Q299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299" s="15" t="s">
        <v>52</v>
      </c>
      <c r="S299" t="str">
        <f>VLOOKUP(OrdersRawTable9[[#This Row],[Customer_ID_Raw]],CustomersTable11[],4,FALSE)</f>
        <v>Quebec</v>
      </c>
      <c r="T299" t="str">
        <f>VLOOKUP(OrdersRawTable9[[#This Row],[Customer_ID_Raw]],CustomersTable11[],5,FALSE)</f>
        <v>Consumer</v>
      </c>
      <c r="U299" s="45">
        <f>VLOOKUP(OrdersRawTable9[[#This Row],[Product_ID]],ProductsTable10[],4,FALSE)</f>
        <v>114.11</v>
      </c>
      <c r="V299" t="str">
        <f>VLOOKUP(OrdersRawTable9[[#This Row],[Product_ID]],ProductsTable10[],3,FALSE)</f>
        <v>Home</v>
      </c>
      <c r="W299" s="45">
        <f>OrdersRawTable9[[#This Row],[Unit_Price]]*OrdersRawTable9[[#This Row],[Quantity]]</f>
        <v>560.76</v>
      </c>
      <c r="X299" s="47">
        <f>OrdersRawTable9[[#This Row],[Gross_Sales]]*OrdersRawTable9[[#This Row],[Discount_Pct]]</f>
        <v>28.038</v>
      </c>
      <c r="Y299" s="45">
        <f>OrdersRawTable9[[#This Row],[Gross_Sales]]-OrdersRawTable9[[#This Row],[Discount_Amount]]</f>
        <v>532.72199999999998</v>
      </c>
      <c r="Z299" s="45">
        <f>OrdersRawTable9[[#This Row],[Unit_Cost]]*OrdersRawTable9[[#This Row],[Quantity]]</f>
        <v>342.33</v>
      </c>
      <c r="AA299" s="45">
        <f>OrdersRawTable9[[#This Row],[Net_Sales]]-OrdersRawTable9[[#This Row],[Total_Cost]]</f>
        <v>190.392</v>
      </c>
      <c r="AB299" s="48">
        <f>IF(OrdersRawTable9[[#This Row],[Net_Sales]]=0,0,OrdersRawTable9[[#This Row],[Profit]]/OrdersRawTable9[[#This Row],[Net_Sales]])</f>
        <v>0.35739466363318956</v>
      </c>
      <c r="AC299" s="45" t="str">
        <f>IF(COUNTIF(ReturnsRawTable[Order_Line_ID],OrdersRawTable9[[#This Row],[Order_Line_ID]])&gt;0,"Yes","No")</f>
        <v>No</v>
      </c>
      <c r="AD299" s="45" t="str">
        <f>IFERROR(VLOOKUP(OrdersRawTable9[[#This Row],[Order_Line_ID]],ReturnsRawTable[[#All],[Order_Line_ID]:[Return_Reason_Raw]],3,FALSE),"")</f>
        <v/>
      </c>
      <c r="AE299" s="49" t="str">
        <f>IFERROR(VLOOKUP(OrdersRawTable9[[#This Row],[Order_Line_ID]],ReturnsRawTable[[#All],[Order_Line_ID]:[Return_Date]],2,FALSE),"")</f>
        <v/>
      </c>
      <c r="AF299" s="45" t="str">
        <f>IFERROR(VLOOKUP(OrdersRawTable9[[#This Row],[Order_Line_ID]],ReturnsRawTable[[Order_Line_ID]:[Refund_Status]],4,FALSE),"")</f>
        <v/>
      </c>
      <c r="AG299" s="45" t="str">
        <f>VLOOKUP(OrdersRawTable9[[#This Row],[Order_ID]],ShipmentsTable[],6,FALSE)</f>
        <v>Late</v>
      </c>
      <c r="AH299" s="49">
        <f>VLOOKUP(OrdersRawTable9[[#This Row],[Order_ID]],ShipmentsTable[],3,FALSE)</f>
        <v>45934</v>
      </c>
    </row>
    <row r="300" spans="1:34" ht="15" customHeight="1">
      <c r="A300" s="14" t="s">
        <v>709</v>
      </c>
      <c r="B300" s="10" t="s">
        <v>710</v>
      </c>
      <c r="C300" s="20">
        <v>45965</v>
      </c>
      <c r="D300" s="10" t="s">
        <v>382</v>
      </c>
      <c r="E300" s="10" t="s">
        <v>383</v>
      </c>
      <c r="F300" s="10" t="str">
        <f>TRIM(LEFT(OrdersRawTable9[[#This Row],[Customer_Info]],FIND(",",OrdersRawTable9[[#This Row],[Customer_Info]])-1))</f>
        <v>Ethan Brown</v>
      </c>
      <c r="G30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Regina</v>
      </c>
      <c r="H300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300" s="10">
        <f>LEN(OrdersRawTable9[[#This Row],[Customer_Info]])-LEN(SUBSTITUTE(OrdersRawTable9[[#This Row],[Customer_Info]],",",""))</f>
        <v>2</v>
      </c>
      <c r="J300" s="10" t="s">
        <v>220</v>
      </c>
      <c r="K300" s="23">
        <v>1</v>
      </c>
      <c r="L300" s="26">
        <v>25.01</v>
      </c>
      <c r="M300" s="29">
        <v>0.05</v>
      </c>
      <c r="N300" s="10" t="s">
        <v>70</v>
      </c>
      <c r="O300" s="10" t="str">
        <f>IF(TRIM(OrdersRawTable9[[#This Row],[Sales_Channel_Raw]])="Market place","Marketplace",TRIM(OrdersRawTable9[[#This Row],[Sales_Channel_Raw]]))</f>
        <v>online</v>
      </c>
      <c r="P300" s="10" t="s">
        <v>98</v>
      </c>
      <c r="Q300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300" s="15" t="s">
        <v>52</v>
      </c>
      <c r="S300" t="str">
        <f>VLOOKUP(OrdersRawTable9[[#This Row],[Customer_ID_Raw]],CustomersTable11[],4,FALSE)</f>
        <v>Saskatchewan</v>
      </c>
      <c r="T300" t="str">
        <f>VLOOKUP(OrdersRawTable9[[#This Row],[Customer_ID_Raw]],CustomersTable11[],5,FALSE)</f>
        <v>Corporate</v>
      </c>
      <c r="U300" s="45">
        <f>VLOOKUP(OrdersRawTable9[[#This Row],[Product_ID]],ProductsTable10[],4,FALSE)</f>
        <v>16.86</v>
      </c>
      <c r="V300" t="str">
        <f>VLOOKUP(OrdersRawTable9[[#This Row],[Product_ID]],ProductsTable10[],3,FALSE)</f>
        <v>Office</v>
      </c>
      <c r="W300" s="45">
        <f>OrdersRawTable9[[#This Row],[Unit_Price]]*OrdersRawTable9[[#This Row],[Quantity]]</f>
        <v>25.01</v>
      </c>
      <c r="X300" s="47">
        <f>OrdersRawTable9[[#This Row],[Gross_Sales]]*OrdersRawTable9[[#This Row],[Discount_Pct]]</f>
        <v>1.2505000000000002</v>
      </c>
      <c r="Y300" s="45">
        <f>OrdersRawTable9[[#This Row],[Gross_Sales]]-OrdersRawTable9[[#This Row],[Discount_Amount]]</f>
        <v>23.759500000000003</v>
      </c>
      <c r="Z300" s="45">
        <f>OrdersRawTable9[[#This Row],[Unit_Cost]]*OrdersRawTable9[[#This Row],[Quantity]]</f>
        <v>16.86</v>
      </c>
      <c r="AA300" s="45">
        <f>OrdersRawTable9[[#This Row],[Net_Sales]]-OrdersRawTable9[[#This Row],[Total_Cost]]</f>
        <v>6.8995000000000033</v>
      </c>
      <c r="AB300" s="48">
        <f>IF(OrdersRawTable9[[#This Row],[Net_Sales]]=0,0,OrdersRawTable9[[#This Row],[Profit]]/OrdersRawTable9[[#This Row],[Net_Sales]])</f>
        <v>0.29038910751488889</v>
      </c>
      <c r="AC300" s="45" t="str">
        <f>IF(COUNTIF(ReturnsRawTable[Order_Line_ID],OrdersRawTable9[[#This Row],[Order_Line_ID]])&gt;0,"Yes","No")</f>
        <v>No</v>
      </c>
      <c r="AD300" s="45" t="str">
        <f>IFERROR(VLOOKUP(OrdersRawTable9[[#This Row],[Order_Line_ID]],ReturnsRawTable[[#All],[Order_Line_ID]:[Return_Reason_Raw]],3,FALSE),"")</f>
        <v/>
      </c>
      <c r="AE300" s="49" t="str">
        <f>IFERROR(VLOOKUP(OrdersRawTable9[[#This Row],[Order_Line_ID]],ReturnsRawTable[[#All],[Order_Line_ID]:[Return_Date]],2,FALSE),"")</f>
        <v/>
      </c>
      <c r="AF300" s="45" t="str">
        <f>IFERROR(VLOOKUP(OrdersRawTable9[[#This Row],[Order_Line_ID]],ReturnsRawTable[[Order_Line_ID]:[Refund_Status]],4,FALSE),"")</f>
        <v/>
      </c>
      <c r="AG300" s="45" t="str">
        <f>VLOOKUP(OrdersRawTable9[[#This Row],[Order_ID]],ShipmentsTable[],6,FALSE)</f>
        <v>Late</v>
      </c>
      <c r="AH300" s="49">
        <f>VLOOKUP(OrdersRawTable9[[#This Row],[Order_ID]],ShipmentsTable[],3,FALSE)</f>
        <v>45972</v>
      </c>
    </row>
    <row r="301" spans="1:34" ht="15" customHeight="1">
      <c r="A301" s="14" t="s">
        <v>711</v>
      </c>
      <c r="B301" s="10" t="s">
        <v>710</v>
      </c>
      <c r="C301" s="20">
        <v>45965</v>
      </c>
      <c r="D301" s="10" t="s">
        <v>382</v>
      </c>
      <c r="E301" s="10" t="s">
        <v>383</v>
      </c>
      <c r="F301" s="10" t="str">
        <f>TRIM(LEFT(OrdersRawTable9[[#This Row],[Customer_Info]],FIND(",",OrdersRawTable9[[#This Row],[Customer_Info]])-1))</f>
        <v>Ethan Brown</v>
      </c>
      <c r="G30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Regina</v>
      </c>
      <c r="H301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301" s="10">
        <f>LEN(OrdersRawTable9[[#This Row],[Customer_Info]])-LEN(SUBSTITUTE(OrdersRawTable9[[#This Row],[Customer_Info]],",",""))</f>
        <v>2</v>
      </c>
      <c r="J301" s="10" t="s">
        <v>309</v>
      </c>
      <c r="K301" s="23">
        <v>1</v>
      </c>
      <c r="L301" s="26">
        <v>56.99</v>
      </c>
      <c r="M301" s="29">
        <v>0.05</v>
      </c>
      <c r="N301" s="10" t="s">
        <v>50</v>
      </c>
      <c r="O301" s="10" t="str">
        <f>IF(TRIM(OrdersRawTable9[[#This Row],[Sales_Channel_Raw]])="Market place","Marketplace",TRIM(OrdersRawTable9[[#This Row],[Sales_Channel_Raw]]))</f>
        <v>Marketplace</v>
      </c>
      <c r="P301" s="10"/>
      <c r="Q301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301" s="15" t="s">
        <v>52</v>
      </c>
      <c r="S301" t="str">
        <f>VLOOKUP(OrdersRawTable9[[#This Row],[Customer_ID_Raw]],CustomersTable11[],4,FALSE)</f>
        <v>Saskatchewan</v>
      </c>
      <c r="T301" t="str">
        <f>VLOOKUP(OrdersRawTable9[[#This Row],[Customer_ID_Raw]],CustomersTable11[],5,FALSE)</f>
        <v>Corporate</v>
      </c>
      <c r="U301" s="45">
        <f>VLOOKUP(OrdersRawTable9[[#This Row],[Product_ID]],ProductsTable10[],4,FALSE)</f>
        <v>33.65</v>
      </c>
      <c r="V301" t="str">
        <f>VLOOKUP(OrdersRawTable9[[#This Row],[Product_ID]],ProductsTable10[],3,FALSE)</f>
        <v>Home</v>
      </c>
      <c r="W301" s="45">
        <f>OrdersRawTable9[[#This Row],[Unit_Price]]*OrdersRawTable9[[#This Row],[Quantity]]</f>
        <v>56.99</v>
      </c>
      <c r="X301" s="47">
        <f>OrdersRawTable9[[#This Row],[Gross_Sales]]*OrdersRawTable9[[#This Row],[Discount_Pct]]</f>
        <v>2.8495000000000004</v>
      </c>
      <c r="Y301" s="45">
        <f>OrdersRawTable9[[#This Row],[Gross_Sales]]-OrdersRawTable9[[#This Row],[Discount_Amount]]</f>
        <v>54.140500000000003</v>
      </c>
      <c r="Z301" s="45">
        <f>OrdersRawTable9[[#This Row],[Unit_Cost]]*OrdersRawTable9[[#This Row],[Quantity]]</f>
        <v>33.65</v>
      </c>
      <c r="AA301" s="45">
        <f>OrdersRawTable9[[#This Row],[Net_Sales]]-OrdersRawTable9[[#This Row],[Total_Cost]]</f>
        <v>20.490500000000004</v>
      </c>
      <c r="AB301" s="48">
        <f>IF(OrdersRawTable9[[#This Row],[Net_Sales]]=0,0,OrdersRawTable9[[#This Row],[Profit]]/OrdersRawTable9[[#This Row],[Net_Sales]])</f>
        <v>0.37846898347817259</v>
      </c>
      <c r="AC301" s="45" t="str">
        <f>IF(COUNTIF(ReturnsRawTable[Order_Line_ID],OrdersRawTable9[[#This Row],[Order_Line_ID]])&gt;0,"Yes","No")</f>
        <v>No</v>
      </c>
      <c r="AD301" s="45" t="str">
        <f>IFERROR(VLOOKUP(OrdersRawTable9[[#This Row],[Order_Line_ID]],ReturnsRawTable[[#All],[Order_Line_ID]:[Return_Reason_Raw]],3,FALSE),"")</f>
        <v/>
      </c>
      <c r="AE301" s="49" t="str">
        <f>IFERROR(VLOOKUP(OrdersRawTable9[[#This Row],[Order_Line_ID]],ReturnsRawTable[[#All],[Order_Line_ID]:[Return_Date]],2,FALSE),"")</f>
        <v/>
      </c>
      <c r="AF301" s="45" t="str">
        <f>IFERROR(VLOOKUP(OrdersRawTable9[[#This Row],[Order_Line_ID]],ReturnsRawTable[[Order_Line_ID]:[Refund_Status]],4,FALSE),"")</f>
        <v/>
      </c>
      <c r="AG301" s="45" t="str">
        <f>VLOOKUP(OrdersRawTable9[[#This Row],[Order_ID]],ShipmentsTable[],6,FALSE)</f>
        <v>Late</v>
      </c>
      <c r="AH301" s="49">
        <f>VLOOKUP(OrdersRawTable9[[#This Row],[Order_ID]],ShipmentsTable[],3,FALSE)</f>
        <v>45972</v>
      </c>
    </row>
    <row r="302" spans="1:34" ht="15" customHeight="1">
      <c r="A302" s="14" t="s">
        <v>712</v>
      </c>
      <c r="B302" s="10" t="s">
        <v>713</v>
      </c>
      <c r="C302" s="20">
        <v>45735.041666666664</v>
      </c>
      <c r="D302" s="10" t="s">
        <v>680</v>
      </c>
      <c r="E302" s="10" t="s">
        <v>681</v>
      </c>
      <c r="F302" s="10" t="str">
        <f>TRIM(LEFT(OrdersRawTable9[[#This Row],[Customer_Info]],FIND(",",OrdersRawTable9[[#This Row],[Customer_Info]])-1))</f>
        <v>Amina Tremblay</v>
      </c>
      <c r="G30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302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302" s="10">
        <f>LEN(OrdersRawTable9[[#This Row],[Customer_Info]])-LEN(SUBSTITUTE(OrdersRawTable9[[#This Row],[Customer_Info]],",",""))</f>
        <v>2</v>
      </c>
      <c r="J302" s="10" t="s">
        <v>178</v>
      </c>
      <c r="K302" s="23">
        <v>4</v>
      </c>
      <c r="L302" s="26">
        <v>61.81</v>
      </c>
      <c r="M302" s="29">
        <v>0.15</v>
      </c>
      <c r="N302" s="10" t="s">
        <v>64</v>
      </c>
      <c r="O302" s="10" t="str">
        <f>IF(TRIM(OrdersRawTable9[[#This Row],[Sales_Channel_Raw]])="Market place","Marketplace",TRIM(OrdersRawTable9[[#This Row],[Sales_Channel_Raw]]))</f>
        <v>Retail Store</v>
      </c>
      <c r="P302" s="10" t="s">
        <v>51</v>
      </c>
      <c r="Q302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302" s="15" t="s">
        <v>101</v>
      </c>
      <c r="S302" t="str">
        <f>VLOOKUP(OrdersRawTable9[[#This Row],[Customer_ID_Raw]],CustomersTable11[],4,FALSE)</f>
        <v>British Columbia</v>
      </c>
      <c r="T302" t="str">
        <f>VLOOKUP(OrdersRawTable9[[#This Row],[Customer_ID_Raw]],CustomersTable11[],5,FALSE)</f>
        <v>Corporate</v>
      </c>
      <c r="U302" s="45">
        <f>VLOOKUP(OrdersRawTable9[[#This Row],[Product_ID]],ProductsTable10[],4,FALSE)</f>
        <v>33.19</v>
      </c>
      <c r="V302" t="str">
        <f>VLOOKUP(OrdersRawTable9[[#This Row],[Product_ID]],ProductsTable10[],3,FALSE)</f>
        <v>Office</v>
      </c>
      <c r="W302" s="45">
        <f>OrdersRawTable9[[#This Row],[Unit_Price]]*OrdersRawTable9[[#This Row],[Quantity]]</f>
        <v>247.24</v>
      </c>
      <c r="X302" s="47">
        <f>OrdersRawTable9[[#This Row],[Gross_Sales]]*OrdersRawTable9[[#This Row],[Discount_Pct]]</f>
        <v>37.085999999999999</v>
      </c>
      <c r="Y302" s="45">
        <f>OrdersRawTable9[[#This Row],[Gross_Sales]]-OrdersRawTable9[[#This Row],[Discount_Amount]]</f>
        <v>210.154</v>
      </c>
      <c r="Z302" s="45">
        <f>OrdersRawTable9[[#This Row],[Unit_Cost]]*OrdersRawTable9[[#This Row],[Quantity]]</f>
        <v>132.76</v>
      </c>
      <c r="AA302" s="45">
        <f>OrdersRawTable9[[#This Row],[Net_Sales]]-OrdersRawTable9[[#This Row],[Total_Cost]]</f>
        <v>77.394000000000005</v>
      </c>
      <c r="AB302" s="48">
        <f>IF(OrdersRawTable9[[#This Row],[Net_Sales]]=0,0,OrdersRawTable9[[#This Row],[Profit]]/OrdersRawTable9[[#This Row],[Net_Sales]])</f>
        <v>0.36827279042987526</v>
      </c>
      <c r="AC302" s="45" t="str">
        <f>IF(COUNTIF(ReturnsRawTable[Order_Line_ID],OrdersRawTable9[[#This Row],[Order_Line_ID]])&gt;0,"Yes","No")</f>
        <v>Yes</v>
      </c>
      <c r="AD302" s="45" t="str">
        <f>IFERROR(VLOOKUP(OrdersRawTable9[[#This Row],[Order_Line_ID]],ReturnsRawTable[[#All],[Order_Line_ID]:[Return_Reason_Raw]],3,FALSE),"")</f>
        <v>damaged</v>
      </c>
      <c r="AE302" s="49">
        <f>IFERROR(VLOOKUP(OrdersRawTable9[[#This Row],[Order_Line_ID]],ReturnsRawTable[[#All],[Order_Line_ID]:[Return_Date]],2,FALSE),"")</f>
        <v>45740.041666666664</v>
      </c>
      <c r="AF302" s="45" t="str">
        <f>IFERROR(VLOOKUP(OrdersRawTable9[[#This Row],[Order_Line_ID]],ReturnsRawTable[[Order_Line_ID]:[Refund_Status]],4,FALSE),"")</f>
        <v>Pending</v>
      </c>
      <c r="AG302" s="45" t="str">
        <f>VLOOKUP(OrdersRawTable9[[#This Row],[Order_ID]],ShipmentsTable[],6,FALSE)</f>
        <v>On time</v>
      </c>
      <c r="AH302" s="49">
        <f>VLOOKUP(OrdersRawTable9[[#This Row],[Order_ID]],ShipmentsTable[],3,FALSE)</f>
        <v>45736.041666666664</v>
      </c>
    </row>
    <row r="303" spans="1:34" ht="15" customHeight="1">
      <c r="A303" s="14" t="s">
        <v>714</v>
      </c>
      <c r="B303" s="10" t="s">
        <v>713</v>
      </c>
      <c r="C303" s="20">
        <v>45735.041666666664</v>
      </c>
      <c r="D303" s="10" t="s">
        <v>680</v>
      </c>
      <c r="E303" s="10" t="s">
        <v>681</v>
      </c>
      <c r="F303" s="10" t="str">
        <f>TRIM(LEFT(OrdersRawTable9[[#This Row],[Customer_Info]],FIND(",",OrdersRawTable9[[#This Row],[Customer_Info]])-1))</f>
        <v>Amina Tremblay</v>
      </c>
      <c r="G30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303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303" s="10">
        <f>LEN(OrdersRawTable9[[#This Row],[Customer_Info]])-LEN(SUBSTITUTE(OrdersRawTable9[[#This Row],[Customer_Info]],",",""))</f>
        <v>2</v>
      </c>
      <c r="J303" s="10" t="s">
        <v>80</v>
      </c>
      <c r="K303" s="23">
        <v>4</v>
      </c>
      <c r="L303" s="26">
        <v>142.16</v>
      </c>
      <c r="M303" s="29">
        <v>0.15</v>
      </c>
      <c r="N303" s="10" t="s">
        <v>70</v>
      </c>
      <c r="O303" s="10" t="str">
        <f>IF(TRIM(OrdersRawTable9[[#This Row],[Sales_Channel_Raw]])="Market place","Marketplace",TRIM(OrdersRawTable9[[#This Row],[Sales_Channel_Raw]]))</f>
        <v>online</v>
      </c>
      <c r="P303" s="10" t="s">
        <v>51</v>
      </c>
      <c r="Q303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303" s="15" t="s">
        <v>47</v>
      </c>
      <c r="S303" t="str">
        <f>VLOOKUP(OrdersRawTable9[[#This Row],[Customer_ID_Raw]],CustomersTable11[],4,FALSE)</f>
        <v>British Columbia</v>
      </c>
      <c r="T303" t="str">
        <f>VLOOKUP(OrdersRawTable9[[#This Row],[Customer_ID_Raw]],CustomersTable11[],5,FALSE)</f>
        <v>Corporate</v>
      </c>
      <c r="U303" s="45">
        <f>VLOOKUP(OrdersRawTable9[[#This Row],[Product_ID]],ProductsTable10[],4,FALSE)</f>
        <v>85.34</v>
      </c>
      <c r="V303" t="str">
        <f>VLOOKUP(OrdersRawTable9[[#This Row],[Product_ID]],ProductsTable10[],3,FALSE)</f>
        <v>Home</v>
      </c>
      <c r="W303" s="45">
        <f>OrdersRawTable9[[#This Row],[Unit_Price]]*OrdersRawTable9[[#This Row],[Quantity]]</f>
        <v>568.64</v>
      </c>
      <c r="X303" s="47">
        <f>OrdersRawTable9[[#This Row],[Gross_Sales]]*OrdersRawTable9[[#This Row],[Discount_Pct]]</f>
        <v>85.295999999999992</v>
      </c>
      <c r="Y303" s="45">
        <f>OrdersRawTable9[[#This Row],[Gross_Sales]]-OrdersRawTable9[[#This Row],[Discount_Amount]]</f>
        <v>483.34399999999999</v>
      </c>
      <c r="Z303" s="45">
        <f>OrdersRawTable9[[#This Row],[Unit_Cost]]*OrdersRawTable9[[#This Row],[Quantity]]</f>
        <v>341.36</v>
      </c>
      <c r="AA303" s="45">
        <f>OrdersRawTable9[[#This Row],[Net_Sales]]-OrdersRawTable9[[#This Row],[Total_Cost]]</f>
        <v>141.98399999999998</v>
      </c>
      <c r="AB303" s="48">
        <f>IF(OrdersRawTable9[[#This Row],[Net_Sales]]=0,0,OrdersRawTable9[[#This Row],[Profit]]/OrdersRawTable9[[#This Row],[Net_Sales]])</f>
        <v>0.29375351716375908</v>
      </c>
      <c r="AC303" s="45" t="str">
        <f>IF(COUNTIF(ReturnsRawTable[Order_Line_ID],OrdersRawTable9[[#This Row],[Order_Line_ID]])&gt;0,"Yes","No")</f>
        <v>No</v>
      </c>
      <c r="AD303" s="45" t="str">
        <f>IFERROR(VLOOKUP(OrdersRawTable9[[#This Row],[Order_Line_ID]],ReturnsRawTable[[#All],[Order_Line_ID]:[Return_Reason_Raw]],3,FALSE),"")</f>
        <v/>
      </c>
      <c r="AE303" s="49" t="str">
        <f>IFERROR(VLOOKUP(OrdersRawTable9[[#This Row],[Order_Line_ID]],ReturnsRawTable[[#All],[Order_Line_ID]:[Return_Date]],2,FALSE),"")</f>
        <v/>
      </c>
      <c r="AF303" s="45" t="str">
        <f>IFERROR(VLOOKUP(OrdersRawTable9[[#This Row],[Order_Line_ID]],ReturnsRawTable[[Order_Line_ID]:[Refund_Status]],4,FALSE),"")</f>
        <v/>
      </c>
      <c r="AG303" s="45" t="str">
        <f>VLOOKUP(OrdersRawTable9[[#This Row],[Order_ID]],ShipmentsTable[],6,FALSE)</f>
        <v>On time</v>
      </c>
      <c r="AH303" s="49">
        <f>VLOOKUP(OrdersRawTable9[[#This Row],[Order_ID]],ShipmentsTable[],3,FALSE)</f>
        <v>45736.041666666664</v>
      </c>
    </row>
    <row r="304" spans="1:34" ht="15" customHeight="1">
      <c r="A304" s="14" t="s">
        <v>715</v>
      </c>
      <c r="B304" s="10" t="s">
        <v>716</v>
      </c>
      <c r="C304" s="20">
        <v>45697</v>
      </c>
      <c r="D304" s="10" t="s">
        <v>104</v>
      </c>
      <c r="E304" s="10" t="s">
        <v>105</v>
      </c>
      <c r="F304" s="10" t="str">
        <f>TRIM(LEFT(OrdersRawTable9[[#This Row],[Customer_Info]],FIND(",",OrdersRawTable9[[#This Row],[Customer_Info]])-1))</f>
        <v>Liam Khan</v>
      </c>
      <c r="G30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304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304" s="10">
        <f>LEN(OrdersRawTable9[[#This Row],[Customer_Info]])-LEN(SUBSTITUTE(OrdersRawTable9[[#This Row],[Customer_Info]],",",""))</f>
        <v>2</v>
      </c>
      <c r="J304" s="10" t="s">
        <v>214</v>
      </c>
      <c r="K304" s="23">
        <v>2</v>
      </c>
      <c r="L304" s="26">
        <v>186.92</v>
      </c>
      <c r="M304" s="29">
        <v>0</v>
      </c>
      <c r="N304" s="10" t="s">
        <v>45</v>
      </c>
      <c r="O304" s="10" t="str">
        <f>IF(TRIM(OrdersRawTable9[[#This Row],[Sales_Channel_Raw]])="Market place","Marketplace",TRIM(OrdersRawTable9[[#This Row],[Sales_Channel_Raw]]))</f>
        <v>Retail Store</v>
      </c>
      <c r="P304" s="10"/>
      <c r="Q304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304" s="15" t="s">
        <v>101</v>
      </c>
      <c r="S304" t="str">
        <f>VLOOKUP(OrdersRawTable9[[#This Row],[Customer_ID_Raw]],CustomersTable11[],4,FALSE)</f>
        <v>Ontario</v>
      </c>
      <c r="T304" t="str">
        <f>VLOOKUP(OrdersRawTable9[[#This Row],[Customer_ID_Raw]],CustomersTable11[],5,FALSE)</f>
        <v>Small Business</v>
      </c>
      <c r="U304" s="45">
        <f>VLOOKUP(OrdersRawTable9[[#This Row],[Product_ID]],ProductsTable10[],4,FALSE)</f>
        <v>114.11</v>
      </c>
      <c r="V304" t="str">
        <f>VLOOKUP(OrdersRawTable9[[#This Row],[Product_ID]],ProductsTable10[],3,FALSE)</f>
        <v>Home</v>
      </c>
      <c r="W304" s="45">
        <f>OrdersRawTable9[[#This Row],[Unit_Price]]*OrdersRawTable9[[#This Row],[Quantity]]</f>
        <v>373.84</v>
      </c>
      <c r="X304" s="47">
        <f>OrdersRawTable9[[#This Row],[Gross_Sales]]*OrdersRawTable9[[#This Row],[Discount_Pct]]</f>
        <v>0</v>
      </c>
      <c r="Y304" s="45">
        <f>OrdersRawTable9[[#This Row],[Gross_Sales]]-OrdersRawTable9[[#This Row],[Discount_Amount]]</f>
        <v>373.84</v>
      </c>
      <c r="Z304" s="45">
        <f>OrdersRawTable9[[#This Row],[Unit_Cost]]*OrdersRawTable9[[#This Row],[Quantity]]</f>
        <v>228.22</v>
      </c>
      <c r="AA304" s="45">
        <f>OrdersRawTable9[[#This Row],[Net_Sales]]-OrdersRawTable9[[#This Row],[Total_Cost]]</f>
        <v>145.61999999999998</v>
      </c>
      <c r="AB304" s="48">
        <f>IF(OrdersRawTable9[[#This Row],[Net_Sales]]=0,0,OrdersRawTable9[[#This Row],[Profit]]/OrdersRawTable9[[#This Row],[Net_Sales]])</f>
        <v>0.38952493045153003</v>
      </c>
      <c r="AC304" s="45" t="str">
        <f>IF(COUNTIF(ReturnsRawTable[Order_Line_ID],OrdersRawTable9[[#This Row],[Order_Line_ID]])&gt;0,"Yes","No")</f>
        <v>No</v>
      </c>
      <c r="AD304" s="45" t="str">
        <f>IFERROR(VLOOKUP(OrdersRawTable9[[#This Row],[Order_Line_ID]],ReturnsRawTable[[#All],[Order_Line_ID]:[Return_Reason_Raw]],3,FALSE),"")</f>
        <v/>
      </c>
      <c r="AE304" s="49" t="str">
        <f>IFERROR(VLOOKUP(OrdersRawTable9[[#This Row],[Order_Line_ID]],ReturnsRawTable[[#All],[Order_Line_ID]:[Return_Date]],2,FALSE),"")</f>
        <v/>
      </c>
      <c r="AF304" s="45" t="str">
        <f>IFERROR(VLOOKUP(OrdersRawTable9[[#This Row],[Order_Line_ID]],ReturnsRawTable[[Order_Line_ID]:[Refund_Status]],4,FALSE),"")</f>
        <v/>
      </c>
      <c r="AG304" s="45" t="str">
        <f>VLOOKUP(OrdersRawTable9[[#This Row],[Order_ID]],ShipmentsTable[],6,FALSE)</f>
        <v>Late</v>
      </c>
      <c r="AH304" s="49">
        <f>VLOOKUP(OrdersRawTable9[[#This Row],[Order_ID]],ShipmentsTable[],3,FALSE)</f>
        <v>45702</v>
      </c>
    </row>
    <row r="305" spans="1:34" ht="15" customHeight="1">
      <c r="A305" s="14" t="s">
        <v>717</v>
      </c>
      <c r="B305" s="10" t="s">
        <v>716</v>
      </c>
      <c r="C305" s="20">
        <v>45697</v>
      </c>
      <c r="D305" s="10" t="s">
        <v>104</v>
      </c>
      <c r="E305" s="10" t="s">
        <v>105</v>
      </c>
      <c r="F305" s="10" t="str">
        <f>TRIM(LEFT(OrdersRawTable9[[#This Row],[Customer_Info]],FIND(",",OrdersRawTable9[[#This Row],[Customer_Info]])-1))</f>
        <v>Liam Khan</v>
      </c>
      <c r="G30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305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305" s="10">
        <f>LEN(OrdersRawTable9[[#This Row],[Customer_Info]])-LEN(SUBSTITUTE(OrdersRawTable9[[#This Row],[Customer_Info]],",",""))</f>
        <v>2</v>
      </c>
      <c r="J305" s="10" t="s">
        <v>251</v>
      </c>
      <c r="K305" s="23">
        <v>3</v>
      </c>
      <c r="L305" s="26">
        <v>228.91</v>
      </c>
      <c r="M305" s="29">
        <v>0</v>
      </c>
      <c r="N305" s="10" t="s">
        <v>40</v>
      </c>
      <c r="O305" s="10" t="str">
        <f>IF(TRIM(OrdersRawTable9[[#This Row],[Sales_Channel_Raw]])="Market place","Marketplace",TRIM(OrdersRawTable9[[#This Row],[Sales_Channel_Raw]]))</f>
        <v>Online</v>
      </c>
      <c r="P305" s="10" t="s">
        <v>58</v>
      </c>
      <c r="Q305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305" s="15" t="s">
        <v>101</v>
      </c>
      <c r="S305" t="str">
        <f>VLOOKUP(OrdersRawTable9[[#This Row],[Customer_ID_Raw]],CustomersTable11[],4,FALSE)</f>
        <v>Ontario</v>
      </c>
      <c r="T305" t="str">
        <f>VLOOKUP(OrdersRawTable9[[#This Row],[Customer_ID_Raw]],CustomersTable11[],5,FALSE)</f>
        <v>Small Business</v>
      </c>
      <c r="U305" s="45">
        <f>VLOOKUP(OrdersRawTable9[[#This Row],[Product_ID]],ProductsTable10[],4,FALSE)</f>
        <v>149.4</v>
      </c>
      <c r="V305" t="str">
        <f>VLOOKUP(OrdersRawTable9[[#This Row],[Product_ID]],ProductsTable10[],3,FALSE)</f>
        <v>Office</v>
      </c>
      <c r="W305" s="45">
        <f>OrdersRawTable9[[#This Row],[Unit_Price]]*OrdersRawTable9[[#This Row],[Quantity]]</f>
        <v>686.73</v>
      </c>
      <c r="X305" s="47">
        <f>OrdersRawTable9[[#This Row],[Gross_Sales]]*OrdersRawTable9[[#This Row],[Discount_Pct]]</f>
        <v>0</v>
      </c>
      <c r="Y305" s="45">
        <f>OrdersRawTable9[[#This Row],[Gross_Sales]]-OrdersRawTable9[[#This Row],[Discount_Amount]]</f>
        <v>686.73</v>
      </c>
      <c r="Z305" s="45">
        <f>OrdersRawTable9[[#This Row],[Unit_Cost]]*OrdersRawTable9[[#This Row],[Quantity]]</f>
        <v>448.20000000000005</v>
      </c>
      <c r="AA305" s="45">
        <f>OrdersRawTable9[[#This Row],[Net_Sales]]-OrdersRawTable9[[#This Row],[Total_Cost]]</f>
        <v>238.52999999999997</v>
      </c>
      <c r="AB305" s="48">
        <f>IF(OrdersRawTable9[[#This Row],[Net_Sales]]=0,0,OrdersRawTable9[[#This Row],[Profit]]/OrdersRawTable9[[#This Row],[Net_Sales]])</f>
        <v>0.34734175003276391</v>
      </c>
      <c r="AC305" s="45" t="str">
        <f>IF(COUNTIF(ReturnsRawTable[Order_Line_ID],OrdersRawTable9[[#This Row],[Order_Line_ID]])&gt;0,"Yes","No")</f>
        <v>No</v>
      </c>
      <c r="AD305" s="45" t="str">
        <f>IFERROR(VLOOKUP(OrdersRawTable9[[#This Row],[Order_Line_ID]],ReturnsRawTable[[#All],[Order_Line_ID]:[Return_Reason_Raw]],3,FALSE),"")</f>
        <v/>
      </c>
      <c r="AE305" s="49" t="str">
        <f>IFERROR(VLOOKUP(OrdersRawTable9[[#This Row],[Order_Line_ID]],ReturnsRawTable[[#All],[Order_Line_ID]:[Return_Date]],2,FALSE),"")</f>
        <v/>
      </c>
      <c r="AF305" s="45" t="str">
        <f>IFERROR(VLOOKUP(OrdersRawTable9[[#This Row],[Order_Line_ID]],ReturnsRawTable[[Order_Line_ID]:[Refund_Status]],4,FALSE),"")</f>
        <v/>
      </c>
      <c r="AG305" s="45" t="str">
        <f>VLOOKUP(OrdersRawTable9[[#This Row],[Order_ID]],ShipmentsTable[],6,FALSE)</f>
        <v>Late</v>
      </c>
      <c r="AH305" s="49">
        <f>VLOOKUP(OrdersRawTable9[[#This Row],[Order_ID]],ShipmentsTable[],3,FALSE)</f>
        <v>45702</v>
      </c>
    </row>
    <row r="306" spans="1:34" ht="15" customHeight="1">
      <c r="A306" s="14" t="s">
        <v>718</v>
      </c>
      <c r="B306" s="10" t="s">
        <v>719</v>
      </c>
      <c r="C306" s="20">
        <v>45906</v>
      </c>
      <c r="D306" s="10" t="s">
        <v>499</v>
      </c>
      <c r="E306" s="10" t="s">
        <v>500</v>
      </c>
      <c r="F306" s="10" t="str">
        <f>TRIM(LEFT(OrdersRawTable9[[#This Row],[Customer_Info]],FIND(",",OrdersRawTable9[[#This Row],[Customer_Info]])-1))</f>
        <v>Omar Martin</v>
      </c>
      <c r="G30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306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306" s="10">
        <f>LEN(OrdersRawTable9[[#This Row],[Customer_Info]])-LEN(SUBSTITUTE(OrdersRawTable9[[#This Row],[Customer_Info]],",",""))</f>
        <v>2</v>
      </c>
      <c r="J306" s="10" t="s">
        <v>196</v>
      </c>
      <c r="K306" s="23">
        <v>3</v>
      </c>
      <c r="L306" s="26">
        <v>183.73</v>
      </c>
      <c r="M306" s="29">
        <v>0</v>
      </c>
      <c r="N306" s="10" t="s">
        <v>64</v>
      </c>
      <c r="O306" s="10" t="str">
        <f>IF(TRIM(OrdersRawTable9[[#This Row],[Sales_Channel_Raw]])="Market place","Marketplace",TRIM(OrdersRawTable9[[#This Row],[Sales_Channel_Raw]]))</f>
        <v>Retail Store</v>
      </c>
      <c r="P306" s="10" t="s">
        <v>98</v>
      </c>
      <c r="Q306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306" s="15" t="s">
        <v>52</v>
      </c>
      <c r="S306" t="str">
        <f>VLOOKUP(OrdersRawTable9[[#This Row],[Customer_ID_Raw]],CustomersTable11[],4,FALSE)</f>
        <v>Alberta</v>
      </c>
      <c r="T306" t="str">
        <f>VLOOKUP(OrdersRawTable9[[#This Row],[Customer_ID_Raw]],CustomersTable11[],5,FALSE)</f>
        <v>Consumer</v>
      </c>
      <c r="U306" s="45">
        <f>VLOOKUP(OrdersRawTable9[[#This Row],[Product_ID]],ProductsTable10[],4,FALSE)</f>
        <v>98.11</v>
      </c>
      <c r="V306" t="str">
        <f>VLOOKUP(OrdersRawTable9[[#This Row],[Product_ID]],ProductsTable10[],3,FALSE)</f>
        <v>Home</v>
      </c>
      <c r="W306" s="45">
        <f>OrdersRawTable9[[#This Row],[Unit_Price]]*OrdersRawTable9[[#This Row],[Quantity]]</f>
        <v>551.18999999999994</v>
      </c>
      <c r="X306" s="47">
        <f>OrdersRawTable9[[#This Row],[Gross_Sales]]*OrdersRawTable9[[#This Row],[Discount_Pct]]</f>
        <v>0</v>
      </c>
      <c r="Y306" s="45">
        <f>OrdersRawTable9[[#This Row],[Gross_Sales]]-OrdersRawTable9[[#This Row],[Discount_Amount]]</f>
        <v>551.18999999999994</v>
      </c>
      <c r="Z306" s="45">
        <f>OrdersRawTable9[[#This Row],[Unit_Cost]]*OrdersRawTable9[[#This Row],[Quantity]]</f>
        <v>294.33</v>
      </c>
      <c r="AA306" s="45">
        <f>OrdersRawTable9[[#This Row],[Net_Sales]]-OrdersRawTable9[[#This Row],[Total_Cost]]</f>
        <v>256.85999999999996</v>
      </c>
      <c r="AB306" s="48">
        <f>IF(OrdersRawTable9[[#This Row],[Net_Sales]]=0,0,OrdersRawTable9[[#This Row],[Profit]]/OrdersRawTable9[[#This Row],[Net_Sales]])</f>
        <v>0.46600990584009139</v>
      </c>
      <c r="AC306" s="45" t="str">
        <f>IF(COUNTIF(ReturnsRawTable[Order_Line_ID],OrdersRawTable9[[#This Row],[Order_Line_ID]])&gt;0,"Yes","No")</f>
        <v>No</v>
      </c>
      <c r="AD306" s="45" t="str">
        <f>IFERROR(VLOOKUP(OrdersRawTable9[[#This Row],[Order_Line_ID]],ReturnsRawTable[[#All],[Order_Line_ID]:[Return_Reason_Raw]],3,FALSE),"")</f>
        <v/>
      </c>
      <c r="AE306" s="49" t="str">
        <f>IFERROR(VLOOKUP(OrdersRawTable9[[#This Row],[Order_Line_ID]],ReturnsRawTable[[#All],[Order_Line_ID]:[Return_Date]],2,FALSE),"")</f>
        <v/>
      </c>
      <c r="AF306" s="45" t="str">
        <f>IFERROR(VLOOKUP(OrdersRawTable9[[#This Row],[Order_Line_ID]],ReturnsRawTable[[Order_Line_ID]:[Refund_Status]],4,FALSE),"")</f>
        <v/>
      </c>
      <c r="AG306" s="45" t="str">
        <f>VLOOKUP(OrdersRawTable9[[#This Row],[Order_ID]],ShipmentsTable[],6,FALSE)</f>
        <v>On time</v>
      </c>
      <c r="AH306" s="49">
        <f>VLOOKUP(OrdersRawTable9[[#This Row],[Order_ID]],ShipmentsTable[],3,FALSE)</f>
        <v>45907</v>
      </c>
    </row>
    <row r="307" spans="1:34" ht="15" customHeight="1">
      <c r="A307" s="14" t="s">
        <v>720</v>
      </c>
      <c r="B307" s="10" t="s">
        <v>719</v>
      </c>
      <c r="C307" s="20">
        <v>45906</v>
      </c>
      <c r="D307" s="10" t="s">
        <v>499</v>
      </c>
      <c r="E307" s="10" t="s">
        <v>500</v>
      </c>
      <c r="F307" s="10" t="str">
        <f>TRIM(LEFT(OrdersRawTable9[[#This Row],[Customer_Info]],FIND(",",OrdersRawTable9[[#This Row],[Customer_Info]])-1))</f>
        <v>Omar Martin</v>
      </c>
      <c r="G30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307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307" s="10">
        <f>LEN(OrdersRawTable9[[#This Row],[Customer_Info]])-LEN(SUBSTITUTE(OrdersRawTable9[[#This Row],[Customer_Info]],",",""))</f>
        <v>2</v>
      </c>
      <c r="J307" s="10" t="s">
        <v>150</v>
      </c>
      <c r="K307" s="23">
        <v>2</v>
      </c>
      <c r="L307" s="26">
        <v>263.04000000000002</v>
      </c>
      <c r="M307" s="29">
        <v>0.05</v>
      </c>
      <c r="N307" s="10" t="s">
        <v>64</v>
      </c>
      <c r="O307" s="10" t="str">
        <f>IF(TRIM(OrdersRawTable9[[#This Row],[Sales_Channel_Raw]])="Market place","Marketplace",TRIM(OrdersRawTable9[[#This Row],[Sales_Channel_Raw]]))</f>
        <v>Retail Store</v>
      </c>
      <c r="P307" s="10" t="s">
        <v>41</v>
      </c>
      <c r="Q307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07" s="15" t="s">
        <v>42</v>
      </c>
      <c r="S307" t="str">
        <f>VLOOKUP(OrdersRawTable9[[#This Row],[Customer_ID_Raw]],CustomersTable11[],4,FALSE)</f>
        <v>Alberta</v>
      </c>
      <c r="T307" t="str">
        <f>VLOOKUP(OrdersRawTable9[[#This Row],[Customer_ID_Raw]],CustomersTable11[],5,FALSE)</f>
        <v>Consumer</v>
      </c>
      <c r="U307" s="45">
        <f>VLOOKUP(OrdersRawTable9[[#This Row],[Product_ID]],ProductsTable10[],4,FALSE)</f>
        <v>161.84</v>
      </c>
      <c r="V307" t="str">
        <f>VLOOKUP(OrdersRawTable9[[#This Row],[Product_ID]],ProductsTable10[],3,FALSE)</f>
        <v>Office</v>
      </c>
      <c r="W307" s="45">
        <f>OrdersRawTable9[[#This Row],[Unit_Price]]*OrdersRawTable9[[#This Row],[Quantity]]</f>
        <v>526.08000000000004</v>
      </c>
      <c r="X307" s="47">
        <f>OrdersRawTable9[[#This Row],[Gross_Sales]]*OrdersRawTable9[[#This Row],[Discount_Pct]]</f>
        <v>26.304000000000002</v>
      </c>
      <c r="Y307" s="45">
        <f>OrdersRawTable9[[#This Row],[Gross_Sales]]-OrdersRawTable9[[#This Row],[Discount_Amount]]</f>
        <v>499.77600000000007</v>
      </c>
      <c r="Z307" s="45">
        <f>OrdersRawTable9[[#This Row],[Unit_Cost]]*OrdersRawTable9[[#This Row],[Quantity]]</f>
        <v>323.68</v>
      </c>
      <c r="AA307" s="45">
        <f>OrdersRawTable9[[#This Row],[Net_Sales]]-OrdersRawTable9[[#This Row],[Total_Cost]]</f>
        <v>176.09600000000006</v>
      </c>
      <c r="AB307" s="48">
        <f>IF(OrdersRawTable9[[#This Row],[Net_Sales]]=0,0,OrdersRawTable9[[#This Row],[Profit]]/OrdersRawTable9[[#This Row],[Net_Sales]])</f>
        <v>0.35234985273402492</v>
      </c>
      <c r="AC307" s="45" t="str">
        <f>IF(COUNTIF(ReturnsRawTable[Order_Line_ID],OrdersRawTable9[[#This Row],[Order_Line_ID]])&gt;0,"Yes","No")</f>
        <v>No</v>
      </c>
      <c r="AD307" s="45" t="str">
        <f>IFERROR(VLOOKUP(OrdersRawTable9[[#This Row],[Order_Line_ID]],ReturnsRawTable[[#All],[Order_Line_ID]:[Return_Reason_Raw]],3,FALSE),"")</f>
        <v/>
      </c>
      <c r="AE307" s="49" t="str">
        <f>IFERROR(VLOOKUP(OrdersRawTable9[[#This Row],[Order_Line_ID]],ReturnsRawTable[[#All],[Order_Line_ID]:[Return_Date]],2,FALSE),"")</f>
        <v/>
      </c>
      <c r="AF307" s="45" t="str">
        <f>IFERROR(VLOOKUP(OrdersRawTable9[[#This Row],[Order_Line_ID]],ReturnsRawTable[[Order_Line_ID]:[Refund_Status]],4,FALSE),"")</f>
        <v/>
      </c>
      <c r="AG307" s="45" t="str">
        <f>VLOOKUP(OrdersRawTable9[[#This Row],[Order_ID]],ShipmentsTable[],6,FALSE)</f>
        <v>On time</v>
      </c>
      <c r="AH307" s="49">
        <f>VLOOKUP(OrdersRawTable9[[#This Row],[Order_ID]],ShipmentsTable[],3,FALSE)</f>
        <v>45907</v>
      </c>
    </row>
    <row r="308" spans="1:34" ht="15" customHeight="1">
      <c r="A308" s="14" t="s">
        <v>721</v>
      </c>
      <c r="B308" s="10" t="s">
        <v>719</v>
      </c>
      <c r="C308" s="20">
        <v>45906</v>
      </c>
      <c r="D308" s="10" t="s">
        <v>499</v>
      </c>
      <c r="E308" s="10" t="s">
        <v>500</v>
      </c>
      <c r="F308" s="10" t="str">
        <f>TRIM(LEFT(OrdersRawTable9[[#This Row],[Customer_Info]],FIND(",",OrdersRawTable9[[#This Row],[Customer_Info]])-1))</f>
        <v>Omar Martin</v>
      </c>
      <c r="G30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308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308" s="10">
        <f>LEN(OrdersRawTable9[[#This Row],[Customer_Info]])-LEN(SUBSTITUTE(OrdersRawTable9[[#This Row],[Customer_Info]],",",""))</f>
        <v>2</v>
      </c>
      <c r="J308" s="10" t="s">
        <v>196</v>
      </c>
      <c r="K308" s="23">
        <v>4</v>
      </c>
      <c r="L308" s="26">
        <v>183.73</v>
      </c>
      <c r="M308" s="29">
        <v>0</v>
      </c>
      <c r="N308" s="10" t="s">
        <v>70</v>
      </c>
      <c r="O308" s="10" t="str">
        <f>IF(TRIM(OrdersRawTable9[[#This Row],[Sales_Channel_Raw]])="Market place","Marketplace",TRIM(OrdersRawTable9[[#This Row],[Sales_Channel_Raw]]))</f>
        <v>online</v>
      </c>
      <c r="P308" s="10" t="s">
        <v>51</v>
      </c>
      <c r="Q308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308" s="15" t="s">
        <v>47</v>
      </c>
      <c r="S308" t="str">
        <f>VLOOKUP(OrdersRawTable9[[#This Row],[Customer_ID_Raw]],CustomersTable11[],4,FALSE)</f>
        <v>Alberta</v>
      </c>
      <c r="T308" t="str">
        <f>VLOOKUP(OrdersRawTable9[[#This Row],[Customer_ID_Raw]],CustomersTable11[],5,FALSE)</f>
        <v>Consumer</v>
      </c>
      <c r="U308" s="45">
        <f>VLOOKUP(OrdersRawTable9[[#This Row],[Product_ID]],ProductsTable10[],4,FALSE)</f>
        <v>98.11</v>
      </c>
      <c r="V308" t="str">
        <f>VLOOKUP(OrdersRawTable9[[#This Row],[Product_ID]],ProductsTable10[],3,FALSE)</f>
        <v>Home</v>
      </c>
      <c r="W308" s="45">
        <f>OrdersRawTable9[[#This Row],[Unit_Price]]*OrdersRawTable9[[#This Row],[Quantity]]</f>
        <v>734.92</v>
      </c>
      <c r="X308" s="47">
        <f>OrdersRawTable9[[#This Row],[Gross_Sales]]*OrdersRawTable9[[#This Row],[Discount_Pct]]</f>
        <v>0</v>
      </c>
      <c r="Y308" s="45">
        <f>OrdersRawTable9[[#This Row],[Gross_Sales]]-OrdersRawTable9[[#This Row],[Discount_Amount]]</f>
        <v>734.92</v>
      </c>
      <c r="Z308" s="45">
        <f>OrdersRawTable9[[#This Row],[Unit_Cost]]*OrdersRawTable9[[#This Row],[Quantity]]</f>
        <v>392.44</v>
      </c>
      <c r="AA308" s="45">
        <f>OrdersRawTable9[[#This Row],[Net_Sales]]-OrdersRawTable9[[#This Row],[Total_Cost]]</f>
        <v>342.47999999999996</v>
      </c>
      <c r="AB308" s="48">
        <f>IF(OrdersRawTable9[[#This Row],[Net_Sales]]=0,0,OrdersRawTable9[[#This Row],[Profit]]/OrdersRawTable9[[#This Row],[Net_Sales]])</f>
        <v>0.46600990584009139</v>
      </c>
      <c r="AC308" s="45" t="str">
        <f>IF(COUNTIF(ReturnsRawTable[Order_Line_ID],OrdersRawTable9[[#This Row],[Order_Line_ID]])&gt;0,"Yes","No")</f>
        <v>No</v>
      </c>
      <c r="AD308" s="45" t="str">
        <f>IFERROR(VLOOKUP(OrdersRawTable9[[#This Row],[Order_Line_ID]],ReturnsRawTable[[#All],[Order_Line_ID]:[Return_Reason_Raw]],3,FALSE),"")</f>
        <v/>
      </c>
      <c r="AE308" s="49" t="str">
        <f>IFERROR(VLOOKUP(OrdersRawTable9[[#This Row],[Order_Line_ID]],ReturnsRawTable[[#All],[Order_Line_ID]:[Return_Date]],2,FALSE),"")</f>
        <v/>
      </c>
      <c r="AF308" s="45" t="str">
        <f>IFERROR(VLOOKUP(OrdersRawTable9[[#This Row],[Order_Line_ID]],ReturnsRawTable[[Order_Line_ID]:[Refund_Status]],4,FALSE),"")</f>
        <v/>
      </c>
      <c r="AG308" s="45" t="str">
        <f>VLOOKUP(OrdersRawTable9[[#This Row],[Order_ID]],ShipmentsTable[],6,FALSE)</f>
        <v>On time</v>
      </c>
      <c r="AH308" s="49">
        <f>VLOOKUP(OrdersRawTable9[[#This Row],[Order_ID]],ShipmentsTable[],3,FALSE)</f>
        <v>45907</v>
      </c>
    </row>
    <row r="309" spans="1:34" ht="15" customHeight="1">
      <c r="A309" s="14" t="s">
        <v>722</v>
      </c>
      <c r="B309" s="10" t="s">
        <v>723</v>
      </c>
      <c r="C309" s="20">
        <v>45895</v>
      </c>
      <c r="D309" s="10" t="s">
        <v>724</v>
      </c>
      <c r="E309" s="10" t="s">
        <v>725</v>
      </c>
      <c r="F309" s="10" t="str">
        <f>TRIM(LEFT(OrdersRawTable9[[#This Row],[Customer_Info]],FIND(",",OrdersRawTable9[[#This Row],[Customer_Info]])-1))</f>
        <v>Liam Singh</v>
      </c>
      <c r="G30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309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309" s="10">
        <f>LEN(OrdersRawTable9[[#This Row],[Customer_Info]])-LEN(SUBSTITUTE(OrdersRawTable9[[#This Row],[Customer_Info]],",",""))</f>
        <v>2</v>
      </c>
      <c r="J309" s="10" t="s">
        <v>238</v>
      </c>
      <c r="K309" s="23">
        <v>2</v>
      </c>
      <c r="L309" s="26">
        <v>82.77</v>
      </c>
      <c r="M309" s="29">
        <v>0.05</v>
      </c>
      <c r="N309" s="10" t="s">
        <v>40</v>
      </c>
      <c r="O309" s="10" t="str">
        <f>IF(TRIM(OrdersRawTable9[[#This Row],[Sales_Channel_Raw]])="Market place","Marketplace",TRIM(OrdersRawTable9[[#This Row],[Sales_Channel_Raw]]))</f>
        <v>Online</v>
      </c>
      <c r="P309" s="10" t="s">
        <v>58</v>
      </c>
      <c r="Q309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309" s="15" t="s">
        <v>47</v>
      </c>
      <c r="S309" t="str">
        <f>VLOOKUP(OrdersRawTable9[[#This Row],[Customer_ID_Raw]],CustomersTable11[],4,FALSE)</f>
        <v>British Columbia</v>
      </c>
      <c r="T309" t="str">
        <f>VLOOKUP(OrdersRawTable9[[#This Row],[Customer_ID_Raw]],CustomersTable11[],5,FALSE)</f>
        <v>Consumer</v>
      </c>
      <c r="U309" s="45">
        <f>VLOOKUP(OrdersRawTable9[[#This Row],[Product_ID]],ProductsTable10[],4,FALSE)</f>
        <v>46.51</v>
      </c>
      <c r="V309" t="str">
        <f>VLOOKUP(OrdersRawTable9[[#This Row],[Product_ID]],ProductsTable10[],3,FALSE)</f>
        <v>Office</v>
      </c>
      <c r="W309" s="45">
        <f>OrdersRawTable9[[#This Row],[Unit_Price]]*OrdersRawTable9[[#This Row],[Quantity]]</f>
        <v>165.54</v>
      </c>
      <c r="X309" s="47">
        <f>OrdersRawTable9[[#This Row],[Gross_Sales]]*OrdersRawTable9[[#This Row],[Discount_Pct]]</f>
        <v>8.2769999999999992</v>
      </c>
      <c r="Y309" s="45">
        <f>OrdersRawTable9[[#This Row],[Gross_Sales]]-OrdersRawTable9[[#This Row],[Discount_Amount]]</f>
        <v>157.26300000000001</v>
      </c>
      <c r="Z309" s="45">
        <f>OrdersRawTable9[[#This Row],[Unit_Cost]]*OrdersRawTable9[[#This Row],[Quantity]]</f>
        <v>93.02</v>
      </c>
      <c r="AA309" s="45">
        <f>OrdersRawTable9[[#This Row],[Net_Sales]]-OrdersRawTable9[[#This Row],[Total_Cost]]</f>
        <v>64.243000000000009</v>
      </c>
      <c r="AB309" s="48">
        <f>IF(OrdersRawTable9[[#This Row],[Net_Sales]]=0,0,OrdersRawTable9[[#This Row],[Profit]]/OrdersRawTable9[[#This Row],[Net_Sales]])</f>
        <v>0.40850676891576537</v>
      </c>
      <c r="AC309" s="45" t="str">
        <f>IF(COUNTIF(ReturnsRawTable[Order_Line_ID],OrdersRawTable9[[#This Row],[Order_Line_ID]])&gt;0,"Yes","No")</f>
        <v>No</v>
      </c>
      <c r="AD309" s="45" t="str">
        <f>IFERROR(VLOOKUP(OrdersRawTable9[[#This Row],[Order_Line_ID]],ReturnsRawTable[[#All],[Order_Line_ID]:[Return_Reason_Raw]],3,FALSE),"")</f>
        <v/>
      </c>
      <c r="AE309" s="49" t="str">
        <f>IFERROR(VLOOKUP(OrdersRawTable9[[#This Row],[Order_Line_ID]],ReturnsRawTable[[#All],[Order_Line_ID]:[Return_Date]],2,FALSE),"")</f>
        <v/>
      </c>
      <c r="AF309" s="45" t="str">
        <f>IFERROR(VLOOKUP(OrdersRawTable9[[#This Row],[Order_Line_ID]],ReturnsRawTable[[Order_Line_ID]:[Refund_Status]],4,FALSE),"")</f>
        <v/>
      </c>
      <c r="AG309" s="45" t="str">
        <f>VLOOKUP(OrdersRawTable9[[#This Row],[Order_ID]],ShipmentsTable[],6,FALSE)</f>
        <v>Late</v>
      </c>
      <c r="AH309" s="49">
        <f>VLOOKUP(OrdersRawTable9[[#This Row],[Order_ID]],ShipmentsTable[],3,FALSE)</f>
        <v>45904</v>
      </c>
    </row>
    <row r="310" spans="1:34" ht="15" customHeight="1">
      <c r="A310" s="14" t="s">
        <v>726</v>
      </c>
      <c r="B310" s="10" t="s">
        <v>723</v>
      </c>
      <c r="C310" s="20">
        <v>45895</v>
      </c>
      <c r="D310" s="10" t="s">
        <v>727</v>
      </c>
      <c r="E310" s="10" t="s">
        <v>725</v>
      </c>
      <c r="F310" s="10" t="str">
        <f>TRIM(LEFT(OrdersRawTable9[[#This Row],[Customer_Info]],FIND(",",OrdersRawTable9[[#This Row],[Customer_Info]])-1))</f>
        <v>Liam Singh</v>
      </c>
      <c r="G31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310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310" s="10">
        <f>LEN(OrdersRawTable9[[#This Row],[Customer_Info]])-LEN(SUBSTITUTE(OrdersRawTable9[[#This Row],[Customer_Info]],",",""))</f>
        <v>2</v>
      </c>
      <c r="J310" s="10" t="s">
        <v>150</v>
      </c>
      <c r="K310" s="23">
        <v>2</v>
      </c>
      <c r="L310" s="26">
        <v>263.04000000000002</v>
      </c>
      <c r="M310" s="29">
        <v>0.15</v>
      </c>
      <c r="N310" s="10" t="s">
        <v>50</v>
      </c>
      <c r="O310" s="10" t="str">
        <f>IF(TRIM(OrdersRawTable9[[#This Row],[Sales_Channel_Raw]])="Market place","Marketplace",TRIM(OrdersRawTable9[[#This Row],[Sales_Channel_Raw]]))</f>
        <v>Marketplace</v>
      </c>
      <c r="P310" s="10" t="s">
        <v>41</v>
      </c>
      <c r="Q310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10" s="15" t="s">
        <v>52</v>
      </c>
      <c r="S310" t="str">
        <f>VLOOKUP(OrdersRawTable9[[#This Row],[Customer_ID_Raw]],CustomersTable11[],4,FALSE)</f>
        <v>British Columbia</v>
      </c>
      <c r="T310" t="str">
        <f>VLOOKUP(OrdersRawTable9[[#This Row],[Customer_ID_Raw]],CustomersTable11[],5,FALSE)</f>
        <v>Consumer</v>
      </c>
      <c r="U310" s="45">
        <f>VLOOKUP(OrdersRawTable9[[#This Row],[Product_ID]],ProductsTable10[],4,FALSE)</f>
        <v>161.84</v>
      </c>
      <c r="V310" t="str">
        <f>VLOOKUP(OrdersRawTable9[[#This Row],[Product_ID]],ProductsTable10[],3,FALSE)</f>
        <v>Office</v>
      </c>
      <c r="W310" s="45">
        <f>OrdersRawTable9[[#This Row],[Unit_Price]]*OrdersRawTable9[[#This Row],[Quantity]]</f>
        <v>526.08000000000004</v>
      </c>
      <c r="X310" s="47">
        <f>OrdersRawTable9[[#This Row],[Gross_Sales]]*OrdersRawTable9[[#This Row],[Discount_Pct]]</f>
        <v>78.912000000000006</v>
      </c>
      <c r="Y310" s="45">
        <f>OrdersRawTable9[[#This Row],[Gross_Sales]]-OrdersRawTable9[[#This Row],[Discount_Amount]]</f>
        <v>447.16800000000001</v>
      </c>
      <c r="Z310" s="45">
        <f>OrdersRawTable9[[#This Row],[Unit_Cost]]*OrdersRawTable9[[#This Row],[Quantity]]</f>
        <v>323.68</v>
      </c>
      <c r="AA310" s="45">
        <f>OrdersRawTable9[[#This Row],[Net_Sales]]-OrdersRawTable9[[#This Row],[Total_Cost]]</f>
        <v>123.488</v>
      </c>
      <c r="AB310" s="48">
        <f>IF(OrdersRawTable9[[#This Row],[Net_Sales]]=0,0,OrdersRawTable9[[#This Row],[Profit]]/OrdersRawTable9[[#This Row],[Net_Sales]])</f>
        <v>0.27615571776155717</v>
      </c>
      <c r="AC310" s="45" t="str">
        <f>IF(COUNTIF(ReturnsRawTable[Order_Line_ID],OrdersRawTable9[[#This Row],[Order_Line_ID]])&gt;0,"Yes","No")</f>
        <v>No</v>
      </c>
      <c r="AD310" s="45" t="str">
        <f>IFERROR(VLOOKUP(OrdersRawTable9[[#This Row],[Order_Line_ID]],ReturnsRawTable[[#All],[Order_Line_ID]:[Return_Reason_Raw]],3,FALSE),"")</f>
        <v/>
      </c>
      <c r="AE310" s="49" t="str">
        <f>IFERROR(VLOOKUP(OrdersRawTable9[[#This Row],[Order_Line_ID]],ReturnsRawTable[[#All],[Order_Line_ID]:[Return_Date]],2,FALSE),"")</f>
        <v/>
      </c>
      <c r="AF310" s="45" t="str">
        <f>IFERROR(VLOOKUP(OrdersRawTable9[[#This Row],[Order_Line_ID]],ReturnsRawTable[[Order_Line_ID]:[Refund_Status]],4,FALSE),"")</f>
        <v/>
      </c>
      <c r="AG310" s="45" t="str">
        <f>VLOOKUP(OrdersRawTable9[[#This Row],[Order_ID]],ShipmentsTable[],6,FALSE)</f>
        <v>Late</v>
      </c>
      <c r="AH310" s="49">
        <f>VLOOKUP(OrdersRawTable9[[#This Row],[Order_ID]],ShipmentsTable[],3,FALSE)</f>
        <v>45904</v>
      </c>
    </row>
    <row r="311" spans="1:34" ht="15" customHeight="1">
      <c r="A311" s="14" t="s">
        <v>728</v>
      </c>
      <c r="B311" s="10" t="s">
        <v>729</v>
      </c>
      <c r="C311" s="20">
        <v>45783</v>
      </c>
      <c r="D311" s="10" t="s">
        <v>193</v>
      </c>
      <c r="E311" s="10" t="s">
        <v>194</v>
      </c>
      <c r="F311" s="10" t="str">
        <f>TRIM(LEFT(OrdersRawTable9[[#This Row],[Customer_Info]],FIND(",",OrdersRawTable9[[#This Row],[Customer_Info]])-1))</f>
        <v>Liam Gagnon</v>
      </c>
      <c r="G31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311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311" s="10">
        <f>LEN(OrdersRawTable9[[#This Row],[Customer_Info]])-LEN(SUBSTITUTE(OrdersRawTable9[[#This Row],[Customer_Info]],",",""))</f>
        <v>2</v>
      </c>
      <c r="J311" s="10" t="s">
        <v>251</v>
      </c>
      <c r="K311" s="23">
        <v>1</v>
      </c>
      <c r="L311" s="26">
        <v>228.91</v>
      </c>
      <c r="M311" s="29">
        <v>0.15</v>
      </c>
      <c r="N311" s="10" t="s">
        <v>45</v>
      </c>
      <c r="O311" s="10" t="str">
        <f>IF(TRIM(OrdersRawTable9[[#This Row],[Sales_Channel_Raw]])="Market place","Marketplace",TRIM(OrdersRawTable9[[#This Row],[Sales_Channel_Raw]]))</f>
        <v>Retail Store</v>
      </c>
      <c r="P311" s="10"/>
      <c r="Q311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311" s="15" t="s">
        <v>101</v>
      </c>
      <c r="S311" t="str">
        <f>VLOOKUP(OrdersRawTable9[[#This Row],[Customer_ID_Raw]],CustomersTable11[],4,FALSE)</f>
        <v>Ontario</v>
      </c>
      <c r="T311" t="str">
        <f>VLOOKUP(OrdersRawTable9[[#This Row],[Customer_ID_Raw]],CustomersTable11[],5,FALSE)</f>
        <v>Consumer</v>
      </c>
      <c r="U311" s="45">
        <f>VLOOKUP(OrdersRawTable9[[#This Row],[Product_ID]],ProductsTable10[],4,FALSE)</f>
        <v>149.4</v>
      </c>
      <c r="V311" t="str">
        <f>VLOOKUP(OrdersRawTable9[[#This Row],[Product_ID]],ProductsTable10[],3,FALSE)</f>
        <v>Office</v>
      </c>
      <c r="W311" s="45">
        <f>OrdersRawTable9[[#This Row],[Unit_Price]]*OrdersRawTable9[[#This Row],[Quantity]]</f>
        <v>228.91</v>
      </c>
      <c r="X311" s="47">
        <f>OrdersRawTable9[[#This Row],[Gross_Sales]]*OrdersRawTable9[[#This Row],[Discount_Pct]]</f>
        <v>34.336500000000001</v>
      </c>
      <c r="Y311" s="45">
        <f>OrdersRawTable9[[#This Row],[Gross_Sales]]-OrdersRawTable9[[#This Row],[Discount_Amount]]</f>
        <v>194.5735</v>
      </c>
      <c r="Z311" s="45">
        <f>OrdersRawTable9[[#This Row],[Unit_Cost]]*OrdersRawTable9[[#This Row],[Quantity]]</f>
        <v>149.4</v>
      </c>
      <c r="AA311" s="45">
        <f>OrdersRawTable9[[#This Row],[Net_Sales]]-OrdersRawTable9[[#This Row],[Total_Cost]]</f>
        <v>45.17349999999999</v>
      </c>
      <c r="AB311" s="48">
        <f>IF(OrdersRawTable9[[#This Row],[Net_Sales]]=0,0,OrdersRawTable9[[#This Row],[Profit]]/OrdersRawTable9[[#This Row],[Net_Sales]])</f>
        <v>0.23216676474442816</v>
      </c>
      <c r="AC311" s="45" t="str">
        <f>IF(COUNTIF(ReturnsRawTable[Order_Line_ID],OrdersRawTable9[[#This Row],[Order_Line_ID]])&gt;0,"Yes","No")</f>
        <v>No</v>
      </c>
      <c r="AD311" s="45" t="str">
        <f>IFERROR(VLOOKUP(OrdersRawTable9[[#This Row],[Order_Line_ID]],ReturnsRawTable[[#All],[Order_Line_ID]:[Return_Reason_Raw]],3,FALSE),"")</f>
        <v/>
      </c>
      <c r="AE311" s="49" t="str">
        <f>IFERROR(VLOOKUP(OrdersRawTable9[[#This Row],[Order_Line_ID]],ReturnsRawTable[[#All],[Order_Line_ID]:[Return_Date]],2,FALSE),"")</f>
        <v/>
      </c>
      <c r="AF311" s="45" t="str">
        <f>IFERROR(VLOOKUP(OrdersRawTable9[[#This Row],[Order_Line_ID]],ReturnsRawTable[[Order_Line_ID]:[Refund_Status]],4,FALSE),"")</f>
        <v/>
      </c>
      <c r="AG311" s="45" t="str">
        <f>VLOOKUP(OrdersRawTable9[[#This Row],[Order_ID]],ShipmentsTable[],6,FALSE)</f>
        <v>On time</v>
      </c>
      <c r="AH311" s="49">
        <f>VLOOKUP(OrdersRawTable9[[#This Row],[Order_ID]],ShipmentsTable[],3,FALSE)</f>
        <v>45786</v>
      </c>
    </row>
    <row r="312" spans="1:34" ht="15" customHeight="1">
      <c r="A312" s="14" t="s">
        <v>730</v>
      </c>
      <c r="B312" s="10" t="s">
        <v>729</v>
      </c>
      <c r="C312" s="20">
        <v>45783</v>
      </c>
      <c r="D312" s="10" t="s">
        <v>193</v>
      </c>
      <c r="E312" s="10" t="s">
        <v>194</v>
      </c>
      <c r="F312" s="10" t="str">
        <f>TRIM(LEFT(OrdersRawTable9[[#This Row],[Customer_Info]],FIND(",",OrdersRawTable9[[#This Row],[Customer_Info]])-1))</f>
        <v>Liam Gagnon</v>
      </c>
      <c r="G31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312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312" s="10">
        <f>LEN(OrdersRawTable9[[#This Row],[Customer_Info]])-LEN(SUBSTITUTE(OrdersRawTable9[[#This Row],[Customer_Info]],",",""))</f>
        <v>2</v>
      </c>
      <c r="J312" s="10" t="s">
        <v>495</v>
      </c>
      <c r="K312" s="23">
        <v>4</v>
      </c>
      <c r="L312" s="26">
        <v>207.71</v>
      </c>
      <c r="M312" s="29">
        <v>0</v>
      </c>
      <c r="N312" s="10" t="s">
        <v>66</v>
      </c>
      <c r="O312" s="10" t="str">
        <f>IF(TRIM(OrdersRawTable9[[#This Row],[Sales_Channel_Raw]])="Market place","Marketplace",TRIM(OrdersRawTable9[[#This Row],[Sales_Channel_Raw]]))</f>
        <v>Marketplace</v>
      </c>
      <c r="P312" s="10" t="s">
        <v>98</v>
      </c>
      <c r="Q312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312" s="15" t="s">
        <v>42</v>
      </c>
      <c r="S312" t="str">
        <f>VLOOKUP(OrdersRawTable9[[#This Row],[Customer_ID_Raw]],CustomersTable11[],4,FALSE)</f>
        <v>Ontario</v>
      </c>
      <c r="T312" t="str">
        <f>VLOOKUP(OrdersRawTable9[[#This Row],[Customer_ID_Raw]],CustomersTable11[],5,FALSE)</f>
        <v>Consumer</v>
      </c>
      <c r="U312" s="45">
        <f>VLOOKUP(OrdersRawTable9[[#This Row],[Product_ID]],ProductsTable10[],4,FALSE)</f>
        <v>132.97</v>
      </c>
      <c r="V312" t="str">
        <f>VLOOKUP(OrdersRawTable9[[#This Row],[Product_ID]],ProductsTable10[],3,FALSE)</f>
        <v>Home</v>
      </c>
      <c r="W312" s="45">
        <f>OrdersRawTable9[[#This Row],[Unit_Price]]*OrdersRawTable9[[#This Row],[Quantity]]</f>
        <v>830.84</v>
      </c>
      <c r="X312" s="47">
        <f>OrdersRawTable9[[#This Row],[Gross_Sales]]*OrdersRawTable9[[#This Row],[Discount_Pct]]</f>
        <v>0</v>
      </c>
      <c r="Y312" s="45">
        <f>OrdersRawTable9[[#This Row],[Gross_Sales]]-OrdersRawTable9[[#This Row],[Discount_Amount]]</f>
        <v>830.84</v>
      </c>
      <c r="Z312" s="45">
        <f>OrdersRawTable9[[#This Row],[Unit_Cost]]*OrdersRawTable9[[#This Row],[Quantity]]</f>
        <v>531.88</v>
      </c>
      <c r="AA312" s="45">
        <f>OrdersRawTable9[[#This Row],[Net_Sales]]-OrdersRawTable9[[#This Row],[Total_Cost]]</f>
        <v>298.96000000000004</v>
      </c>
      <c r="AB312" s="48">
        <f>IF(OrdersRawTable9[[#This Row],[Net_Sales]]=0,0,OrdersRawTable9[[#This Row],[Profit]]/OrdersRawTable9[[#This Row],[Net_Sales]])</f>
        <v>0.35982860719272064</v>
      </c>
      <c r="AC312" s="45" t="str">
        <f>IF(COUNTIF(ReturnsRawTable[Order_Line_ID],OrdersRawTable9[[#This Row],[Order_Line_ID]])&gt;0,"Yes","No")</f>
        <v>No</v>
      </c>
      <c r="AD312" s="45" t="str">
        <f>IFERROR(VLOOKUP(OrdersRawTable9[[#This Row],[Order_Line_ID]],ReturnsRawTable[[#All],[Order_Line_ID]:[Return_Reason_Raw]],3,FALSE),"")</f>
        <v/>
      </c>
      <c r="AE312" s="49" t="str">
        <f>IFERROR(VLOOKUP(OrdersRawTable9[[#This Row],[Order_Line_ID]],ReturnsRawTable[[#All],[Order_Line_ID]:[Return_Date]],2,FALSE),"")</f>
        <v/>
      </c>
      <c r="AF312" s="45" t="str">
        <f>IFERROR(VLOOKUP(OrdersRawTable9[[#This Row],[Order_Line_ID]],ReturnsRawTable[[Order_Line_ID]:[Refund_Status]],4,FALSE),"")</f>
        <v/>
      </c>
      <c r="AG312" s="45" t="str">
        <f>VLOOKUP(OrdersRawTable9[[#This Row],[Order_ID]],ShipmentsTable[],6,FALSE)</f>
        <v>On time</v>
      </c>
      <c r="AH312" s="49">
        <f>VLOOKUP(OrdersRawTable9[[#This Row],[Order_ID]],ShipmentsTable[],3,FALSE)</f>
        <v>45786</v>
      </c>
    </row>
    <row r="313" spans="1:34" ht="15" customHeight="1">
      <c r="A313" s="14" t="s">
        <v>731</v>
      </c>
      <c r="B313" s="10" t="s">
        <v>732</v>
      </c>
      <c r="C313" s="20">
        <v>45682</v>
      </c>
      <c r="D313" s="10" t="s">
        <v>733</v>
      </c>
      <c r="E313" s="10" t="s">
        <v>734</v>
      </c>
      <c r="F313" s="10" t="str">
        <f>TRIM(LEFT(OrdersRawTable9[[#This Row],[Customer_Info]],FIND(",",OrdersRawTable9[[#This Row],[Customer_Info]])-1))</f>
        <v>Amina Khan</v>
      </c>
      <c r="G31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313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313" s="10">
        <f>LEN(OrdersRawTable9[[#This Row],[Customer_Info]])-LEN(SUBSTITUTE(OrdersRawTable9[[#This Row],[Customer_Info]],",",""))</f>
        <v>2</v>
      </c>
      <c r="J313" s="10" t="s">
        <v>128</v>
      </c>
      <c r="K313" s="23">
        <v>3</v>
      </c>
      <c r="L313" s="26">
        <v>25.15</v>
      </c>
      <c r="M313" s="29">
        <v>0.1</v>
      </c>
      <c r="N313" s="10" t="s">
        <v>45</v>
      </c>
      <c r="O313" s="10" t="str">
        <f>IF(TRIM(OrdersRawTable9[[#This Row],[Sales_Channel_Raw]])="Market place","Marketplace",TRIM(OrdersRawTable9[[#This Row],[Sales_Channel_Raw]]))</f>
        <v>Retail Store</v>
      </c>
      <c r="P313" s="10" t="s">
        <v>46</v>
      </c>
      <c r="Q313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13" s="15" t="s">
        <v>67</v>
      </c>
      <c r="S313" t="str">
        <f>VLOOKUP(OrdersRawTable9[[#This Row],[Customer_ID_Raw]],CustomersTable11[],4,FALSE)</f>
        <v>Quebec</v>
      </c>
      <c r="T313" t="str">
        <f>VLOOKUP(OrdersRawTable9[[#This Row],[Customer_ID_Raw]],CustomersTable11[],5,FALSE)</f>
        <v>Corporate</v>
      </c>
      <c r="U313" s="45">
        <f>VLOOKUP(OrdersRawTable9[[#This Row],[Product_ID]],ProductsTable10[],4,FALSE)</f>
        <v>14.24</v>
      </c>
      <c r="V313" t="str">
        <f>VLOOKUP(OrdersRawTable9[[#This Row],[Product_ID]],ProductsTable10[],3,FALSE)</f>
        <v>Electronics</v>
      </c>
      <c r="W313" s="45">
        <f>OrdersRawTable9[[#This Row],[Unit_Price]]*OrdersRawTable9[[#This Row],[Quantity]]</f>
        <v>75.449999999999989</v>
      </c>
      <c r="X313" s="47">
        <f>OrdersRawTable9[[#This Row],[Gross_Sales]]*OrdersRawTable9[[#This Row],[Discount_Pct]]</f>
        <v>7.544999999999999</v>
      </c>
      <c r="Y313" s="45">
        <f>OrdersRawTable9[[#This Row],[Gross_Sales]]-OrdersRawTable9[[#This Row],[Discount_Amount]]</f>
        <v>67.904999999999987</v>
      </c>
      <c r="Z313" s="45">
        <f>OrdersRawTable9[[#This Row],[Unit_Cost]]*OrdersRawTable9[[#This Row],[Quantity]]</f>
        <v>42.72</v>
      </c>
      <c r="AA313" s="45">
        <f>OrdersRawTable9[[#This Row],[Net_Sales]]-OrdersRawTable9[[#This Row],[Total_Cost]]</f>
        <v>25.184999999999988</v>
      </c>
      <c r="AB313" s="48">
        <f>IF(OrdersRawTable9[[#This Row],[Net_Sales]]=0,0,OrdersRawTable9[[#This Row],[Profit]]/OrdersRawTable9[[#This Row],[Net_Sales]])</f>
        <v>0.37088579633311231</v>
      </c>
      <c r="AC313" s="45" t="str">
        <f>IF(COUNTIF(ReturnsRawTable[Order_Line_ID],OrdersRawTable9[[#This Row],[Order_Line_ID]])&gt;0,"Yes","No")</f>
        <v>Yes</v>
      </c>
      <c r="AD313" s="45" t="str">
        <f>IFERROR(VLOOKUP(OrdersRawTable9[[#This Row],[Order_Line_ID]],ReturnsRawTable[[#All],[Order_Line_ID]:[Return_Reason_Raw]],3,FALSE),"")</f>
        <v>Late Delivery</v>
      </c>
      <c r="AE313" s="49">
        <f>IFERROR(VLOOKUP(OrdersRawTable9[[#This Row],[Order_Line_ID]],ReturnsRawTable[[#All],[Order_Line_ID]:[Return_Date]],2,FALSE),"")</f>
        <v>45707</v>
      </c>
      <c r="AF313" s="45" t="str">
        <f>IFERROR(VLOOKUP(OrdersRawTable9[[#This Row],[Order_Line_ID]],ReturnsRawTable[[Order_Line_ID]:[Refund_Status]],4,FALSE),"")</f>
        <v>Refunded</v>
      </c>
      <c r="AG313" s="45" t="str">
        <f>VLOOKUP(OrdersRawTable9[[#This Row],[Order_ID]],ShipmentsTable[],6,FALSE)</f>
        <v>Late</v>
      </c>
      <c r="AH313" s="49">
        <f>VLOOKUP(OrdersRawTable9[[#This Row],[Order_ID]],ShipmentsTable[],3,FALSE)</f>
        <v>45688</v>
      </c>
    </row>
    <row r="314" spans="1:34" ht="15" customHeight="1">
      <c r="A314" s="14" t="s">
        <v>735</v>
      </c>
      <c r="B314" s="10" t="s">
        <v>732</v>
      </c>
      <c r="C314" s="20">
        <v>45682</v>
      </c>
      <c r="D314" s="10" t="s">
        <v>733</v>
      </c>
      <c r="E314" s="10" t="s">
        <v>734</v>
      </c>
      <c r="F314" s="10" t="str">
        <f>TRIM(LEFT(OrdersRawTable9[[#This Row],[Customer_Info]],FIND(",",OrdersRawTable9[[#This Row],[Customer_Info]])-1))</f>
        <v>Amina Khan</v>
      </c>
      <c r="G31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314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314" s="10">
        <f>LEN(OrdersRawTable9[[#This Row],[Customer_Info]])-LEN(SUBSTITUTE(OrdersRawTable9[[#This Row],[Customer_Info]],",",""))</f>
        <v>2</v>
      </c>
      <c r="J314" s="10" t="s">
        <v>332</v>
      </c>
      <c r="K314" s="23">
        <v>1</v>
      </c>
      <c r="L314" s="26">
        <v>273.89</v>
      </c>
      <c r="M314" s="29">
        <v>0.05</v>
      </c>
      <c r="N314" s="10" t="s">
        <v>64</v>
      </c>
      <c r="O314" s="10" t="str">
        <f>IF(TRIM(OrdersRawTable9[[#This Row],[Sales_Channel_Raw]])="Market place","Marketplace",TRIM(OrdersRawTable9[[#This Row],[Sales_Channel_Raw]]))</f>
        <v>Retail Store</v>
      </c>
      <c r="P314" s="10"/>
      <c r="Q314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314" s="15" t="s">
        <v>42</v>
      </c>
      <c r="S314" t="str">
        <f>VLOOKUP(OrdersRawTable9[[#This Row],[Customer_ID_Raw]],CustomersTable11[],4,FALSE)</f>
        <v>Quebec</v>
      </c>
      <c r="T314" t="str">
        <f>VLOOKUP(OrdersRawTable9[[#This Row],[Customer_ID_Raw]],CustomersTable11[],5,FALSE)</f>
        <v>Corporate</v>
      </c>
      <c r="U314" s="45">
        <f>VLOOKUP(OrdersRawTable9[[#This Row],[Product_ID]],ProductsTable10[],4,FALSE)</f>
        <v>140.66999999999999</v>
      </c>
      <c r="V314" t="str">
        <f>VLOOKUP(OrdersRawTable9[[#This Row],[Product_ID]],ProductsTable10[],3,FALSE)</f>
        <v>Home</v>
      </c>
      <c r="W314" s="45">
        <f>OrdersRawTable9[[#This Row],[Unit_Price]]*OrdersRawTable9[[#This Row],[Quantity]]</f>
        <v>273.89</v>
      </c>
      <c r="X314" s="47">
        <f>OrdersRawTable9[[#This Row],[Gross_Sales]]*OrdersRawTable9[[#This Row],[Discount_Pct]]</f>
        <v>13.6945</v>
      </c>
      <c r="Y314" s="45">
        <f>OrdersRawTable9[[#This Row],[Gross_Sales]]-OrdersRawTable9[[#This Row],[Discount_Amount]]</f>
        <v>260.19549999999998</v>
      </c>
      <c r="Z314" s="45">
        <f>OrdersRawTable9[[#This Row],[Unit_Cost]]*OrdersRawTable9[[#This Row],[Quantity]]</f>
        <v>140.66999999999999</v>
      </c>
      <c r="AA314" s="45">
        <f>OrdersRawTable9[[#This Row],[Net_Sales]]-OrdersRawTable9[[#This Row],[Total_Cost]]</f>
        <v>119.52549999999999</v>
      </c>
      <c r="AB314" s="48">
        <f>IF(OrdersRawTable9[[#This Row],[Net_Sales]]=0,0,OrdersRawTable9[[#This Row],[Profit]]/OrdersRawTable9[[#This Row],[Net_Sales]])</f>
        <v>0.45936805209928688</v>
      </c>
      <c r="AC314" s="45" t="str">
        <f>IF(COUNTIF(ReturnsRawTable[Order_Line_ID],OrdersRawTable9[[#This Row],[Order_Line_ID]])&gt;0,"Yes","No")</f>
        <v>No</v>
      </c>
      <c r="AD314" s="45" t="str">
        <f>IFERROR(VLOOKUP(OrdersRawTable9[[#This Row],[Order_Line_ID]],ReturnsRawTable[[#All],[Order_Line_ID]:[Return_Reason_Raw]],3,FALSE),"")</f>
        <v/>
      </c>
      <c r="AE314" s="49" t="str">
        <f>IFERROR(VLOOKUP(OrdersRawTable9[[#This Row],[Order_Line_ID]],ReturnsRawTable[[#All],[Order_Line_ID]:[Return_Date]],2,FALSE),"")</f>
        <v/>
      </c>
      <c r="AF314" s="45" t="str">
        <f>IFERROR(VLOOKUP(OrdersRawTable9[[#This Row],[Order_Line_ID]],ReturnsRawTable[[Order_Line_ID]:[Refund_Status]],4,FALSE),"")</f>
        <v/>
      </c>
      <c r="AG314" s="45" t="str">
        <f>VLOOKUP(OrdersRawTable9[[#This Row],[Order_ID]],ShipmentsTable[],6,FALSE)</f>
        <v>Late</v>
      </c>
      <c r="AH314" s="49">
        <f>VLOOKUP(OrdersRawTable9[[#This Row],[Order_ID]],ShipmentsTable[],3,FALSE)</f>
        <v>45688</v>
      </c>
    </row>
    <row r="315" spans="1:34" ht="15" customHeight="1">
      <c r="A315" s="14" t="s">
        <v>736</v>
      </c>
      <c r="B315" s="10" t="s">
        <v>737</v>
      </c>
      <c r="C315" s="20">
        <v>45999</v>
      </c>
      <c r="D315" s="10" t="s">
        <v>738</v>
      </c>
      <c r="E315" s="10" t="s">
        <v>739</v>
      </c>
      <c r="F315" s="10" t="str">
        <f>TRIM(LEFT(OrdersRawTable9[[#This Row],[Customer_Info]],FIND(",",OrdersRawTable9[[#This Row],[Customer_Info]])-1))</f>
        <v>Yara Dubois</v>
      </c>
      <c r="G31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315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315" s="10">
        <f>LEN(OrdersRawTable9[[#This Row],[Customer_Info]])-LEN(SUBSTITUTE(OrdersRawTable9[[#This Row],[Customer_Info]],",",""))</f>
        <v>2</v>
      </c>
      <c r="J315" s="10" t="s">
        <v>220</v>
      </c>
      <c r="K315" s="23">
        <v>1</v>
      </c>
      <c r="L315" s="26">
        <v>25.01</v>
      </c>
      <c r="M315" s="29">
        <v>0</v>
      </c>
      <c r="N315" s="10" t="s">
        <v>66</v>
      </c>
      <c r="O315" s="10" t="str">
        <f>IF(TRIM(OrdersRawTable9[[#This Row],[Sales_Channel_Raw]])="Market place","Marketplace",TRIM(OrdersRawTable9[[#This Row],[Sales_Channel_Raw]]))</f>
        <v>Marketplace</v>
      </c>
      <c r="P315" s="10"/>
      <c r="Q315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315" s="15" t="s">
        <v>47</v>
      </c>
      <c r="S315" t="str">
        <f>VLOOKUP(OrdersRawTable9[[#This Row],[Customer_ID_Raw]],CustomersTable11[],4,FALSE)</f>
        <v>Alberta</v>
      </c>
      <c r="T315" t="str">
        <f>VLOOKUP(OrdersRawTable9[[#This Row],[Customer_ID_Raw]],CustomersTable11[],5,FALSE)</f>
        <v>Consumer</v>
      </c>
      <c r="U315" s="45">
        <f>VLOOKUP(OrdersRawTable9[[#This Row],[Product_ID]],ProductsTable10[],4,FALSE)</f>
        <v>16.86</v>
      </c>
      <c r="V315" t="str">
        <f>VLOOKUP(OrdersRawTable9[[#This Row],[Product_ID]],ProductsTable10[],3,FALSE)</f>
        <v>Office</v>
      </c>
      <c r="W315" s="45">
        <f>OrdersRawTable9[[#This Row],[Unit_Price]]*OrdersRawTable9[[#This Row],[Quantity]]</f>
        <v>25.01</v>
      </c>
      <c r="X315" s="47">
        <f>OrdersRawTable9[[#This Row],[Gross_Sales]]*OrdersRawTable9[[#This Row],[Discount_Pct]]</f>
        <v>0</v>
      </c>
      <c r="Y315" s="45">
        <f>OrdersRawTable9[[#This Row],[Gross_Sales]]-OrdersRawTable9[[#This Row],[Discount_Amount]]</f>
        <v>25.01</v>
      </c>
      <c r="Z315" s="45">
        <f>OrdersRawTable9[[#This Row],[Unit_Cost]]*OrdersRawTable9[[#This Row],[Quantity]]</f>
        <v>16.86</v>
      </c>
      <c r="AA315" s="45">
        <f>OrdersRawTable9[[#This Row],[Net_Sales]]-OrdersRawTable9[[#This Row],[Total_Cost]]</f>
        <v>8.1500000000000021</v>
      </c>
      <c r="AB315" s="48">
        <f>IF(OrdersRawTable9[[#This Row],[Net_Sales]]=0,0,OrdersRawTable9[[#This Row],[Profit]]/OrdersRawTable9[[#This Row],[Net_Sales]])</f>
        <v>0.32586965213914443</v>
      </c>
      <c r="AC315" s="45" t="str">
        <f>IF(COUNTIF(ReturnsRawTable[Order_Line_ID],OrdersRawTable9[[#This Row],[Order_Line_ID]])&gt;0,"Yes","No")</f>
        <v>Yes</v>
      </c>
      <c r="AD315" s="45" t="str">
        <f>IFERROR(VLOOKUP(OrdersRawTable9[[#This Row],[Order_Line_ID]],ReturnsRawTable[[#All],[Order_Line_ID]:[Return_Reason_Raw]],3,FALSE),"")</f>
        <v>Changed Mind</v>
      </c>
      <c r="AE315" s="49">
        <f>IFERROR(VLOOKUP(OrdersRawTable9[[#This Row],[Order_Line_ID]],ReturnsRawTable[[#All],[Order_Line_ID]:[Return_Date]],2,FALSE),"")</f>
        <v>46025</v>
      </c>
      <c r="AF315" s="45" t="str">
        <f>IFERROR(VLOOKUP(OrdersRawTable9[[#This Row],[Order_Line_ID]],ReturnsRawTable[[Order_Line_ID]:[Refund_Status]],4,FALSE),"")</f>
        <v>Pending</v>
      </c>
      <c r="AG315" s="45" t="str">
        <f>VLOOKUP(OrdersRawTable9[[#This Row],[Order_ID]],ShipmentsTable[],6,FALSE)</f>
        <v>Late</v>
      </c>
      <c r="AH315" s="49">
        <f>VLOOKUP(OrdersRawTable9[[#This Row],[Order_ID]],ShipmentsTable[],3,FALSE)</f>
        <v>46005</v>
      </c>
    </row>
    <row r="316" spans="1:34" ht="15" customHeight="1">
      <c r="A316" s="14" t="s">
        <v>740</v>
      </c>
      <c r="B316" s="10" t="s">
        <v>737</v>
      </c>
      <c r="C316" s="20">
        <v>45999</v>
      </c>
      <c r="D316" s="10" t="s">
        <v>738</v>
      </c>
      <c r="E316" s="10" t="s">
        <v>739</v>
      </c>
      <c r="F316" s="10" t="str">
        <f>TRIM(LEFT(OrdersRawTable9[[#This Row],[Customer_Info]],FIND(",",OrdersRawTable9[[#This Row],[Customer_Info]])-1))</f>
        <v>Yara Dubois</v>
      </c>
      <c r="G31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316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316" s="10">
        <f>LEN(OrdersRawTable9[[#This Row],[Customer_Info]])-LEN(SUBSTITUTE(OrdersRawTable9[[#This Row],[Customer_Info]],",",""))</f>
        <v>2</v>
      </c>
      <c r="J316" s="10" t="s">
        <v>119</v>
      </c>
      <c r="K316" s="23">
        <v>1</v>
      </c>
      <c r="L316" s="26">
        <v>103.3</v>
      </c>
      <c r="M316" s="29">
        <v>0</v>
      </c>
      <c r="N316" s="10" t="s">
        <v>70</v>
      </c>
      <c r="O316" s="10" t="str">
        <f>IF(TRIM(OrdersRawTable9[[#This Row],[Sales_Channel_Raw]])="Market place","Marketplace",TRIM(OrdersRawTable9[[#This Row],[Sales_Channel_Raw]]))</f>
        <v>online</v>
      </c>
      <c r="P316" s="10" t="s">
        <v>98</v>
      </c>
      <c r="Q316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316" s="15" t="s">
        <v>101</v>
      </c>
      <c r="S316" t="str">
        <f>VLOOKUP(OrdersRawTable9[[#This Row],[Customer_ID_Raw]],CustomersTable11[],4,FALSE)</f>
        <v>Alberta</v>
      </c>
      <c r="T316" t="str">
        <f>VLOOKUP(OrdersRawTable9[[#This Row],[Customer_ID_Raw]],CustomersTable11[],5,FALSE)</f>
        <v>Consumer</v>
      </c>
      <c r="U316" s="45">
        <f>VLOOKUP(OrdersRawTable9[[#This Row],[Product_ID]],ProductsTable10[],4,FALSE)</f>
        <v>70.180000000000007</v>
      </c>
      <c r="V316" t="str">
        <f>VLOOKUP(OrdersRawTable9[[#This Row],[Product_ID]],ProductsTable10[],3,FALSE)</f>
        <v>Home</v>
      </c>
      <c r="W316" s="45">
        <f>OrdersRawTable9[[#This Row],[Unit_Price]]*OrdersRawTable9[[#This Row],[Quantity]]</f>
        <v>103.3</v>
      </c>
      <c r="X316" s="47">
        <f>OrdersRawTable9[[#This Row],[Gross_Sales]]*OrdersRawTable9[[#This Row],[Discount_Pct]]</f>
        <v>0</v>
      </c>
      <c r="Y316" s="45">
        <f>OrdersRawTable9[[#This Row],[Gross_Sales]]-OrdersRawTable9[[#This Row],[Discount_Amount]]</f>
        <v>103.3</v>
      </c>
      <c r="Z316" s="45">
        <f>OrdersRawTable9[[#This Row],[Unit_Cost]]*OrdersRawTable9[[#This Row],[Quantity]]</f>
        <v>70.180000000000007</v>
      </c>
      <c r="AA316" s="45">
        <f>OrdersRawTable9[[#This Row],[Net_Sales]]-OrdersRawTable9[[#This Row],[Total_Cost]]</f>
        <v>33.11999999999999</v>
      </c>
      <c r="AB316" s="48">
        <f>IF(OrdersRawTable9[[#This Row],[Net_Sales]]=0,0,OrdersRawTable9[[#This Row],[Profit]]/OrdersRawTable9[[#This Row],[Net_Sales]])</f>
        <v>0.32061955469506281</v>
      </c>
      <c r="AC316" s="45" t="str">
        <f>IF(COUNTIF(ReturnsRawTable[Order_Line_ID],OrdersRawTable9[[#This Row],[Order_Line_ID]])&gt;0,"Yes","No")</f>
        <v>No</v>
      </c>
      <c r="AD316" s="45" t="str">
        <f>IFERROR(VLOOKUP(OrdersRawTable9[[#This Row],[Order_Line_ID]],ReturnsRawTable[[#All],[Order_Line_ID]:[Return_Reason_Raw]],3,FALSE),"")</f>
        <v/>
      </c>
      <c r="AE316" s="49" t="str">
        <f>IFERROR(VLOOKUP(OrdersRawTable9[[#This Row],[Order_Line_ID]],ReturnsRawTable[[#All],[Order_Line_ID]:[Return_Date]],2,FALSE),"")</f>
        <v/>
      </c>
      <c r="AF316" s="45" t="str">
        <f>IFERROR(VLOOKUP(OrdersRawTable9[[#This Row],[Order_Line_ID]],ReturnsRawTable[[Order_Line_ID]:[Refund_Status]],4,FALSE),"")</f>
        <v/>
      </c>
      <c r="AG316" s="45" t="str">
        <f>VLOOKUP(OrdersRawTable9[[#This Row],[Order_ID]],ShipmentsTable[],6,FALSE)</f>
        <v>Late</v>
      </c>
      <c r="AH316" s="49">
        <f>VLOOKUP(OrdersRawTable9[[#This Row],[Order_ID]],ShipmentsTable[],3,FALSE)</f>
        <v>46005</v>
      </c>
    </row>
    <row r="317" spans="1:34" ht="15" customHeight="1">
      <c r="A317" s="14" t="s">
        <v>741</v>
      </c>
      <c r="B317" s="10" t="s">
        <v>742</v>
      </c>
      <c r="C317" s="20">
        <v>45702</v>
      </c>
      <c r="D317" s="10" t="s">
        <v>91</v>
      </c>
      <c r="E317" s="10" t="s">
        <v>92</v>
      </c>
      <c r="F317" s="10" t="str">
        <f>TRIM(LEFT(OrdersRawTable9[[#This Row],[Customer_Info]],FIND(",",OrdersRawTable9[[#This Row],[Customer_Info]])-1))</f>
        <v>Daniel Johnson</v>
      </c>
      <c r="G31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317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317" s="10">
        <f>LEN(OrdersRawTable9[[#This Row],[Customer_Info]])-LEN(SUBSTITUTE(OrdersRawTable9[[#This Row],[Customer_Info]],",",""))</f>
        <v>2</v>
      </c>
      <c r="J317" s="10" t="s">
        <v>88</v>
      </c>
      <c r="K317" s="23">
        <v>1</v>
      </c>
      <c r="L317" s="26">
        <v>147.46</v>
      </c>
      <c r="M317" s="29">
        <v>0</v>
      </c>
      <c r="N317" s="10" t="s">
        <v>40</v>
      </c>
      <c r="O317" s="10" t="str">
        <f>IF(TRIM(OrdersRawTable9[[#This Row],[Sales_Channel_Raw]])="Market place","Marketplace",TRIM(OrdersRawTable9[[#This Row],[Sales_Channel_Raw]]))</f>
        <v>Online</v>
      </c>
      <c r="P317" s="10" t="s">
        <v>41</v>
      </c>
      <c r="Q317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17" s="15" t="s">
        <v>52</v>
      </c>
      <c r="S317" t="str">
        <f>VLOOKUP(OrdersRawTable9[[#This Row],[Customer_ID_Raw]],CustomersTable11[],4,FALSE)</f>
        <v>Ontario</v>
      </c>
      <c r="T317" t="str">
        <f>VLOOKUP(OrdersRawTable9[[#This Row],[Customer_ID_Raw]],CustomersTable11[],5,FALSE)</f>
        <v>Small Business</v>
      </c>
      <c r="U317" s="45">
        <f>VLOOKUP(OrdersRawTable9[[#This Row],[Product_ID]],ProductsTable10[],4,FALSE)</f>
        <v>100.95</v>
      </c>
      <c r="V317" t="str">
        <f>VLOOKUP(OrdersRawTable9[[#This Row],[Product_ID]],ProductsTable10[],3,FALSE)</f>
        <v>Electronics</v>
      </c>
      <c r="W317" s="45">
        <f>OrdersRawTable9[[#This Row],[Unit_Price]]*OrdersRawTable9[[#This Row],[Quantity]]</f>
        <v>147.46</v>
      </c>
      <c r="X317" s="47">
        <f>OrdersRawTable9[[#This Row],[Gross_Sales]]*OrdersRawTable9[[#This Row],[Discount_Pct]]</f>
        <v>0</v>
      </c>
      <c r="Y317" s="45">
        <f>OrdersRawTable9[[#This Row],[Gross_Sales]]-OrdersRawTable9[[#This Row],[Discount_Amount]]</f>
        <v>147.46</v>
      </c>
      <c r="Z317" s="45">
        <f>OrdersRawTable9[[#This Row],[Unit_Cost]]*OrdersRawTable9[[#This Row],[Quantity]]</f>
        <v>100.95</v>
      </c>
      <c r="AA317" s="45">
        <f>OrdersRawTable9[[#This Row],[Net_Sales]]-OrdersRawTable9[[#This Row],[Total_Cost]]</f>
        <v>46.510000000000005</v>
      </c>
      <c r="AB317" s="48">
        <f>IF(OrdersRawTable9[[#This Row],[Net_Sales]]=0,0,OrdersRawTable9[[#This Row],[Profit]]/OrdersRawTable9[[#This Row],[Net_Sales]])</f>
        <v>0.31540756815407572</v>
      </c>
      <c r="AC317" s="45" t="str">
        <f>IF(COUNTIF(ReturnsRawTable[Order_Line_ID],OrdersRawTable9[[#This Row],[Order_Line_ID]])&gt;0,"Yes","No")</f>
        <v>No</v>
      </c>
      <c r="AD317" s="45" t="str">
        <f>IFERROR(VLOOKUP(OrdersRawTable9[[#This Row],[Order_Line_ID]],ReturnsRawTable[[#All],[Order_Line_ID]:[Return_Reason_Raw]],3,FALSE),"")</f>
        <v/>
      </c>
      <c r="AE317" s="49" t="str">
        <f>IFERROR(VLOOKUP(OrdersRawTable9[[#This Row],[Order_Line_ID]],ReturnsRawTable[[#All],[Order_Line_ID]:[Return_Date]],2,FALSE),"")</f>
        <v/>
      </c>
      <c r="AF317" s="45" t="str">
        <f>IFERROR(VLOOKUP(OrdersRawTable9[[#This Row],[Order_Line_ID]],ReturnsRawTable[[Order_Line_ID]:[Refund_Status]],4,FALSE),"")</f>
        <v/>
      </c>
      <c r="AG317" s="45" t="str">
        <f>VLOOKUP(OrdersRawTable9[[#This Row],[Order_ID]],ShipmentsTable[],6,FALSE)</f>
        <v>On time</v>
      </c>
      <c r="AH317" s="49">
        <f>VLOOKUP(OrdersRawTable9[[#This Row],[Order_ID]],ShipmentsTable[],3,FALSE)</f>
        <v>45703</v>
      </c>
    </row>
    <row r="318" spans="1:34" ht="15" customHeight="1">
      <c r="A318" s="14" t="s">
        <v>743</v>
      </c>
      <c r="B318" s="10" t="s">
        <v>742</v>
      </c>
      <c r="C318" s="20">
        <v>45702</v>
      </c>
      <c r="D318" s="10" t="s">
        <v>91</v>
      </c>
      <c r="E318" s="10" t="s">
        <v>92</v>
      </c>
      <c r="F318" s="10" t="str">
        <f>TRIM(LEFT(OrdersRawTable9[[#This Row],[Customer_Info]],FIND(",",OrdersRawTable9[[#This Row],[Customer_Info]])-1))</f>
        <v>Daniel Johnson</v>
      </c>
      <c r="G31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318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318" s="10">
        <f>LEN(OrdersRawTable9[[#This Row],[Customer_Info]])-LEN(SUBSTITUTE(OrdersRawTable9[[#This Row],[Customer_Info]],",",""))</f>
        <v>2</v>
      </c>
      <c r="J318" s="10" t="s">
        <v>196</v>
      </c>
      <c r="K318" s="23">
        <v>4</v>
      </c>
      <c r="L318" s="26">
        <v>183.73</v>
      </c>
      <c r="M318" s="29">
        <v>0</v>
      </c>
      <c r="N318" s="10" t="s">
        <v>45</v>
      </c>
      <c r="O318" s="10" t="str">
        <f>IF(TRIM(OrdersRawTable9[[#This Row],[Sales_Channel_Raw]])="Market place","Marketplace",TRIM(OrdersRawTable9[[#This Row],[Sales_Channel_Raw]]))</f>
        <v>Retail Store</v>
      </c>
      <c r="P318" s="10" t="s">
        <v>51</v>
      </c>
      <c r="Q318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318" s="15" t="s">
        <v>47</v>
      </c>
      <c r="S318" t="str">
        <f>VLOOKUP(OrdersRawTable9[[#This Row],[Customer_ID_Raw]],CustomersTable11[],4,FALSE)</f>
        <v>Ontario</v>
      </c>
      <c r="T318" t="str">
        <f>VLOOKUP(OrdersRawTable9[[#This Row],[Customer_ID_Raw]],CustomersTable11[],5,FALSE)</f>
        <v>Small Business</v>
      </c>
      <c r="U318" s="45">
        <f>VLOOKUP(OrdersRawTable9[[#This Row],[Product_ID]],ProductsTable10[],4,FALSE)</f>
        <v>98.11</v>
      </c>
      <c r="V318" t="str">
        <f>VLOOKUP(OrdersRawTable9[[#This Row],[Product_ID]],ProductsTable10[],3,FALSE)</f>
        <v>Home</v>
      </c>
      <c r="W318" s="45">
        <f>OrdersRawTable9[[#This Row],[Unit_Price]]*OrdersRawTable9[[#This Row],[Quantity]]</f>
        <v>734.92</v>
      </c>
      <c r="X318" s="47">
        <f>OrdersRawTable9[[#This Row],[Gross_Sales]]*OrdersRawTable9[[#This Row],[Discount_Pct]]</f>
        <v>0</v>
      </c>
      <c r="Y318" s="45">
        <f>OrdersRawTable9[[#This Row],[Gross_Sales]]-OrdersRawTable9[[#This Row],[Discount_Amount]]</f>
        <v>734.92</v>
      </c>
      <c r="Z318" s="45">
        <f>OrdersRawTable9[[#This Row],[Unit_Cost]]*OrdersRawTable9[[#This Row],[Quantity]]</f>
        <v>392.44</v>
      </c>
      <c r="AA318" s="45">
        <f>OrdersRawTable9[[#This Row],[Net_Sales]]-OrdersRawTable9[[#This Row],[Total_Cost]]</f>
        <v>342.47999999999996</v>
      </c>
      <c r="AB318" s="48">
        <f>IF(OrdersRawTable9[[#This Row],[Net_Sales]]=0,0,OrdersRawTable9[[#This Row],[Profit]]/OrdersRawTable9[[#This Row],[Net_Sales]])</f>
        <v>0.46600990584009139</v>
      </c>
      <c r="AC318" s="45" t="str">
        <f>IF(COUNTIF(ReturnsRawTable[Order_Line_ID],OrdersRawTable9[[#This Row],[Order_Line_ID]])&gt;0,"Yes","No")</f>
        <v>No</v>
      </c>
      <c r="AD318" s="45" t="str">
        <f>IFERROR(VLOOKUP(OrdersRawTable9[[#This Row],[Order_Line_ID]],ReturnsRawTable[[#All],[Order_Line_ID]:[Return_Reason_Raw]],3,FALSE),"")</f>
        <v/>
      </c>
      <c r="AE318" s="49" t="str">
        <f>IFERROR(VLOOKUP(OrdersRawTable9[[#This Row],[Order_Line_ID]],ReturnsRawTable[[#All],[Order_Line_ID]:[Return_Date]],2,FALSE),"")</f>
        <v/>
      </c>
      <c r="AF318" s="45" t="str">
        <f>IFERROR(VLOOKUP(OrdersRawTable9[[#This Row],[Order_Line_ID]],ReturnsRawTable[[Order_Line_ID]:[Refund_Status]],4,FALSE),"")</f>
        <v/>
      </c>
      <c r="AG318" s="45" t="str">
        <f>VLOOKUP(OrdersRawTable9[[#This Row],[Order_ID]],ShipmentsTable[],6,FALSE)</f>
        <v>On time</v>
      </c>
      <c r="AH318" s="49">
        <f>VLOOKUP(OrdersRawTable9[[#This Row],[Order_ID]],ShipmentsTable[],3,FALSE)</f>
        <v>45703</v>
      </c>
    </row>
    <row r="319" spans="1:34" ht="15" customHeight="1">
      <c r="A319" s="14" t="s">
        <v>744</v>
      </c>
      <c r="B319" s="10" t="s">
        <v>742</v>
      </c>
      <c r="C319" s="20">
        <v>45702</v>
      </c>
      <c r="D319" s="10" t="s">
        <v>91</v>
      </c>
      <c r="E319" s="10" t="s">
        <v>92</v>
      </c>
      <c r="F319" s="10" t="str">
        <f>TRIM(LEFT(OrdersRawTable9[[#This Row],[Customer_Info]],FIND(",",OrdersRawTable9[[#This Row],[Customer_Info]])-1))</f>
        <v>Daniel Johnson</v>
      </c>
      <c r="G31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319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319" s="10">
        <f>LEN(OrdersRawTable9[[#This Row],[Customer_Info]])-LEN(SUBSTITUTE(OrdersRawTable9[[#This Row],[Customer_Info]],",",""))</f>
        <v>2</v>
      </c>
      <c r="J319" s="10" t="s">
        <v>112</v>
      </c>
      <c r="K319" s="23">
        <v>1</v>
      </c>
      <c r="L319" s="26">
        <v>88.61</v>
      </c>
      <c r="M319" s="29">
        <v>0.1</v>
      </c>
      <c r="N319" s="10" t="s">
        <v>64</v>
      </c>
      <c r="O319" s="10" t="str">
        <f>IF(TRIM(OrdersRawTable9[[#This Row],[Sales_Channel_Raw]])="Market place","Marketplace",TRIM(OrdersRawTable9[[#This Row],[Sales_Channel_Raw]]))</f>
        <v>Retail Store</v>
      </c>
      <c r="P319" s="10"/>
      <c r="Q319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319" s="15" t="s">
        <v>42</v>
      </c>
      <c r="S319" t="str">
        <f>VLOOKUP(OrdersRawTable9[[#This Row],[Customer_ID_Raw]],CustomersTable11[],4,FALSE)</f>
        <v>Ontario</v>
      </c>
      <c r="T319" t="str">
        <f>VLOOKUP(OrdersRawTable9[[#This Row],[Customer_ID_Raw]],CustomersTable11[],5,FALSE)</f>
        <v>Small Business</v>
      </c>
      <c r="U319" s="45">
        <f>VLOOKUP(OrdersRawTable9[[#This Row],[Product_ID]],ProductsTable10[],4,FALSE)</f>
        <v>49.75</v>
      </c>
      <c r="V319" t="str">
        <f>VLOOKUP(OrdersRawTable9[[#This Row],[Product_ID]],ProductsTable10[],3,FALSE)</f>
        <v>Electronics</v>
      </c>
      <c r="W319" s="45">
        <f>OrdersRawTable9[[#This Row],[Unit_Price]]*OrdersRawTable9[[#This Row],[Quantity]]</f>
        <v>88.61</v>
      </c>
      <c r="X319" s="47">
        <f>OrdersRawTable9[[#This Row],[Gross_Sales]]*OrdersRawTable9[[#This Row],[Discount_Pct]]</f>
        <v>8.8610000000000007</v>
      </c>
      <c r="Y319" s="45">
        <f>OrdersRawTable9[[#This Row],[Gross_Sales]]-OrdersRawTable9[[#This Row],[Discount_Amount]]</f>
        <v>79.748999999999995</v>
      </c>
      <c r="Z319" s="45">
        <f>OrdersRawTable9[[#This Row],[Unit_Cost]]*OrdersRawTable9[[#This Row],[Quantity]]</f>
        <v>49.75</v>
      </c>
      <c r="AA319" s="45">
        <f>OrdersRawTable9[[#This Row],[Net_Sales]]-OrdersRawTable9[[#This Row],[Total_Cost]]</f>
        <v>29.998999999999995</v>
      </c>
      <c r="AB319" s="48">
        <f>IF(OrdersRawTable9[[#This Row],[Net_Sales]]=0,0,OrdersRawTable9[[#This Row],[Profit]]/OrdersRawTable9[[#This Row],[Net_Sales]])</f>
        <v>0.37616772624108136</v>
      </c>
      <c r="AC319" s="45" t="str">
        <f>IF(COUNTIF(ReturnsRawTable[Order_Line_ID],OrdersRawTable9[[#This Row],[Order_Line_ID]])&gt;0,"Yes","No")</f>
        <v>No</v>
      </c>
      <c r="AD319" s="45" t="str">
        <f>IFERROR(VLOOKUP(OrdersRawTable9[[#This Row],[Order_Line_ID]],ReturnsRawTable[[#All],[Order_Line_ID]:[Return_Reason_Raw]],3,FALSE),"")</f>
        <v/>
      </c>
      <c r="AE319" s="49" t="str">
        <f>IFERROR(VLOOKUP(OrdersRawTable9[[#This Row],[Order_Line_ID]],ReturnsRawTable[[#All],[Order_Line_ID]:[Return_Date]],2,FALSE),"")</f>
        <v/>
      </c>
      <c r="AF319" s="45" t="str">
        <f>IFERROR(VLOOKUP(OrdersRawTable9[[#This Row],[Order_Line_ID]],ReturnsRawTable[[Order_Line_ID]:[Refund_Status]],4,FALSE),"")</f>
        <v/>
      </c>
      <c r="AG319" s="45" t="str">
        <f>VLOOKUP(OrdersRawTable9[[#This Row],[Order_ID]],ShipmentsTable[],6,FALSE)</f>
        <v>On time</v>
      </c>
      <c r="AH319" s="49">
        <f>VLOOKUP(OrdersRawTable9[[#This Row],[Order_ID]],ShipmentsTable[],3,FALSE)</f>
        <v>45703</v>
      </c>
    </row>
    <row r="320" spans="1:34" ht="15" customHeight="1">
      <c r="A320" s="14" t="s">
        <v>745</v>
      </c>
      <c r="B320" s="10" t="s">
        <v>742</v>
      </c>
      <c r="C320" s="20">
        <v>45702</v>
      </c>
      <c r="D320" s="10" t="s">
        <v>91</v>
      </c>
      <c r="E320" s="10" t="s">
        <v>92</v>
      </c>
      <c r="F320" s="10" t="str">
        <f>TRIM(LEFT(OrdersRawTable9[[#This Row],[Customer_Info]],FIND(",",OrdersRawTable9[[#This Row],[Customer_Info]])-1))</f>
        <v>Daniel Johnson</v>
      </c>
      <c r="G32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320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320" s="10">
        <f>LEN(OrdersRawTable9[[#This Row],[Customer_Info]])-LEN(SUBSTITUTE(OrdersRawTable9[[#This Row],[Customer_Info]],",",""))</f>
        <v>2</v>
      </c>
      <c r="J320" s="10" t="s">
        <v>72</v>
      </c>
      <c r="K320" s="23">
        <v>1</v>
      </c>
      <c r="L320" s="26">
        <v>210.2</v>
      </c>
      <c r="M320" s="29">
        <v>0.05</v>
      </c>
      <c r="N320" s="10" t="s">
        <v>40</v>
      </c>
      <c r="O320" s="10" t="str">
        <f>IF(TRIM(OrdersRawTable9[[#This Row],[Sales_Channel_Raw]])="Market place","Marketplace",TRIM(OrdersRawTable9[[#This Row],[Sales_Channel_Raw]]))</f>
        <v>Online</v>
      </c>
      <c r="P320" s="10"/>
      <c r="Q320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320" s="15" t="s">
        <v>52</v>
      </c>
      <c r="S320" t="str">
        <f>VLOOKUP(OrdersRawTable9[[#This Row],[Customer_ID_Raw]],CustomersTable11[],4,FALSE)</f>
        <v>Ontario</v>
      </c>
      <c r="T320" t="str">
        <f>VLOOKUP(OrdersRawTable9[[#This Row],[Customer_ID_Raw]],CustomersTable11[],5,FALSE)</f>
        <v>Small Business</v>
      </c>
      <c r="U320" s="45">
        <f>VLOOKUP(OrdersRawTable9[[#This Row],[Product_ID]],ProductsTable10[],4,FALSE)</f>
        <v>136.25</v>
      </c>
      <c r="V320" t="str">
        <f>VLOOKUP(OrdersRawTable9[[#This Row],[Product_ID]],ProductsTable10[],3,FALSE)</f>
        <v>Fitness</v>
      </c>
      <c r="W320" s="45">
        <f>OrdersRawTable9[[#This Row],[Unit_Price]]*OrdersRawTable9[[#This Row],[Quantity]]</f>
        <v>210.2</v>
      </c>
      <c r="X320" s="47">
        <f>OrdersRawTable9[[#This Row],[Gross_Sales]]*OrdersRawTable9[[#This Row],[Discount_Pct]]</f>
        <v>10.51</v>
      </c>
      <c r="Y320" s="45">
        <f>OrdersRawTable9[[#This Row],[Gross_Sales]]-OrdersRawTable9[[#This Row],[Discount_Amount]]</f>
        <v>199.69</v>
      </c>
      <c r="Z320" s="45">
        <f>OrdersRawTable9[[#This Row],[Unit_Cost]]*OrdersRawTable9[[#This Row],[Quantity]]</f>
        <v>136.25</v>
      </c>
      <c r="AA320" s="45">
        <f>OrdersRawTable9[[#This Row],[Net_Sales]]-OrdersRawTable9[[#This Row],[Total_Cost]]</f>
        <v>63.44</v>
      </c>
      <c r="AB320" s="48">
        <f>IF(OrdersRawTable9[[#This Row],[Net_Sales]]=0,0,OrdersRawTable9[[#This Row],[Profit]]/OrdersRawTable9[[#This Row],[Net_Sales]])</f>
        <v>0.31769242325604685</v>
      </c>
      <c r="AC320" s="45" t="str">
        <f>IF(COUNTIF(ReturnsRawTable[Order_Line_ID],OrdersRawTable9[[#This Row],[Order_Line_ID]])&gt;0,"Yes","No")</f>
        <v>No</v>
      </c>
      <c r="AD320" s="45" t="str">
        <f>IFERROR(VLOOKUP(OrdersRawTable9[[#This Row],[Order_Line_ID]],ReturnsRawTable[[#All],[Order_Line_ID]:[Return_Reason_Raw]],3,FALSE),"")</f>
        <v/>
      </c>
      <c r="AE320" s="49" t="str">
        <f>IFERROR(VLOOKUP(OrdersRawTable9[[#This Row],[Order_Line_ID]],ReturnsRawTable[[#All],[Order_Line_ID]:[Return_Date]],2,FALSE),"")</f>
        <v/>
      </c>
      <c r="AF320" s="45" t="str">
        <f>IFERROR(VLOOKUP(OrdersRawTable9[[#This Row],[Order_Line_ID]],ReturnsRawTable[[Order_Line_ID]:[Refund_Status]],4,FALSE),"")</f>
        <v/>
      </c>
      <c r="AG320" s="45" t="str">
        <f>VLOOKUP(OrdersRawTable9[[#This Row],[Order_ID]],ShipmentsTable[],6,FALSE)</f>
        <v>On time</v>
      </c>
      <c r="AH320" s="49">
        <f>VLOOKUP(OrdersRawTable9[[#This Row],[Order_ID]],ShipmentsTable[],3,FALSE)</f>
        <v>45703</v>
      </c>
    </row>
    <row r="321" spans="1:34" ht="15" customHeight="1">
      <c r="A321" s="14" t="s">
        <v>746</v>
      </c>
      <c r="B321" s="10" t="s">
        <v>747</v>
      </c>
      <c r="C321" s="20">
        <v>45948</v>
      </c>
      <c r="D321" s="10" t="s">
        <v>748</v>
      </c>
      <c r="E321" s="10" t="s">
        <v>749</v>
      </c>
      <c r="F321" s="10" t="str">
        <f>TRIM(LEFT(OrdersRawTable9[[#This Row],[Customer_Info]],FIND(",",OrdersRawTable9[[#This Row],[Customer_Info]])-1))</f>
        <v>Liam Singh</v>
      </c>
      <c r="G32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321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321" s="10">
        <f>LEN(OrdersRawTable9[[#This Row],[Customer_Info]])-LEN(SUBSTITUTE(OrdersRawTable9[[#This Row],[Customer_Info]],",",""))</f>
        <v>2</v>
      </c>
      <c r="J321" s="10" t="s">
        <v>108</v>
      </c>
      <c r="K321" s="23">
        <v>2</v>
      </c>
      <c r="L321" s="26">
        <v>33.369999999999997</v>
      </c>
      <c r="M321" s="29">
        <v>0.05</v>
      </c>
      <c r="N321" s="10" t="s">
        <v>40</v>
      </c>
      <c r="O321" s="10" t="str">
        <f>IF(TRIM(OrdersRawTable9[[#This Row],[Sales_Channel_Raw]])="Market place","Marketplace",TRIM(OrdersRawTable9[[#This Row],[Sales_Channel_Raw]]))</f>
        <v>Online</v>
      </c>
      <c r="P321" s="10"/>
      <c r="Q321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321" s="15" t="s">
        <v>47</v>
      </c>
      <c r="S321" t="str">
        <f>VLOOKUP(OrdersRawTable9[[#This Row],[Customer_ID_Raw]],CustomersTable11[],4,FALSE)</f>
        <v>Alberta</v>
      </c>
      <c r="T321" t="str">
        <f>VLOOKUP(OrdersRawTable9[[#This Row],[Customer_ID_Raw]],CustomersTable11[],5,FALSE)</f>
        <v>Corporate</v>
      </c>
      <c r="U321" s="45">
        <f>VLOOKUP(OrdersRawTable9[[#This Row],[Product_ID]],ProductsTable10[],4,FALSE)</f>
        <v>18.670000000000002</v>
      </c>
      <c r="V321" t="str">
        <f>VLOOKUP(OrdersRawTable9[[#This Row],[Product_ID]],ProductsTable10[],3,FALSE)</f>
        <v>Fitness</v>
      </c>
      <c r="W321" s="45">
        <f>OrdersRawTable9[[#This Row],[Unit_Price]]*OrdersRawTable9[[#This Row],[Quantity]]</f>
        <v>66.739999999999995</v>
      </c>
      <c r="X321" s="47">
        <f>OrdersRawTable9[[#This Row],[Gross_Sales]]*OrdersRawTable9[[#This Row],[Discount_Pct]]</f>
        <v>3.3369999999999997</v>
      </c>
      <c r="Y321" s="45">
        <f>OrdersRawTable9[[#This Row],[Gross_Sales]]-OrdersRawTable9[[#This Row],[Discount_Amount]]</f>
        <v>63.402999999999992</v>
      </c>
      <c r="Z321" s="45">
        <f>OrdersRawTable9[[#This Row],[Unit_Cost]]*OrdersRawTable9[[#This Row],[Quantity]]</f>
        <v>37.340000000000003</v>
      </c>
      <c r="AA321" s="45">
        <f>OrdersRawTable9[[#This Row],[Net_Sales]]-OrdersRawTable9[[#This Row],[Total_Cost]]</f>
        <v>26.062999999999988</v>
      </c>
      <c r="AB321" s="48">
        <f>IF(OrdersRawTable9[[#This Row],[Net_Sales]]=0,0,OrdersRawTable9[[#This Row],[Profit]]/OrdersRawTable9[[#This Row],[Net_Sales]])</f>
        <v>0.41106887686702509</v>
      </c>
      <c r="AC321" s="45" t="str">
        <f>IF(COUNTIF(ReturnsRawTable[Order_Line_ID],OrdersRawTable9[[#This Row],[Order_Line_ID]])&gt;0,"Yes","No")</f>
        <v>No</v>
      </c>
      <c r="AD321" s="45" t="str">
        <f>IFERROR(VLOOKUP(OrdersRawTable9[[#This Row],[Order_Line_ID]],ReturnsRawTable[[#All],[Order_Line_ID]:[Return_Reason_Raw]],3,FALSE),"")</f>
        <v/>
      </c>
      <c r="AE321" s="49" t="str">
        <f>IFERROR(VLOOKUP(OrdersRawTable9[[#This Row],[Order_Line_ID]],ReturnsRawTable[[#All],[Order_Line_ID]:[Return_Date]],2,FALSE),"")</f>
        <v/>
      </c>
      <c r="AF321" s="45" t="str">
        <f>IFERROR(VLOOKUP(OrdersRawTable9[[#This Row],[Order_Line_ID]],ReturnsRawTable[[Order_Line_ID]:[Refund_Status]],4,FALSE),"")</f>
        <v/>
      </c>
      <c r="AG321" s="45" t="str">
        <f>VLOOKUP(OrdersRawTable9[[#This Row],[Order_ID]],ShipmentsTable[],6,FALSE)</f>
        <v>Late</v>
      </c>
      <c r="AH321" s="49">
        <f>VLOOKUP(OrdersRawTable9[[#This Row],[Order_ID]],ShipmentsTable[],3,FALSE)</f>
        <v>45953</v>
      </c>
    </row>
    <row r="322" spans="1:34" ht="15" customHeight="1">
      <c r="A322" s="14" t="s">
        <v>750</v>
      </c>
      <c r="B322" s="10" t="s">
        <v>747</v>
      </c>
      <c r="C322" s="20">
        <v>45948</v>
      </c>
      <c r="D322" s="10" t="s">
        <v>748</v>
      </c>
      <c r="E322" s="10" t="s">
        <v>749</v>
      </c>
      <c r="F322" s="10" t="str">
        <f>TRIM(LEFT(OrdersRawTable9[[#This Row],[Customer_Info]],FIND(",",OrdersRawTable9[[#This Row],[Customer_Info]])-1))</f>
        <v>Liam Singh</v>
      </c>
      <c r="G32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322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322" s="10">
        <f>LEN(OrdersRawTable9[[#This Row],[Customer_Info]])-LEN(SUBSTITUTE(OrdersRawTable9[[#This Row],[Customer_Info]],",",""))</f>
        <v>2</v>
      </c>
      <c r="J322" s="10" t="s">
        <v>121</v>
      </c>
      <c r="K322" s="23">
        <v>2</v>
      </c>
      <c r="L322" s="26">
        <v>287.16000000000003</v>
      </c>
      <c r="M322" s="29">
        <v>0</v>
      </c>
      <c r="N322" s="10" t="s">
        <v>45</v>
      </c>
      <c r="O322" s="10" t="str">
        <f>IF(TRIM(OrdersRawTable9[[#This Row],[Sales_Channel_Raw]])="Market place","Marketplace",TRIM(OrdersRawTable9[[#This Row],[Sales_Channel_Raw]]))</f>
        <v>Retail Store</v>
      </c>
      <c r="P322" s="10" t="s">
        <v>58</v>
      </c>
      <c r="Q322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322" s="15" t="s">
        <v>47</v>
      </c>
      <c r="S322" t="str">
        <f>VLOOKUP(OrdersRawTable9[[#This Row],[Customer_ID_Raw]],CustomersTable11[],4,FALSE)</f>
        <v>Alberta</v>
      </c>
      <c r="T322" t="str">
        <f>VLOOKUP(OrdersRawTable9[[#This Row],[Customer_ID_Raw]],CustomersTable11[],5,FALSE)</f>
        <v>Corporate</v>
      </c>
      <c r="U322" s="45">
        <f>VLOOKUP(OrdersRawTable9[[#This Row],[Product_ID]],ProductsTable10[],4,FALSE)</f>
        <v>148.21</v>
      </c>
      <c r="V322" t="str">
        <f>VLOOKUP(OrdersRawTable9[[#This Row],[Product_ID]],ProductsTable10[],3,FALSE)</f>
        <v>Accessories</v>
      </c>
      <c r="W322" s="45">
        <f>OrdersRawTable9[[#This Row],[Unit_Price]]*OrdersRawTable9[[#This Row],[Quantity]]</f>
        <v>574.32000000000005</v>
      </c>
      <c r="X322" s="47">
        <f>OrdersRawTable9[[#This Row],[Gross_Sales]]*OrdersRawTable9[[#This Row],[Discount_Pct]]</f>
        <v>0</v>
      </c>
      <c r="Y322" s="45">
        <f>OrdersRawTable9[[#This Row],[Gross_Sales]]-OrdersRawTable9[[#This Row],[Discount_Amount]]</f>
        <v>574.32000000000005</v>
      </c>
      <c r="Z322" s="45">
        <f>OrdersRawTable9[[#This Row],[Unit_Cost]]*OrdersRawTable9[[#This Row],[Quantity]]</f>
        <v>296.42</v>
      </c>
      <c r="AA322" s="45">
        <f>OrdersRawTable9[[#This Row],[Net_Sales]]-OrdersRawTable9[[#This Row],[Total_Cost]]</f>
        <v>277.90000000000003</v>
      </c>
      <c r="AB322" s="48">
        <f>IF(OrdersRawTable9[[#This Row],[Net_Sales]]=0,0,OrdersRawTable9[[#This Row],[Profit]]/OrdersRawTable9[[#This Row],[Net_Sales]])</f>
        <v>0.48387658448251847</v>
      </c>
      <c r="AC322" s="45" t="str">
        <f>IF(COUNTIF(ReturnsRawTable[Order_Line_ID],OrdersRawTable9[[#This Row],[Order_Line_ID]])&gt;0,"Yes","No")</f>
        <v>No</v>
      </c>
      <c r="AD322" s="45" t="str">
        <f>IFERROR(VLOOKUP(OrdersRawTable9[[#This Row],[Order_Line_ID]],ReturnsRawTable[[#All],[Order_Line_ID]:[Return_Reason_Raw]],3,FALSE),"")</f>
        <v/>
      </c>
      <c r="AE322" s="49" t="str">
        <f>IFERROR(VLOOKUP(OrdersRawTable9[[#This Row],[Order_Line_ID]],ReturnsRawTable[[#All],[Order_Line_ID]:[Return_Date]],2,FALSE),"")</f>
        <v/>
      </c>
      <c r="AF322" s="45" t="str">
        <f>IFERROR(VLOOKUP(OrdersRawTable9[[#This Row],[Order_Line_ID]],ReturnsRawTable[[Order_Line_ID]:[Refund_Status]],4,FALSE),"")</f>
        <v/>
      </c>
      <c r="AG322" s="45" t="str">
        <f>VLOOKUP(OrdersRawTable9[[#This Row],[Order_ID]],ShipmentsTable[],6,FALSE)</f>
        <v>Late</v>
      </c>
      <c r="AH322" s="49">
        <f>VLOOKUP(OrdersRawTable9[[#This Row],[Order_ID]],ShipmentsTable[],3,FALSE)</f>
        <v>45953</v>
      </c>
    </row>
    <row r="323" spans="1:34" ht="15" customHeight="1">
      <c r="A323" s="14" t="s">
        <v>751</v>
      </c>
      <c r="B323" s="10" t="s">
        <v>747</v>
      </c>
      <c r="C323" s="20">
        <v>45948</v>
      </c>
      <c r="D323" s="10" t="s">
        <v>748</v>
      </c>
      <c r="E323" s="10" t="s">
        <v>749</v>
      </c>
      <c r="F323" s="10" t="str">
        <f>TRIM(LEFT(OrdersRawTable9[[#This Row],[Customer_Info]],FIND(",",OrdersRawTable9[[#This Row],[Customer_Info]])-1))</f>
        <v>Liam Singh</v>
      </c>
      <c r="G32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323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323" s="10">
        <f>LEN(OrdersRawTable9[[#This Row],[Customer_Info]])-LEN(SUBSTITUTE(OrdersRawTable9[[#This Row],[Customer_Info]],",",""))</f>
        <v>2</v>
      </c>
      <c r="J323" s="10" t="s">
        <v>495</v>
      </c>
      <c r="K323" s="23">
        <v>4</v>
      </c>
      <c r="L323" s="26">
        <v>207.71</v>
      </c>
      <c r="M323" s="29">
        <v>0.15</v>
      </c>
      <c r="N323" s="10" t="s">
        <v>64</v>
      </c>
      <c r="O323" s="10" t="str">
        <f>IF(TRIM(OrdersRawTable9[[#This Row],[Sales_Channel_Raw]])="Market place","Marketplace",TRIM(OrdersRawTable9[[#This Row],[Sales_Channel_Raw]]))</f>
        <v>Retail Store</v>
      </c>
      <c r="P323" s="10"/>
      <c r="Q323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323" s="15" t="s">
        <v>52</v>
      </c>
      <c r="S323" t="str">
        <f>VLOOKUP(OrdersRawTable9[[#This Row],[Customer_ID_Raw]],CustomersTable11[],4,FALSE)</f>
        <v>Alberta</v>
      </c>
      <c r="T323" t="str">
        <f>VLOOKUP(OrdersRawTable9[[#This Row],[Customer_ID_Raw]],CustomersTable11[],5,FALSE)</f>
        <v>Corporate</v>
      </c>
      <c r="U323" s="45">
        <f>VLOOKUP(OrdersRawTable9[[#This Row],[Product_ID]],ProductsTable10[],4,FALSE)</f>
        <v>132.97</v>
      </c>
      <c r="V323" t="str">
        <f>VLOOKUP(OrdersRawTable9[[#This Row],[Product_ID]],ProductsTable10[],3,FALSE)</f>
        <v>Home</v>
      </c>
      <c r="W323" s="45">
        <f>OrdersRawTable9[[#This Row],[Unit_Price]]*OrdersRawTable9[[#This Row],[Quantity]]</f>
        <v>830.84</v>
      </c>
      <c r="X323" s="47">
        <f>OrdersRawTable9[[#This Row],[Gross_Sales]]*OrdersRawTable9[[#This Row],[Discount_Pct]]</f>
        <v>124.626</v>
      </c>
      <c r="Y323" s="45">
        <f>OrdersRawTable9[[#This Row],[Gross_Sales]]-OrdersRawTable9[[#This Row],[Discount_Amount]]</f>
        <v>706.21400000000006</v>
      </c>
      <c r="Z323" s="45">
        <f>OrdersRawTable9[[#This Row],[Unit_Cost]]*OrdersRawTable9[[#This Row],[Quantity]]</f>
        <v>531.88</v>
      </c>
      <c r="AA323" s="45">
        <f>OrdersRawTable9[[#This Row],[Net_Sales]]-OrdersRawTable9[[#This Row],[Total_Cost]]</f>
        <v>174.33400000000006</v>
      </c>
      <c r="AB323" s="48">
        <f>IF(OrdersRawTable9[[#This Row],[Net_Sales]]=0,0,OrdersRawTable9[[#This Row],[Profit]]/OrdersRawTable9[[#This Row],[Net_Sales]])</f>
        <v>0.24685718493261255</v>
      </c>
      <c r="AC323" s="45" t="str">
        <f>IF(COUNTIF(ReturnsRawTable[Order_Line_ID],OrdersRawTable9[[#This Row],[Order_Line_ID]])&gt;0,"Yes","No")</f>
        <v>No</v>
      </c>
      <c r="AD323" s="45" t="str">
        <f>IFERROR(VLOOKUP(OrdersRawTable9[[#This Row],[Order_Line_ID]],ReturnsRawTable[[#All],[Order_Line_ID]:[Return_Reason_Raw]],3,FALSE),"")</f>
        <v/>
      </c>
      <c r="AE323" s="49" t="str">
        <f>IFERROR(VLOOKUP(OrdersRawTable9[[#This Row],[Order_Line_ID]],ReturnsRawTable[[#All],[Order_Line_ID]:[Return_Date]],2,FALSE),"")</f>
        <v/>
      </c>
      <c r="AF323" s="45" t="str">
        <f>IFERROR(VLOOKUP(OrdersRawTable9[[#This Row],[Order_Line_ID]],ReturnsRawTable[[Order_Line_ID]:[Refund_Status]],4,FALSE),"")</f>
        <v/>
      </c>
      <c r="AG323" s="45" t="str">
        <f>VLOOKUP(OrdersRawTable9[[#This Row],[Order_ID]],ShipmentsTable[],6,FALSE)</f>
        <v>Late</v>
      </c>
      <c r="AH323" s="49">
        <f>VLOOKUP(OrdersRawTable9[[#This Row],[Order_ID]],ShipmentsTable[],3,FALSE)</f>
        <v>45953</v>
      </c>
    </row>
    <row r="324" spans="1:34" ht="15" customHeight="1">
      <c r="A324" s="14" t="s">
        <v>752</v>
      </c>
      <c r="B324" s="10" t="s">
        <v>747</v>
      </c>
      <c r="C324" s="20">
        <v>45948</v>
      </c>
      <c r="D324" s="10" t="s">
        <v>748</v>
      </c>
      <c r="E324" s="10" t="s">
        <v>749</v>
      </c>
      <c r="F324" s="10" t="str">
        <f>TRIM(LEFT(OrdersRawTable9[[#This Row],[Customer_Info]],FIND(",",OrdersRawTable9[[#This Row],[Customer_Info]])-1))</f>
        <v>Liam Singh</v>
      </c>
      <c r="G32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324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324" s="10">
        <f>LEN(OrdersRawTable9[[#This Row],[Customer_Info]])-LEN(SUBSTITUTE(OrdersRawTable9[[#This Row],[Customer_Info]],",",""))</f>
        <v>2</v>
      </c>
      <c r="J324" s="10" t="s">
        <v>456</v>
      </c>
      <c r="K324" s="23">
        <v>1</v>
      </c>
      <c r="L324" s="26">
        <v>275.76</v>
      </c>
      <c r="M324" s="29">
        <v>0.15</v>
      </c>
      <c r="N324" s="10" t="s">
        <v>64</v>
      </c>
      <c r="O324" s="10" t="str">
        <f>IF(TRIM(OrdersRawTable9[[#This Row],[Sales_Channel_Raw]])="Market place","Marketplace",TRIM(OrdersRawTable9[[#This Row],[Sales_Channel_Raw]]))</f>
        <v>Retail Store</v>
      </c>
      <c r="P324" s="10" t="s">
        <v>46</v>
      </c>
      <c r="Q324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24" s="15" t="s">
        <v>42</v>
      </c>
      <c r="S324" t="str">
        <f>VLOOKUP(OrdersRawTable9[[#This Row],[Customer_ID_Raw]],CustomersTable11[],4,FALSE)</f>
        <v>Alberta</v>
      </c>
      <c r="T324" t="str">
        <f>VLOOKUP(OrdersRawTable9[[#This Row],[Customer_ID_Raw]],CustomersTable11[],5,FALSE)</f>
        <v>Corporate</v>
      </c>
      <c r="U324" s="45">
        <f>VLOOKUP(OrdersRawTable9[[#This Row],[Product_ID]],ProductsTable10[],4,FALSE)</f>
        <v>156.97</v>
      </c>
      <c r="V324" t="str">
        <f>VLOOKUP(OrdersRawTable9[[#This Row],[Product_ID]],ProductsTable10[],3,FALSE)</f>
        <v>Home</v>
      </c>
      <c r="W324" s="45">
        <f>OrdersRawTable9[[#This Row],[Unit_Price]]*OrdersRawTable9[[#This Row],[Quantity]]</f>
        <v>275.76</v>
      </c>
      <c r="X324" s="47">
        <f>OrdersRawTable9[[#This Row],[Gross_Sales]]*OrdersRawTable9[[#This Row],[Discount_Pct]]</f>
        <v>41.363999999999997</v>
      </c>
      <c r="Y324" s="45">
        <f>OrdersRawTable9[[#This Row],[Gross_Sales]]-OrdersRawTable9[[#This Row],[Discount_Amount]]</f>
        <v>234.39599999999999</v>
      </c>
      <c r="Z324" s="45">
        <f>OrdersRawTable9[[#This Row],[Unit_Cost]]*OrdersRawTable9[[#This Row],[Quantity]]</f>
        <v>156.97</v>
      </c>
      <c r="AA324" s="45">
        <f>OrdersRawTable9[[#This Row],[Net_Sales]]-OrdersRawTable9[[#This Row],[Total_Cost]]</f>
        <v>77.425999999999988</v>
      </c>
      <c r="AB324" s="48">
        <f>IF(OrdersRawTable9[[#This Row],[Net_Sales]]=0,0,OrdersRawTable9[[#This Row],[Profit]]/OrdersRawTable9[[#This Row],[Net_Sales]])</f>
        <v>0.33032133654157919</v>
      </c>
      <c r="AC324" s="45" t="str">
        <f>IF(COUNTIF(ReturnsRawTable[Order_Line_ID],OrdersRawTable9[[#This Row],[Order_Line_ID]])&gt;0,"Yes","No")</f>
        <v>No</v>
      </c>
      <c r="AD324" s="45" t="str">
        <f>IFERROR(VLOOKUP(OrdersRawTable9[[#This Row],[Order_Line_ID]],ReturnsRawTable[[#All],[Order_Line_ID]:[Return_Reason_Raw]],3,FALSE),"")</f>
        <v/>
      </c>
      <c r="AE324" s="49" t="str">
        <f>IFERROR(VLOOKUP(OrdersRawTable9[[#This Row],[Order_Line_ID]],ReturnsRawTable[[#All],[Order_Line_ID]:[Return_Date]],2,FALSE),"")</f>
        <v/>
      </c>
      <c r="AF324" s="45" t="str">
        <f>IFERROR(VLOOKUP(OrdersRawTable9[[#This Row],[Order_Line_ID]],ReturnsRawTable[[Order_Line_ID]:[Refund_Status]],4,FALSE),"")</f>
        <v/>
      </c>
      <c r="AG324" s="45" t="str">
        <f>VLOOKUP(OrdersRawTable9[[#This Row],[Order_ID]],ShipmentsTable[],6,FALSE)</f>
        <v>Late</v>
      </c>
      <c r="AH324" s="49">
        <f>VLOOKUP(OrdersRawTable9[[#This Row],[Order_ID]],ShipmentsTable[],3,FALSE)</f>
        <v>45953</v>
      </c>
    </row>
    <row r="325" spans="1:34" ht="15" customHeight="1">
      <c r="A325" s="14" t="s">
        <v>753</v>
      </c>
      <c r="B325" s="10" t="s">
        <v>754</v>
      </c>
      <c r="C325" s="20">
        <v>45737.041666666664</v>
      </c>
      <c r="D325" s="10" t="s">
        <v>755</v>
      </c>
      <c r="E325" s="10" t="s">
        <v>756</v>
      </c>
      <c r="F325" s="10" t="str">
        <f>TRIM(LEFT(OrdersRawTable9[[#This Row],[Customer_Info]],FIND(",",OrdersRawTable9[[#This Row],[Customer_Info]])-1))</f>
        <v>Yara Martin</v>
      </c>
      <c r="G32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325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325" s="10">
        <f>LEN(OrdersRawTable9[[#This Row],[Customer_Info]])-LEN(SUBSTITUTE(OrdersRawTable9[[#This Row],[Customer_Info]],",",""))</f>
        <v>2</v>
      </c>
      <c r="J325" s="10" t="s">
        <v>108</v>
      </c>
      <c r="K325" s="23">
        <v>4</v>
      </c>
      <c r="L325" s="26">
        <v>33.369999999999997</v>
      </c>
      <c r="M325" s="29">
        <v>0.15</v>
      </c>
      <c r="N325" s="10" t="s">
        <v>64</v>
      </c>
      <c r="O325" s="10" t="str">
        <f>IF(TRIM(OrdersRawTable9[[#This Row],[Sales_Channel_Raw]])="Market place","Marketplace",TRIM(OrdersRawTable9[[#This Row],[Sales_Channel_Raw]]))</f>
        <v>Retail Store</v>
      </c>
      <c r="P325" s="10" t="s">
        <v>41</v>
      </c>
      <c r="Q325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25" s="15" t="s">
        <v>101</v>
      </c>
      <c r="S325" t="str">
        <f>VLOOKUP(OrdersRawTable9[[#This Row],[Customer_ID_Raw]],CustomersTable11[],4,FALSE)</f>
        <v>Alberta</v>
      </c>
      <c r="T325" t="str">
        <f>VLOOKUP(OrdersRawTable9[[#This Row],[Customer_ID_Raw]],CustomersTable11[],5,FALSE)</f>
        <v>Corporate</v>
      </c>
      <c r="U325" s="45">
        <f>VLOOKUP(OrdersRawTable9[[#This Row],[Product_ID]],ProductsTable10[],4,FALSE)</f>
        <v>18.670000000000002</v>
      </c>
      <c r="V325" t="str">
        <f>VLOOKUP(OrdersRawTable9[[#This Row],[Product_ID]],ProductsTable10[],3,FALSE)</f>
        <v>Fitness</v>
      </c>
      <c r="W325" s="45">
        <f>OrdersRawTable9[[#This Row],[Unit_Price]]*OrdersRawTable9[[#This Row],[Quantity]]</f>
        <v>133.47999999999999</v>
      </c>
      <c r="X325" s="47">
        <f>OrdersRawTable9[[#This Row],[Gross_Sales]]*OrdersRawTable9[[#This Row],[Discount_Pct]]</f>
        <v>20.021999999999998</v>
      </c>
      <c r="Y325" s="45">
        <f>OrdersRawTable9[[#This Row],[Gross_Sales]]-OrdersRawTable9[[#This Row],[Discount_Amount]]</f>
        <v>113.458</v>
      </c>
      <c r="Z325" s="45">
        <f>OrdersRawTable9[[#This Row],[Unit_Cost]]*OrdersRawTable9[[#This Row],[Quantity]]</f>
        <v>74.680000000000007</v>
      </c>
      <c r="AA325" s="45">
        <f>OrdersRawTable9[[#This Row],[Net_Sales]]-OrdersRawTable9[[#This Row],[Total_Cost]]</f>
        <v>38.777999999999992</v>
      </c>
      <c r="AB325" s="48">
        <f>IF(OrdersRawTable9[[#This Row],[Net_Sales]]=0,0,OrdersRawTable9[[#This Row],[Profit]]/OrdersRawTable9[[#This Row],[Net_Sales]])</f>
        <v>0.34178286238079281</v>
      </c>
      <c r="AC325" s="45" t="str">
        <f>IF(COUNTIF(ReturnsRawTable[Order_Line_ID],OrdersRawTable9[[#This Row],[Order_Line_ID]])&gt;0,"Yes","No")</f>
        <v>No</v>
      </c>
      <c r="AD325" s="45" t="str">
        <f>IFERROR(VLOOKUP(OrdersRawTable9[[#This Row],[Order_Line_ID]],ReturnsRawTable[[#All],[Order_Line_ID]:[Return_Reason_Raw]],3,FALSE),"")</f>
        <v/>
      </c>
      <c r="AE325" s="49" t="str">
        <f>IFERROR(VLOOKUP(OrdersRawTable9[[#This Row],[Order_Line_ID]],ReturnsRawTable[[#All],[Order_Line_ID]:[Return_Date]],2,FALSE),"")</f>
        <v/>
      </c>
      <c r="AF325" s="45" t="str">
        <f>IFERROR(VLOOKUP(OrdersRawTable9[[#This Row],[Order_Line_ID]],ReturnsRawTable[[Order_Line_ID]:[Refund_Status]],4,FALSE),"")</f>
        <v/>
      </c>
      <c r="AG325" s="45" t="str">
        <f>VLOOKUP(OrdersRawTable9[[#This Row],[Order_ID]],ShipmentsTable[],6,FALSE)</f>
        <v>Late</v>
      </c>
      <c r="AH325" s="49">
        <f>VLOOKUP(OrdersRawTable9[[#This Row],[Order_ID]],ShipmentsTable[],3,FALSE)</f>
        <v>45746.041666666664</v>
      </c>
    </row>
    <row r="326" spans="1:34" ht="15" customHeight="1">
      <c r="A326" s="14" t="s">
        <v>757</v>
      </c>
      <c r="B326" s="10" t="s">
        <v>754</v>
      </c>
      <c r="C326" s="20">
        <v>45737.041666666664</v>
      </c>
      <c r="D326" s="10" t="s">
        <v>755</v>
      </c>
      <c r="E326" s="10" t="s">
        <v>756</v>
      </c>
      <c r="F326" s="10" t="str">
        <f>TRIM(LEFT(OrdersRawTable9[[#This Row],[Customer_Info]],FIND(",",OrdersRawTable9[[#This Row],[Customer_Info]])-1))</f>
        <v>Yara Martin</v>
      </c>
      <c r="G32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326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326" s="10">
        <f>LEN(OrdersRawTable9[[#This Row],[Customer_Info]])-LEN(SUBSTITUTE(OrdersRawTable9[[#This Row],[Customer_Info]],",",""))</f>
        <v>2</v>
      </c>
      <c r="J326" s="10" t="s">
        <v>77</v>
      </c>
      <c r="K326" s="23">
        <v>3</v>
      </c>
      <c r="L326" s="26">
        <v>34.909999999999997</v>
      </c>
      <c r="M326" s="29">
        <v>0.1</v>
      </c>
      <c r="N326" s="10" t="s">
        <v>40</v>
      </c>
      <c r="O326" s="10" t="str">
        <f>IF(TRIM(OrdersRawTable9[[#This Row],[Sales_Channel_Raw]])="Market place","Marketplace",TRIM(OrdersRawTable9[[#This Row],[Sales_Channel_Raw]]))</f>
        <v>Online</v>
      </c>
      <c r="P326" s="10" t="s">
        <v>41</v>
      </c>
      <c r="Q326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26" s="15" t="s">
        <v>52</v>
      </c>
      <c r="S326" t="str">
        <f>VLOOKUP(OrdersRawTable9[[#This Row],[Customer_ID_Raw]],CustomersTable11[],4,FALSE)</f>
        <v>Alberta</v>
      </c>
      <c r="T326" t="str">
        <f>VLOOKUP(OrdersRawTable9[[#This Row],[Customer_ID_Raw]],CustomersTable11[],5,FALSE)</f>
        <v>Corporate</v>
      </c>
      <c r="U326" s="45">
        <f>VLOOKUP(OrdersRawTable9[[#This Row],[Product_ID]],ProductsTable10[],4,FALSE)</f>
        <v>19.670000000000002</v>
      </c>
      <c r="V326" t="str">
        <f>VLOOKUP(OrdersRawTable9[[#This Row],[Product_ID]],ProductsTable10[],3,FALSE)</f>
        <v>Accessories</v>
      </c>
      <c r="W326" s="45">
        <f>OrdersRawTable9[[#This Row],[Unit_Price]]*OrdersRawTable9[[#This Row],[Quantity]]</f>
        <v>104.72999999999999</v>
      </c>
      <c r="X326" s="47">
        <f>OrdersRawTable9[[#This Row],[Gross_Sales]]*OrdersRawTable9[[#This Row],[Discount_Pct]]</f>
        <v>10.472999999999999</v>
      </c>
      <c r="Y326" s="45">
        <f>OrdersRawTable9[[#This Row],[Gross_Sales]]-OrdersRawTable9[[#This Row],[Discount_Amount]]</f>
        <v>94.256999999999991</v>
      </c>
      <c r="Z326" s="45">
        <f>OrdersRawTable9[[#This Row],[Unit_Cost]]*OrdersRawTable9[[#This Row],[Quantity]]</f>
        <v>59.010000000000005</v>
      </c>
      <c r="AA326" s="45">
        <f>OrdersRawTable9[[#This Row],[Net_Sales]]-OrdersRawTable9[[#This Row],[Total_Cost]]</f>
        <v>35.246999999999986</v>
      </c>
      <c r="AB326" s="48">
        <f>IF(OrdersRawTable9[[#This Row],[Net_Sales]]=0,0,OrdersRawTable9[[#This Row],[Profit]]/OrdersRawTable9[[#This Row],[Net_Sales]])</f>
        <v>0.37394570164550101</v>
      </c>
      <c r="AC326" s="45" t="str">
        <f>IF(COUNTIF(ReturnsRawTable[Order_Line_ID],OrdersRawTable9[[#This Row],[Order_Line_ID]])&gt;0,"Yes","No")</f>
        <v>No</v>
      </c>
      <c r="AD326" s="45" t="str">
        <f>IFERROR(VLOOKUP(OrdersRawTable9[[#This Row],[Order_Line_ID]],ReturnsRawTable[[#All],[Order_Line_ID]:[Return_Reason_Raw]],3,FALSE),"")</f>
        <v/>
      </c>
      <c r="AE326" s="49" t="str">
        <f>IFERROR(VLOOKUP(OrdersRawTable9[[#This Row],[Order_Line_ID]],ReturnsRawTable[[#All],[Order_Line_ID]:[Return_Date]],2,FALSE),"")</f>
        <v/>
      </c>
      <c r="AF326" s="45" t="str">
        <f>IFERROR(VLOOKUP(OrdersRawTable9[[#This Row],[Order_Line_ID]],ReturnsRawTable[[Order_Line_ID]:[Refund_Status]],4,FALSE),"")</f>
        <v/>
      </c>
      <c r="AG326" s="45" t="str">
        <f>VLOOKUP(OrdersRawTable9[[#This Row],[Order_ID]],ShipmentsTable[],6,FALSE)</f>
        <v>Late</v>
      </c>
      <c r="AH326" s="49">
        <f>VLOOKUP(OrdersRawTable9[[#This Row],[Order_ID]],ShipmentsTable[],3,FALSE)</f>
        <v>45746.041666666664</v>
      </c>
    </row>
    <row r="327" spans="1:34" ht="15" customHeight="1">
      <c r="A327" s="14" t="s">
        <v>758</v>
      </c>
      <c r="B327" s="10" t="s">
        <v>759</v>
      </c>
      <c r="C327" s="20">
        <v>45687</v>
      </c>
      <c r="D327" s="10" t="s">
        <v>760</v>
      </c>
      <c r="E327" s="10" t="s">
        <v>761</v>
      </c>
      <c r="F327" s="10" t="str">
        <f>TRIM(LEFT(OrdersRawTable9[[#This Row],[Customer_Info]],FIND(",",OrdersRawTable9[[#This Row],[Customer_Info]])-1))</f>
        <v>Adam Johnson</v>
      </c>
      <c r="G32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327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327" s="10">
        <f>LEN(OrdersRawTable9[[#This Row],[Customer_Info]])-LEN(SUBSTITUTE(OrdersRawTable9[[#This Row],[Customer_Info]],",",""))</f>
        <v>2</v>
      </c>
      <c r="J327" s="10" t="s">
        <v>279</v>
      </c>
      <c r="K327" s="23">
        <v>2</v>
      </c>
      <c r="L327" s="26">
        <v>52.79</v>
      </c>
      <c r="M327" s="29">
        <v>0.05</v>
      </c>
      <c r="N327" s="10" t="s">
        <v>45</v>
      </c>
      <c r="O327" s="10" t="str">
        <f>IF(TRIM(OrdersRawTable9[[#This Row],[Sales_Channel_Raw]])="Market place","Marketplace",TRIM(OrdersRawTable9[[#This Row],[Sales_Channel_Raw]]))</f>
        <v>Retail Store</v>
      </c>
      <c r="P327" s="10" t="s">
        <v>46</v>
      </c>
      <c r="Q327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27" s="15" t="s">
        <v>67</v>
      </c>
      <c r="S327" t="str">
        <f>VLOOKUP(OrdersRawTable9[[#This Row],[Customer_ID_Raw]],CustomersTable11[],4,FALSE)</f>
        <v>Quebec</v>
      </c>
      <c r="T327" t="str">
        <f>VLOOKUP(OrdersRawTable9[[#This Row],[Customer_ID_Raw]],CustomersTable11[],5,FALSE)</f>
        <v>Consumer</v>
      </c>
      <c r="U327" s="45">
        <f>VLOOKUP(OrdersRawTable9[[#This Row],[Product_ID]],ProductsTable10[],4,FALSE)</f>
        <v>28.17</v>
      </c>
      <c r="V327" t="str">
        <f>VLOOKUP(OrdersRawTable9[[#This Row],[Product_ID]],ProductsTable10[],3,FALSE)</f>
        <v>Office</v>
      </c>
      <c r="W327" s="45">
        <f>OrdersRawTable9[[#This Row],[Unit_Price]]*OrdersRawTable9[[#This Row],[Quantity]]</f>
        <v>105.58</v>
      </c>
      <c r="X327" s="47">
        <f>OrdersRawTable9[[#This Row],[Gross_Sales]]*OrdersRawTable9[[#This Row],[Discount_Pct]]</f>
        <v>5.2789999999999999</v>
      </c>
      <c r="Y327" s="45">
        <f>OrdersRawTable9[[#This Row],[Gross_Sales]]-OrdersRawTable9[[#This Row],[Discount_Amount]]</f>
        <v>100.301</v>
      </c>
      <c r="Z327" s="45">
        <f>OrdersRawTable9[[#This Row],[Unit_Cost]]*OrdersRawTable9[[#This Row],[Quantity]]</f>
        <v>56.34</v>
      </c>
      <c r="AA327" s="45">
        <f>OrdersRawTable9[[#This Row],[Net_Sales]]-OrdersRawTable9[[#This Row],[Total_Cost]]</f>
        <v>43.960999999999999</v>
      </c>
      <c r="AB327" s="48">
        <f>IF(OrdersRawTable9[[#This Row],[Net_Sales]]=0,0,OrdersRawTable9[[#This Row],[Profit]]/OrdersRawTable9[[#This Row],[Net_Sales]])</f>
        <v>0.43829074485797748</v>
      </c>
      <c r="AC327" s="45" t="str">
        <f>IF(COUNTIF(ReturnsRawTable[Order_Line_ID],OrdersRawTable9[[#This Row],[Order_Line_ID]])&gt;0,"Yes","No")</f>
        <v>Yes</v>
      </c>
      <c r="AD327" s="45" t="str">
        <f>IFERROR(VLOOKUP(OrdersRawTable9[[#This Row],[Order_Line_ID]],ReturnsRawTable[[#All],[Order_Line_ID]:[Return_Reason_Raw]],3,FALSE),"")</f>
        <v>Wrong Item</v>
      </c>
      <c r="AE327" s="49">
        <f>IFERROR(VLOOKUP(OrdersRawTable9[[#This Row],[Order_Line_ID]],ReturnsRawTable[[#All],[Order_Line_ID]:[Return_Date]],2,FALSE),"")</f>
        <v>45703</v>
      </c>
      <c r="AF327" s="45" t="str">
        <f>IFERROR(VLOOKUP(OrdersRawTable9[[#This Row],[Order_Line_ID]],ReturnsRawTable[[Order_Line_ID]:[Refund_Status]],4,FALSE),"")</f>
        <v>Refunded</v>
      </c>
      <c r="AG327" s="45" t="str">
        <f>VLOOKUP(OrdersRawTable9[[#This Row],[Order_ID]],ShipmentsTable[],6,FALSE)</f>
        <v>On time</v>
      </c>
      <c r="AH327" s="49">
        <f>VLOOKUP(OrdersRawTable9[[#This Row],[Order_ID]],ShipmentsTable[],3,FALSE)</f>
        <v>45688</v>
      </c>
    </row>
    <row r="328" spans="1:34" ht="15" customHeight="1">
      <c r="A328" s="14" t="s">
        <v>762</v>
      </c>
      <c r="B328" s="10" t="s">
        <v>759</v>
      </c>
      <c r="C328" s="20">
        <v>45687</v>
      </c>
      <c r="D328" s="10" t="s">
        <v>760</v>
      </c>
      <c r="E328" s="10" t="s">
        <v>761</v>
      </c>
      <c r="F328" s="10" t="str">
        <f>TRIM(LEFT(OrdersRawTable9[[#This Row],[Customer_Info]],FIND(",",OrdersRawTable9[[#This Row],[Customer_Info]])-1))</f>
        <v>Adam Johnson</v>
      </c>
      <c r="G32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328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328" s="10">
        <f>LEN(OrdersRawTable9[[#This Row],[Customer_Info]])-LEN(SUBSTITUTE(OrdersRawTable9[[#This Row],[Customer_Info]],",",""))</f>
        <v>2</v>
      </c>
      <c r="J328" s="10" t="s">
        <v>521</v>
      </c>
      <c r="K328" s="23">
        <v>1</v>
      </c>
      <c r="L328" s="26">
        <v>37.82</v>
      </c>
      <c r="M328" s="29">
        <v>0</v>
      </c>
      <c r="N328" s="10" t="s">
        <v>45</v>
      </c>
      <c r="O328" s="10" t="str">
        <f>IF(TRIM(OrdersRawTable9[[#This Row],[Sales_Channel_Raw]])="Market place","Marketplace",TRIM(OrdersRawTable9[[#This Row],[Sales_Channel_Raw]]))</f>
        <v>Retail Store</v>
      </c>
      <c r="P328" s="10" t="s">
        <v>46</v>
      </c>
      <c r="Q328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28" s="15" t="s">
        <v>42</v>
      </c>
      <c r="S328" t="str">
        <f>VLOOKUP(OrdersRawTable9[[#This Row],[Customer_ID_Raw]],CustomersTable11[],4,FALSE)</f>
        <v>Quebec</v>
      </c>
      <c r="T328" t="str">
        <f>VLOOKUP(OrdersRawTable9[[#This Row],[Customer_ID_Raw]],CustomersTable11[],5,FALSE)</f>
        <v>Consumer</v>
      </c>
      <c r="U328" s="45">
        <f>VLOOKUP(OrdersRawTable9[[#This Row],[Product_ID]],ProductsTable10[],4,FALSE)</f>
        <v>24.76</v>
      </c>
      <c r="V328" t="str">
        <f>VLOOKUP(OrdersRawTable9[[#This Row],[Product_ID]],ProductsTable10[],3,FALSE)</f>
        <v>Electronics</v>
      </c>
      <c r="W328" s="45">
        <f>OrdersRawTable9[[#This Row],[Unit_Price]]*OrdersRawTable9[[#This Row],[Quantity]]</f>
        <v>37.82</v>
      </c>
      <c r="X328" s="47">
        <f>OrdersRawTable9[[#This Row],[Gross_Sales]]*OrdersRawTable9[[#This Row],[Discount_Pct]]</f>
        <v>0</v>
      </c>
      <c r="Y328" s="45">
        <f>OrdersRawTable9[[#This Row],[Gross_Sales]]-OrdersRawTable9[[#This Row],[Discount_Amount]]</f>
        <v>37.82</v>
      </c>
      <c r="Z328" s="45">
        <f>OrdersRawTable9[[#This Row],[Unit_Cost]]*OrdersRawTable9[[#This Row],[Quantity]]</f>
        <v>24.76</v>
      </c>
      <c r="AA328" s="45">
        <f>OrdersRawTable9[[#This Row],[Net_Sales]]-OrdersRawTable9[[#This Row],[Total_Cost]]</f>
        <v>13.059999999999999</v>
      </c>
      <c r="AB328" s="48">
        <f>IF(OrdersRawTable9[[#This Row],[Net_Sales]]=0,0,OrdersRawTable9[[#This Row],[Profit]]/OrdersRawTable9[[#This Row],[Net_Sales]])</f>
        <v>0.34531993654151238</v>
      </c>
      <c r="AC328" s="45" t="str">
        <f>IF(COUNTIF(ReturnsRawTable[Order_Line_ID],OrdersRawTable9[[#This Row],[Order_Line_ID]])&gt;0,"Yes","No")</f>
        <v>Yes</v>
      </c>
      <c r="AD328" s="45" t="str">
        <f>IFERROR(VLOOKUP(OrdersRawTable9[[#This Row],[Order_Line_ID]],ReturnsRawTable[[#All],[Order_Line_ID]:[Return_Reason_Raw]],3,FALSE),"")</f>
        <v>Wrong Item</v>
      </c>
      <c r="AE328" s="49">
        <f>IFERROR(VLOOKUP(OrdersRawTable9[[#This Row],[Order_Line_ID]],ReturnsRawTable[[#All],[Order_Line_ID]:[Return_Date]],2,FALSE),"")</f>
        <v>45700</v>
      </c>
      <c r="AF328" s="45" t="str">
        <f>IFERROR(VLOOKUP(OrdersRawTable9[[#This Row],[Order_Line_ID]],ReturnsRawTable[[Order_Line_ID]:[Refund_Status]],4,FALSE),"")</f>
        <v>Pending</v>
      </c>
      <c r="AG328" s="45" t="str">
        <f>VLOOKUP(OrdersRawTable9[[#This Row],[Order_ID]],ShipmentsTable[],6,FALSE)</f>
        <v>On time</v>
      </c>
      <c r="AH328" s="49">
        <f>VLOOKUP(OrdersRawTable9[[#This Row],[Order_ID]],ShipmentsTable[],3,FALSE)</f>
        <v>45688</v>
      </c>
    </row>
    <row r="329" spans="1:34" ht="15" customHeight="1">
      <c r="A329" s="14" t="s">
        <v>763</v>
      </c>
      <c r="B329" s="10" t="s">
        <v>759</v>
      </c>
      <c r="C329" s="20">
        <v>45687</v>
      </c>
      <c r="D329" s="10" t="s">
        <v>760</v>
      </c>
      <c r="E329" s="10" t="s">
        <v>761</v>
      </c>
      <c r="F329" s="10" t="str">
        <f>TRIM(LEFT(OrdersRawTable9[[#This Row],[Customer_Info]],FIND(",",OrdersRawTable9[[#This Row],[Customer_Info]])-1))</f>
        <v>Adam Johnson</v>
      </c>
      <c r="G32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329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329" s="10">
        <f>LEN(OrdersRawTable9[[#This Row],[Customer_Info]])-LEN(SUBSTITUTE(OrdersRawTable9[[#This Row],[Customer_Info]],",",""))</f>
        <v>2</v>
      </c>
      <c r="J329" s="10" t="s">
        <v>521</v>
      </c>
      <c r="K329" s="23">
        <v>2</v>
      </c>
      <c r="L329" s="26">
        <v>37.82</v>
      </c>
      <c r="M329" s="29">
        <v>0.15</v>
      </c>
      <c r="N329" s="10" t="s">
        <v>66</v>
      </c>
      <c r="O329" s="10" t="str">
        <f>IF(TRIM(OrdersRawTable9[[#This Row],[Sales_Channel_Raw]])="Market place","Marketplace",TRIM(OrdersRawTable9[[#This Row],[Sales_Channel_Raw]]))</f>
        <v>Marketplace</v>
      </c>
      <c r="P329" s="10" t="s">
        <v>51</v>
      </c>
      <c r="Q329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329" s="15" t="s">
        <v>67</v>
      </c>
      <c r="S329" t="str">
        <f>VLOOKUP(OrdersRawTable9[[#This Row],[Customer_ID_Raw]],CustomersTable11[],4,FALSE)</f>
        <v>Quebec</v>
      </c>
      <c r="T329" t="str">
        <f>VLOOKUP(OrdersRawTable9[[#This Row],[Customer_ID_Raw]],CustomersTable11[],5,FALSE)</f>
        <v>Consumer</v>
      </c>
      <c r="U329" s="45">
        <f>VLOOKUP(OrdersRawTable9[[#This Row],[Product_ID]],ProductsTable10[],4,FALSE)</f>
        <v>24.76</v>
      </c>
      <c r="V329" t="str">
        <f>VLOOKUP(OrdersRawTable9[[#This Row],[Product_ID]],ProductsTable10[],3,FALSE)</f>
        <v>Electronics</v>
      </c>
      <c r="W329" s="45">
        <f>OrdersRawTable9[[#This Row],[Unit_Price]]*OrdersRawTable9[[#This Row],[Quantity]]</f>
        <v>75.64</v>
      </c>
      <c r="X329" s="47">
        <f>OrdersRawTable9[[#This Row],[Gross_Sales]]*OrdersRawTable9[[#This Row],[Discount_Pct]]</f>
        <v>11.346</v>
      </c>
      <c r="Y329" s="45">
        <f>OrdersRawTable9[[#This Row],[Gross_Sales]]-OrdersRawTable9[[#This Row],[Discount_Amount]]</f>
        <v>64.293999999999997</v>
      </c>
      <c r="Z329" s="45">
        <f>OrdersRawTable9[[#This Row],[Unit_Cost]]*OrdersRawTable9[[#This Row],[Quantity]]</f>
        <v>49.52</v>
      </c>
      <c r="AA329" s="45">
        <f>OrdersRawTable9[[#This Row],[Net_Sales]]-OrdersRawTable9[[#This Row],[Total_Cost]]</f>
        <v>14.773999999999994</v>
      </c>
      <c r="AB329" s="48">
        <f>IF(OrdersRawTable9[[#This Row],[Net_Sales]]=0,0,OrdersRawTable9[[#This Row],[Profit]]/OrdersRawTable9[[#This Row],[Net_Sales]])</f>
        <v>0.22978816063707336</v>
      </c>
      <c r="AC329" s="45" t="str">
        <f>IF(COUNTIF(ReturnsRawTable[Order_Line_ID],OrdersRawTable9[[#This Row],[Order_Line_ID]])&gt;0,"Yes","No")</f>
        <v>No</v>
      </c>
      <c r="AD329" s="45" t="str">
        <f>IFERROR(VLOOKUP(OrdersRawTable9[[#This Row],[Order_Line_ID]],ReturnsRawTable[[#All],[Order_Line_ID]:[Return_Reason_Raw]],3,FALSE),"")</f>
        <v/>
      </c>
      <c r="AE329" s="49" t="str">
        <f>IFERROR(VLOOKUP(OrdersRawTable9[[#This Row],[Order_Line_ID]],ReturnsRawTable[[#All],[Order_Line_ID]:[Return_Date]],2,FALSE),"")</f>
        <v/>
      </c>
      <c r="AF329" s="45" t="str">
        <f>IFERROR(VLOOKUP(OrdersRawTable9[[#This Row],[Order_Line_ID]],ReturnsRawTable[[Order_Line_ID]:[Refund_Status]],4,FALSE),"")</f>
        <v/>
      </c>
      <c r="AG329" s="45" t="str">
        <f>VLOOKUP(OrdersRawTable9[[#This Row],[Order_ID]],ShipmentsTable[],6,FALSE)</f>
        <v>On time</v>
      </c>
      <c r="AH329" s="49">
        <f>VLOOKUP(OrdersRawTable9[[#This Row],[Order_ID]],ShipmentsTable[],3,FALSE)</f>
        <v>45688</v>
      </c>
    </row>
    <row r="330" spans="1:34" ht="15" customHeight="1">
      <c r="A330" s="14" t="s">
        <v>764</v>
      </c>
      <c r="B330" s="10" t="s">
        <v>765</v>
      </c>
      <c r="C330" s="20">
        <v>45690</v>
      </c>
      <c r="D330" s="10" t="s">
        <v>697</v>
      </c>
      <c r="E330" s="10" t="s">
        <v>695</v>
      </c>
      <c r="F330" s="10" t="str">
        <f>TRIM(LEFT(OrdersRawTable9[[#This Row],[Customer_Info]],FIND(",",OrdersRawTable9[[#This Row],[Customer_Info]])-1))</f>
        <v>Adam Brown</v>
      </c>
      <c r="G33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330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330" s="10">
        <f>LEN(OrdersRawTable9[[#This Row],[Customer_Info]])-LEN(SUBSTITUTE(OrdersRawTable9[[#This Row],[Customer_Info]],",",""))</f>
        <v>2</v>
      </c>
      <c r="J330" s="10" t="s">
        <v>77</v>
      </c>
      <c r="K330" s="23">
        <v>3</v>
      </c>
      <c r="L330" s="26">
        <v>34.909999999999997</v>
      </c>
      <c r="M330" s="29">
        <v>0.15</v>
      </c>
      <c r="N330" s="10" t="s">
        <v>45</v>
      </c>
      <c r="O330" s="10" t="str">
        <f>IF(TRIM(OrdersRawTable9[[#This Row],[Sales_Channel_Raw]])="Market place","Marketplace",TRIM(OrdersRawTable9[[#This Row],[Sales_Channel_Raw]]))</f>
        <v>Retail Store</v>
      </c>
      <c r="P330" s="10" t="s">
        <v>41</v>
      </c>
      <c r="Q330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30" s="15" t="s">
        <v>47</v>
      </c>
      <c r="S330" t="str">
        <f>VLOOKUP(OrdersRawTable9[[#This Row],[Customer_ID_Raw]],CustomersTable11[],4,FALSE)</f>
        <v>Quebec</v>
      </c>
      <c r="T330" t="str">
        <f>VLOOKUP(OrdersRawTable9[[#This Row],[Customer_ID_Raw]],CustomersTable11[],5,FALSE)</f>
        <v>Small Business</v>
      </c>
      <c r="U330" s="45">
        <f>VLOOKUP(OrdersRawTable9[[#This Row],[Product_ID]],ProductsTable10[],4,FALSE)</f>
        <v>19.670000000000002</v>
      </c>
      <c r="V330" t="str">
        <f>VLOOKUP(OrdersRawTable9[[#This Row],[Product_ID]],ProductsTable10[],3,FALSE)</f>
        <v>Accessories</v>
      </c>
      <c r="W330" s="45">
        <f>OrdersRawTable9[[#This Row],[Unit_Price]]*OrdersRawTable9[[#This Row],[Quantity]]</f>
        <v>104.72999999999999</v>
      </c>
      <c r="X330" s="47">
        <f>OrdersRawTable9[[#This Row],[Gross_Sales]]*OrdersRawTable9[[#This Row],[Discount_Pct]]</f>
        <v>15.709499999999998</v>
      </c>
      <c r="Y330" s="45">
        <f>OrdersRawTable9[[#This Row],[Gross_Sales]]-OrdersRawTable9[[#This Row],[Discount_Amount]]</f>
        <v>89.020499999999998</v>
      </c>
      <c r="Z330" s="45">
        <f>OrdersRawTable9[[#This Row],[Unit_Cost]]*OrdersRawTable9[[#This Row],[Quantity]]</f>
        <v>59.010000000000005</v>
      </c>
      <c r="AA330" s="45">
        <f>OrdersRawTable9[[#This Row],[Net_Sales]]-OrdersRawTable9[[#This Row],[Total_Cost]]</f>
        <v>30.010499999999993</v>
      </c>
      <c r="AB330" s="48">
        <f>IF(OrdersRawTable9[[#This Row],[Net_Sales]]=0,0,OrdersRawTable9[[#This Row],[Profit]]/OrdersRawTable9[[#This Row],[Net_Sales]])</f>
        <v>0.3371189782128835</v>
      </c>
      <c r="AC330" s="45" t="str">
        <f>IF(COUNTIF(ReturnsRawTable[Order_Line_ID],OrdersRawTable9[[#This Row],[Order_Line_ID]])&gt;0,"Yes","No")</f>
        <v>No</v>
      </c>
      <c r="AD330" s="45" t="str">
        <f>IFERROR(VLOOKUP(OrdersRawTable9[[#This Row],[Order_Line_ID]],ReturnsRawTable[[#All],[Order_Line_ID]:[Return_Reason_Raw]],3,FALSE),"")</f>
        <v/>
      </c>
      <c r="AE330" s="49" t="str">
        <f>IFERROR(VLOOKUP(OrdersRawTable9[[#This Row],[Order_Line_ID]],ReturnsRawTable[[#All],[Order_Line_ID]:[Return_Date]],2,FALSE),"")</f>
        <v/>
      </c>
      <c r="AF330" s="45" t="str">
        <f>IFERROR(VLOOKUP(OrdersRawTable9[[#This Row],[Order_Line_ID]],ReturnsRawTable[[Order_Line_ID]:[Refund_Status]],4,FALSE),"")</f>
        <v/>
      </c>
      <c r="AG330" s="45" t="str">
        <f>VLOOKUP(OrdersRawTable9[[#This Row],[Order_ID]],ShipmentsTable[],6,FALSE)</f>
        <v>On time</v>
      </c>
      <c r="AH330" s="49">
        <f>VLOOKUP(OrdersRawTable9[[#This Row],[Order_ID]],ShipmentsTable[],3,FALSE)</f>
        <v>45692</v>
      </c>
    </row>
    <row r="331" spans="1:34" ht="15" customHeight="1">
      <c r="A331" s="14" t="s">
        <v>766</v>
      </c>
      <c r="B331" s="10" t="s">
        <v>765</v>
      </c>
      <c r="C331" s="20">
        <v>45690</v>
      </c>
      <c r="D331" s="10" t="s">
        <v>697</v>
      </c>
      <c r="E331" s="10" t="s">
        <v>695</v>
      </c>
      <c r="F331" s="10" t="str">
        <f>TRIM(LEFT(OrdersRawTable9[[#This Row],[Customer_Info]],FIND(",",OrdersRawTable9[[#This Row],[Customer_Info]])-1))</f>
        <v>Adam Brown</v>
      </c>
      <c r="G33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331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331" s="10">
        <f>LEN(OrdersRawTable9[[#This Row],[Customer_Info]])-LEN(SUBSTITUTE(OrdersRawTable9[[#This Row],[Customer_Info]],",",""))</f>
        <v>2</v>
      </c>
      <c r="J331" s="10" t="s">
        <v>150</v>
      </c>
      <c r="K331" s="23">
        <v>2</v>
      </c>
      <c r="L331" s="26">
        <v>263.04000000000002</v>
      </c>
      <c r="M331" s="29">
        <v>0</v>
      </c>
      <c r="N331" s="10" t="s">
        <v>50</v>
      </c>
      <c r="O331" s="10" t="str">
        <f>IF(TRIM(OrdersRawTable9[[#This Row],[Sales_Channel_Raw]])="Market place","Marketplace",TRIM(OrdersRawTable9[[#This Row],[Sales_Channel_Raw]]))</f>
        <v>Marketplace</v>
      </c>
      <c r="P331" s="10" t="s">
        <v>51</v>
      </c>
      <c r="Q331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331" s="15" t="s">
        <v>42</v>
      </c>
      <c r="S331" t="str">
        <f>VLOOKUP(OrdersRawTable9[[#This Row],[Customer_ID_Raw]],CustomersTable11[],4,FALSE)</f>
        <v>Quebec</v>
      </c>
      <c r="T331" t="str">
        <f>VLOOKUP(OrdersRawTable9[[#This Row],[Customer_ID_Raw]],CustomersTable11[],5,FALSE)</f>
        <v>Small Business</v>
      </c>
      <c r="U331" s="45">
        <f>VLOOKUP(OrdersRawTable9[[#This Row],[Product_ID]],ProductsTable10[],4,FALSE)</f>
        <v>161.84</v>
      </c>
      <c r="V331" t="str">
        <f>VLOOKUP(OrdersRawTable9[[#This Row],[Product_ID]],ProductsTable10[],3,FALSE)</f>
        <v>Office</v>
      </c>
      <c r="W331" s="45">
        <f>OrdersRawTable9[[#This Row],[Unit_Price]]*OrdersRawTable9[[#This Row],[Quantity]]</f>
        <v>526.08000000000004</v>
      </c>
      <c r="X331" s="47">
        <f>OrdersRawTable9[[#This Row],[Gross_Sales]]*OrdersRawTable9[[#This Row],[Discount_Pct]]</f>
        <v>0</v>
      </c>
      <c r="Y331" s="45">
        <f>OrdersRawTable9[[#This Row],[Gross_Sales]]-OrdersRawTable9[[#This Row],[Discount_Amount]]</f>
        <v>526.08000000000004</v>
      </c>
      <c r="Z331" s="45">
        <f>OrdersRawTable9[[#This Row],[Unit_Cost]]*OrdersRawTable9[[#This Row],[Quantity]]</f>
        <v>323.68</v>
      </c>
      <c r="AA331" s="45">
        <f>OrdersRawTable9[[#This Row],[Net_Sales]]-OrdersRawTable9[[#This Row],[Total_Cost]]</f>
        <v>202.40000000000003</v>
      </c>
      <c r="AB331" s="48">
        <f>IF(OrdersRawTable9[[#This Row],[Net_Sales]]=0,0,OrdersRawTable9[[#This Row],[Profit]]/OrdersRawTable9[[#This Row],[Net_Sales]])</f>
        <v>0.38473236009732364</v>
      </c>
      <c r="AC331" s="45" t="str">
        <f>IF(COUNTIF(ReturnsRawTable[Order_Line_ID],OrdersRawTable9[[#This Row],[Order_Line_ID]])&gt;0,"Yes","No")</f>
        <v>No</v>
      </c>
      <c r="AD331" s="45" t="str">
        <f>IFERROR(VLOOKUP(OrdersRawTable9[[#This Row],[Order_Line_ID]],ReturnsRawTable[[#All],[Order_Line_ID]:[Return_Reason_Raw]],3,FALSE),"")</f>
        <v/>
      </c>
      <c r="AE331" s="49" t="str">
        <f>IFERROR(VLOOKUP(OrdersRawTable9[[#This Row],[Order_Line_ID]],ReturnsRawTable[[#All],[Order_Line_ID]:[Return_Date]],2,FALSE),"")</f>
        <v/>
      </c>
      <c r="AF331" s="45" t="str">
        <f>IFERROR(VLOOKUP(OrdersRawTable9[[#This Row],[Order_Line_ID]],ReturnsRawTable[[Order_Line_ID]:[Refund_Status]],4,FALSE),"")</f>
        <v/>
      </c>
      <c r="AG331" s="45" t="str">
        <f>VLOOKUP(OrdersRawTable9[[#This Row],[Order_ID]],ShipmentsTable[],6,FALSE)</f>
        <v>On time</v>
      </c>
      <c r="AH331" s="49">
        <f>VLOOKUP(OrdersRawTable9[[#This Row],[Order_ID]],ShipmentsTable[],3,FALSE)</f>
        <v>45692</v>
      </c>
    </row>
    <row r="332" spans="1:34" ht="15" customHeight="1">
      <c r="A332" s="14" t="s">
        <v>767</v>
      </c>
      <c r="B332" s="10" t="s">
        <v>768</v>
      </c>
      <c r="C332" s="20">
        <v>45849</v>
      </c>
      <c r="D332" s="10" t="s">
        <v>548</v>
      </c>
      <c r="E332" s="10" t="s">
        <v>549</v>
      </c>
      <c r="F332" s="10" t="str">
        <f>TRIM(LEFT(OrdersRawTable9[[#This Row],[Customer_Info]],FIND(",",OrdersRawTable9[[#This Row],[Customer_Info]])-1))</f>
        <v>Ethan Johnson</v>
      </c>
      <c r="G33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Regina</v>
      </c>
      <c r="H332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332" s="10">
        <f>LEN(OrdersRawTable9[[#This Row],[Customer_Info]])-LEN(SUBSTITUTE(OrdersRawTable9[[#This Row],[Customer_Info]],",",""))</f>
        <v>2</v>
      </c>
      <c r="J332" s="10" t="s">
        <v>521</v>
      </c>
      <c r="K332" s="23">
        <v>4</v>
      </c>
      <c r="L332" s="26">
        <v>37.82</v>
      </c>
      <c r="M332" s="29">
        <v>0</v>
      </c>
      <c r="N332" s="10" t="s">
        <v>64</v>
      </c>
      <c r="O332" s="10" t="str">
        <f>IF(TRIM(OrdersRawTable9[[#This Row],[Sales_Channel_Raw]])="Market place","Marketplace",TRIM(OrdersRawTable9[[#This Row],[Sales_Channel_Raw]]))</f>
        <v>Retail Store</v>
      </c>
      <c r="P332" s="10" t="s">
        <v>58</v>
      </c>
      <c r="Q332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332" s="15" t="s">
        <v>52</v>
      </c>
      <c r="S332" t="str">
        <f>VLOOKUP(OrdersRawTable9[[#This Row],[Customer_ID_Raw]],CustomersTable11[],4,FALSE)</f>
        <v>Saskatchewan</v>
      </c>
      <c r="T332" t="str">
        <f>VLOOKUP(OrdersRawTable9[[#This Row],[Customer_ID_Raw]],CustomersTable11[],5,FALSE)</f>
        <v>Corporate</v>
      </c>
      <c r="U332" s="45">
        <f>VLOOKUP(OrdersRawTable9[[#This Row],[Product_ID]],ProductsTable10[],4,FALSE)</f>
        <v>24.76</v>
      </c>
      <c r="V332" t="str">
        <f>VLOOKUP(OrdersRawTable9[[#This Row],[Product_ID]],ProductsTable10[],3,FALSE)</f>
        <v>Electronics</v>
      </c>
      <c r="W332" s="45">
        <f>OrdersRawTable9[[#This Row],[Unit_Price]]*OrdersRawTable9[[#This Row],[Quantity]]</f>
        <v>151.28</v>
      </c>
      <c r="X332" s="47">
        <f>OrdersRawTable9[[#This Row],[Gross_Sales]]*OrdersRawTable9[[#This Row],[Discount_Pct]]</f>
        <v>0</v>
      </c>
      <c r="Y332" s="45">
        <f>OrdersRawTable9[[#This Row],[Gross_Sales]]-OrdersRawTable9[[#This Row],[Discount_Amount]]</f>
        <v>151.28</v>
      </c>
      <c r="Z332" s="45">
        <f>OrdersRawTable9[[#This Row],[Unit_Cost]]*OrdersRawTable9[[#This Row],[Quantity]]</f>
        <v>99.04</v>
      </c>
      <c r="AA332" s="45">
        <f>OrdersRawTable9[[#This Row],[Net_Sales]]-OrdersRawTable9[[#This Row],[Total_Cost]]</f>
        <v>52.239999999999995</v>
      </c>
      <c r="AB332" s="48">
        <f>IF(OrdersRawTable9[[#This Row],[Net_Sales]]=0,0,OrdersRawTable9[[#This Row],[Profit]]/OrdersRawTable9[[#This Row],[Net_Sales]])</f>
        <v>0.34531993654151238</v>
      </c>
      <c r="AC332" s="45" t="str">
        <f>IF(COUNTIF(ReturnsRawTable[Order_Line_ID],OrdersRawTable9[[#This Row],[Order_Line_ID]])&gt;0,"Yes","No")</f>
        <v>No</v>
      </c>
      <c r="AD332" s="45" t="str">
        <f>IFERROR(VLOOKUP(OrdersRawTable9[[#This Row],[Order_Line_ID]],ReturnsRawTable[[#All],[Order_Line_ID]:[Return_Reason_Raw]],3,FALSE),"")</f>
        <v/>
      </c>
      <c r="AE332" s="49" t="str">
        <f>IFERROR(VLOOKUP(OrdersRawTable9[[#This Row],[Order_Line_ID]],ReturnsRawTable[[#All],[Order_Line_ID]:[Return_Date]],2,FALSE),"")</f>
        <v/>
      </c>
      <c r="AF332" s="45" t="str">
        <f>IFERROR(VLOOKUP(OrdersRawTable9[[#This Row],[Order_Line_ID]],ReturnsRawTable[[Order_Line_ID]:[Refund_Status]],4,FALSE),"")</f>
        <v/>
      </c>
      <c r="AG332" s="45" t="str">
        <f>VLOOKUP(OrdersRawTable9[[#This Row],[Order_ID]],ShipmentsTable[],6,FALSE)</f>
        <v>On time</v>
      </c>
      <c r="AH332" s="49">
        <f>VLOOKUP(OrdersRawTable9[[#This Row],[Order_ID]],ShipmentsTable[],3,FALSE)</f>
        <v>45851</v>
      </c>
    </row>
    <row r="333" spans="1:34" ht="15" customHeight="1">
      <c r="A333" s="14" t="s">
        <v>769</v>
      </c>
      <c r="B333" s="10" t="s">
        <v>768</v>
      </c>
      <c r="C333" s="20">
        <v>45849</v>
      </c>
      <c r="D333" s="10" t="s">
        <v>548</v>
      </c>
      <c r="E333" s="10" t="s">
        <v>549</v>
      </c>
      <c r="F333" s="10" t="str">
        <f>TRIM(LEFT(OrdersRawTable9[[#This Row],[Customer_Info]],FIND(",",OrdersRawTable9[[#This Row],[Customer_Info]])-1))</f>
        <v>Ethan Johnson</v>
      </c>
      <c r="G33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Regina</v>
      </c>
      <c r="H333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333" s="10">
        <f>LEN(OrdersRawTable9[[#This Row],[Customer_Info]])-LEN(SUBSTITUTE(OrdersRawTable9[[#This Row],[Customer_Info]],",",""))</f>
        <v>2</v>
      </c>
      <c r="J333" s="10" t="s">
        <v>108</v>
      </c>
      <c r="K333" s="23">
        <v>2</v>
      </c>
      <c r="L333" s="26">
        <v>33.369999999999997</v>
      </c>
      <c r="M333" s="29">
        <v>0.1</v>
      </c>
      <c r="N333" s="10" t="s">
        <v>45</v>
      </c>
      <c r="O333" s="10" t="str">
        <f>IF(TRIM(OrdersRawTable9[[#This Row],[Sales_Channel_Raw]])="Market place","Marketplace",TRIM(OrdersRawTable9[[#This Row],[Sales_Channel_Raw]]))</f>
        <v>Retail Store</v>
      </c>
      <c r="P333" s="10" t="s">
        <v>46</v>
      </c>
      <c r="Q333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33" s="15" t="s">
        <v>47</v>
      </c>
      <c r="S333" t="str">
        <f>VLOOKUP(OrdersRawTable9[[#This Row],[Customer_ID_Raw]],CustomersTable11[],4,FALSE)</f>
        <v>Saskatchewan</v>
      </c>
      <c r="T333" t="str">
        <f>VLOOKUP(OrdersRawTable9[[#This Row],[Customer_ID_Raw]],CustomersTable11[],5,FALSE)</f>
        <v>Corporate</v>
      </c>
      <c r="U333" s="45">
        <f>VLOOKUP(OrdersRawTable9[[#This Row],[Product_ID]],ProductsTable10[],4,FALSE)</f>
        <v>18.670000000000002</v>
      </c>
      <c r="V333" t="str">
        <f>VLOOKUP(OrdersRawTable9[[#This Row],[Product_ID]],ProductsTable10[],3,FALSE)</f>
        <v>Fitness</v>
      </c>
      <c r="W333" s="45">
        <f>OrdersRawTable9[[#This Row],[Unit_Price]]*OrdersRawTable9[[#This Row],[Quantity]]</f>
        <v>66.739999999999995</v>
      </c>
      <c r="X333" s="47">
        <f>OrdersRawTable9[[#This Row],[Gross_Sales]]*OrdersRawTable9[[#This Row],[Discount_Pct]]</f>
        <v>6.6739999999999995</v>
      </c>
      <c r="Y333" s="45">
        <f>OrdersRawTable9[[#This Row],[Gross_Sales]]-OrdersRawTable9[[#This Row],[Discount_Amount]]</f>
        <v>60.065999999999995</v>
      </c>
      <c r="Z333" s="45">
        <f>OrdersRawTable9[[#This Row],[Unit_Cost]]*OrdersRawTable9[[#This Row],[Quantity]]</f>
        <v>37.340000000000003</v>
      </c>
      <c r="AA333" s="45">
        <f>OrdersRawTable9[[#This Row],[Net_Sales]]-OrdersRawTable9[[#This Row],[Total_Cost]]</f>
        <v>22.725999999999992</v>
      </c>
      <c r="AB333" s="48">
        <f>IF(OrdersRawTable9[[#This Row],[Net_Sales]]=0,0,OrdersRawTable9[[#This Row],[Profit]]/OrdersRawTable9[[#This Row],[Net_Sales]])</f>
        <v>0.37835048113741543</v>
      </c>
      <c r="AC333" s="45" t="str">
        <f>IF(COUNTIF(ReturnsRawTable[Order_Line_ID],OrdersRawTable9[[#This Row],[Order_Line_ID]])&gt;0,"Yes","No")</f>
        <v>No</v>
      </c>
      <c r="AD333" s="45" t="str">
        <f>IFERROR(VLOOKUP(OrdersRawTable9[[#This Row],[Order_Line_ID]],ReturnsRawTable[[#All],[Order_Line_ID]:[Return_Reason_Raw]],3,FALSE),"")</f>
        <v/>
      </c>
      <c r="AE333" s="49" t="str">
        <f>IFERROR(VLOOKUP(OrdersRawTable9[[#This Row],[Order_Line_ID]],ReturnsRawTable[[#All],[Order_Line_ID]:[Return_Date]],2,FALSE),"")</f>
        <v/>
      </c>
      <c r="AF333" s="45" t="str">
        <f>IFERROR(VLOOKUP(OrdersRawTable9[[#This Row],[Order_Line_ID]],ReturnsRawTable[[Order_Line_ID]:[Refund_Status]],4,FALSE),"")</f>
        <v/>
      </c>
      <c r="AG333" s="45" t="str">
        <f>VLOOKUP(OrdersRawTable9[[#This Row],[Order_ID]],ShipmentsTable[],6,FALSE)</f>
        <v>On time</v>
      </c>
      <c r="AH333" s="49">
        <f>VLOOKUP(OrdersRawTable9[[#This Row],[Order_ID]],ShipmentsTable[],3,FALSE)</f>
        <v>45851</v>
      </c>
    </row>
    <row r="334" spans="1:34" ht="15" customHeight="1">
      <c r="A334" s="14" t="s">
        <v>770</v>
      </c>
      <c r="B334" s="10" t="s">
        <v>768</v>
      </c>
      <c r="C334" s="20">
        <v>45849</v>
      </c>
      <c r="D334" s="10" t="s">
        <v>548</v>
      </c>
      <c r="E334" s="10" t="s">
        <v>549</v>
      </c>
      <c r="F334" s="10" t="str">
        <f>TRIM(LEFT(OrdersRawTable9[[#This Row],[Customer_Info]],FIND(",",OrdersRawTable9[[#This Row],[Customer_Info]])-1))</f>
        <v>Ethan Johnson</v>
      </c>
      <c r="G33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Regina</v>
      </c>
      <c r="H334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334" s="10">
        <f>LEN(OrdersRawTable9[[#This Row],[Customer_Info]])-LEN(SUBSTITUTE(OrdersRawTable9[[#This Row],[Customer_Info]],",",""))</f>
        <v>2</v>
      </c>
      <c r="J334" s="10" t="s">
        <v>495</v>
      </c>
      <c r="K334" s="23">
        <v>3</v>
      </c>
      <c r="L334" s="26">
        <v>207.71</v>
      </c>
      <c r="M334" s="29">
        <v>0.15</v>
      </c>
      <c r="N334" s="10" t="s">
        <v>45</v>
      </c>
      <c r="O334" s="10" t="str">
        <f>IF(TRIM(OrdersRawTable9[[#This Row],[Sales_Channel_Raw]])="Market place","Marketplace",TRIM(OrdersRawTable9[[#This Row],[Sales_Channel_Raw]]))</f>
        <v>Retail Store</v>
      </c>
      <c r="P334" s="10" t="s">
        <v>58</v>
      </c>
      <c r="Q334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334" s="15" t="s">
        <v>52</v>
      </c>
      <c r="S334" t="str">
        <f>VLOOKUP(OrdersRawTable9[[#This Row],[Customer_ID_Raw]],CustomersTable11[],4,FALSE)</f>
        <v>Saskatchewan</v>
      </c>
      <c r="T334" t="str">
        <f>VLOOKUP(OrdersRawTable9[[#This Row],[Customer_ID_Raw]],CustomersTable11[],5,FALSE)</f>
        <v>Corporate</v>
      </c>
      <c r="U334" s="45">
        <f>VLOOKUP(OrdersRawTable9[[#This Row],[Product_ID]],ProductsTable10[],4,FALSE)</f>
        <v>132.97</v>
      </c>
      <c r="V334" t="str">
        <f>VLOOKUP(OrdersRawTable9[[#This Row],[Product_ID]],ProductsTable10[],3,FALSE)</f>
        <v>Home</v>
      </c>
      <c r="W334" s="45">
        <f>OrdersRawTable9[[#This Row],[Unit_Price]]*OrdersRawTable9[[#This Row],[Quantity]]</f>
        <v>623.13</v>
      </c>
      <c r="X334" s="47">
        <f>OrdersRawTable9[[#This Row],[Gross_Sales]]*OrdersRawTable9[[#This Row],[Discount_Pct]]</f>
        <v>93.469499999999996</v>
      </c>
      <c r="Y334" s="45">
        <f>OrdersRawTable9[[#This Row],[Gross_Sales]]-OrdersRawTable9[[#This Row],[Discount_Amount]]</f>
        <v>529.66049999999996</v>
      </c>
      <c r="Z334" s="45">
        <f>OrdersRawTable9[[#This Row],[Unit_Cost]]*OrdersRawTable9[[#This Row],[Quantity]]</f>
        <v>398.90999999999997</v>
      </c>
      <c r="AA334" s="45">
        <f>OrdersRawTable9[[#This Row],[Net_Sales]]-OrdersRawTable9[[#This Row],[Total_Cost]]</f>
        <v>130.75049999999999</v>
      </c>
      <c r="AB334" s="48">
        <f>IF(OrdersRawTable9[[#This Row],[Net_Sales]]=0,0,OrdersRawTable9[[#This Row],[Profit]]/OrdersRawTable9[[#This Row],[Net_Sales]])</f>
        <v>0.24685718493261249</v>
      </c>
      <c r="AC334" s="45" t="str">
        <f>IF(COUNTIF(ReturnsRawTable[Order_Line_ID],OrdersRawTable9[[#This Row],[Order_Line_ID]])&gt;0,"Yes","No")</f>
        <v>No</v>
      </c>
      <c r="AD334" s="45" t="str">
        <f>IFERROR(VLOOKUP(OrdersRawTable9[[#This Row],[Order_Line_ID]],ReturnsRawTable[[#All],[Order_Line_ID]:[Return_Reason_Raw]],3,FALSE),"")</f>
        <v/>
      </c>
      <c r="AE334" s="49" t="str">
        <f>IFERROR(VLOOKUP(OrdersRawTable9[[#This Row],[Order_Line_ID]],ReturnsRawTable[[#All],[Order_Line_ID]:[Return_Date]],2,FALSE),"")</f>
        <v/>
      </c>
      <c r="AF334" s="45" t="str">
        <f>IFERROR(VLOOKUP(OrdersRawTable9[[#This Row],[Order_Line_ID]],ReturnsRawTable[[Order_Line_ID]:[Refund_Status]],4,FALSE),"")</f>
        <v/>
      </c>
      <c r="AG334" s="45" t="str">
        <f>VLOOKUP(OrdersRawTable9[[#This Row],[Order_ID]],ShipmentsTable[],6,FALSE)</f>
        <v>On time</v>
      </c>
      <c r="AH334" s="49">
        <f>VLOOKUP(OrdersRawTable9[[#This Row],[Order_ID]],ShipmentsTable[],3,FALSE)</f>
        <v>45851</v>
      </c>
    </row>
    <row r="335" spans="1:34" ht="15" customHeight="1">
      <c r="A335" s="14" t="s">
        <v>771</v>
      </c>
      <c r="B335" s="10" t="s">
        <v>768</v>
      </c>
      <c r="C335" s="20">
        <v>45849</v>
      </c>
      <c r="D335" s="10" t="s">
        <v>548</v>
      </c>
      <c r="E335" s="10" t="s">
        <v>549</v>
      </c>
      <c r="F335" s="10" t="str">
        <f>TRIM(LEFT(OrdersRawTable9[[#This Row],[Customer_Info]],FIND(",",OrdersRawTable9[[#This Row],[Customer_Info]])-1))</f>
        <v>Ethan Johnson</v>
      </c>
      <c r="G33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Regina</v>
      </c>
      <c r="H335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335" s="10">
        <f>LEN(OrdersRawTable9[[#This Row],[Customer_Info]])-LEN(SUBSTITUTE(OrdersRawTable9[[#This Row],[Customer_Info]],",",""))</f>
        <v>2</v>
      </c>
      <c r="J335" s="10" t="s">
        <v>108</v>
      </c>
      <c r="K335" s="23">
        <v>2</v>
      </c>
      <c r="L335" s="26">
        <v>33.369999999999997</v>
      </c>
      <c r="M335" s="29">
        <v>0.1</v>
      </c>
      <c r="N335" s="10" t="s">
        <v>66</v>
      </c>
      <c r="O335" s="10" t="str">
        <f>IF(TRIM(OrdersRawTable9[[#This Row],[Sales_Channel_Raw]])="Market place","Marketplace",TRIM(OrdersRawTable9[[#This Row],[Sales_Channel_Raw]]))</f>
        <v>Marketplace</v>
      </c>
      <c r="P335" s="10" t="s">
        <v>41</v>
      </c>
      <c r="Q335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35" s="15" t="s">
        <v>52</v>
      </c>
      <c r="S335" t="str">
        <f>VLOOKUP(OrdersRawTable9[[#This Row],[Customer_ID_Raw]],CustomersTable11[],4,FALSE)</f>
        <v>Saskatchewan</v>
      </c>
      <c r="T335" t="str">
        <f>VLOOKUP(OrdersRawTable9[[#This Row],[Customer_ID_Raw]],CustomersTable11[],5,FALSE)</f>
        <v>Corporate</v>
      </c>
      <c r="U335" s="45">
        <f>VLOOKUP(OrdersRawTable9[[#This Row],[Product_ID]],ProductsTable10[],4,FALSE)</f>
        <v>18.670000000000002</v>
      </c>
      <c r="V335" t="str">
        <f>VLOOKUP(OrdersRawTable9[[#This Row],[Product_ID]],ProductsTable10[],3,FALSE)</f>
        <v>Fitness</v>
      </c>
      <c r="W335" s="45">
        <f>OrdersRawTable9[[#This Row],[Unit_Price]]*OrdersRawTable9[[#This Row],[Quantity]]</f>
        <v>66.739999999999995</v>
      </c>
      <c r="X335" s="47">
        <f>OrdersRawTable9[[#This Row],[Gross_Sales]]*OrdersRawTable9[[#This Row],[Discount_Pct]]</f>
        <v>6.6739999999999995</v>
      </c>
      <c r="Y335" s="45">
        <f>OrdersRawTable9[[#This Row],[Gross_Sales]]-OrdersRawTable9[[#This Row],[Discount_Amount]]</f>
        <v>60.065999999999995</v>
      </c>
      <c r="Z335" s="45">
        <f>OrdersRawTable9[[#This Row],[Unit_Cost]]*OrdersRawTable9[[#This Row],[Quantity]]</f>
        <v>37.340000000000003</v>
      </c>
      <c r="AA335" s="45">
        <f>OrdersRawTable9[[#This Row],[Net_Sales]]-OrdersRawTable9[[#This Row],[Total_Cost]]</f>
        <v>22.725999999999992</v>
      </c>
      <c r="AB335" s="48">
        <f>IF(OrdersRawTable9[[#This Row],[Net_Sales]]=0,0,OrdersRawTable9[[#This Row],[Profit]]/OrdersRawTable9[[#This Row],[Net_Sales]])</f>
        <v>0.37835048113741543</v>
      </c>
      <c r="AC335" s="45" t="str">
        <f>IF(COUNTIF(ReturnsRawTable[Order_Line_ID],OrdersRawTable9[[#This Row],[Order_Line_ID]])&gt;0,"Yes","No")</f>
        <v>No</v>
      </c>
      <c r="AD335" s="45" t="str">
        <f>IFERROR(VLOOKUP(OrdersRawTable9[[#This Row],[Order_Line_ID]],ReturnsRawTable[[#All],[Order_Line_ID]:[Return_Reason_Raw]],3,FALSE),"")</f>
        <v/>
      </c>
      <c r="AE335" s="49" t="str">
        <f>IFERROR(VLOOKUP(OrdersRawTable9[[#This Row],[Order_Line_ID]],ReturnsRawTable[[#All],[Order_Line_ID]:[Return_Date]],2,FALSE),"")</f>
        <v/>
      </c>
      <c r="AF335" s="45" t="str">
        <f>IFERROR(VLOOKUP(OrdersRawTable9[[#This Row],[Order_Line_ID]],ReturnsRawTable[[Order_Line_ID]:[Refund_Status]],4,FALSE),"")</f>
        <v/>
      </c>
      <c r="AG335" s="45" t="str">
        <f>VLOOKUP(OrdersRawTable9[[#This Row],[Order_ID]],ShipmentsTable[],6,FALSE)</f>
        <v>On time</v>
      </c>
      <c r="AH335" s="49">
        <f>VLOOKUP(OrdersRawTable9[[#This Row],[Order_ID]],ShipmentsTable[],3,FALSE)</f>
        <v>45851</v>
      </c>
    </row>
    <row r="336" spans="1:34" ht="15" customHeight="1">
      <c r="A336" s="14" t="s">
        <v>772</v>
      </c>
      <c r="B336" s="10" t="s">
        <v>773</v>
      </c>
      <c r="C336" s="20">
        <v>45887</v>
      </c>
      <c r="D336" s="10" t="s">
        <v>733</v>
      </c>
      <c r="E336" s="10" t="s">
        <v>734</v>
      </c>
      <c r="F336" s="10" t="str">
        <f>TRIM(LEFT(OrdersRawTable9[[#This Row],[Customer_Info]],FIND(",",OrdersRawTable9[[#This Row],[Customer_Info]])-1))</f>
        <v>Amina Khan</v>
      </c>
      <c r="G33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336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336" s="10">
        <f>LEN(OrdersRawTable9[[#This Row],[Customer_Info]])-LEN(SUBSTITUTE(OrdersRawTable9[[#This Row],[Customer_Info]],",",""))</f>
        <v>2</v>
      </c>
      <c r="J336" s="10" t="s">
        <v>106</v>
      </c>
      <c r="K336" s="23">
        <v>1</v>
      </c>
      <c r="L336" s="26">
        <v>195.38</v>
      </c>
      <c r="M336" s="29">
        <v>0</v>
      </c>
      <c r="N336" s="10" t="s">
        <v>64</v>
      </c>
      <c r="O336" s="10" t="str">
        <f>IF(TRIM(OrdersRawTable9[[#This Row],[Sales_Channel_Raw]])="Market place","Marketplace",TRIM(OrdersRawTable9[[#This Row],[Sales_Channel_Raw]]))</f>
        <v>Retail Store</v>
      </c>
      <c r="P336" s="10" t="s">
        <v>58</v>
      </c>
      <c r="Q336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336" s="15" t="s">
        <v>52</v>
      </c>
      <c r="S336" t="str">
        <f>VLOOKUP(OrdersRawTable9[[#This Row],[Customer_ID_Raw]],CustomersTable11[],4,FALSE)</f>
        <v>Quebec</v>
      </c>
      <c r="T336" t="str">
        <f>VLOOKUP(OrdersRawTable9[[#This Row],[Customer_ID_Raw]],CustomersTable11[],5,FALSE)</f>
        <v>Corporate</v>
      </c>
      <c r="U336" s="45">
        <f>VLOOKUP(OrdersRawTable9[[#This Row],[Product_ID]],ProductsTable10[],4,FALSE)</f>
        <v>114.29</v>
      </c>
      <c r="V336" t="str">
        <f>VLOOKUP(OrdersRawTable9[[#This Row],[Product_ID]],ProductsTable10[],3,FALSE)</f>
        <v>Electronics</v>
      </c>
      <c r="W336" s="45">
        <f>OrdersRawTable9[[#This Row],[Unit_Price]]*OrdersRawTable9[[#This Row],[Quantity]]</f>
        <v>195.38</v>
      </c>
      <c r="X336" s="47">
        <f>OrdersRawTable9[[#This Row],[Gross_Sales]]*OrdersRawTable9[[#This Row],[Discount_Pct]]</f>
        <v>0</v>
      </c>
      <c r="Y336" s="45">
        <f>OrdersRawTable9[[#This Row],[Gross_Sales]]-OrdersRawTable9[[#This Row],[Discount_Amount]]</f>
        <v>195.38</v>
      </c>
      <c r="Z336" s="45">
        <f>OrdersRawTable9[[#This Row],[Unit_Cost]]*OrdersRawTable9[[#This Row],[Quantity]]</f>
        <v>114.29</v>
      </c>
      <c r="AA336" s="45">
        <f>OrdersRawTable9[[#This Row],[Net_Sales]]-OrdersRawTable9[[#This Row],[Total_Cost]]</f>
        <v>81.089999999999989</v>
      </c>
      <c r="AB336" s="48">
        <f>IF(OrdersRawTable9[[#This Row],[Net_Sales]]=0,0,OrdersRawTable9[[#This Row],[Profit]]/OrdersRawTable9[[#This Row],[Net_Sales]])</f>
        <v>0.41503736308731698</v>
      </c>
      <c r="AC336" s="45" t="str">
        <f>IF(COUNTIF(ReturnsRawTable[Order_Line_ID],OrdersRawTable9[[#This Row],[Order_Line_ID]])&gt;0,"Yes","No")</f>
        <v>No</v>
      </c>
      <c r="AD336" s="45" t="str">
        <f>IFERROR(VLOOKUP(OrdersRawTable9[[#This Row],[Order_Line_ID]],ReturnsRawTable[[#All],[Order_Line_ID]:[Return_Reason_Raw]],3,FALSE),"")</f>
        <v/>
      </c>
      <c r="AE336" s="49" t="str">
        <f>IFERROR(VLOOKUP(OrdersRawTable9[[#This Row],[Order_Line_ID]],ReturnsRawTable[[#All],[Order_Line_ID]:[Return_Date]],2,FALSE),"")</f>
        <v/>
      </c>
      <c r="AF336" s="45" t="str">
        <f>IFERROR(VLOOKUP(OrdersRawTable9[[#This Row],[Order_Line_ID]],ReturnsRawTable[[Order_Line_ID]:[Refund_Status]],4,FALSE),"")</f>
        <v/>
      </c>
      <c r="AG336" s="45" t="str">
        <f>VLOOKUP(OrdersRawTable9[[#This Row],[Order_ID]],ShipmentsTable[],6,FALSE)</f>
        <v>On time</v>
      </c>
      <c r="AH336" s="49">
        <f>VLOOKUP(OrdersRawTable9[[#This Row],[Order_ID]],ShipmentsTable[],3,FALSE)</f>
        <v>45889</v>
      </c>
    </row>
    <row r="337" spans="1:34" ht="15" customHeight="1">
      <c r="A337" s="14" t="s">
        <v>774</v>
      </c>
      <c r="B337" s="10" t="s">
        <v>773</v>
      </c>
      <c r="C337" s="20">
        <v>45887</v>
      </c>
      <c r="D337" s="10" t="s">
        <v>733</v>
      </c>
      <c r="E337" s="10" t="s">
        <v>734</v>
      </c>
      <c r="F337" s="10" t="str">
        <f>TRIM(LEFT(OrdersRawTable9[[#This Row],[Customer_Info]],FIND(",",OrdersRawTable9[[#This Row],[Customer_Info]])-1))</f>
        <v>Amina Khan</v>
      </c>
      <c r="G33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337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337" s="10">
        <f>LEN(OrdersRawTable9[[#This Row],[Customer_Info]])-LEN(SUBSTITUTE(OrdersRawTable9[[#This Row],[Customer_Info]],",",""))</f>
        <v>2</v>
      </c>
      <c r="J337" s="10" t="s">
        <v>100</v>
      </c>
      <c r="K337" s="23">
        <v>3</v>
      </c>
      <c r="L337" s="26">
        <v>42.72</v>
      </c>
      <c r="M337" s="29">
        <v>0.1</v>
      </c>
      <c r="N337" s="10" t="s">
        <v>40</v>
      </c>
      <c r="O337" s="10" t="str">
        <f>IF(TRIM(OrdersRawTable9[[#This Row],[Sales_Channel_Raw]])="Market place","Marketplace",TRIM(OrdersRawTable9[[#This Row],[Sales_Channel_Raw]]))</f>
        <v>Online</v>
      </c>
      <c r="P337" s="10" t="s">
        <v>46</v>
      </c>
      <c r="Q337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37" s="15" t="s">
        <v>42</v>
      </c>
      <c r="S337" t="str">
        <f>VLOOKUP(OrdersRawTable9[[#This Row],[Customer_ID_Raw]],CustomersTable11[],4,FALSE)</f>
        <v>Quebec</v>
      </c>
      <c r="T337" t="str">
        <f>VLOOKUP(OrdersRawTable9[[#This Row],[Customer_ID_Raw]],CustomersTable11[],5,FALSE)</f>
        <v>Corporate</v>
      </c>
      <c r="U337" s="45">
        <f>VLOOKUP(OrdersRawTable9[[#This Row],[Product_ID]],ProductsTable10[],4,FALSE)</f>
        <v>24.46</v>
      </c>
      <c r="V337" t="str">
        <f>VLOOKUP(OrdersRawTable9[[#This Row],[Product_ID]],ProductsTable10[],3,FALSE)</f>
        <v>Electronics</v>
      </c>
      <c r="W337" s="45">
        <f>OrdersRawTable9[[#This Row],[Unit_Price]]*OrdersRawTable9[[#This Row],[Quantity]]</f>
        <v>128.16</v>
      </c>
      <c r="X337" s="47">
        <f>OrdersRawTable9[[#This Row],[Gross_Sales]]*OrdersRawTable9[[#This Row],[Discount_Pct]]</f>
        <v>12.816000000000001</v>
      </c>
      <c r="Y337" s="45">
        <f>OrdersRawTable9[[#This Row],[Gross_Sales]]-OrdersRawTable9[[#This Row],[Discount_Amount]]</f>
        <v>115.34399999999999</v>
      </c>
      <c r="Z337" s="45">
        <f>OrdersRawTable9[[#This Row],[Unit_Cost]]*OrdersRawTable9[[#This Row],[Quantity]]</f>
        <v>73.38</v>
      </c>
      <c r="AA337" s="45">
        <f>OrdersRawTable9[[#This Row],[Net_Sales]]-OrdersRawTable9[[#This Row],[Total_Cost]]</f>
        <v>41.963999999999999</v>
      </c>
      <c r="AB337" s="48">
        <f>IF(OrdersRawTable9[[#This Row],[Net_Sales]]=0,0,OrdersRawTable9[[#This Row],[Profit]]/OrdersRawTable9[[#This Row],[Net_Sales]])</f>
        <v>0.36381606325426552</v>
      </c>
      <c r="AC337" s="45" t="str">
        <f>IF(COUNTIF(ReturnsRawTable[Order_Line_ID],OrdersRawTable9[[#This Row],[Order_Line_ID]])&gt;0,"Yes","No")</f>
        <v>No</v>
      </c>
      <c r="AD337" s="45" t="str">
        <f>IFERROR(VLOOKUP(OrdersRawTable9[[#This Row],[Order_Line_ID]],ReturnsRawTable[[#All],[Order_Line_ID]:[Return_Reason_Raw]],3,FALSE),"")</f>
        <v/>
      </c>
      <c r="AE337" s="49" t="str">
        <f>IFERROR(VLOOKUP(OrdersRawTable9[[#This Row],[Order_Line_ID]],ReturnsRawTable[[#All],[Order_Line_ID]:[Return_Date]],2,FALSE),"")</f>
        <v/>
      </c>
      <c r="AF337" s="45" t="str">
        <f>IFERROR(VLOOKUP(OrdersRawTable9[[#This Row],[Order_Line_ID]],ReturnsRawTable[[Order_Line_ID]:[Refund_Status]],4,FALSE),"")</f>
        <v/>
      </c>
      <c r="AG337" s="45" t="str">
        <f>VLOOKUP(OrdersRawTable9[[#This Row],[Order_ID]],ShipmentsTable[],6,FALSE)</f>
        <v>On time</v>
      </c>
      <c r="AH337" s="49">
        <f>VLOOKUP(OrdersRawTable9[[#This Row],[Order_ID]],ShipmentsTable[],3,FALSE)</f>
        <v>45889</v>
      </c>
    </row>
    <row r="338" spans="1:34" ht="15" customHeight="1">
      <c r="A338" s="14" t="s">
        <v>775</v>
      </c>
      <c r="B338" s="10" t="s">
        <v>773</v>
      </c>
      <c r="C338" s="20">
        <v>45887</v>
      </c>
      <c r="D338" s="10" t="s">
        <v>776</v>
      </c>
      <c r="E338" s="10" t="s">
        <v>734</v>
      </c>
      <c r="F338" s="10" t="str">
        <f>TRIM(LEFT(OrdersRawTable9[[#This Row],[Customer_Info]],FIND(",",OrdersRawTable9[[#This Row],[Customer_Info]])-1))</f>
        <v>Amina Khan</v>
      </c>
      <c r="G33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338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338" s="10">
        <f>LEN(OrdersRawTable9[[#This Row],[Customer_Info]])-LEN(SUBSTITUTE(OrdersRawTable9[[#This Row],[Customer_Info]],",",""))</f>
        <v>2</v>
      </c>
      <c r="J338" s="10" t="s">
        <v>468</v>
      </c>
      <c r="K338" s="23">
        <v>1</v>
      </c>
      <c r="L338" s="26">
        <v>160</v>
      </c>
      <c r="M338" s="29">
        <v>0.05</v>
      </c>
      <c r="N338" s="10" t="s">
        <v>50</v>
      </c>
      <c r="O338" s="10" t="str">
        <f>IF(TRIM(OrdersRawTable9[[#This Row],[Sales_Channel_Raw]])="Market place","Marketplace",TRIM(OrdersRawTable9[[#This Row],[Sales_Channel_Raw]]))</f>
        <v>Marketplace</v>
      </c>
      <c r="P338" s="10" t="s">
        <v>41</v>
      </c>
      <c r="Q338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38" s="15" t="s">
        <v>47</v>
      </c>
      <c r="S338" t="str">
        <f>VLOOKUP(OrdersRawTable9[[#This Row],[Customer_ID_Raw]],CustomersTable11[],4,FALSE)</f>
        <v>Quebec</v>
      </c>
      <c r="T338" t="str">
        <f>VLOOKUP(OrdersRawTable9[[#This Row],[Customer_ID_Raw]],CustomersTable11[],5,FALSE)</f>
        <v>Corporate</v>
      </c>
      <c r="U338" s="45">
        <f>VLOOKUP(OrdersRawTable9[[#This Row],[Product_ID]],ProductsTable10[],4,FALSE)</f>
        <v>101.58</v>
      </c>
      <c r="V338" t="str">
        <f>VLOOKUP(OrdersRawTable9[[#This Row],[Product_ID]],ProductsTable10[],3,FALSE)</f>
        <v>Fitness</v>
      </c>
      <c r="W338" s="45">
        <f>OrdersRawTable9[[#This Row],[Unit_Price]]*OrdersRawTable9[[#This Row],[Quantity]]</f>
        <v>160</v>
      </c>
      <c r="X338" s="47">
        <f>OrdersRawTable9[[#This Row],[Gross_Sales]]*OrdersRawTable9[[#This Row],[Discount_Pct]]</f>
        <v>8</v>
      </c>
      <c r="Y338" s="45">
        <f>OrdersRawTable9[[#This Row],[Gross_Sales]]-OrdersRawTable9[[#This Row],[Discount_Amount]]</f>
        <v>152</v>
      </c>
      <c r="Z338" s="45">
        <f>OrdersRawTable9[[#This Row],[Unit_Cost]]*OrdersRawTable9[[#This Row],[Quantity]]</f>
        <v>101.58</v>
      </c>
      <c r="AA338" s="45">
        <f>OrdersRawTable9[[#This Row],[Net_Sales]]-OrdersRawTable9[[#This Row],[Total_Cost]]</f>
        <v>50.42</v>
      </c>
      <c r="AB338" s="48">
        <f>IF(OrdersRawTable9[[#This Row],[Net_Sales]]=0,0,OrdersRawTable9[[#This Row],[Profit]]/OrdersRawTable9[[#This Row],[Net_Sales]])</f>
        <v>0.33171052631578951</v>
      </c>
      <c r="AC338" s="45" t="str">
        <f>IF(COUNTIF(ReturnsRawTable[Order_Line_ID],OrdersRawTable9[[#This Row],[Order_Line_ID]])&gt;0,"Yes","No")</f>
        <v>No</v>
      </c>
      <c r="AD338" s="45" t="str">
        <f>IFERROR(VLOOKUP(OrdersRawTable9[[#This Row],[Order_Line_ID]],ReturnsRawTable[[#All],[Order_Line_ID]:[Return_Reason_Raw]],3,FALSE),"")</f>
        <v/>
      </c>
      <c r="AE338" s="49" t="str">
        <f>IFERROR(VLOOKUP(OrdersRawTable9[[#This Row],[Order_Line_ID]],ReturnsRawTable[[#All],[Order_Line_ID]:[Return_Date]],2,FALSE),"")</f>
        <v/>
      </c>
      <c r="AF338" s="45" t="str">
        <f>IFERROR(VLOOKUP(OrdersRawTable9[[#This Row],[Order_Line_ID]],ReturnsRawTable[[Order_Line_ID]:[Refund_Status]],4,FALSE),"")</f>
        <v/>
      </c>
      <c r="AG338" s="45" t="str">
        <f>VLOOKUP(OrdersRawTable9[[#This Row],[Order_ID]],ShipmentsTable[],6,FALSE)</f>
        <v>On time</v>
      </c>
      <c r="AH338" s="49">
        <f>VLOOKUP(OrdersRawTable9[[#This Row],[Order_ID]],ShipmentsTable[],3,FALSE)</f>
        <v>45889</v>
      </c>
    </row>
    <row r="339" spans="1:34" ht="15" customHeight="1">
      <c r="A339" s="14" t="s">
        <v>777</v>
      </c>
      <c r="B339" s="10" t="s">
        <v>778</v>
      </c>
      <c r="C339" s="20">
        <v>45896</v>
      </c>
      <c r="D339" s="10" t="s">
        <v>450</v>
      </c>
      <c r="E339" s="10" t="s">
        <v>451</v>
      </c>
      <c r="F339" s="10" t="str">
        <f>TRIM(LEFT(OrdersRawTable9[[#This Row],[Customer_Info]],FIND(",",OrdersRawTable9[[#This Row],[Customer_Info]])-1))</f>
        <v>Emma Tremblay</v>
      </c>
      <c r="G33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339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339" s="10">
        <f>LEN(OrdersRawTable9[[#This Row],[Customer_Info]])-LEN(SUBSTITUTE(OrdersRawTable9[[#This Row],[Customer_Info]],",",""))</f>
        <v>2</v>
      </c>
      <c r="J339" s="10" t="s">
        <v>128</v>
      </c>
      <c r="K339" s="23">
        <v>1</v>
      </c>
      <c r="L339" s="26">
        <v>25.15</v>
      </c>
      <c r="M339" s="29">
        <v>0</v>
      </c>
      <c r="N339" s="10" t="s">
        <v>45</v>
      </c>
      <c r="O339" s="10" t="str">
        <f>IF(TRIM(OrdersRawTable9[[#This Row],[Sales_Channel_Raw]])="Market place","Marketplace",TRIM(OrdersRawTable9[[#This Row],[Sales_Channel_Raw]]))</f>
        <v>Retail Store</v>
      </c>
      <c r="P339" s="10" t="s">
        <v>46</v>
      </c>
      <c r="Q339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39" s="15" t="s">
        <v>52</v>
      </c>
      <c r="S339" t="str">
        <f>VLOOKUP(OrdersRawTable9[[#This Row],[Customer_ID_Raw]],CustomersTable11[],4,FALSE)</f>
        <v>Nova Scotia</v>
      </c>
      <c r="T339" t="str">
        <f>VLOOKUP(OrdersRawTable9[[#This Row],[Customer_ID_Raw]],CustomersTable11[],5,FALSE)</f>
        <v>Consumer</v>
      </c>
      <c r="U339" s="45">
        <f>VLOOKUP(OrdersRawTable9[[#This Row],[Product_ID]],ProductsTable10[],4,FALSE)</f>
        <v>14.24</v>
      </c>
      <c r="V339" t="str">
        <f>VLOOKUP(OrdersRawTable9[[#This Row],[Product_ID]],ProductsTable10[],3,FALSE)</f>
        <v>Electronics</v>
      </c>
      <c r="W339" s="45">
        <f>OrdersRawTable9[[#This Row],[Unit_Price]]*OrdersRawTable9[[#This Row],[Quantity]]</f>
        <v>25.15</v>
      </c>
      <c r="X339" s="47">
        <f>OrdersRawTable9[[#This Row],[Gross_Sales]]*OrdersRawTable9[[#This Row],[Discount_Pct]]</f>
        <v>0</v>
      </c>
      <c r="Y339" s="45">
        <f>OrdersRawTable9[[#This Row],[Gross_Sales]]-OrdersRawTable9[[#This Row],[Discount_Amount]]</f>
        <v>25.15</v>
      </c>
      <c r="Z339" s="45">
        <f>OrdersRawTable9[[#This Row],[Unit_Cost]]*OrdersRawTable9[[#This Row],[Quantity]]</f>
        <v>14.24</v>
      </c>
      <c r="AA339" s="45">
        <f>OrdersRawTable9[[#This Row],[Net_Sales]]-OrdersRawTable9[[#This Row],[Total_Cost]]</f>
        <v>10.909999999999998</v>
      </c>
      <c r="AB339" s="48">
        <f>IF(OrdersRawTable9[[#This Row],[Net_Sales]]=0,0,OrdersRawTable9[[#This Row],[Profit]]/OrdersRawTable9[[#This Row],[Net_Sales]])</f>
        <v>0.43379721669980115</v>
      </c>
      <c r="AC339" s="45" t="str">
        <f>IF(COUNTIF(ReturnsRawTable[Order_Line_ID],OrdersRawTable9[[#This Row],[Order_Line_ID]])&gt;0,"Yes","No")</f>
        <v>No</v>
      </c>
      <c r="AD339" s="45" t="str">
        <f>IFERROR(VLOOKUP(OrdersRawTable9[[#This Row],[Order_Line_ID]],ReturnsRawTable[[#All],[Order_Line_ID]:[Return_Reason_Raw]],3,FALSE),"")</f>
        <v/>
      </c>
      <c r="AE339" s="49" t="str">
        <f>IFERROR(VLOOKUP(OrdersRawTable9[[#This Row],[Order_Line_ID]],ReturnsRawTable[[#All],[Order_Line_ID]:[Return_Date]],2,FALSE),"")</f>
        <v/>
      </c>
      <c r="AF339" s="45" t="str">
        <f>IFERROR(VLOOKUP(OrdersRawTable9[[#This Row],[Order_Line_ID]],ReturnsRawTable[[Order_Line_ID]:[Refund_Status]],4,FALSE),"")</f>
        <v/>
      </c>
      <c r="AG339" s="45" t="str">
        <f>VLOOKUP(OrdersRawTable9[[#This Row],[Order_ID]],ShipmentsTable[],6,FALSE)</f>
        <v>On time</v>
      </c>
      <c r="AH339" s="49">
        <f>VLOOKUP(OrdersRawTable9[[#This Row],[Order_ID]],ShipmentsTable[],3,FALSE)</f>
        <v>45899</v>
      </c>
    </row>
    <row r="340" spans="1:34" ht="15" customHeight="1">
      <c r="A340" s="14" t="s">
        <v>779</v>
      </c>
      <c r="B340" s="10" t="s">
        <v>778</v>
      </c>
      <c r="C340" s="20">
        <v>45896</v>
      </c>
      <c r="D340" s="10" t="s">
        <v>450</v>
      </c>
      <c r="E340" s="10" t="s">
        <v>451</v>
      </c>
      <c r="F340" s="10" t="str">
        <f>TRIM(LEFT(OrdersRawTable9[[#This Row],[Customer_Info]],FIND(",",OrdersRawTable9[[#This Row],[Customer_Info]])-1))</f>
        <v>Emma Tremblay</v>
      </c>
      <c r="G34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340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340" s="10">
        <f>LEN(OrdersRawTable9[[#This Row],[Customer_Info]])-LEN(SUBSTITUTE(OrdersRawTable9[[#This Row],[Customer_Info]],",",""))</f>
        <v>2</v>
      </c>
      <c r="J340" s="10" t="s">
        <v>468</v>
      </c>
      <c r="K340" s="23">
        <v>2</v>
      </c>
      <c r="L340" s="26">
        <v>160</v>
      </c>
      <c r="M340" s="29">
        <v>0.15</v>
      </c>
      <c r="N340" s="10" t="s">
        <v>40</v>
      </c>
      <c r="O340" s="10" t="str">
        <f>IF(TRIM(OrdersRawTable9[[#This Row],[Sales_Channel_Raw]])="Market place","Marketplace",TRIM(OrdersRawTable9[[#This Row],[Sales_Channel_Raw]]))</f>
        <v>Online</v>
      </c>
      <c r="P340" s="10" t="s">
        <v>58</v>
      </c>
      <c r="Q340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340" s="15" t="s">
        <v>101</v>
      </c>
      <c r="S340" t="str">
        <f>VLOOKUP(OrdersRawTable9[[#This Row],[Customer_ID_Raw]],CustomersTable11[],4,FALSE)</f>
        <v>Nova Scotia</v>
      </c>
      <c r="T340" t="str">
        <f>VLOOKUP(OrdersRawTable9[[#This Row],[Customer_ID_Raw]],CustomersTable11[],5,FALSE)</f>
        <v>Consumer</v>
      </c>
      <c r="U340" s="45">
        <f>VLOOKUP(OrdersRawTable9[[#This Row],[Product_ID]],ProductsTable10[],4,FALSE)</f>
        <v>101.58</v>
      </c>
      <c r="V340" t="str">
        <f>VLOOKUP(OrdersRawTable9[[#This Row],[Product_ID]],ProductsTable10[],3,FALSE)</f>
        <v>Fitness</v>
      </c>
      <c r="W340" s="45">
        <f>OrdersRawTable9[[#This Row],[Unit_Price]]*OrdersRawTable9[[#This Row],[Quantity]]</f>
        <v>320</v>
      </c>
      <c r="X340" s="47">
        <f>OrdersRawTable9[[#This Row],[Gross_Sales]]*OrdersRawTable9[[#This Row],[Discount_Pct]]</f>
        <v>48</v>
      </c>
      <c r="Y340" s="45">
        <f>OrdersRawTable9[[#This Row],[Gross_Sales]]-OrdersRawTable9[[#This Row],[Discount_Amount]]</f>
        <v>272</v>
      </c>
      <c r="Z340" s="45">
        <f>OrdersRawTable9[[#This Row],[Unit_Cost]]*OrdersRawTable9[[#This Row],[Quantity]]</f>
        <v>203.16</v>
      </c>
      <c r="AA340" s="45">
        <f>OrdersRawTable9[[#This Row],[Net_Sales]]-OrdersRawTable9[[#This Row],[Total_Cost]]</f>
        <v>68.84</v>
      </c>
      <c r="AB340" s="48">
        <f>IF(OrdersRawTable9[[#This Row],[Net_Sales]]=0,0,OrdersRawTable9[[#This Row],[Profit]]/OrdersRawTable9[[#This Row],[Net_Sales]])</f>
        <v>0.25308823529411767</v>
      </c>
      <c r="AC340" s="45" t="str">
        <f>IF(COUNTIF(ReturnsRawTable[Order_Line_ID],OrdersRawTable9[[#This Row],[Order_Line_ID]])&gt;0,"Yes","No")</f>
        <v>No</v>
      </c>
      <c r="AD340" s="45" t="str">
        <f>IFERROR(VLOOKUP(OrdersRawTable9[[#This Row],[Order_Line_ID]],ReturnsRawTable[[#All],[Order_Line_ID]:[Return_Reason_Raw]],3,FALSE),"")</f>
        <v/>
      </c>
      <c r="AE340" s="49" t="str">
        <f>IFERROR(VLOOKUP(OrdersRawTable9[[#This Row],[Order_Line_ID]],ReturnsRawTable[[#All],[Order_Line_ID]:[Return_Date]],2,FALSE),"")</f>
        <v/>
      </c>
      <c r="AF340" s="45" t="str">
        <f>IFERROR(VLOOKUP(OrdersRawTable9[[#This Row],[Order_Line_ID]],ReturnsRawTable[[Order_Line_ID]:[Refund_Status]],4,FALSE),"")</f>
        <v/>
      </c>
      <c r="AG340" s="45" t="str">
        <f>VLOOKUP(OrdersRawTable9[[#This Row],[Order_ID]],ShipmentsTable[],6,FALSE)</f>
        <v>On time</v>
      </c>
      <c r="AH340" s="49">
        <f>VLOOKUP(OrdersRawTable9[[#This Row],[Order_ID]],ShipmentsTable[],3,FALSE)</f>
        <v>45899</v>
      </c>
    </row>
    <row r="341" spans="1:34" ht="15" customHeight="1">
      <c r="A341" s="14" t="s">
        <v>780</v>
      </c>
      <c r="B341" s="10" t="s">
        <v>778</v>
      </c>
      <c r="C341" s="20">
        <v>45896</v>
      </c>
      <c r="D341" s="10" t="s">
        <v>450</v>
      </c>
      <c r="E341" s="10" t="s">
        <v>451</v>
      </c>
      <c r="F341" s="10" t="str">
        <f>TRIM(LEFT(OrdersRawTable9[[#This Row],[Customer_Info]],FIND(",",OrdersRawTable9[[#This Row],[Customer_Info]])-1))</f>
        <v>Emma Tremblay</v>
      </c>
      <c r="G34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341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341" s="10">
        <f>LEN(OrdersRawTable9[[#This Row],[Customer_Info]])-LEN(SUBSTITUTE(OrdersRawTable9[[#This Row],[Customer_Info]],",",""))</f>
        <v>2</v>
      </c>
      <c r="J341" s="10" t="s">
        <v>128</v>
      </c>
      <c r="K341" s="23">
        <v>1</v>
      </c>
      <c r="L341" s="26">
        <v>25.15</v>
      </c>
      <c r="M341" s="29">
        <v>0.1</v>
      </c>
      <c r="N341" s="10" t="s">
        <v>50</v>
      </c>
      <c r="O341" s="10" t="str">
        <f>IF(TRIM(OrdersRawTable9[[#This Row],[Sales_Channel_Raw]])="Market place","Marketplace",TRIM(OrdersRawTable9[[#This Row],[Sales_Channel_Raw]]))</f>
        <v>Marketplace</v>
      </c>
      <c r="P341" s="10" t="s">
        <v>46</v>
      </c>
      <c r="Q341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41" s="15" t="s">
        <v>47</v>
      </c>
      <c r="S341" t="str">
        <f>VLOOKUP(OrdersRawTable9[[#This Row],[Customer_ID_Raw]],CustomersTable11[],4,FALSE)</f>
        <v>Nova Scotia</v>
      </c>
      <c r="T341" t="str">
        <f>VLOOKUP(OrdersRawTable9[[#This Row],[Customer_ID_Raw]],CustomersTable11[],5,FALSE)</f>
        <v>Consumer</v>
      </c>
      <c r="U341" s="45">
        <f>VLOOKUP(OrdersRawTable9[[#This Row],[Product_ID]],ProductsTable10[],4,FALSE)</f>
        <v>14.24</v>
      </c>
      <c r="V341" t="str">
        <f>VLOOKUP(OrdersRawTable9[[#This Row],[Product_ID]],ProductsTable10[],3,FALSE)</f>
        <v>Electronics</v>
      </c>
      <c r="W341" s="45">
        <f>OrdersRawTable9[[#This Row],[Unit_Price]]*OrdersRawTable9[[#This Row],[Quantity]]</f>
        <v>25.15</v>
      </c>
      <c r="X341" s="47">
        <f>OrdersRawTable9[[#This Row],[Gross_Sales]]*OrdersRawTable9[[#This Row],[Discount_Pct]]</f>
        <v>2.5150000000000001</v>
      </c>
      <c r="Y341" s="45">
        <f>OrdersRawTable9[[#This Row],[Gross_Sales]]-OrdersRawTable9[[#This Row],[Discount_Amount]]</f>
        <v>22.634999999999998</v>
      </c>
      <c r="Z341" s="45">
        <f>OrdersRawTable9[[#This Row],[Unit_Cost]]*OrdersRawTable9[[#This Row],[Quantity]]</f>
        <v>14.24</v>
      </c>
      <c r="AA341" s="45">
        <f>OrdersRawTable9[[#This Row],[Net_Sales]]-OrdersRawTable9[[#This Row],[Total_Cost]]</f>
        <v>8.3949999999999978</v>
      </c>
      <c r="AB341" s="48">
        <f>IF(OrdersRawTable9[[#This Row],[Net_Sales]]=0,0,OrdersRawTable9[[#This Row],[Profit]]/OrdersRawTable9[[#This Row],[Net_Sales]])</f>
        <v>0.37088579633311236</v>
      </c>
      <c r="AC341" s="45" t="str">
        <f>IF(COUNTIF(ReturnsRawTable[Order_Line_ID],OrdersRawTable9[[#This Row],[Order_Line_ID]])&gt;0,"Yes","No")</f>
        <v>No</v>
      </c>
      <c r="AD341" s="45" t="str">
        <f>IFERROR(VLOOKUP(OrdersRawTable9[[#This Row],[Order_Line_ID]],ReturnsRawTable[[#All],[Order_Line_ID]:[Return_Reason_Raw]],3,FALSE),"")</f>
        <v/>
      </c>
      <c r="AE341" s="49" t="str">
        <f>IFERROR(VLOOKUP(OrdersRawTable9[[#This Row],[Order_Line_ID]],ReturnsRawTable[[#All],[Order_Line_ID]:[Return_Date]],2,FALSE),"")</f>
        <v/>
      </c>
      <c r="AF341" s="45" t="str">
        <f>IFERROR(VLOOKUP(OrdersRawTable9[[#This Row],[Order_Line_ID]],ReturnsRawTable[[Order_Line_ID]:[Refund_Status]],4,FALSE),"")</f>
        <v/>
      </c>
      <c r="AG341" s="45" t="str">
        <f>VLOOKUP(OrdersRawTable9[[#This Row],[Order_ID]],ShipmentsTable[],6,FALSE)</f>
        <v>On time</v>
      </c>
      <c r="AH341" s="49">
        <f>VLOOKUP(OrdersRawTable9[[#This Row],[Order_ID]],ShipmentsTable[],3,FALSE)</f>
        <v>45899</v>
      </c>
    </row>
    <row r="342" spans="1:34" ht="15" customHeight="1">
      <c r="A342" s="14" t="s">
        <v>781</v>
      </c>
      <c r="B342" s="10" t="s">
        <v>782</v>
      </c>
      <c r="C342" s="20">
        <v>46001</v>
      </c>
      <c r="D342" s="10" t="s">
        <v>96</v>
      </c>
      <c r="E342" s="10" t="s">
        <v>97</v>
      </c>
      <c r="F342" s="10" t="str">
        <f>TRIM(LEFT(OrdersRawTable9[[#This Row],[Customer_Info]],FIND(",",OrdersRawTable9[[#This Row],[Customer_Info]])-1))</f>
        <v>Ethan Dubois</v>
      </c>
      <c r="G34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342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342" s="10">
        <f>LEN(OrdersRawTable9[[#This Row],[Customer_Info]])-LEN(SUBSTITUTE(OrdersRawTable9[[#This Row],[Customer_Info]],",",""))</f>
        <v>2</v>
      </c>
      <c r="J342" s="10" t="s">
        <v>110</v>
      </c>
      <c r="K342" s="23">
        <v>2</v>
      </c>
      <c r="L342" s="26">
        <v>133.24</v>
      </c>
      <c r="M342" s="29">
        <v>0</v>
      </c>
      <c r="N342" s="10" t="s">
        <v>66</v>
      </c>
      <c r="O342" s="10" t="str">
        <f>IF(TRIM(OrdersRawTable9[[#This Row],[Sales_Channel_Raw]])="Market place","Marketplace",TRIM(OrdersRawTable9[[#This Row],[Sales_Channel_Raw]]))</f>
        <v>Marketplace</v>
      </c>
      <c r="P342" s="10"/>
      <c r="Q342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342" s="15" t="s">
        <v>42</v>
      </c>
      <c r="S342" t="str">
        <f>VLOOKUP(OrdersRawTable9[[#This Row],[Customer_ID_Raw]],CustomersTable11[],4,FALSE)</f>
        <v>Alberta</v>
      </c>
      <c r="T342" t="str">
        <f>VLOOKUP(OrdersRawTable9[[#This Row],[Customer_ID_Raw]],CustomersTable11[],5,FALSE)</f>
        <v>Consumer</v>
      </c>
      <c r="U342" s="45">
        <f>VLOOKUP(OrdersRawTable9[[#This Row],[Product_ID]],ProductsTable10[],4,FALSE)</f>
        <v>77.540000000000006</v>
      </c>
      <c r="V342" t="str">
        <f>VLOOKUP(OrdersRawTable9[[#This Row],[Product_ID]],ProductsTable10[],3,FALSE)</f>
        <v>Electronics</v>
      </c>
      <c r="W342" s="45">
        <f>OrdersRawTable9[[#This Row],[Unit_Price]]*OrdersRawTable9[[#This Row],[Quantity]]</f>
        <v>266.48</v>
      </c>
      <c r="X342" s="47">
        <f>OrdersRawTable9[[#This Row],[Gross_Sales]]*OrdersRawTable9[[#This Row],[Discount_Pct]]</f>
        <v>0</v>
      </c>
      <c r="Y342" s="45">
        <f>OrdersRawTable9[[#This Row],[Gross_Sales]]-OrdersRawTable9[[#This Row],[Discount_Amount]]</f>
        <v>266.48</v>
      </c>
      <c r="Z342" s="45">
        <f>OrdersRawTable9[[#This Row],[Unit_Cost]]*OrdersRawTable9[[#This Row],[Quantity]]</f>
        <v>155.08000000000001</v>
      </c>
      <c r="AA342" s="45">
        <f>OrdersRawTable9[[#This Row],[Net_Sales]]-OrdersRawTable9[[#This Row],[Total_Cost]]</f>
        <v>111.4</v>
      </c>
      <c r="AB342" s="48">
        <f>IF(OrdersRawTable9[[#This Row],[Net_Sales]]=0,0,OrdersRawTable9[[#This Row],[Profit]]/OrdersRawTable9[[#This Row],[Net_Sales]])</f>
        <v>0.41804262984088864</v>
      </c>
      <c r="AC342" s="45" t="str">
        <f>IF(COUNTIF(ReturnsRawTable[Order_Line_ID],OrdersRawTable9[[#This Row],[Order_Line_ID]])&gt;0,"Yes","No")</f>
        <v>No</v>
      </c>
      <c r="AD342" s="45" t="str">
        <f>IFERROR(VLOOKUP(OrdersRawTable9[[#This Row],[Order_Line_ID]],ReturnsRawTable[[#All],[Order_Line_ID]:[Return_Reason_Raw]],3,FALSE),"")</f>
        <v/>
      </c>
      <c r="AE342" s="49" t="str">
        <f>IFERROR(VLOOKUP(OrdersRawTable9[[#This Row],[Order_Line_ID]],ReturnsRawTable[[#All],[Order_Line_ID]:[Return_Date]],2,FALSE),"")</f>
        <v/>
      </c>
      <c r="AF342" s="45" t="str">
        <f>IFERROR(VLOOKUP(OrdersRawTable9[[#This Row],[Order_Line_ID]],ReturnsRawTable[[Order_Line_ID]:[Refund_Status]],4,FALSE),"")</f>
        <v/>
      </c>
      <c r="AG342" s="45" t="str">
        <f>VLOOKUP(OrdersRawTable9[[#This Row],[Order_ID]],ShipmentsTable[],6,FALSE)</f>
        <v>Late</v>
      </c>
      <c r="AH342" s="49">
        <f>VLOOKUP(OrdersRawTable9[[#This Row],[Order_ID]],ShipmentsTable[],3,FALSE)</f>
        <v>46010</v>
      </c>
    </row>
    <row r="343" spans="1:34" ht="15" customHeight="1">
      <c r="A343" s="14" t="s">
        <v>783</v>
      </c>
      <c r="B343" s="10" t="s">
        <v>782</v>
      </c>
      <c r="C343" s="20">
        <v>46001</v>
      </c>
      <c r="D343" s="10" t="s">
        <v>96</v>
      </c>
      <c r="E343" s="10" t="s">
        <v>97</v>
      </c>
      <c r="F343" s="10" t="str">
        <f>TRIM(LEFT(OrdersRawTable9[[#This Row],[Customer_Info]],FIND(",",OrdersRawTable9[[#This Row],[Customer_Info]])-1))</f>
        <v>Ethan Dubois</v>
      </c>
      <c r="G34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343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343" s="10">
        <f>LEN(OrdersRawTable9[[#This Row],[Customer_Info]])-LEN(SUBSTITUTE(OrdersRawTable9[[#This Row],[Customer_Info]],",",""))</f>
        <v>2</v>
      </c>
      <c r="J343" s="10" t="s">
        <v>784</v>
      </c>
      <c r="K343" s="23">
        <v>3</v>
      </c>
      <c r="L343" s="26">
        <v>96.33</v>
      </c>
      <c r="M343" s="29">
        <v>0.05</v>
      </c>
      <c r="N343" s="10" t="s">
        <v>40</v>
      </c>
      <c r="O343" s="10" t="str">
        <f>IF(TRIM(OrdersRawTable9[[#This Row],[Sales_Channel_Raw]])="Market place","Marketplace",TRIM(OrdersRawTable9[[#This Row],[Sales_Channel_Raw]]))</f>
        <v>Online</v>
      </c>
      <c r="P343" s="10" t="s">
        <v>46</v>
      </c>
      <c r="Q343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43" s="15" t="s">
        <v>42</v>
      </c>
      <c r="S343" t="str">
        <f>VLOOKUP(OrdersRawTable9[[#This Row],[Customer_ID_Raw]],CustomersTable11[],4,FALSE)</f>
        <v>Alberta</v>
      </c>
      <c r="T343" t="str">
        <f>VLOOKUP(OrdersRawTable9[[#This Row],[Customer_ID_Raw]],CustomersTable11[],5,FALSE)</f>
        <v>Consumer</v>
      </c>
      <c r="U343" s="45">
        <f>VLOOKUP(OrdersRawTable9[[#This Row],[Product_ID]],ProductsTable10[],4,FALSE)</f>
        <v>57.85</v>
      </c>
      <c r="V343" t="str">
        <f>VLOOKUP(OrdersRawTable9[[#This Row],[Product_ID]],ProductsTable10[],3,FALSE)</f>
        <v>Accessories</v>
      </c>
      <c r="W343" s="45">
        <f>OrdersRawTable9[[#This Row],[Unit_Price]]*OrdersRawTable9[[#This Row],[Quantity]]</f>
        <v>288.99</v>
      </c>
      <c r="X343" s="47">
        <f>OrdersRawTable9[[#This Row],[Gross_Sales]]*OrdersRawTable9[[#This Row],[Discount_Pct]]</f>
        <v>14.4495</v>
      </c>
      <c r="Y343" s="45">
        <f>OrdersRawTable9[[#This Row],[Gross_Sales]]-OrdersRawTable9[[#This Row],[Discount_Amount]]</f>
        <v>274.54050000000001</v>
      </c>
      <c r="Z343" s="45">
        <f>OrdersRawTable9[[#This Row],[Unit_Cost]]*OrdersRawTable9[[#This Row],[Quantity]]</f>
        <v>173.55</v>
      </c>
      <c r="AA343" s="45">
        <f>OrdersRawTable9[[#This Row],[Net_Sales]]-OrdersRawTable9[[#This Row],[Total_Cost]]</f>
        <v>100.9905</v>
      </c>
      <c r="AB343" s="48">
        <f>IF(OrdersRawTable9[[#This Row],[Net_Sales]]=0,0,OrdersRawTable9[[#This Row],[Profit]]/OrdersRawTable9[[#This Row],[Net_Sales]])</f>
        <v>0.36785283045670852</v>
      </c>
      <c r="AC343" s="45" t="str">
        <f>IF(COUNTIF(ReturnsRawTable[Order_Line_ID],OrdersRawTable9[[#This Row],[Order_Line_ID]])&gt;0,"Yes","No")</f>
        <v>No</v>
      </c>
      <c r="AD343" s="45" t="str">
        <f>IFERROR(VLOOKUP(OrdersRawTable9[[#This Row],[Order_Line_ID]],ReturnsRawTable[[#All],[Order_Line_ID]:[Return_Reason_Raw]],3,FALSE),"")</f>
        <v/>
      </c>
      <c r="AE343" s="49" t="str">
        <f>IFERROR(VLOOKUP(OrdersRawTable9[[#This Row],[Order_Line_ID]],ReturnsRawTable[[#All],[Order_Line_ID]:[Return_Date]],2,FALSE),"")</f>
        <v/>
      </c>
      <c r="AF343" s="45" t="str">
        <f>IFERROR(VLOOKUP(OrdersRawTable9[[#This Row],[Order_Line_ID]],ReturnsRawTable[[Order_Line_ID]:[Refund_Status]],4,FALSE),"")</f>
        <v/>
      </c>
      <c r="AG343" s="45" t="str">
        <f>VLOOKUP(OrdersRawTable9[[#This Row],[Order_ID]],ShipmentsTable[],6,FALSE)</f>
        <v>Late</v>
      </c>
      <c r="AH343" s="49">
        <f>VLOOKUP(OrdersRawTable9[[#This Row],[Order_ID]],ShipmentsTable[],3,FALSE)</f>
        <v>46010</v>
      </c>
    </row>
    <row r="344" spans="1:34" ht="15" customHeight="1">
      <c r="A344" s="14" t="s">
        <v>785</v>
      </c>
      <c r="B344" s="10" t="s">
        <v>782</v>
      </c>
      <c r="C344" s="20">
        <v>46001</v>
      </c>
      <c r="D344" s="10" t="s">
        <v>96</v>
      </c>
      <c r="E344" s="10" t="s">
        <v>97</v>
      </c>
      <c r="F344" s="10" t="str">
        <f>TRIM(LEFT(OrdersRawTable9[[#This Row],[Customer_Info]],FIND(",",OrdersRawTable9[[#This Row],[Customer_Info]])-1))</f>
        <v>Ethan Dubois</v>
      </c>
      <c r="G34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344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344" s="10">
        <f>LEN(OrdersRawTable9[[#This Row],[Customer_Info]])-LEN(SUBSTITUTE(OrdersRawTable9[[#This Row],[Customer_Info]],",",""))</f>
        <v>2</v>
      </c>
      <c r="J344" s="10" t="s">
        <v>332</v>
      </c>
      <c r="K344" s="23">
        <v>2</v>
      </c>
      <c r="L344" s="26">
        <v>273.89</v>
      </c>
      <c r="M344" s="29">
        <v>0.1</v>
      </c>
      <c r="N344" s="10" t="s">
        <v>45</v>
      </c>
      <c r="O344" s="10" t="str">
        <f>IF(TRIM(OrdersRawTable9[[#This Row],[Sales_Channel_Raw]])="Market place","Marketplace",TRIM(OrdersRawTable9[[#This Row],[Sales_Channel_Raw]]))</f>
        <v>Retail Store</v>
      </c>
      <c r="P344" s="10"/>
      <c r="Q344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344" s="15" t="s">
        <v>42</v>
      </c>
      <c r="S344" t="str">
        <f>VLOOKUP(OrdersRawTable9[[#This Row],[Customer_ID_Raw]],CustomersTable11[],4,FALSE)</f>
        <v>Alberta</v>
      </c>
      <c r="T344" t="str">
        <f>VLOOKUP(OrdersRawTable9[[#This Row],[Customer_ID_Raw]],CustomersTable11[],5,FALSE)</f>
        <v>Consumer</v>
      </c>
      <c r="U344" s="45">
        <f>VLOOKUP(OrdersRawTable9[[#This Row],[Product_ID]],ProductsTable10[],4,FALSE)</f>
        <v>140.66999999999999</v>
      </c>
      <c r="V344" t="str">
        <f>VLOOKUP(OrdersRawTable9[[#This Row],[Product_ID]],ProductsTable10[],3,FALSE)</f>
        <v>Home</v>
      </c>
      <c r="W344" s="45">
        <f>OrdersRawTable9[[#This Row],[Unit_Price]]*OrdersRawTable9[[#This Row],[Quantity]]</f>
        <v>547.78</v>
      </c>
      <c r="X344" s="47">
        <f>OrdersRawTable9[[#This Row],[Gross_Sales]]*OrdersRawTable9[[#This Row],[Discount_Pct]]</f>
        <v>54.777999999999999</v>
      </c>
      <c r="Y344" s="45">
        <f>OrdersRawTable9[[#This Row],[Gross_Sales]]-OrdersRawTable9[[#This Row],[Discount_Amount]]</f>
        <v>493.00199999999995</v>
      </c>
      <c r="Z344" s="45">
        <f>OrdersRawTable9[[#This Row],[Unit_Cost]]*OrdersRawTable9[[#This Row],[Quantity]]</f>
        <v>281.33999999999997</v>
      </c>
      <c r="AA344" s="45">
        <f>OrdersRawTable9[[#This Row],[Net_Sales]]-OrdersRawTable9[[#This Row],[Total_Cost]]</f>
        <v>211.66199999999998</v>
      </c>
      <c r="AB344" s="48">
        <f>IF(OrdersRawTable9[[#This Row],[Net_Sales]]=0,0,OrdersRawTable9[[#This Row],[Profit]]/OrdersRawTable9[[#This Row],[Net_Sales]])</f>
        <v>0.42933294388258059</v>
      </c>
      <c r="AC344" s="45" t="str">
        <f>IF(COUNTIF(ReturnsRawTable[Order_Line_ID],OrdersRawTable9[[#This Row],[Order_Line_ID]])&gt;0,"Yes","No")</f>
        <v>No</v>
      </c>
      <c r="AD344" s="45" t="str">
        <f>IFERROR(VLOOKUP(OrdersRawTable9[[#This Row],[Order_Line_ID]],ReturnsRawTable[[#All],[Order_Line_ID]:[Return_Reason_Raw]],3,FALSE),"")</f>
        <v/>
      </c>
      <c r="AE344" s="49" t="str">
        <f>IFERROR(VLOOKUP(OrdersRawTable9[[#This Row],[Order_Line_ID]],ReturnsRawTable[[#All],[Order_Line_ID]:[Return_Date]],2,FALSE),"")</f>
        <v/>
      </c>
      <c r="AF344" s="45" t="str">
        <f>IFERROR(VLOOKUP(OrdersRawTable9[[#This Row],[Order_Line_ID]],ReturnsRawTable[[Order_Line_ID]:[Refund_Status]],4,FALSE),"")</f>
        <v/>
      </c>
      <c r="AG344" s="45" t="str">
        <f>VLOOKUP(OrdersRawTable9[[#This Row],[Order_ID]],ShipmentsTable[],6,FALSE)</f>
        <v>Late</v>
      </c>
      <c r="AH344" s="49">
        <f>VLOOKUP(OrdersRawTable9[[#This Row],[Order_ID]],ShipmentsTable[],3,FALSE)</f>
        <v>46010</v>
      </c>
    </row>
    <row r="345" spans="1:34" ht="15" customHeight="1">
      <c r="A345" s="14" t="s">
        <v>786</v>
      </c>
      <c r="B345" s="10" t="s">
        <v>787</v>
      </c>
      <c r="C345" s="20">
        <v>45837</v>
      </c>
      <c r="D345" s="10" t="s">
        <v>300</v>
      </c>
      <c r="E345" s="10" t="s">
        <v>301</v>
      </c>
      <c r="F345" s="10" t="str">
        <f>TRIM(LEFT(OrdersRawTable9[[#This Row],[Customer_Info]],FIND(",",OrdersRawTable9[[#This Row],[Customer_Info]])-1))</f>
        <v>Daniel Khan</v>
      </c>
      <c r="G34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345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345" s="10">
        <f>LEN(OrdersRawTable9[[#This Row],[Customer_Info]])-LEN(SUBSTITUTE(OrdersRawTable9[[#This Row],[Customer_Info]],",",""))</f>
        <v>2</v>
      </c>
      <c r="J345" s="10" t="s">
        <v>83</v>
      </c>
      <c r="K345" s="23">
        <v>4</v>
      </c>
      <c r="L345" s="26">
        <v>115.28</v>
      </c>
      <c r="M345" s="29">
        <v>0.05</v>
      </c>
      <c r="N345" s="10" t="s">
        <v>70</v>
      </c>
      <c r="O345" s="10" t="str">
        <f>IF(TRIM(OrdersRawTable9[[#This Row],[Sales_Channel_Raw]])="Market place","Marketplace",TRIM(OrdersRawTable9[[#This Row],[Sales_Channel_Raw]]))</f>
        <v>online</v>
      </c>
      <c r="P345" s="10" t="s">
        <v>46</v>
      </c>
      <c r="Q345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45" s="15" t="s">
        <v>47</v>
      </c>
      <c r="S345" t="str">
        <f>VLOOKUP(OrdersRawTable9[[#This Row],[Customer_ID_Raw]],CustomersTable11[],4,FALSE)</f>
        <v>Nova Scotia</v>
      </c>
      <c r="T345" t="str">
        <f>VLOOKUP(OrdersRawTable9[[#This Row],[Customer_ID_Raw]],CustomersTable11[],5,FALSE)</f>
        <v>Small Business</v>
      </c>
      <c r="U345" s="45">
        <f>VLOOKUP(OrdersRawTable9[[#This Row],[Product_ID]],ProductsTable10[],4,FALSE)</f>
        <v>61.65</v>
      </c>
      <c r="V345" t="str">
        <f>VLOOKUP(OrdersRawTable9[[#This Row],[Product_ID]],ProductsTable10[],3,FALSE)</f>
        <v>Office</v>
      </c>
      <c r="W345" s="45">
        <f>OrdersRawTable9[[#This Row],[Unit_Price]]*OrdersRawTable9[[#This Row],[Quantity]]</f>
        <v>461.12</v>
      </c>
      <c r="X345" s="47">
        <f>OrdersRawTable9[[#This Row],[Gross_Sales]]*OrdersRawTable9[[#This Row],[Discount_Pct]]</f>
        <v>23.056000000000001</v>
      </c>
      <c r="Y345" s="45">
        <f>OrdersRawTable9[[#This Row],[Gross_Sales]]-OrdersRawTable9[[#This Row],[Discount_Amount]]</f>
        <v>438.06400000000002</v>
      </c>
      <c r="Z345" s="45">
        <f>OrdersRawTable9[[#This Row],[Unit_Cost]]*OrdersRawTable9[[#This Row],[Quantity]]</f>
        <v>246.6</v>
      </c>
      <c r="AA345" s="45">
        <f>OrdersRawTable9[[#This Row],[Net_Sales]]-OrdersRawTable9[[#This Row],[Total_Cost]]</f>
        <v>191.46400000000003</v>
      </c>
      <c r="AB345" s="48">
        <f>IF(OrdersRawTable9[[#This Row],[Net_Sales]]=0,0,OrdersRawTable9[[#This Row],[Profit]]/OrdersRawTable9[[#This Row],[Net_Sales]])</f>
        <v>0.43706855619270246</v>
      </c>
      <c r="AC345" s="45" t="str">
        <f>IF(COUNTIF(ReturnsRawTable[Order_Line_ID],OrdersRawTable9[[#This Row],[Order_Line_ID]])&gt;0,"Yes","No")</f>
        <v>Yes</v>
      </c>
      <c r="AD345" s="45" t="str">
        <f>IFERROR(VLOOKUP(OrdersRawTable9[[#This Row],[Order_Line_ID]],ReturnsRawTable[[#All],[Order_Line_ID]:[Return_Reason_Raw]],3,FALSE),"")</f>
        <v>Changed Mind</v>
      </c>
      <c r="AE345" s="49">
        <f>IFERROR(VLOOKUP(OrdersRawTable9[[#This Row],[Order_Line_ID]],ReturnsRawTable[[#All],[Order_Line_ID]:[Return_Date]],2,FALSE),"")</f>
        <v>45856</v>
      </c>
      <c r="AF345" s="45" t="str">
        <f>IFERROR(VLOOKUP(OrdersRawTable9[[#This Row],[Order_Line_ID]],ReturnsRawTable[[Order_Line_ID]:[Refund_Status]],4,FALSE),"")</f>
        <v>Refunded</v>
      </c>
      <c r="AG345" s="45" t="str">
        <f>VLOOKUP(OrdersRawTable9[[#This Row],[Order_ID]],ShipmentsTable[],6,FALSE)</f>
        <v>Late</v>
      </c>
      <c r="AH345" s="49">
        <f>VLOOKUP(OrdersRawTable9[[#This Row],[Order_ID]],ShipmentsTable[],3,FALSE)</f>
        <v>45846</v>
      </c>
    </row>
    <row r="346" spans="1:34" ht="15" customHeight="1">
      <c r="A346" s="14" t="s">
        <v>788</v>
      </c>
      <c r="B346" s="10" t="s">
        <v>787</v>
      </c>
      <c r="C346" s="20">
        <v>45837</v>
      </c>
      <c r="D346" s="10" t="s">
        <v>300</v>
      </c>
      <c r="E346" s="10" t="s">
        <v>301</v>
      </c>
      <c r="F346" s="10" t="str">
        <f>TRIM(LEFT(OrdersRawTable9[[#This Row],[Customer_Info]],FIND(",",OrdersRawTable9[[#This Row],[Customer_Info]])-1))</f>
        <v>Daniel Khan</v>
      </c>
      <c r="G34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346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346" s="10">
        <f>LEN(OrdersRawTable9[[#This Row],[Customer_Info]])-LEN(SUBSTITUTE(OrdersRawTable9[[#This Row],[Customer_Info]],",",""))</f>
        <v>2</v>
      </c>
      <c r="J346" s="10" t="s">
        <v>204</v>
      </c>
      <c r="K346" s="23">
        <v>1</v>
      </c>
      <c r="L346" s="26">
        <v>244.25</v>
      </c>
      <c r="M346" s="29">
        <v>0.15</v>
      </c>
      <c r="N346" s="10" t="s">
        <v>64</v>
      </c>
      <c r="O346" s="10" t="str">
        <f>IF(TRIM(OrdersRawTable9[[#This Row],[Sales_Channel_Raw]])="Market place","Marketplace",TRIM(OrdersRawTable9[[#This Row],[Sales_Channel_Raw]]))</f>
        <v>Retail Store</v>
      </c>
      <c r="P346" s="10" t="s">
        <v>58</v>
      </c>
      <c r="Q346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346" s="15" t="s">
        <v>101</v>
      </c>
      <c r="S346" t="str">
        <f>VLOOKUP(OrdersRawTable9[[#This Row],[Customer_ID_Raw]],CustomersTable11[],4,FALSE)</f>
        <v>Nova Scotia</v>
      </c>
      <c r="T346" t="str">
        <f>VLOOKUP(OrdersRawTable9[[#This Row],[Customer_ID_Raw]],CustomersTable11[],5,FALSE)</f>
        <v>Small Business</v>
      </c>
      <c r="U346" s="45">
        <f>VLOOKUP(OrdersRawTable9[[#This Row],[Product_ID]],ProductsTable10[],4,FALSE)</f>
        <v>150.96</v>
      </c>
      <c r="V346" t="str">
        <f>VLOOKUP(OrdersRawTable9[[#This Row],[Product_ID]],ProductsTable10[],3,FALSE)</f>
        <v>Office</v>
      </c>
      <c r="W346" s="45">
        <f>OrdersRawTable9[[#This Row],[Unit_Price]]*OrdersRawTable9[[#This Row],[Quantity]]</f>
        <v>244.25</v>
      </c>
      <c r="X346" s="47">
        <f>OrdersRawTable9[[#This Row],[Gross_Sales]]*OrdersRawTable9[[#This Row],[Discount_Pct]]</f>
        <v>36.637499999999996</v>
      </c>
      <c r="Y346" s="45">
        <f>OrdersRawTable9[[#This Row],[Gross_Sales]]-OrdersRawTable9[[#This Row],[Discount_Amount]]</f>
        <v>207.61250000000001</v>
      </c>
      <c r="Z346" s="45">
        <f>OrdersRawTable9[[#This Row],[Unit_Cost]]*OrdersRawTable9[[#This Row],[Quantity]]</f>
        <v>150.96</v>
      </c>
      <c r="AA346" s="45">
        <f>OrdersRawTable9[[#This Row],[Net_Sales]]-OrdersRawTable9[[#This Row],[Total_Cost]]</f>
        <v>56.652500000000003</v>
      </c>
      <c r="AB346" s="48">
        <f>IF(OrdersRawTable9[[#This Row],[Net_Sales]]=0,0,OrdersRawTable9[[#This Row],[Profit]]/OrdersRawTable9[[#This Row],[Net_Sales]])</f>
        <v>0.27287615148413513</v>
      </c>
      <c r="AC346" s="45" t="str">
        <f>IF(COUNTIF(ReturnsRawTable[Order_Line_ID],OrdersRawTable9[[#This Row],[Order_Line_ID]])&gt;0,"Yes","No")</f>
        <v>No</v>
      </c>
      <c r="AD346" s="45" t="str">
        <f>IFERROR(VLOOKUP(OrdersRawTable9[[#This Row],[Order_Line_ID]],ReturnsRawTable[[#All],[Order_Line_ID]:[Return_Reason_Raw]],3,FALSE),"")</f>
        <v/>
      </c>
      <c r="AE346" s="49" t="str">
        <f>IFERROR(VLOOKUP(OrdersRawTable9[[#This Row],[Order_Line_ID]],ReturnsRawTable[[#All],[Order_Line_ID]:[Return_Date]],2,FALSE),"")</f>
        <v/>
      </c>
      <c r="AF346" s="45" t="str">
        <f>IFERROR(VLOOKUP(OrdersRawTable9[[#This Row],[Order_Line_ID]],ReturnsRawTable[[Order_Line_ID]:[Refund_Status]],4,FALSE),"")</f>
        <v/>
      </c>
      <c r="AG346" s="45" t="str">
        <f>VLOOKUP(OrdersRawTable9[[#This Row],[Order_ID]],ShipmentsTable[],6,FALSE)</f>
        <v>Late</v>
      </c>
      <c r="AH346" s="49">
        <f>VLOOKUP(OrdersRawTable9[[#This Row],[Order_ID]],ShipmentsTable[],3,FALSE)</f>
        <v>45846</v>
      </c>
    </row>
    <row r="347" spans="1:34" ht="15" customHeight="1">
      <c r="A347" s="14" t="s">
        <v>789</v>
      </c>
      <c r="B347" s="10" t="s">
        <v>787</v>
      </c>
      <c r="C347" s="20">
        <v>45837</v>
      </c>
      <c r="D347" s="10" t="s">
        <v>300</v>
      </c>
      <c r="E347" s="10" t="s">
        <v>301</v>
      </c>
      <c r="F347" s="10" t="str">
        <f>TRIM(LEFT(OrdersRawTable9[[#This Row],[Customer_Info]],FIND(",",OrdersRawTable9[[#This Row],[Customer_Info]])-1))</f>
        <v>Daniel Khan</v>
      </c>
      <c r="G34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347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347" s="10">
        <f>LEN(OrdersRawTable9[[#This Row],[Customer_Info]])-LEN(SUBSTITUTE(OrdersRawTable9[[#This Row],[Customer_Info]],",",""))</f>
        <v>2</v>
      </c>
      <c r="J347" s="10" t="s">
        <v>108</v>
      </c>
      <c r="K347" s="23">
        <v>3</v>
      </c>
      <c r="L347" s="26">
        <v>33.369999999999997</v>
      </c>
      <c r="M347" s="29">
        <v>0</v>
      </c>
      <c r="N347" s="10" t="s">
        <v>66</v>
      </c>
      <c r="O347" s="10" t="str">
        <f>IF(TRIM(OrdersRawTable9[[#This Row],[Sales_Channel_Raw]])="Market place","Marketplace",TRIM(OrdersRawTable9[[#This Row],[Sales_Channel_Raw]]))</f>
        <v>Marketplace</v>
      </c>
      <c r="P347" s="10" t="s">
        <v>98</v>
      </c>
      <c r="Q347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347" s="15" t="s">
        <v>101</v>
      </c>
      <c r="S347" t="str">
        <f>VLOOKUP(OrdersRawTable9[[#This Row],[Customer_ID_Raw]],CustomersTable11[],4,FALSE)</f>
        <v>Nova Scotia</v>
      </c>
      <c r="T347" t="str">
        <f>VLOOKUP(OrdersRawTable9[[#This Row],[Customer_ID_Raw]],CustomersTable11[],5,FALSE)</f>
        <v>Small Business</v>
      </c>
      <c r="U347" s="45">
        <f>VLOOKUP(OrdersRawTable9[[#This Row],[Product_ID]],ProductsTable10[],4,FALSE)</f>
        <v>18.670000000000002</v>
      </c>
      <c r="V347" t="str">
        <f>VLOOKUP(OrdersRawTable9[[#This Row],[Product_ID]],ProductsTable10[],3,FALSE)</f>
        <v>Fitness</v>
      </c>
      <c r="W347" s="45">
        <f>OrdersRawTable9[[#This Row],[Unit_Price]]*OrdersRawTable9[[#This Row],[Quantity]]</f>
        <v>100.10999999999999</v>
      </c>
      <c r="X347" s="47">
        <f>OrdersRawTable9[[#This Row],[Gross_Sales]]*OrdersRawTable9[[#This Row],[Discount_Pct]]</f>
        <v>0</v>
      </c>
      <c r="Y347" s="45">
        <f>OrdersRawTable9[[#This Row],[Gross_Sales]]-OrdersRawTable9[[#This Row],[Discount_Amount]]</f>
        <v>100.10999999999999</v>
      </c>
      <c r="Z347" s="45">
        <f>OrdersRawTable9[[#This Row],[Unit_Cost]]*OrdersRawTable9[[#This Row],[Quantity]]</f>
        <v>56.010000000000005</v>
      </c>
      <c r="AA347" s="45">
        <f>OrdersRawTable9[[#This Row],[Net_Sales]]-OrdersRawTable9[[#This Row],[Total_Cost]]</f>
        <v>44.09999999999998</v>
      </c>
      <c r="AB347" s="48">
        <f>IF(OrdersRawTable9[[#This Row],[Net_Sales]]=0,0,OrdersRawTable9[[#This Row],[Profit]]/OrdersRawTable9[[#This Row],[Net_Sales]])</f>
        <v>0.44051543302367385</v>
      </c>
      <c r="AC347" s="45" t="str">
        <f>IF(COUNTIF(ReturnsRawTable[Order_Line_ID],OrdersRawTable9[[#This Row],[Order_Line_ID]])&gt;0,"Yes","No")</f>
        <v>No</v>
      </c>
      <c r="AD347" s="45" t="str">
        <f>IFERROR(VLOOKUP(OrdersRawTable9[[#This Row],[Order_Line_ID]],ReturnsRawTable[[#All],[Order_Line_ID]:[Return_Reason_Raw]],3,FALSE),"")</f>
        <v/>
      </c>
      <c r="AE347" s="49" t="str">
        <f>IFERROR(VLOOKUP(OrdersRawTable9[[#This Row],[Order_Line_ID]],ReturnsRawTable[[#All],[Order_Line_ID]:[Return_Date]],2,FALSE),"")</f>
        <v/>
      </c>
      <c r="AF347" s="45" t="str">
        <f>IFERROR(VLOOKUP(OrdersRawTable9[[#This Row],[Order_Line_ID]],ReturnsRawTable[[Order_Line_ID]:[Refund_Status]],4,FALSE),"")</f>
        <v/>
      </c>
      <c r="AG347" s="45" t="str">
        <f>VLOOKUP(OrdersRawTable9[[#This Row],[Order_ID]],ShipmentsTable[],6,FALSE)</f>
        <v>Late</v>
      </c>
      <c r="AH347" s="49">
        <f>VLOOKUP(OrdersRawTable9[[#This Row],[Order_ID]],ShipmentsTable[],3,FALSE)</f>
        <v>45846</v>
      </c>
    </row>
    <row r="348" spans="1:34" ht="15" customHeight="1">
      <c r="A348" s="14" t="s">
        <v>790</v>
      </c>
      <c r="B348" s="10" t="s">
        <v>791</v>
      </c>
      <c r="C348" s="20">
        <v>45934</v>
      </c>
      <c r="D348" s="10" t="s">
        <v>389</v>
      </c>
      <c r="E348" s="10" t="s">
        <v>390</v>
      </c>
      <c r="F348" s="10" t="str">
        <f>TRIM(LEFT(OrdersRawTable9[[#This Row],[Customer_Info]],FIND(",",OrdersRawTable9[[#This Row],[Customer_Info]])-1))</f>
        <v>Adam Dubois</v>
      </c>
      <c r="G34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348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348" s="10">
        <f>LEN(OrdersRawTable9[[#This Row],[Customer_Info]])-LEN(SUBSTITUTE(OrdersRawTable9[[#This Row],[Customer_Info]],",",""))</f>
        <v>2</v>
      </c>
      <c r="J348" s="10" t="s">
        <v>251</v>
      </c>
      <c r="K348" s="23">
        <v>2</v>
      </c>
      <c r="L348" s="26">
        <v>228.91</v>
      </c>
      <c r="M348" s="29">
        <v>0.1</v>
      </c>
      <c r="N348" s="10" t="s">
        <v>50</v>
      </c>
      <c r="O348" s="10" t="str">
        <f>IF(TRIM(OrdersRawTable9[[#This Row],[Sales_Channel_Raw]])="Market place","Marketplace",TRIM(OrdersRawTable9[[#This Row],[Sales_Channel_Raw]]))</f>
        <v>Marketplace</v>
      </c>
      <c r="P348" s="10" t="s">
        <v>46</v>
      </c>
      <c r="Q348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48" s="15" t="s">
        <v>42</v>
      </c>
      <c r="S348" t="str">
        <f>VLOOKUP(OrdersRawTable9[[#This Row],[Customer_ID_Raw]],CustomersTable11[],4,FALSE)</f>
        <v>Alberta</v>
      </c>
      <c r="T348" t="str">
        <f>VLOOKUP(OrdersRawTable9[[#This Row],[Customer_ID_Raw]],CustomersTable11[],5,FALSE)</f>
        <v>Small Business</v>
      </c>
      <c r="U348" s="45">
        <f>VLOOKUP(OrdersRawTable9[[#This Row],[Product_ID]],ProductsTable10[],4,FALSE)</f>
        <v>149.4</v>
      </c>
      <c r="V348" t="str">
        <f>VLOOKUP(OrdersRawTable9[[#This Row],[Product_ID]],ProductsTable10[],3,FALSE)</f>
        <v>Office</v>
      </c>
      <c r="W348" s="45">
        <f>OrdersRawTable9[[#This Row],[Unit_Price]]*OrdersRawTable9[[#This Row],[Quantity]]</f>
        <v>457.82</v>
      </c>
      <c r="X348" s="47">
        <f>OrdersRawTable9[[#This Row],[Gross_Sales]]*OrdersRawTable9[[#This Row],[Discount_Pct]]</f>
        <v>45.782000000000004</v>
      </c>
      <c r="Y348" s="45">
        <f>OrdersRawTable9[[#This Row],[Gross_Sales]]-OrdersRawTable9[[#This Row],[Discount_Amount]]</f>
        <v>412.03800000000001</v>
      </c>
      <c r="Z348" s="45">
        <f>OrdersRawTable9[[#This Row],[Unit_Cost]]*OrdersRawTable9[[#This Row],[Quantity]]</f>
        <v>298.8</v>
      </c>
      <c r="AA348" s="45">
        <f>OrdersRawTable9[[#This Row],[Net_Sales]]-OrdersRawTable9[[#This Row],[Total_Cost]]</f>
        <v>113.238</v>
      </c>
      <c r="AB348" s="48">
        <f>IF(OrdersRawTable9[[#This Row],[Net_Sales]]=0,0,OrdersRawTable9[[#This Row],[Profit]]/OrdersRawTable9[[#This Row],[Net_Sales]])</f>
        <v>0.27482416670307108</v>
      </c>
      <c r="AC348" s="45" t="str">
        <f>IF(COUNTIF(ReturnsRawTable[Order_Line_ID],OrdersRawTable9[[#This Row],[Order_Line_ID]])&gt;0,"Yes","No")</f>
        <v>No</v>
      </c>
      <c r="AD348" s="45" t="str">
        <f>IFERROR(VLOOKUP(OrdersRawTable9[[#This Row],[Order_Line_ID]],ReturnsRawTable[[#All],[Order_Line_ID]:[Return_Reason_Raw]],3,FALSE),"")</f>
        <v/>
      </c>
      <c r="AE348" s="49" t="str">
        <f>IFERROR(VLOOKUP(OrdersRawTable9[[#This Row],[Order_Line_ID]],ReturnsRawTable[[#All],[Order_Line_ID]:[Return_Date]],2,FALSE),"")</f>
        <v/>
      </c>
      <c r="AF348" s="45" t="str">
        <f>IFERROR(VLOOKUP(OrdersRawTable9[[#This Row],[Order_Line_ID]],ReturnsRawTable[[Order_Line_ID]:[Refund_Status]],4,FALSE),"")</f>
        <v/>
      </c>
      <c r="AG348" s="45" t="str">
        <f>VLOOKUP(OrdersRawTable9[[#This Row],[Order_ID]],ShipmentsTable[],6,FALSE)</f>
        <v>Late</v>
      </c>
      <c r="AH348" s="49">
        <f>VLOOKUP(OrdersRawTable9[[#This Row],[Order_ID]],ShipmentsTable[],3,FALSE)</f>
        <v>45939</v>
      </c>
    </row>
    <row r="349" spans="1:34" ht="15" customHeight="1">
      <c r="A349" s="14" t="s">
        <v>792</v>
      </c>
      <c r="B349" s="10" t="s">
        <v>791</v>
      </c>
      <c r="C349" s="20">
        <v>45934</v>
      </c>
      <c r="D349" s="10" t="s">
        <v>389</v>
      </c>
      <c r="E349" s="10" t="s">
        <v>390</v>
      </c>
      <c r="F349" s="10" t="str">
        <f>TRIM(LEFT(OrdersRawTable9[[#This Row],[Customer_Info]],FIND(",",OrdersRawTable9[[#This Row],[Customer_Info]])-1))</f>
        <v>Adam Dubois</v>
      </c>
      <c r="G34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349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349" s="10">
        <f>LEN(OrdersRawTable9[[#This Row],[Customer_Info]])-LEN(SUBSTITUTE(OrdersRawTable9[[#This Row],[Customer_Info]],",",""))</f>
        <v>2</v>
      </c>
      <c r="J349" s="10" t="s">
        <v>57</v>
      </c>
      <c r="K349" s="23">
        <v>2</v>
      </c>
      <c r="L349" s="26">
        <v>208.81</v>
      </c>
      <c r="M349" s="29">
        <v>0.15</v>
      </c>
      <c r="N349" s="10" t="s">
        <v>45</v>
      </c>
      <c r="O349" s="10" t="str">
        <f>IF(TRIM(OrdersRawTable9[[#This Row],[Sales_Channel_Raw]])="Market place","Marketplace",TRIM(OrdersRawTable9[[#This Row],[Sales_Channel_Raw]]))</f>
        <v>Retail Store</v>
      </c>
      <c r="P349" s="10" t="s">
        <v>51</v>
      </c>
      <c r="Q349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349" s="15" t="s">
        <v>67</v>
      </c>
      <c r="S349" t="str">
        <f>VLOOKUP(OrdersRawTable9[[#This Row],[Customer_ID_Raw]],CustomersTable11[],4,FALSE)</f>
        <v>Alberta</v>
      </c>
      <c r="T349" t="str">
        <f>VLOOKUP(OrdersRawTable9[[#This Row],[Customer_ID_Raw]],CustomersTable11[],5,FALSE)</f>
        <v>Small Business</v>
      </c>
      <c r="U349" s="45">
        <f>VLOOKUP(OrdersRawTable9[[#This Row],[Product_ID]],ProductsTable10[],4,FALSE)</f>
        <v>139.04</v>
      </c>
      <c r="V349" t="str">
        <f>VLOOKUP(OrdersRawTable9[[#This Row],[Product_ID]],ProductsTable10[],3,FALSE)</f>
        <v>Fitness</v>
      </c>
      <c r="W349" s="45">
        <f>OrdersRawTable9[[#This Row],[Unit_Price]]*OrdersRawTable9[[#This Row],[Quantity]]</f>
        <v>417.62</v>
      </c>
      <c r="X349" s="47">
        <f>OrdersRawTable9[[#This Row],[Gross_Sales]]*OrdersRawTable9[[#This Row],[Discount_Pct]]</f>
        <v>62.643000000000001</v>
      </c>
      <c r="Y349" s="45">
        <f>OrdersRawTable9[[#This Row],[Gross_Sales]]-OrdersRawTable9[[#This Row],[Discount_Amount]]</f>
        <v>354.97699999999998</v>
      </c>
      <c r="Z349" s="45">
        <f>OrdersRawTable9[[#This Row],[Unit_Cost]]*OrdersRawTable9[[#This Row],[Quantity]]</f>
        <v>278.08</v>
      </c>
      <c r="AA349" s="45">
        <f>OrdersRawTable9[[#This Row],[Net_Sales]]-OrdersRawTable9[[#This Row],[Total_Cost]]</f>
        <v>76.896999999999991</v>
      </c>
      <c r="AB349" s="48">
        <f>IF(OrdersRawTable9[[#This Row],[Net_Sales]]=0,0,OrdersRawTable9[[#This Row],[Profit]]/OrdersRawTable9[[#This Row],[Net_Sales]])</f>
        <v>0.2166253024843863</v>
      </c>
      <c r="AC349" s="45" t="str">
        <f>IF(COUNTIF(ReturnsRawTable[Order_Line_ID],OrdersRawTable9[[#This Row],[Order_Line_ID]])&gt;0,"Yes","No")</f>
        <v>No</v>
      </c>
      <c r="AD349" s="45" t="str">
        <f>IFERROR(VLOOKUP(OrdersRawTable9[[#This Row],[Order_Line_ID]],ReturnsRawTable[[#All],[Order_Line_ID]:[Return_Reason_Raw]],3,FALSE),"")</f>
        <v/>
      </c>
      <c r="AE349" s="49" t="str">
        <f>IFERROR(VLOOKUP(OrdersRawTable9[[#This Row],[Order_Line_ID]],ReturnsRawTable[[#All],[Order_Line_ID]:[Return_Date]],2,FALSE),"")</f>
        <v/>
      </c>
      <c r="AF349" s="45" t="str">
        <f>IFERROR(VLOOKUP(OrdersRawTable9[[#This Row],[Order_Line_ID]],ReturnsRawTable[[Order_Line_ID]:[Refund_Status]],4,FALSE),"")</f>
        <v/>
      </c>
      <c r="AG349" s="45" t="str">
        <f>VLOOKUP(OrdersRawTable9[[#This Row],[Order_ID]],ShipmentsTable[],6,FALSE)</f>
        <v>Late</v>
      </c>
      <c r="AH349" s="49">
        <f>VLOOKUP(OrdersRawTable9[[#This Row],[Order_ID]],ShipmentsTable[],3,FALSE)</f>
        <v>45939</v>
      </c>
    </row>
    <row r="350" spans="1:34" ht="15" customHeight="1">
      <c r="A350" s="14" t="s">
        <v>793</v>
      </c>
      <c r="B350" s="10" t="s">
        <v>794</v>
      </c>
      <c r="C350" s="20">
        <v>45964</v>
      </c>
      <c r="D350" s="10" t="s">
        <v>638</v>
      </c>
      <c r="E350" s="10" t="s">
        <v>639</v>
      </c>
      <c r="F350" s="10" t="str">
        <f>TRIM(LEFT(OrdersRawTable9[[#This Row],[Customer_Info]],FIND(",",OrdersRawTable9[[#This Row],[Customer_Info]])-1))</f>
        <v>Emma Brown</v>
      </c>
      <c r="G35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350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350" s="10">
        <f>LEN(OrdersRawTable9[[#This Row],[Customer_Info]])-LEN(SUBSTITUTE(OrdersRawTable9[[#This Row],[Customer_Info]],",",""))</f>
        <v>2</v>
      </c>
      <c r="J350" s="10" t="s">
        <v>150</v>
      </c>
      <c r="K350" s="23">
        <v>3</v>
      </c>
      <c r="L350" s="26">
        <v>263.04000000000002</v>
      </c>
      <c r="M350" s="29">
        <v>0</v>
      </c>
      <c r="N350" s="10" t="s">
        <v>50</v>
      </c>
      <c r="O350" s="10" t="str">
        <f>IF(TRIM(OrdersRawTable9[[#This Row],[Sales_Channel_Raw]])="Market place","Marketplace",TRIM(OrdersRawTable9[[#This Row],[Sales_Channel_Raw]]))</f>
        <v>Marketplace</v>
      </c>
      <c r="P350" s="10" t="s">
        <v>98</v>
      </c>
      <c r="Q350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350" s="15" t="s">
        <v>52</v>
      </c>
      <c r="S350" t="str">
        <f>VLOOKUP(OrdersRawTable9[[#This Row],[Customer_ID_Raw]],CustomersTable11[],4,FALSE)</f>
        <v>British Columbia</v>
      </c>
      <c r="T350" t="str">
        <f>VLOOKUP(OrdersRawTable9[[#This Row],[Customer_ID_Raw]],CustomersTable11[],5,FALSE)</f>
        <v>Corporate</v>
      </c>
      <c r="U350" s="45">
        <f>VLOOKUP(OrdersRawTable9[[#This Row],[Product_ID]],ProductsTable10[],4,FALSE)</f>
        <v>161.84</v>
      </c>
      <c r="V350" t="str">
        <f>VLOOKUP(OrdersRawTable9[[#This Row],[Product_ID]],ProductsTable10[],3,FALSE)</f>
        <v>Office</v>
      </c>
      <c r="W350" s="45">
        <f>OrdersRawTable9[[#This Row],[Unit_Price]]*OrdersRawTable9[[#This Row],[Quantity]]</f>
        <v>789.12000000000012</v>
      </c>
      <c r="X350" s="47">
        <f>OrdersRawTable9[[#This Row],[Gross_Sales]]*OrdersRawTable9[[#This Row],[Discount_Pct]]</f>
        <v>0</v>
      </c>
      <c r="Y350" s="45">
        <f>OrdersRawTable9[[#This Row],[Gross_Sales]]-OrdersRawTable9[[#This Row],[Discount_Amount]]</f>
        <v>789.12000000000012</v>
      </c>
      <c r="Z350" s="45">
        <f>OrdersRawTable9[[#This Row],[Unit_Cost]]*OrdersRawTable9[[#This Row],[Quantity]]</f>
        <v>485.52</v>
      </c>
      <c r="AA350" s="45">
        <f>OrdersRawTable9[[#This Row],[Net_Sales]]-OrdersRawTable9[[#This Row],[Total_Cost]]</f>
        <v>303.60000000000014</v>
      </c>
      <c r="AB350" s="48">
        <f>IF(OrdersRawTable9[[#This Row],[Net_Sales]]=0,0,OrdersRawTable9[[#This Row],[Profit]]/OrdersRawTable9[[#This Row],[Net_Sales]])</f>
        <v>0.3847323600973237</v>
      </c>
      <c r="AC350" s="45" t="str">
        <f>IF(COUNTIF(ReturnsRawTable[Order_Line_ID],OrdersRawTable9[[#This Row],[Order_Line_ID]])&gt;0,"Yes","No")</f>
        <v>No</v>
      </c>
      <c r="AD350" s="45" t="str">
        <f>IFERROR(VLOOKUP(OrdersRawTable9[[#This Row],[Order_Line_ID]],ReturnsRawTable[[#All],[Order_Line_ID]:[Return_Reason_Raw]],3,FALSE),"")</f>
        <v/>
      </c>
      <c r="AE350" s="49" t="str">
        <f>IFERROR(VLOOKUP(OrdersRawTable9[[#This Row],[Order_Line_ID]],ReturnsRawTable[[#All],[Order_Line_ID]:[Return_Date]],2,FALSE),"")</f>
        <v/>
      </c>
      <c r="AF350" s="45" t="str">
        <f>IFERROR(VLOOKUP(OrdersRawTable9[[#This Row],[Order_Line_ID]],ReturnsRawTable[[Order_Line_ID]:[Refund_Status]],4,FALSE),"")</f>
        <v/>
      </c>
      <c r="AG350" s="45" t="str">
        <f>VLOOKUP(OrdersRawTable9[[#This Row],[Order_ID]],ShipmentsTable[],6,FALSE)</f>
        <v>On time</v>
      </c>
      <c r="AH350" s="49">
        <f>VLOOKUP(OrdersRawTable9[[#This Row],[Order_ID]],ShipmentsTable[],3,FALSE)</f>
        <v>45968</v>
      </c>
    </row>
    <row r="351" spans="1:34" ht="15" customHeight="1">
      <c r="A351" s="14" t="s">
        <v>795</v>
      </c>
      <c r="B351" s="10" t="s">
        <v>794</v>
      </c>
      <c r="C351" s="20">
        <v>45964</v>
      </c>
      <c r="D351" s="10" t="s">
        <v>638</v>
      </c>
      <c r="E351" s="10" t="s">
        <v>639</v>
      </c>
      <c r="F351" s="10" t="str">
        <f>TRIM(LEFT(OrdersRawTable9[[#This Row],[Customer_Info]],FIND(",",OrdersRawTable9[[#This Row],[Customer_Info]])-1))</f>
        <v>Emma Brown</v>
      </c>
      <c r="G35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351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351" s="10">
        <f>LEN(OrdersRawTable9[[#This Row],[Customer_Info]])-LEN(SUBSTITUTE(OrdersRawTable9[[#This Row],[Customer_Info]],",",""))</f>
        <v>2</v>
      </c>
      <c r="J351" s="10" t="s">
        <v>251</v>
      </c>
      <c r="K351" s="23">
        <v>1</v>
      </c>
      <c r="L351" s="26">
        <v>228.91</v>
      </c>
      <c r="M351" s="29">
        <v>0</v>
      </c>
      <c r="N351" s="10" t="s">
        <v>70</v>
      </c>
      <c r="O351" s="10" t="str">
        <f>IF(TRIM(OrdersRawTable9[[#This Row],[Sales_Channel_Raw]])="Market place","Marketplace",TRIM(OrdersRawTable9[[#This Row],[Sales_Channel_Raw]]))</f>
        <v>online</v>
      </c>
      <c r="P351" s="10" t="s">
        <v>46</v>
      </c>
      <c r="Q351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51" s="15" t="s">
        <v>42</v>
      </c>
      <c r="S351" t="str">
        <f>VLOOKUP(OrdersRawTable9[[#This Row],[Customer_ID_Raw]],CustomersTable11[],4,FALSE)</f>
        <v>British Columbia</v>
      </c>
      <c r="T351" t="str">
        <f>VLOOKUP(OrdersRawTable9[[#This Row],[Customer_ID_Raw]],CustomersTable11[],5,FALSE)</f>
        <v>Corporate</v>
      </c>
      <c r="U351" s="45">
        <f>VLOOKUP(OrdersRawTable9[[#This Row],[Product_ID]],ProductsTable10[],4,FALSE)</f>
        <v>149.4</v>
      </c>
      <c r="V351" t="str">
        <f>VLOOKUP(OrdersRawTable9[[#This Row],[Product_ID]],ProductsTable10[],3,FALSE)</f>
        <v>Office</v>
      </c>
      <c r="W351" s="45">
        <f>OrdersRawTable9[[#This Row],[Unit_Price]]*OrdersRawTable9[[#This Row],[Quantity]]</f>
        <v>228.91</v>
      </c>
      <c r="X351" s="47">
        <f>OrdersRawTable9[[#This Row],[Gross_Sales]]*OrdersRawTable9[[#This Row],[Discount_Pct]]</f>
        <v>0</v>
      </c>
      <c r="Y351" s="45">
        <f>OrdersRawTable9[[#This Row],[Gross_Sales]]-OrdersRawTable9[[#This Row],[Discount_Amount]]</f>
        <v>228.91</v>
      </c>
      <c r="Z351" s="45">
        <f>OrdersRawTable9[[#This Row],[Unit_Cost]]*OrdersRawTable9[[#This Row],[Quantity]]</f>
        <v>149.4</v>
      </c>
      <c r="AA351" s="45">
        <f>OrdersRawTable9[[#This Row],[Net_Sales]]-OrdersRawTable9[[#This Row],[Total_Cost]]</f>
        <v>79.509999999999991</v>
      </c>
      <c r="AB351" s="48">
        <f>IF(OrdersRawTable9[[#This Row],[Net_Sales]]=0,0,OrdersRawTable9[[#This Row],[Profit]]/OrdersRawTable9[[#This Row],[Net_Sales]])</f>
        <v>0.34734175003276391</v>
      </c>
      <c r="AC351" s="45" t="str">
        <f>IF(COUNTIF(ReturnsRawTable[Order_Line_ID],OrdersRawTable9[[#This Row],[Order_Line_ID]])&gt;0,"Yes","No")</f>
        <v>Yes</v>
      </c>
      <c r="AD351" s="45" t="str">
        <f>IFERROR(VLOOKUP(OrdersRawTable9[[#This Row],[Order_Line_ID]],ReturnsRawTable[[#All],[Order_Line_ID]:[Return_Reason_Raw]],3,FALSE),"")</f>
        <v>Wrong item</v>
      </c>
      <c r="AE351" s="49">
        <f>IFERROR(VLOOKUP(OrdersRawTable9[[#This Row],[Order_Line_ID]],ReturnsRawTable[[#All],[Order_Line_ID]:[Return_Date]],2,FALSE),"")</f>
        <v>45982</v>
      </c>
      <c r="AF351" s="45" t="str">
        <f>IFERROR(VLOOKUP(OrdersRawTable9[[#This Row],[Order_Line_ID]],ReturnsRawTable[[Order_Line_ID]:[Refund_Status]],4,FALSE),"")</f>
        <v>Refunded</v>
      </c>
      <c r="AG351" s="45" t="str">
        <f>VLOOKUP(OrdersRawTable9[[#This Row],[Order_ID]],ShipmentsTable[],6,FALSE)</f>
        <v>On time</v>
      </c>
      <c r="AH351" s="49">
        <f>VLOOKUP(OrdersRawTable9[[#This Row],[Order_ID]],ShipmentsTable[],3,FALSE)</f>
        <v>45968</v>
      </c>
    </row>
    <row r="352" spans="1:34" ht="15" customHeight="1">
      <c r="A352" s="14" t="s">
        <v>796</v>
      </c>
      <c r="B352" s="10" t="s">
        <v>794</v>
      </c>
      <c r="C352" s="20">
        <v>45964</v>
      </c>
      <c r="D352" s="10" t="s">
        <v>638</v>
      </c>
      <c r="E352" s="10" t="s">
        <v>639</v>
      </c>
      <c r="F352" s="10" t="str">
        <f>TRIM(LEFT(OrdersRawTable9[[#This Row],[Customer_Info]],FIND(",",OrdersRawTable9[[#This Row],[Customer_Info]])-1))</f>
        <v>Emma Brown</v>
      </c>
      <c r="G35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352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352" s="10">
        <f>LEN(OrdersRawTable9[[#This Row],[Customer_Info]])-LEN(SUBSTITUTE(OrdersRawTable9[[#This Row],[Customer_Info]],",",""))</f>
        <v>2</v>
      </c>
      <c r="J352" s="10" t="s">
        <v>72</v>
      </c>
      <c r="K352" s="23">
        <v>2</v>
      </c>
      <c r="L352" s="26">
        <v>210.2</v>
      </c>
      <c r="M352" s="29">
        <v>0.15</v>
      </c>
      <c r="N352" s="10" t="s">
        <v>40</v>
      </c>
      <c r="O352" s="10" t="str">
        <f>IF(TRIM(OrdersRawTable9[[#This Row],[Sales_Channel_Raw]])="Market place","Marketplace",TRIM(OrdersRawTable9[[#This Row],[Sales_Channel_Raw]]))</f>
        <v>Online</v>
      </c>
      <c r="P352" s="10" t="s">
        <v>41</v>
      </c>
      <c r="Q352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52" s="15" t="s">
        <v>52</v>
      </c>
      <c r="S352" t="str">
        <f>VLOOKUP(OrdersRawTable9[[#This Row],[Customer_ID_Raw]],CustomersTable11[],4,FALSE)</f>
        <v>British Columbia</v>
      </c>
      <c r="T352" t="str">
        <f>VLOOKUP(OrdersRawTable9[[#This Row],[Customer_ID_Raw]],CustomersTable11[],5,FALSE)</f>
        <v>Corporate</v>
      </c>
      <c r="U352" s="45">
        <f>VLOOKUP(OrdersRawTable9[[#This Row],[Product_ID]],ProductsTable10[],4,FALSE)</f>
        <v>136.25</v>
      </c>
      <c r="V352" t="str">
        <f>VLOOKUP(OrdersRawTable9[[#This Row],[Product_ID]],ProductsTable10[],3,FALSE)</f>
        <v>Fitness</v>
      </c>
      <c r="W352" s="45">
        <f>OrdersRawTable9[[#This Row],[Unit_Price]]*OrdersRawTable9[[#This Row],[Quantity]]</f>
        <v>420.4</v>
      </c>
      <c r="X352" s="47">
        <f>OrdersRawTable9[[#This Row],[Gross_Sales]]*OrdersRawTable9[[#This Row],[Discount_Pct]]</f>
        <v>63.059999999999995</v>
      </c>
      <c r="Y352" s="45">
        <f>OrdersRawTable9[[#This Row],[Gross_Sales]]-OrdersRawTable9[[#This Row],[Discount_Amount]]</f>
        <v>357.34</v>
      </c>
      <c r="Z352" s="45">
        <f>OrdersRawTable9[[#This Row],[Unit_Cost]]*OrdersRawTable9[[#This Row],[Quantity]]</f>
        <v>272.5</v>
      </c>
      <c r="AA352" s="45">
        <f>OrdersRawTable9[[#This Row],[Net_Sales]]-OrdersRawTable9[[#This Row],[Total_Cost]]</f>
        <v>84.839999999999975</v>
      </c>
      <c r="AB352" s="48">
        <f>IF(OrdersRawTable9[[#This Row],[Net_Sales]]=0,0,OrdersRawTable9[[#This Row],[Profit]]/OrdersRawTable9[[#This Row],[Net_Sales]])</f>
        <v>0.23742094363911115</v>
      </c>
      <c r="AC352" s="45" t="str">
        <f>IF(COUNTIF(ReturnsRawTable[Order_Line_ID],OrdersRawTable9[[#This Row],[Order_Line_ID]])&gt;0,"Yes","No")</f>
        <v>Yes</v>
      </c>
      <c r="AD352" s="45" t="str">
        <f>IFERROR(VLOOKUP(OrdersRawTable9[[#This Row],[Order_Line_ID]],ReturnsRawTable[[#All],[Order_Line_ID]:[Return_Reason_Raw]],3,FALSE),"")</f>
        <v>Wrong item</v>
      </c>
      <c r="AE352" s="49">
        <f>IFERROR(VLOOKUP(OrdersRawTable9[[#This Row],[Order_Line_ID]],ReturnsRawTable[[#All],[Order_Line_ID]:[Return_Date]],2,FALSE),"")</f>
        <v>45972</v>
      </c>
      <c r="AF352" s="45" t="str">
        <f>IFERROR(VLOOKUP(OrdersRawTable9[[#This Row],[Order_Line_ID]],ReturnsRawTable[[Order_Line_ID]:[Refund_Status]],4,FALSE),"")</f>
        <v>Refunded</v>
      </c>
      <c r="AG352" s="45" t="str">
        <f>VLOOKUP(OrdersRawTable9[[#This Row],[Order_ID]],ShipmentsTable[],6,FALSE)</f>
        <v>On time</v>
      </c>
      <c r="AH352" s="49">
        <f>VLOOKUP(OrdersRawTable9[[#This Row],[Order_ID]],ShipmentsTable[],3,FALSE)</f>
        <v>45968</v>
      </c>
    </row>
    <row r="353" spans="1:34" ht="15" customHeight="1">
      <c r="A353" s="14" t="s">
        <v>797</v>
      </c>
      <c r="B353" s="10" t="s">
        <v>794</v>
      </c>
      <c r="C353" s="20">
        <v>45964</v>
      </c>
      <c r="D353" s="10" t="s">
        <v>638</v>
      </c>
      <c r="E353" s="10" t="s">
        <v>639</v>
      </c>
      <c r="F353" s="10" t="str">
        <f>TRIM(LEFT(OrdersRawTable9[[#This Row],[Customer_Info]],FIND(",",OrdersRawTable9[[#This Row],[Customer_Info]])-1))</f>
        <v>Emma Brown</v>
      </c>
      <c r="G35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353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353" s="10">
        <f>LEN(OrdersRawTable9[[#This Row],[Customer_Info]])-LEN(SUBSTITUTE(OrdersRawTable9[[#This Row],[Customer_Info]],",",""))</f>
        <v>2</v>
      </c>
      <c r="J353" s="10" t="s">
        <v>178</v>
      </c>
      <c r="K353" s="23">
        <v>3</v>
      </c>
      <c r="L353" s="26">
        <v>61.81</v>
      </c>
      <c r="M353" s="29">
        <v>0.05</v>
      </c>
      <c r="N353" s="10" t="s">
        <v>45</v>
      </c>
      <c r="O353" s="10" t="str">
        <f>IF(TRIM(OrdersRawTable9[[#This Row],[Sales_Channel_Raw]])="Market place","Marketplace",TRIM(OrdersRawTable9[[#This Row],[Sales_Channel_Raw]]))</f>
        <v>Retail Store</v>
      </c>
      <c r="P353" s="10" t="s">
        <v>41</v>
      </c>
      <c r="Q353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53" s="15" t="s">
        <v>67</v>
      </c>
      <c r="S353" t="str">
        <f>VLOOKUP(OrdersRawTable9[[#This Row],[Customer_ID_Raw]],CustomersTable11[],4,FALSE)</f>
        <v>British Columbia</v>
      </c>
      <c r="T353" t="str">
        <f>VLOOKUP(OrdersRawTable9[[#This Row],[Customer_ID_Raw]],CustomersTable11[],5,FALSE)</f>
        <v>Corporate</v>
      </c>
      <c r="U353" s="45">
        <f>VLOOKUP(OrdersRawTable9[[#This Row],[Product_ID]],ProductsTable10[],4,FALSE)</f>
        <v>33.19</v>
      </c>
      <c r="V353" t="str">
        <f>VLOOKUP(OrdersRawTable9[[#This Row],[Product_ID]],ProductsTable10[],3,FALSE)</f>
        <v>Office</v>
      </c>
      <c r="W353" s="45">
        <f>OrdersRawTable9[[#This Row],[Unit_Price]]*OrdersRawTable9[[#This Row],[Quantity]]</f>
        <v>185.43</v>
      </c>
      <c r="X353" s="47">
        <f>OrdersRawTable9[[#This Row],[Gross_Sales]]*OrdersRawTable9[[#This Row],[Discount_Pct]]</f>
        <v>9.2715000000000014</v>
      </c>
      <c r="Y353" s="45">
        <f>OrdersRawTable9[[#This Row],[Gross_Sales]]-OrdersRawTable9[[#This Row],[Discount_Amount]]</f>
        <v>176.1585</v>
      </c>
      <c r="Z353" s="45">
        <f>OrdersRawTable9[[#This Row],[Unit_Cost]]*OrdersRawTable9[[#This Row],[Quantity]]</f>
        <v>99.57</v>
      </c>
      <c r="AA353" s="45">
        <f>OrdersRawTable9[[#This Row],[Net_Sales]]-OrdersRawTable9[[#This Row],[Total_Cost]]</f>
        <v>76.58850000000001</v>
      </c>
      <c r="AB353" s="48">
        <f>IF(OrdersRawTable9[[#This Row],[Net_Sales]]=0,0,OrdersRawTable9[[#This Row],[Profit]]/OrdersRawTable9[[#This Row],[Net_Sales]])</f>
        <v>0.43477039143725682</v>
      </c>
      <c r="AC353" s="45" t="str">
        <f>IF(COUNTIF(ReturnsRawTable[Order_Line_ID],OrdersRawTable9[[#This Row],[Order_Line_ID]])&gt;0,"Yes","No")</f>
        <v>No</v>
      </c>
      <c r="AD353" s="45" t="str">
        <f>IFERROR(VLOOKUP(OrdersRawTable9[[#This Row],[Order_Line_ID]],ReturnsRawTable[[#All],[Order_Line_ID]:[Return_Reason_Raw]],3,FALSE),"")</f>
        <v/>
      </c>
      <c r="AE353" s="49" t="str">
        <f>IFERROR(VLOOKUP(OrdersRawTable9[[#This Row],[Order_Line_ID]],ReturnsRawTable[[#All],[Order_Line_ID]:[Return_Date]],2,FALSE),"")</f>
        <v/>
      </c>
      <c r="AF353" s="45" t="str">
        <f>IFERROR(VLOOKUP(OrdersRawTable9[[#This Row],[Order_Line_ID]],ReturnsRawTable[[Order_Line_ID]:[Refund_Status]],4,FALSE),"")</f>
        <v/>
      </c>
      <c r="AG353" s="45" t="str">
        <f>VLOOKUP(OrdersRawTable9[[#This Row],[Order_ID]],ShipmentsTable[],6,FALSE)</f>
        <v>On time</v>
      </c>
      <c r="AH353" s="49">
        <f>VLOOKUP(OrdersRawTable9[[#This Row],[Order_ID]],ShipmentsTable[],3,FALSE)</f>
        <v>45968</v>
      </c>
    </row>
    <row r="354" spans="1:34" ht="15" customHeight="1">
      <c r="A354" s="14" t="s">
        <v>798</v>
      </c>
      <c r="B354" s="10" t="s">
        <v>799</v>
      </c>
      <c r="C354" s="20">
        <v>45709</v>
      </c>
      <c r="D354" s="10" t="s">
        <v>155</v>
      </c>
      <c r="E354" s="10" t="s">
        <v>156</v>
      </c>
      <c r="F354" s="10" t="str">
        <f>TRIM(LEFT(OrdersRawTable9[[#This Row],[Customer_Info]],FIND(",",OrdersRawTable9[[#This Row],[Customer_Info]])-1))</f>
        <v>Sofia Martin</v>
      </c>
      <c r="G35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354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354" s="10">
        <f>LEN(OrdersRawTable9[[#This Row],[Customer_Info]])-LEN(SUBSTITUTE(OrdersRawTable9[[#This Row],[Customer_Info]],",",""))</f>
        <v>2</v>
      </c>
      <c r="J354" s="10" t="s">
        <v>117</v>
      </c>
      <c r="K354" s="23">
        <v>3</v>
      </c>
      <c r="L354" s="26">
        <v>251.17</v>
      </c>
      <c r="M354" s="29">
        <v>0.05</v>
      </c>
      <c r="N354" s="10" t="s">
        <v>64</v>
      </c>
      <c r="O354" s="10" t="str">
        <f>IF(TRIM(OrdersRawTable9[[#This Row],[Sales_Channel_Raw]])="Market place","Marketplace",TRIM(OrdersRawTable9[[#This Row],[Sales_Channel_Raw]]))</f>
        <v>Retail Store</v>
      </c>
      <c r="P354" s="10" t="s">
        <v>98</v>
      </c>
      <c r="Q354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354" s="15" t="s">
        <v>47</v>
      </c>
      <c r="S354" t="str">
        <f>VLOOKUP(OrdersRawTable9[[#This Row],[Customer_ID_Raw]],CustomersTable11[],4,FALSE)</f>
        <v>Ontario</v>
      </c>
      <c r="T354" t="str">
        <f>VLOOKUP(OrdersRawTable9[[#This Row],[Customer_ID_Raw]],CustomersTable11[],5,FALSE)</f>
        <v>Consumer</v>
      </c>
      <c r="U354" s="45">
        <f>VLOOKUP(OrdersRawTable9[[#This Row],[Product_ID]],ProductsTable10[],4,FALSE)</f>
        <v>151.59</v>
      </c>
      <c r="V354" t="str">
        <f>VLOOKUP(OrdersRawTable9[[#This Row],[Product_ID]],ProductsTable10[],3,FALSE)</f>
        <v>Fitness</v>
      </c>
      <c r="W354" s="45">
        <f>OrdersRawTable9[[#This Row],[Unit_Price]]*OrdersRawTable9[[#This Row],[Quantity]]</f>
        <v>753.51</v>
      </c>
      <c r="X354" s="47">
        <f>OrdersRawTable9[[#This Row],[Gross_Sales]]*OrdersRawTable9[[#This Row],[Discount_Pct]]</f>
        <v>37.6755</v>
      </c>
      <c r="Y354" s="45">
        <f>OrdersRawTable9[[#This Row],[Gross_Sales]]-OrdersRawTable9[[#This Row],[Discount_Amount]]</f>
        <v>715.83449999999993</v>
      </c>
      <c r="Z354" s="45">
        <f>OrdersRawTable9[[#This Row],[Unit_Cost]]*OrdersRawTable9[[#This Row],[Quantity]]</f>
        <v>454.77</v>
      </c>
      <c r="AA354" s="45">
        <f>OrdersRawTable9[[#This Row],[Net_Sales]]-OrdersRawTable9[[#This Row],[Total_Cost]]</f>
        <v>261.06449999999995</v>
      </c>
      <c r="AB354" s="48">
        <f>IF(OrdersRawTable9[[#This Row],[Net_Sales]]=0,0,OrdersRawTable9[[#This Row],[Profit]]/OrdersRawTable9[[#This Row],[Net_Sales]])</f>
        <v>0.36469952202639017</v>
      </c>
      <c r="AC354" s="45" t="str">
        <f>IF(COUNTIF(ReturnsRawTable[Order_Line_ID],OrdersRawTable9[[#This Row],[Order_Line_ID]])&gt;0,"Yes","No")</f>
        <v>No</v>
      </c>
      <c r="AD354" s="45" t="str">
        <f>IFERROR(VLOOKUP(OrdersRawTable9[[#This Row],[Order_Line_ID]],ReturnsRawTable[[#All],[Order_Line_ID]:[Return_Reason_Raw]],3,FALSE),"")</f>
        <v/>
      </c>
      <c r="AE354" s="49" t="str">
        <f>IFERROR(VLOOKUP(OrdersRawTable9[[#This Row],[Order_Line_ID]],ReturnsRawTable[[#All],[Order_Line_ID]:[Return_Date]],2,FALSE),"")</f>
        <v/>
      </c>
      <c r="AF354" s="45" t="str">
        <f>IFERROR(VLOOKUP(OrdersRawTable9[[#This Row],[Order_Line_ID]],ReturnsRawTable[[Order_Line_ID]:[Refund_Status]],4,FALSE),"")</f>
        <v/>
      </c>
      <c r="AG354" s="45" t="str">
        <f>VLOOKUP(OrdersRawTable9[[#This Row],[Order_ID]],ShipmentsTable[],6,FALSE)</f>
        <v>Late</v>
      </c>
      <c r="AH354" s="49">
        <f>VLOOKUP(OrdersRawTable9[[#This Row],[Order_ID]],ShipmentsTable[],3,FALSE)</f>
        <v>45714.041666666664</v>
      </c>
    </row>
    <row r="355" spans="1:34" ht="15" customHeight="1">
      <c r="A355" s="14" t="s">
        <v>800</v>
      </c>
      <c r="B355" s="10" t="s">
        <v>799</v>
      </c>
      <c r="C355" s="20">
        <v>45709</v>
      </c>
      <c r="D355" s="10" t="s">
        <v>155</v>
      </c>
      <c r="E355" s="10" t="s">
        <v>156</v>
      </c>
      <c r="F355" s="10" t="str">
        <f>TRIM(LEFT(OrdersRawTable9[[#This Row],[Customer_Info]],FIND(",",OrdersRawTable9[[#This Row],[Customer_Info]])-1))</f>
        <v>Sofia Martin</v>
      </c>
      <c r="G35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355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355" s="10">
        <f>LEN(OrdersRawTable9[[#This Row],[Customer_Info]])-LEN(SUBSTITUTE(OrdersRawTable9[[#This Row],[Customer_Info]],",",""))</f>
        <v>2</v>
      </c>
      <c r="J355" s="10" t="s">
        <v>83</v>
      </c>
      <c r="K355" s="23">
        <v>3</v>
      </c>
      <c r="L355" s="26">
        <v>115.28</v>
      </c>
      <c r="M355" s="29">
        <v>0.15</v>
      </c>
      <c r="N355" s="10" t="s">
        <v>70</v>
      </c>
      <c r="O355" s="10" t="str">
        <f>IF(TRIM(OrdersRawTable9[[#This Row],[Sales_Channel_Raw]])="Market place","Marketplace",TRIM(OrdersRawTable9[[#This Row],[Sales_Channel_Raw]]))</f>
        <v>online</v>
      </c>
      <c r="P355" s="10" t="s">
        <v>46</v>
      </c>
      <c r="Q355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55" s="15" t="s">
        <v>67</v>
      </c>
      <c r="S355" t="str">
        <f>VLOOKUP(OrdersRawTable9[[#This Row],[Customer_ID_Raw]],CustomersTable11[],4,FALSE)</f>
        <v>Ontario</v>
      </c>
      <c r="T355" t="str">
        <f>VLOOKUP(OrdersRawTable9[[#This Row],[Customer_ID_Raw]],CustomersTable11[],5,FALSE)</f>
        <v>Consumer</v>
      </c>
      <c r="U355" s="45">
        <f>VLOOKUP(OrdersRawTable9[[#This Row],[Product_ID]],ProductsTable10[],4,FALSE)</f>
        <v>61.65</v>
      </c>
      <c r="V355" t="str">
        <f>VLOOKUP(OrdersRawTable9[[#This Row],[Product_ID]],ProductsTable10[],3,FALSE)</f>
        <v>Office</v>
      </c>
      <c r="W355" s="45">
        <f>OrdersRawTable9[[#This Row],[Unit_Price]]*OrdersRawTable9[[#This Row],[Quantity]]</f>
        <v>345.84000000000003</v>
      </c>
      <c r="X355" s="47">
        <f>OrdersRawTable9[[#This Row],[Gross_Sales]]*OrdersRawTable9[[#This Row],[Discount_Pct]]</f>
        <v>51.876000000000005</v>
      </c>
      <c r="Y355" s="45">
        <f>OrdersRawTable9[[#This Row],[Gross_Sales]]-OrdersRawTable9[[#This Row],[Discount_Amount]]</f>
        <v>293.96400000000006</v>
      </c>
      <c r="Z355" s="45">
        <f>OrdersRawTable9[[#This Row],[Unit_Cost]]*OrdersRawTable9[[#This Row],[Quantity]]</f>
        <v>184.95</v>
      </c>
      <c r="AA355" s="45">
        <f>OrdersRawTable9[[#This Row],[Net_Sales]]-OrdersRawTable9[[#This Row],[Total_Cost]]</f>
        <v>109.01400000000007</v>
      </c>
      <c r="AB355" s="48">
        <f>IF(OrdersRawTable9[[#This Row],[Net_Sales]]=0,0,OrdersRawTable9[[#This Row],[Profit]]/OrdersRawTable9[[#This Row],[Net_Sales]])</f>
        <v>0.37084132750949111</v>
      </c>
      <c r="AC355" s="45" t="str">
        <f>IF(COUNTIF(ReturnsRawTable[Order_Line_ID],OrdersRawTable9[[#This Row],[Order_Line_ID]])&gt;0,"Yes","No")</f>
        <v>No</v>
      </c>
      <c r="AD355" s="45" t="str">
        <f>IFERROR(VLOOKUP(OrdersRawTable9[[#This Row],[Order_Line_ID]],ReturnsRawTable[[#All],[Order_Line_ID]:[Return_Reason_Raw]],3,FALSE),"")</f>
        <v/>
      </c>
      <c r="AE355" s="49" t="str">
        <f>IFERROR(VLOOKUP(OrdersRawTable9[[#This Row],[Order_Line_ID]],ReturnsRawTable[[#All],[Order_Line_ID]:[Return_Date]],2,FALSE),"")</f>
        <v/>
      </c>
      <c r="AF355" s="45" t="str">
        <f>IFERROR(VLOOKUP(OrdersRawTable9[[#This Row],[Order_Line_ID]],ReturnsRawTable[[Order_Line_ID]:[Refund_Status]],4,FALSE),"")</f>
        <v/>
      </c>
      <c r="AG355" s="45" t="str">
        <f>VLOOKUP(OrdersRawTable9[[#This Row],[Order_ID]],ShipmentsTable[],6,FALSE)</f>
        <v>Late</v>
      </c>
      <c r="AH355" s="49">
        <f>VLOOKUP(OrdersRawTable9[[#This Row],[Order_ID]],ShipmentsTable[],3,FALSE)</f>
        <v>45714.041666666664</v>
      </c>
    </row>
    <row r="356" spans="1:34" ht="15" customHeight="1">
      <c r="A356" s="14" t="s">
        <v>801</v>
      </c>
      <c r="B356" s="10" t="s">
        <v>799</v>
      </c>
      <c r="C356" s="20">
        <v>45709</v>
      </c>
      <c r="D356" s="10" t="s">
        <v>155</v>
      </c>
      <c r="E356" s="10" t="s">
        <v>156</v>
      </c>
      <c r="F356" s="10" t="str">
        <f>TRIM(LEFT(OrdersRawTable9[[#This Row],[Customer_Info]],FIND(",",OrdersRawTable9[[#This Row],[Customer_Info]])-1))</f>
        <v>Sofia Martin</v>
      </c>
      <c r="G35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356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356" s="10">
        <f>LEN(OrdersRawTable9[[#This Row],[Customer_Info]])-LEN(SUBSTITUTE(OrdersRawTable9[[#This Row],[Customer_Info]],",",""))</f>
        <v>2</v>
      </c>
      <c r="J356" s="10" t="s">
        <v>130</v>
      </c>
      <c r="K356" s="23">
        <v>4</v>
      </c>
      <c r="L356" s="26">
        <v>265.73</v>
      </c>
      <c r="M356" s="29">
        <v>0.1</v>
      </c>
      <c r="N356" s="10" t="s">
        <v>66</v>
      </c>
      <c r="O356" s="10" t="str">
        <f>IF(TRIM(OrdersRawTable9[[#This Row],[Sales_Channel_Raw]])="Market place","Marketplace",TRIM(OrdersRawTable9[[#This Row],[Sales_Channel_Raw]]))</f>
        <v>Marketplace</v>
      </c>
      <c r="P356" s="10" t="s">
        <v>51</v>
      </c>
      <c r="Q356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356" s="15" t="s">
        <v>101</v>
      </c>
      <c r="S356" t="str">
        <f>VLOOKUP(OrdersRawTable9[[#This Row],[Customer_ID_Raw]],CustomersTable11[],4,FALSE)</f>
        <v>Ontario</v>
      </c>
      <c r="T356" t="str">
        <f>VLOOKUP(OrdersRawTable9[[#This Row],[Customer_ID_Raw]],CustomersTable11[],5,FALSE)</f>
        <v>Consumer</v>
      </c>
      <c r="U356" s="45">
        <f>VLOOKUP(OrdersRawTable9[[#This Row],[Product_ID]],ProductsTable10[],4,FALSE)</f>
        <v>154.16999999999999</v>
      </c>
      <c r="V356" t="str">
        <f>VLOOKUP(OrdersRawTable9[[#This Row],[Product_ID]],ProductsTable10[],3,FALSE)</f>
        <v>Electronics</v>
      </c>
      <c r="W356" s="45">
        <f>OrdersRawTable9[[#This Row],[Unit_Price]]*OrdersRawTable9[[#This Row],[Quantity]]</f>
        <v>1062.92</v>
      </c>
      <c r="X356" s="47">
        <f>OrdersRawTable9[[#This Row],[Gross_Sales]]*OrdersRawTable9[[#This Row],[Discount_Pct]]</f>
        <v>106.29200000000002</v>
      </c>
      <c r="Y356" s="45">
        <f>OrdersRawTable9[[#This Row],[Gross_Sales]]-OrdersRawTable9[[#This Row],[Discount_Amount]]</f>
        <v>956.62800000000004</v>
      </c>
      <c r="Z356" s="45">
        <f>OrdersRawTable9[[#This Row],[Unit_Cost]]*OrdersRawTable9[[#This Row],[Quantity]]</f>
        <v>616.67999999999995</v>
      </c>
      <c r="AA356" s="45">
        <f>OrdersRawTable9[[#This Row],[Net_Sales]]-OrdersRawTable9[[#This Row],[Total_Cost]]</f>
        <v>339.94800000000009</v>
      </c>
      <c r="AB356" s="48">
        <f>IF(OrdersRawTable9[[#This Row],[Net_Sales]]=0,0,OrdersRawTable9[[#This Row],[Profit]]/OrdersRawTable9[[#This Row],[Net_Sales]])</f>
        <v>0.35536070447446666</v>
      </c>
      <c r="AC356" s="45" t="str">
        <f>IF(COUNTIF(ReturnsRawTable[Order_Line_ID],OrdersRawTable9[[#This Row],[Order_Line_ID]])&gt;0,"Yes","No")</f>
        <v>No</v>
      </c>
      <c r="AD356" s="45" t="str">
        <f>IFERROR(VLOOKUP(OrdersRawTable9[[#This Row],[Order_Line_ID]],ReturnsRawTable[[#All],[Order_Line_ID]:[Return_Reason_Raw]],3,FALSE),"")</f>
        <v/>
      </c>
      <c r="AE356" s="49" t="str">
        <f>IFERROR(VLOOKUP(OrdersRawTable9[[#This Row],[Order_Line_ID]],ReturnsRawTable[[#All],[Order_Line_ID]:[Return_Date]],2,FALSE),"")</f>
        <v/>
      </c>
      <c r="AF356" s="45" t="str">
        <f>IFERROR(VLOOKUP(OrdersRawTable9[[#This Row],[Order_Line_ID]],ReturnsRawTable[[Order_Line_ID]:[Refund_Status]],4,FALSE),"")</f>
        <v/>
      </c>
      <c r="AG356" s="45" t="str">
        <f>VLOOKUP(OrdersRawTable9[[#This Row],[Order_ID]],ShipmentsTable[],6,FALSE)</f>
        <v>Late</v>
      </c>
      <c r="AH356" s="49">
        <f>VLOOKUP(OrdersRawTable9[[#This Row],[Order_ID]],ShipmentsTable[],3,FALSE)</f>
        <v>45714.041666666664</v>
      </c>
    </row>
    <row r="357" spans="1:34" ht="15" customHeight="1">
      <c r="A357" s="14" t="s">
        <v>802</v>
      </c>
      <c r="B357" s="10" t="s">
        <v>799</v>
      </c>
      <c r="C357" s="20">
        <v>45709</v>
      </c>
      <c r="D357" s="10" t="s">
        <v>155</v>
      </c>
      <c r="E357" s="10" t="s">
        <v>156</v>
      </c>
      <c r="F357" s="10" t="str">
        <f>TRIM(LEFT(OrdersRawTable9[[#This Row],[Customer_Info]],FIND(",",OrdersRawTable9[[#This Row],[Customer_Info]])-1))</f>
        <v>Sofia Martin</v>
      </c>
      <c r="G35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357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357" s="10">
        <f>LEN(OrdersRawTable9[[#This Row],[Customer_Info]])-LEN(SUBSTITUTE(OrdersRawTable9[[#This Row],[Customer_Info]],",",""))</f>
        <v>2</v>
      </c>
      <c r="J357" s="10" t="s">
        <v>147</v>
      </c>
      <c r="K357" s="23">
        <v>1</v>
      </c>
      <c r="L357" s="26">
        <v>102.78</v>
      </c>
      <c r="M357" s="29">
        <v>0.1</v>
      </c>
      <c r="N357" s="10" t="s">
        <v>64</v>
      </c>
      <c r="O357" s="10" t="str">
        <f>IF(TRIM(OrdersRawTable9[[#This Row],[Sales_Channel_Raw]])="Market place","Marketplace",TRIM(OrdersRawTable9[[#This Row],[Sales_Channel_Raw]]))</f>
        <v>Retail Store</v>
      </c>
      <c r="P357" s="10" t="s">
        <v>58</v>
      </c>
      <c r="Q357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357" s="15" t="s">
        <v>67</v>
      </c>
      <c r="S357" t="str">
        <f>VLOOKUP(OrdersRawTable9[[#This Row],[Customer_ID_Raw]],CustomersTable11[],4,FALSE)</f>
        <v>Ontario</v>
      </c>
      <c r="T357" t="str">
        <f>VLOOKUP(OrdersRawTable9[[#This Row],[Customer_ID_Raw]],CustomersTable11[],5,FALSE)</f>
        <v>Consumer</v>
      </c>
      <c r="U357" s="45">
        <f>VLOOKUP(OrdersRawTable9[[#This Row],[Product_ID]],ProductsTable10[],4,FALSE)</f>
        <v>62.65</v>
      </c>
      <c r="V357" t="str">
        <f>VLOOKUP(OrdersRawTable9[[#This Row],[Product_ID]],ProductsTable10[],3,FALSE)</f>
        <v>Accessories</v>
      </c>
      <c r="W357" s="45">
        <f>OrdersRawTable9[[#This Row],[Unit_Price]]*OrdersRawTable9[[#This Row],[Quantity]]</f>
        <v>102.78</v>
      </c>
      <c r="X357" s="47">
        <f>OrdersRawTable9[[#This Row],[Gross_Sales]]*OrdersRawTable9[[#This Row],[Discount_Pct]]</f>
        <v>10.278</v>
      </c>
      <c r="Y357" s="45">
        <f>OrdersRawTable9[[#This Row],[Gross_Sales]]-OrdersRawTable9[[#This Row],[Discount_Amount]]</f>
        <v>92.501999999999995</v>
      </c>
      <c r="Z357" s="45">
        <f>OrdersRawTable9[[#This Row],[Unit_Cost]]*OrdersRawTable9[[#This Row],[Quantity]]</f>
        <v>62.65</v>
      </c>
      <c r="AA357" s="45">
        <f>OrdersRawTable9[[#This Row],[Net_Sales]]-OrdersRawTable9[[#This Row],[Total_Cost]]</f>
        <v>29.851999999999997</v>
      </c>
      <c r="AB357" s="48">
        <f>IF(OrdersRawTable9[[#This Row],[Net_Sales]]=0,0,OrdersRawTable9[[#This Row],[Profit]]/OrdersRawTable9[[#This Row],[Net_Sales]])</f>
        <v>0.32271734665196428</v>
      </c>
      <c r="AC357" s="45" t="str">
        <f>IF(COUNTIF(ReturnsRawTable[Order_Line_ID],OrdersRawTable9[[#This Row],[Order_Line_ID]])&gt;0,"Yes","No")</f>
        <v>No</v>
      </c>
      <c r="AD357" s="45" t="str">
        <f>IFERROR(VLOOKUP(OrdersRawTable9[[#This Row],[Order_Line_ID]],ReturnsRawTable[[#All],[Order_Line_ID]:[Return_Reason_Raw]],3,FALSE),"")</f>
        <v/>
      </c>
      <c r="AE357" s="49" t="str">
        <f>IFERROR(VLOOKUP(OrdersRawTable9[[#This Row],[Order_Line_ID]],ReturnsRawTable[[#All],[Order_Line_ID]:[Return_Date]],2,FALSE),"")</f>
        <v/>
      </c>
      <c r="AF357" s="45" t="str">
        <f>IFERROR(VLOOKUP(OrdersRawTable9[[#This Row],[Order_Line_ID]],ReturnsRawTable[[Order_Line_ID]:[Refund_Status]],4,FALSE),"")</f>
        <v/>
      </c>
      <c r="AG357" s="45" t="str">
        <f>VLOOKUP(OrdersRawTable9[[#This Row],[Order_ID]],ShipmentsTable[],6,FALSE)</f>
        <v>Late</v>
      </c>
      <c r="AH357" s="49">
        <f>VLOOKUP(OrdersRawTable9[[#This Row],[Order_ID]],ShipmentsTable[],3,FALSE)</f>
        <v>45714.041666666664</v>
      </c>
    </row>
    <row r="358" spans="1:34" ht="15" customHeight="1">
      <c r="A358" s="14" t="s">
        <v>803</v>
      </c>
      <c r="B358" s="10" t="s">
        <v>804</v>
      </c>
      <c r="C358" s="20">
        <v>45917</v>
      </c>
      <c r="D358" s="10" t="s">
        <v>805</v>
      </c>
      <c r="E358" s="10" t="s">
        <v>806</v>
      </c>
      <c r="F358" s="10" t="str">
        <f>TRIM(LEFT(OrdersRawTable9[[#This Row],[Customer_Info]],FIND(",",OrdersRawTable9[[#This Row],[Customer_Info]])-1))</f>
        <v>Ethan Singh</v>
      </c>
      <c r="G35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358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358" s="10">
        <f>LEN(OrdersRawTable9[[#This Row],[Customer_Info]])-LEN(SUBSTITUTE(OrdersRawTable9[[#This Row],[Customer_Info]],",",""))</f>
        <v>2</v>
      </c>
      <c r="J358" s="10" t="s">
        <v>204</v>
      </c>
      <c r="K358" s="23">
        <v>2</v>
      </c>
      <c r="L358" s="26">
        <v>244.25</v>
      </c>
      <c r="M358" s="29">
        <v>0.1</v>
      </c>
      <c r="N358" s="10" t="s">
        <v>66</v>
      </c>
      <c r="O358" s="10" t="str">
        <f>IF(TRIM(OrdersRawTable9[[#This Row],[Sales_Channel_Raw]])="Market place","Marketplace",TRIM(OrdersRawTable9[[#This Row],[Sales_Channel_Raw]]))</f>
        <v>Marketplace</v>
      </c>
      <c r="P358" s="10" t="s">
        <v>46</v>
      </c>
      <c r="Q358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58" s="15" t="s">
        <v>47</v>
      </c>
      <c r="S358" t="str">
        <f>VLOOKUP(OrdersRawTable9[[#This Row],[Customer_ID_Raw]],CustomersTable11[],4,FALSE)</f>
        <v>Ontario</v>
      </c>
      <c r="T358" t="str">
        <f>VLOOKUP(OrdersRawTable9[[#This Row],[Customer_ID_Raw]],CustomersTable11[],5,FALSE)</f>
        <v>Consumer</v>
      </c>
      <c r="U358" s="45">
        <f>VLOOKUP(OrdersRawTable9[[#This Row],[Product_ID]],ProductsTable10[],4,FALSE)</f>
        <v>150.96</v>
      </c>
      <c r="V358" t="str">
        <f>VLOOKUP(OrdersRawTable9[[#This Row],[Product_ID]],ProductsTable10[],3,FALSE)</f>
        <v>Office</v>
      </c>
      <c r="W358" s="45">
        <f>OrdersRawTable9[[#This Row],[Unit_Price]]*OrdersRawTable9[[#This Row],[Quantity]]</f>
        <v>488.5</v>
      </c>
      <c r="X358" s="47">
        <f>OrdersRawTable9[[#This Row],[Gross_Sales]]*OrdersRawTable9[[#This Row],[Discount_Pct]]</f>
        <v>48.85</v>
      </c>
      <c r="Y358" s="45">
        <f>OrdersRawTable9[[#This Row],[Gross_Sales]]-OrdersRawTable9[[#This Row],[Discount_Amount]]</f>
        <v>439.65</v>
      </c>
      <c r="Z358" s="45">
        <f>OrdersRawTable9[[#This Row],[Unit_Cost]]*OrdersRawTable9[[#This Row],[Quantity]]</f>
        <v>301.92</v>
      </c>
      <c r="AA358" s="45">
        <f>OrdersRawTable9[[#This Row],[Net_Sales]]-OrdersRawTable9[[#This Row],[Total_Cost]]</f>
        <v>137.72999999999996</v>
      </c>
      <c r="AB358" s="48">
        <f>IF(OrdersRawTable9[[#This Row],[Net_Sales]]=0,0,OrdersRawTable9[[#This Row],[Profit]]/OrdersRawTable9[[#This Row],[Net_Sales]])</f>
        <v>0.31327192084612754</v>
      </c>
      <c r="AC358" s="45" t="str">
        <f>IF(COUNTIF(ReturnsRawTable[Order_Line_ID],OrdersRawTable9[[#This Row],[Order_Line_ID]])&gt;0,"Yes","No")</f>
        <v>No</v>
      </c>
      <c r="AD358" s="45" t="str">
        <f>IFERROR(VLOOKUP(OrdersRawTable9[[#This Row],[Order_Line_ID]],ReturnsRawTable[[#All],[Order_Line_ID]:[Return_Reason_Raw]],3,FALSE),"")</f>
        <v/>
      </c>
      <c r="AE358" s="49" t="str">
        <f>IFERROR(VLOOKUP(OrdersRawTable9[[#This Row],[Order_Line_ID]],ReturnsRawTable[[#All],[Order_Line_ID]:[Return_Date]],2,FALSE),"")</f>
        <v/>
      </c>
      <c r="AF358" s="45" t="str">
        <f>IFERROR(VLOOKUP(OrdersRawTable9[[#This Row],[Order_Line_ID]],ReturnsRawTable[[Order_Line_ID]:[Refund_Status]],4,FALSE),"")</f>
        <v/>
      </c>
      <c r="AG358" s="45" t="str">
        <f>VLOOKUP(OrdersRawTable9[[#This Row],[Order_ID]],ShipmentsTable[],6,FALSE)</f>
        <v>On time</v>
      </c>
      <c r="AH358" s="49">
        <f>VLOOKUP(OrdersRawTable9[[#This Row],[Order_ID]],ShipmentsTable[],3,FALSE)</f>
        <v>45920</v>
      </c>
    </row>
    <row r="359" spans="1:34" ht="15" customHeight="1">
      <c r="A359" s="14" t="s">
        <v>807</v>
      </c>
      <c r="B359" s="10" t="s">
        <v>808</v>
      </c>
      <c r="C359" s="20">
        <v>45815</v>
      </c>
      <c r="D359" s="10" t="s">
        <v>414</v>
      </c>
      <c r="E359" s="10" t="s">
        <v>415</v>
      </c>
      <c r="F359" s="10" t="str">
        <f>TRIM(LEFT(OrdersRawTable9[[#This Row],[Customer_Info]],FIND(",",OrdersRawTable9[[#This Row],[Customer_Info]])-1))</f>
        <v>Emma Wilson</v>
      </c>
      <c r="G35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359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359" s="10">
        <f>LEN(OrdersRawTable9[[#This Row],[Customer_Info]])-LEN(SUBSTITUTE(OrdersRawTable9[[#This Row],[Customer_Info]],",",""))</f>
        <v>2</v>
      </c>
      <c r="J359" s="10" t="s">
        <v>495</v>
      </c>
      <c r="K359" s="23">
        <v>4</v>
      </c>
      <c r="L359" s="26">
        <v>207.71</v>
      </c>
      <c r="M359" s="29">
        <v>0.1</v>
      </c>
      <c r="N359" s="10" t="s">
        <v>45</v>
      </c>
      <c r="O359" s="10" t="str">
        <f>IF(TRIM(OrdersRawTable9[[#This Row],[Sales_Channel_Raw]])="Market place","Marketplace",TRIM(OrdersRawTable9[[#This Row],[Sales_Channel_Raw]]))</f>
        <v>Retail Store</v>
      </c>
      <c r="P359" s="10" t="s">
        <v>51</v>
      </c>
      <c r="Q359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359" s="15" t="s">
        <v>67</v>
      </c>
      <c r="S359" t="str">
        <f>VLOOKUP(OrdersRawTable9[[#This Row],[Customer_ID_Raw]],CustomersTable11[],4,FALSE)</f>
        <v>Alberta</v>
      </c>
      <c r="T359" t="str">
        <f>VLOOKUP(OrdersRawTable9[[#This Row],[Customer_ID_Raw]],CustomersTable11[],5,FALSE)</f>
        <v>Corporate</v>
      </c>
      <c r="U359" s="45">
        <f>VLOOKUP(OrdersRawTable9[[#This Row],[Product_ID]],ProductsTable10[],4,FALSE)</f>
        <v>132.97</v>
      </c>
      <c r="V359" t="str">
        <f>VLOOKUP(OrdersRawTable9[[#This Row],[Product_ID]],ProductsTable10[],3,FALSE)</f>
        <v>Home</v>
      </c>
      <c r="W359" s="45">
        <f>OrdersRawTable9[[#This Row],[Unit_Price]]*OrdersRawTable9[[#This Row],[Quantity]]</f>
        <v>830.84</v>
      </c>
      <c r="X359" s="47">
        <f>OrdersRawTable9[[#This Row],[Gross_Sales]]*OrdersRawTable9[[#This Row],[Discount_Pct]]</f>
        <v>83.084000000000003</v>
      </c>
      <c r="Y359" s="45">
        <f>OrdersRawTable9[[#This Row],[Gross_Sales]]-OrdersRawTable9[[#This Row],[Discount_Amount]]</f>
        <v>747.75600000000009</v>
      </c>
      <c r="Z359" s="45">
        <f>OrdersRawTable9[[#This Row],[Unit_Cost]]*OrdersRawTable9[[#This Row],[Quantity]]</f>
        <v>531.88</v>
      </c>
      <c r="AA359" s="45">
        <f>OrdersRawTable9[[#This Row],[Net_Sales]]-OrdersRawTable9[[#This Row],[Total_Cost]]</f>
        <v>215.87600000000009</v>
      </c>
      <c r="AB359" s="48">
        <f>IF(OrdersRawTable9[[#This Row],[Net_Sales]]=0,0,OrdersRawTable9[[#This Row],[Profit]]/OrdersRawTable9[[#This Row],[Net_Sales]])</f>
        <v>0.28869845243635633</v>
      </c>
      <c r="AC359" s="45" t="str">
        <f>IF(COUNTIF(ReturnsRawTable[Order_Line_ID],OrdersRawTable9[[#This Row],[Order_Line_ID]])&gt;0,"Yes","No")</f>
        <v>No</v>
      </c>
      <c r="AD359" s="45" t="str">
        <f>IFERROR(VLOOKUP(OrdersRawTable9[[#This Row],[Order_Line_ID]],ReturnsRawTable[[#All],[Order_Line_ID]:[Return_Reason_Raw]],3,FALSE),"")</f>
        <v/>
      </c>
      <c r="AE359" s="49" t="str">
        <f>IFERROR(VLOOKUP(OrdersRawTable9[[#This Row],[Order_Line_ID]],ReturnsRawTable[[#All],[Order_Line_ID]:[Return_Date]],2,FALSE),"")</f>
        <v/>
      </c>
      <c r="AF359" s="45" t="str">
        <f>IFERROR(VLOOKUP(OrdersRawTable9[[#This Row],[Order_Line_ID]],ReturnsRawTable[[Order_Line_ID]:[Refund_Status]],4,FALSE),"")</f>
        <v/>
      </c>
      <c r="AG359" s="45" t="str">
        <f>VLOOKUP(OrdersRawTable9[[#This Row],[Order_ID]],ShipmentsTable[],6,FALSE)</f>
        <v>Late</v>
      </c>
      <c r="AH359" s="49">
        <f>VLOOKUP(OrdersRawTable9[[#This Row],[Order_ID]],ShipmentsTable[],3,FALSE)</f>
        <v>45822</v>
      </c>
    </row>
    <row r="360" spans="1:34" ht="15" customHeight="1">
      <c r="A360" s="14" t="s">
        <v>809</v>
      </c>
      <c r="B360" s="10" t="s">
        <v>808</v>
      </c>
      <c r="C360" s="20">
        <v>45815</v>
      </c>
      <c r="D360" s="10" t="s">
        <v>414</v>
      </c>
      <c r="E360" s="10" t="s">
        <v>415</v>
      </c>
      <c r="F360" s="10" t="str">
        <f>TRIM(LEFT(OrdersRawTable9[[#This Row],[Customer_Info]],FIND(",",OrdersRawTable9[[#This Row],[Customer_Info]])-1))</f>
        <v>Emma Wilson</v>
      </c>
      <c r="G36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360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360" s="10">
        <f>LEN(OrdersRawTable9[[#This Row],[Customer_Info]])-LEN(SUBSTITUTE(OrdersRawTable9[[#This Row],[Customer_Info]],",",""))</f>
        <v>2</v>
      </c>
      <c r="J360" s="10" t="s">
        <v>106</v>
      </c>
      <c r="K360" s="23">
        <v>4</v>
      </c>
      <c r="L360" s="26">
        <v>195.38</v>
      </c>
      <c r="M360" s="29">
        <v>0.1</v>
      </c>
      <c r="N360" s="10" t="s">
        <v>50</v>
      </c>
      <c r="O360" s="10" t="str">
        <f>IF(TRIM(OrdersRawTable9[[#This Row],[Sales_Channel_Raw]])="Market place","Marketplace",TRIM(OrdersRawTable9[[#This Row],[Sales_Channel_Raw]]))</f>
        <v>Marketplace</v>
      </c>
      <c r="P360" s="10" t="s">
        <v>46</v>
      </c>
      <c r="Q360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60" s="15" t="s">
        <v>101</v>
      </c>
      <c r="S360" t="str">
        <f>VLOOKUP(OrdersRawTable9[[#This Row],[Customer_ID_Raw]],CustomersTable11[],4,FALSE)</f>
        <v>Alberta</v>
      </c>
      <c r="T360" t="str">
        <f>VLOOKUP(OrdersRawTable9[[#This Row],[Customer_ID_Raw]],CustomersTable11[],5,FALSE)</f>
        <v>Corporate</v>
      </c>
      <c r="U360" s="45">
        <f>VLOOKUP(OrdersRawTable9[[#This Row],[Product_ID]],ProductsTable10[],4,FALSE)</f>
        <v>114.29</v>
      </c>
      <c r="V360" t="str">
        <f>VLOOKUP(OrdersRawTable9[[#This Row],[Product_ID]],ProductsTable10[],3,FALSE)</f>
        <v>Electronics</v>
      </c>
      <c r="W360" s="45">
        <f>OrdersRawTable9[[#This Row],[Unit_Price]]*OrdersRawTable9[[#This Row],[Quantity]]</f>
        <v>781.52</v>
      </c>
      <c r="X360" s="47">
        <f>OrdersRawTable9[[#This Row],[Gross_Sales]]*OrdersRawTable9[[#This Row],[Discount_Pct]]</f>
        <v>78.152000000000001</v>
      </c>
      <c r="Y360" s="45">
        <f>OrdersRawTable9[[#This Row],[Gross_Sales]]-OrdersRawTable9[[#This Row],[Discount_Amount]]</f>
        <v>703.36799999999994</v>
      </c>
      <c r="Z360" s="45">
        <f>OrdersRawTable9[[#This Row],[Unit_Cost]]*OrdersRawTable9[[#This Row],[Quantity]]</f>
        <v>457.16</v>
      </c>
      <c r="AA360" s="45">
        <f>OrdersRawTable9[[#This Row],[Net_Sales]]-OrdersRawTable9[[#This Row],[Total_Cost]]</f>
        <v>246.20799999999991</v>
      </c>
      <c r="AB360" s="48">
        <f>IF(OrdersRawTable9[[#This Row],[Net_Sales]]=0,0,OrdersRawTable9[[#This Row],[Profit]]/OrdersRawTable9[[#This Row],[Net_Sales]])</f>
        <v>0.35004151454146326</v>
      </c>
      <c r="AC360" s="45" t="str">
        <f>IF(COUNTIF(ReturnsRawTable[Order_Line_ID],OrdersRawTable9[[#This Row],[Order_Line_ID]])&gt;0,"Yes","No")</f>
        <v>No</v>
      </c>
      <c r="AD360" s="45" t="str">
        <f>IFERROR(VLOOKUP(OrdersRawTable9[[#This Row],[Order_Line_ID]],ReturnsRawTable[[#All],[Order_Line_ID]:[Return_Reason_Raw]],3,FALSE),"")</f>
        <v/>
      </c>
      <c r="AE360" s="49" t="str">
        <f>IFERROR(VLOOKUP(OrdersRawTable9[[#This Row],[Order_Line_ID]],ReturnsRawTable[[#All],[Order_Line_ID]:[Return_Date]],2,FALSE),"")</f>
        <v/>
      </c>
      <c r="AF360" s="45" t="str">
        <f>IFERROR(VLOOKUP(OrdersRawTable9[[#This Row],[Order_Line_ID]],ReturnsRawTable[[Order_Line_ID]:[Refund_Status]],4,FALSE),"")</f>
        <v/>
      </c>
      <c r="AG360" s="45" t="str">
        <f>VLOOKUP(OrdersRawTable9[[#This Row],[Order_ID]],ShipmentsTable[],6,FALSE)</f>
        <v>Late</v>
      </c>
      <c r="AH360" s="49">
        <f>VLOOKUP(OrdersRawTable9[[#This Row],[Order_ID]],ShipmentsTable[],3,FALSE)</f>
        <v>45822</v>
      </c>
    </row>
    <row r="361" spans="1:34" ht="15" customHeight="1">
      <c r="A361" s="14" t="s">
        <v>810</v>
      </c>
      <c r="B361" s="10" t="s">
        <v>808</v>
      </c>
      <c r="C361" s="20">
        <v>45815</v>
      </c>
      <c r="D361" s="10" t="s">
        <v>414</v>
      </c>
      <c r="E361" s="10" t="s">
        <v>415</v>
      </c>
      <c r="F361" s="10" t="str">
        <f>TRIM(LEFT(OrdersRawTable9[[#This Row],[Customer_Info]],FIND(",",OrdersRawTable9[[#This Row],[Customer_Info]])-1))</f>
        <v>Emma Wilson</v>
      </c>
      <c r="G36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361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361" s="10">
        <f>LEN(OrdersRawTable9[[#This Row],[Customer_Info]])-LEN(SUBSTITUTE(OrdersRawTable9[[#This Row],[Customer_Info]],",",""))</f>
        <v>2</v>
      </c>
      <c r="J361" s="10" t="s">
        <v>303</v>
      </c>
      <c r="K361" s="23">
        <v>1</v>
      </c>
      <c r="L361" s="26">
        <v>72.81</v>
      </c>
      <c r="M361" s="29">
        <v>0.1</v>
      </c>
      <c r="N361" s="10" t="s">
        <v>45</v>
      </c>
      <c r="O361" s="10" t="str">
        <f>IF(TRIM(OrdersRawTable9[[#This Row],[Sales_Channel_Raw]])="Market place","Marketplace",TRIM(OrdersRawTable9[[#This Row],[Sales_Channel_Raw]]))</f>
        <v>Retail Store</v>
      </c>
      <c r="P361" s="10" t="s">
        <v>98</v>
      </c>
      <c r="Q361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361" s="15" t="s">
        <v>101</v>
      </c>
      <c r="S361" t="str">
        <f>VLOOKUP(OrdersRawTable9[[#This Row],[Customer_ID_Raw]],CustomersTable11[],4,FALSE)</f>
        <v>Alberta</v>
      </c>
      <c r="T361" t="str">
        <f>VLOOKUP(OrdersRawTable9[[#This Row],[Customer_ID_Raw]],CustomersTable11[],5,FALSE)</f>
        <v>Corporate</v>
      </c>
      <c r="U361" s="45">
        <f>VLOOKUP(OrdersRawTable9[[#This Row],[Product_ID]],ProductsTable10[],4,FALSE)</f>
        <v>37.99</v>
      </c>
      <c r="V361" t="str">
        <f>VLOOKUP(OrdersRawTable9[[#This Row],[Product_ID]],ProductsTable10[],3,FALSE)</f>
        <v>Accessories</v>
      </c>
      <c r="W361" s="45">
        <f>OrdersRawTable9[[#This Row],[Unit_Price]]*OrdersRawTable9[[#This Row],[Quantity]]</f>
        <v>72.81</v>
      </c>
      <c r="X361" s="47">
        <f>OrdersRawTable9[[#This Row],[Gross_Sales]]*OrdersRawTable9[[#This Row],[Discount_Pct]]</f>
        <v>7.2810000000000006</v>
      </c>
      <c r="Y361" s="45">
        <f>OrdersRawTable9[[#This Row],[Gross_Sales]]-OrdersRawTable9[[#This Row],[Discount_Amount]]</f>
        <v>65.528999999999996</v>
      </c>
      <c r="Z361" s="45">
        <f>OrdersRawTable9[[#This Row],[Unit_Cost]]*OrdersRawTable9[[#This Row],[Quantity]]</f>
        <v>37.99</v>
      </c>
      <c r="AA361" s="45">
        <f>OrdersRawTable9[[#This Row],[Net_Sales]]-OrdersRawTable9[[#This Row],[Total_Cost]]</f>
        <v>27.538999999999994</v>
      </c>
      <c r="AB361" s="48">
        <f>IF(OrdersRawTable9[[#This Row],[Net_Sales]]=0,0,OrdersRawTable9[[#This Row],[Profit]]/OrdersRawTable9[[#This Row],[Net_Sales]])</f>
        <v>0.42025668024843954</v>
      </c>
      <c r="AC361" s="45" t="str">
        <f>IF(COUNTIF(ReturnsRawTable[Order_Line_ID],OrdersRawTable9[[#This Row],[Order_Line_ID]])&gt;0,"Yes","No")</f>
        <v>No</v>
      </c>
      <c r="AD361" s="45" t="str">
        <f>IFERROR(VLOOKUP(OrdersRawTable9[[#This Row],[Order_Line_ID]],ReturnsRawTable[[#All],[Order_Line_ID]:[Return_Reason_Raw]],3,FALSE),"")</f>
        <v/>
      </c>
      <c r="AE361" s="49" t="str">
        <f>IFERROR(VLOOKUP(OrdersRawTable9[[#This Row],[Order_Line_ID]],ReturnsRawTable[[#All],[Order_Line_ID]:[Return_Date]],2,FALSE),"")</f>
        <v/>
      </c>
      <c r="AF361" s="45" t="str">
        <f>IFERROR(VLOOKUP(OrdersRawTable9[[#This Row],[Order_Line_ID]],ReturnsRawTable[[Order_Line_ID]:[Refund_Status]],4,FALSE),"")</f>
        <v/>
      </c>
      <c r="AG361" s="45" t="str">
        <f>VLOOKUP(OrdersRawTable9[[#This Row],[Order_ID]],ShipmentsTable[],6,FALSE)</f>
        <v>Late</v>
      </c>
      <c r="AH361" s="49">
        <f>VLOOKUP(OrdersRawTable9[[#This Row],[Order_ID]],ShipmentsTable[],3,FALSE)</f>
        <v>45822</v>
      </c>
    </row>
    <row r="362" spans="1:34" ht="15" customHeight="1">
      <c r="A362" s="14" t="s">
        <v>811</v>
      </c>
      <c r="B362" s="10" t="s">
        <v>812</v>
      </c>
      <c r="C362" s="20">
        <v>45880</v>
      </c>
      <c r="D362" s="10" t="s">
        <v>813</v>
      </c>
      <c r="E362" s="10" t="s">
        <v>814</v>
      </c>
      <c r="F362" s="10" t="str">
        <f>TRIM(LEFT(OrdersRawTable9[[#This Row],[Customer_Info]],FIND(",",OrdersRawTable9[[#This Row],[Customer_Info]])-1))</f>
        <v>Amina Brown</v>
      </c>
      <c r="G36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362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362" s="10">
        <f>LEN(OrdersRawTable9[[#This Row],[Customer_Info]])-LEN(SUBSTITUTE(OrdersRawTable9[[#This Row],[Customer_Info]],",",""))</f>
        <v>2</v>
      </c>
      <c r="J362" s="10" t="s">
        <v>83</v>
      </c>
      <c r="K362" s="23">
        <v>4</v>
      </c>
      <c r="L362" s="26">
        <v>115.28</v>
      </c>
      <c r="M362" s="29">
        <v>0.15</v>
      </c>
      <c r="N362" s="10" t="s">
        <v>66</v>
      </c>
      <c r="O362" s="10" t="str">
        <f>IF(TRIM(OrdersRawTable9[[#This Row],[Sales_Channel_Raw]])="Market place","Marketplace",TRIM(OrdersRawTable9[[#This Row],[Sales_Channel_Raw]]))</f>
        <v>Marketplace</v>
      </c>
      <c r="P362" s="10" t="s">
        <v>46</v>
      </c>
      <c r="Q362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62" s="15" t="s">
        <v>42</v>
      </c>
      <c r="S362" t="str">
        <f>VLOOKUP(OrdersRawTable9[[#This Row],[Customer_ID_Raw]],CustomersTable11[],4,FALSE)</f>
        <v>Alberta</v>
      </c>
      <c r="T362" t="str">
        <f>VLOOKUP(OrdersRawTable9[[#This Row],[Customer_ID_Raw]],CustomersTable11[],5,FALSE)</f>
        <v>Small Business</v>
      </c>
      <c r="U362" s="45">
        <f>VLOOKUP(OrdersRawTable9[[#This Row],[Product_ID]],ProductsTable10[],4,FALSE)</f>
        <v>61.65</v>
      </c>
      <c r="V362" t="str">
        <f>VLOOKUP(OrdersRawTable9[[#This Row],[Product_ID]],ProductsTable10[],3,FALSE)</f>
        <v>Office</v>
      </c>
      <c r="W362" s="45">
        <f>OrdersRawTable9[[#This Row],[Unit_Price]]*OrdersRawTable9[[#This Row],[Quantity]]</f>
        <v>461.12</v>
      </c>
      <c r="X362" s="47">
        <f>OrdersRawTable9[[#This Row],[Gross_Sales]]*OrdersRawTable9[[#This Row],[Discount_Pct]]</f>
        <v>69.167999999999992</v>
      </c>
      <c r="Y362" s="45">
        <f>OrdersRawTable9[[#This Row],[Gross_Sales]]-OrdersRawTable9[[#This Row],[Discount_Amount]]</f>
        <v>391.952</v>
      </c>
      <c r="Z362" s="45">
        <f>OrdersRawTable9[[#This Row],[Unit_Cost]]*OrdersRawTable9[[#This Row],[Quantity]]</f>
        <v>246.6</v>
      </c>
      <c r="AA362" s="45">
        <f>OrdersRawTable9[[#This Row],[Net_Sales]]-OrdersRawTable9[[#This Row],[Total_Cost]]</f>
        <v>145.352</v>
      </c>
      <c r="AB362" s="48">
        <f>IF(OrdersRawTable9[[#This Row],[Net_Sales]]=0,0,OrdersRawTable9[[#This Row],[Profit]]/OrdersRawTable9[[#This Row],[Net_Sales]])</f>
        <v>0.37084132750949095</v>
      </c>
      <c r="AC362" s="45" t="str">
        <f>IF(COUNTIF(ReturnsRawTable[Order_Line_ID],OrdersRawTable9[[#This Row],[Order_Line_ID]])&gt;0,"Yes","No")</f>
        <v>Yes</v>
      </c>
      <c r="AD362" s="45" t="str">
        <f>IFERROR(VLOOKUP(OrdersRawTable9[[#This Row],[Order_Line_ID]],ReturnsRawTable[[#All],[Order_Line_ID]:[Return_Reason_Raw]],3,FALSE),"")</f>
        <v>Damaged</v>
      </c>
      <c r="AE362" s="49">
        <f>IFERROR(VLOOKUP(OrdersRawTable9[[#This Row],[Order_Line_ID]],ReturnsRawTable[[#All],[Order_Line_ID]:[Return_Date]],2,FALSE),"")</f>
        <v>45901</v>
      </c>
      <c r="AF362" s="45" t="str">
        <f>IFERROR(VLOOKUP(OrdersRawTable9[[#This Row],[Order_Line_ID]],ReturnsRawTable[[Order_Line_ID]:[Refund_Status]],4,FALSE),"")</f>
        <v>Refunded</v>
      </c>
      <c r="AG362" s="45" t="str">
        <f>VLOOKUP(OrdersRawTable9[[#This Row],[Order_ID]],ShipmentsTable[],6,FALSE)</f>
        <v>Late</v>
      </c>
      <c r="AH362" s="49">
        <f>VLOOKUP(OrdersRawTable9[[#This Row],[Order_ID]],ShipmentsTable[],3,FALSE)</f>
        <v>45889</v>
      </c>
    </row>
    <row r="363" spans="1:34" ht="15" customHeight="1">
      <c r="A363" s="14" t="s">
        <v>815</v>
      </c>
      <c r="B363" s="10" t="s">
        <v>812</v>
      </c>
      <c r="C363" s="20">
        <v>45880</v>
      </c>
      <c r="D363" s="10" t="s">
        <v>813</v>
      </c>
      <c r="E363" s="10" t="s">
        <v>814</v>
      </c>
      <c r="F363" s="10" t="str">
        <f>TRIM(LEFT(OrdersRawTable9[[#This Row],[Customer_Info]],FIND(",",OrdersRawTable9[[#This Row],[Customer_Info]])-1))</f>
        <v>Amina Brown</v>
      </c>
      <c r="G36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363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363" s="10">
        <f>LEN(OrdersRawTable9[[#This Row],[Customer_Info]])-LEN(SUBSTITUTE(OrdersRawTable9[[#This Row],[Customer_Info]],",",""))</f>
        <v>2</v>
      </c>
      <c r="J363" s="10" t="s">
        <v>130</v>
      </c>
      <c r="K363" s="23">
        <v>3</v>
      </c>
      <c r="L363" s="26">
        <v>265.73</v>
      </c>
      <c r="M363" s="29">
        <v>0.05</v>
      </c>
      <c r="N363" s="10" t="s">
        <v>50</v>
      </c>
      <c r="O363" s="10" t="str">
        <f>IF(TRIM(OrdersRawTable9[[#This Row],[Sales_Channel_Raw]])="Market place","Marketplace",TRIM(OrdersRawTable9[[#This Row],[Sales_Channel_Raw]]))</f>
        <v>Marketplace</v>
      </c>
      <c r="P363" s="10" t="s">
        <v>98</v>
      </c>
      <c r="Q363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363" s="15" t="s">
        <v>52</v>
      </c>
      <c r="S363" t="str">
        <f>VLOOKUP(OrdersRawTable9[[#This Row],[Customer_ID_Raw]],CustomersTable11[],4,FALSE)</f>
        <v>Alberta</v>
      </c>
      <c r="T363" t="str">
        <f>VLOOKUP(OrdersRawTable9[[#This Row],[Customer_ID_Raw]],CustomersTable11[],5,FALSE)</f>
        <v>Small Business</v>
      </c>
      <c r="U363" s="45">
        <f>VLOOKUP(OrdersRawTable9[[#This Row],[Product_ID]],ProductsTable10[],4,FALSE)</f>
        <v>154.16999999999999</v>
      </c>
      <c r="V363" t="str">
        <f>VLOOKUP(OrdersRawTable9[[#This Row],[Product_ID]],ProductsTable10[],3,FALSE)</f>
        <v>Electronics</v>
      </c>
      <c r="W363" s="45">
        <f>OrdersRawTable9[[#This Row],[Unit_Price]]*OrdersRawTable9[[#This Row],[Quantity]]</f>
        <v>797.19</v>
      </c>
      <c r="X363" s="47">
        <f>OrdersRawTable9[[#This Row],[Gross_Sales]]*OrdersRawTable9[[#This Row],[Discount_Pct]]</f>
        <v>39.859500000000004</v>
      </c>
      <c r="Y363" s="45">
        <f>OrdersRawTable9[[#This Row],[Gross_Sales]]-OrdersRawTable9[[#This Row],[Discount_Amount]]</f>
        <v>757.33050000000003</v>
      </c>
      <c r="Z363" s="45">
        <f>OrdersRawTable9[[#This Row],[Unit_Cost]]*OrdersRawTable9[[#This Row],[Quantity]]</f>
        <v>462.51</v>
      </c>
      <c r="AA363" s="45">
        <f>OrdersRawTable9[[#This Row],[Net_Sales]]-OrdersRawTable9[[#This Row],[Total_Cost]]</f>
        <v>294.82050000000004</v>
      </c>
      <c r="AB363" s="48">
        <f>IF(OrdersRawTable9[[#This Row],[Net_Sales]]=0,0,OrdersRawTable9[[#This Row],[Profit]]/OrdersRawTable9[[#This Row],[Net_Sales]])</f>
        <v>0.38928908844949467</v>
      </c>
      <c r="AC363" s="45" t="str">
        <f>IF(COUNTIF(ReturnsRawTable[Order_Line_ID],OrdersRawTable9[[#This Row],[Order_Line_ID]])&gt;0,"Yes","No")</f>
        <v>Yes</v>
      </c>
      <c r="AD363" s="45" t="str">
        <f>IFERROR(VLOOKUP(OrdersRawTable9[[#This Row],[Order_Line_ID]],ReturnsRawTable[[#All],[Order_Line_ID]:[Return_Reason_Raw]],3,FALSE),"")</f>
        <v>Damaged</v>
      </c>
      <c r="AE363" s="49">
        <f>IFERROR(VLOOKUP(OrdersRawTable9[[#This Row],[Order_Line_ID]],ReturnsRawTable[[#All],[Order_Line_ID]:[Return_Date]],2,FALSE),"")</f>
        <v>45890</v>
      </c>
      <c r="AF363" s="45" t="str">
        <f>IFERROR(VLOOKUP(OrdersRawTable9[[#This Row],[Order_Line_ID]],ReturnsRawTable[[Order_Line_ID]:[Refund_Status]],4,FALSE),"")</f>
        <v>Refunded</v>
      </c>
      <c r="AG363" s="45" t="str">
        <f>VLOOKUP(OrdersRawTable9[[#This Row],[Order_ID]],ShipmentsTable[],6,FALSE)</f>
        <v>Late</v>
      </c>
      <c r="AH363" s="49">
        <f>VLOOKUP(OrdersRawTable9[[#This Row],[Order_ID]],ShipmentsTable[],3,FALSE)</f>
        <v>45889</v>
      </c>
    </row>
    <row r="364" spans="1:34" ht="15" customHeight="1">
      <c r="A364" s="14" t="s">
        <v>816</v>
      </c>
      <c r="B364" s="10" t="s">
        <v>812</v>
      </c>
      <c r="C364" s="20">
        <v>45880</v>
      </c>
      <c r="D364" s="10" t="s">
        <v>813</v>
      </c>
      <c r="E364" s="10" t="s">
        <v>814</v>
      </c>
      <c r="F364" s="10" t="str">
        <f>TRIM(LEFT(OrdersRawTable9[[#This Row],[Customer_Info]],FIND(",",OrdersRawTable9[[#This Row],[Customer_Info]])-1))</f>
        <v>Amina Brown</v>
      </c>
      <c r="G36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364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364" s="10">
        <f>LEN(OrdersRawTable9[[#This Row],[Customer_Info]])-LEN(SUBSTITUTE(OrdersRawTable9[[#This Row],[Customer_Info]],",",""))</f>
        <v>2</v>
      </c>
      <c r="J364" s="10" t="s">
        <v>72</v>
      </c>
      <c r="K364" s="23">
        <v>4</v>
      </c>
      <c r="L364" s="26">
        <v>210.2</v>
      </c>
      <c r="M364" s="29">
        <v>0.05</v>
      </c>
      <c r="N364" s="10" t="s">
        <v>50</v>
      </c>
      <c r="O364" s="10" t="str">
        <f>IF(TRIM(OrdersRawTable9[[#This Row],[Sales_Channel_Raw]])="Market place","Marketplace",TRIM(OrdersRawTable9[[#This Row],[Sales_Channel_Raw]]))</f>
        <v>Marketplace</v>
      </c>
      <c r="P364" s="10"/>
      <c r="Q364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364" s="15" t="s">
        <v>52</v>
      </c>
      <c r="S364" t="str">
        <f>VLOOKUP(OrdersRawTable9[[#This Row],[Customer_ID_Raw]],CustomersTable11[],4,FALSE)</f>
        <v>Alberta</v>
      </c>
      <c r="T364" t="str">
        <f>VLOOKUP(OrdersRawTable9[[#This Row],[Customer_ID_Raw]],CustomersTable11[],5,FALSE)</f>
        <v>Small Business</v>
      </c>
      <c r="U364" s="45">
        <f>VLOOKUP(OrdersRawTable9[[#This Row],[Product_ID]],ProductsTable10[],4,FALSE)</f>
        <v>136.25</v>
      </c>
      <c r="V364" t="str">
        <f>VLOOKUP(OrdersRawTable9[[#This Row],[Product_ID]],ProductsTable10[],3,FALSE)</f>
        <v>Fitness</v>
      </c>
      <c r="W364" s="45">
        <f>OrdersRawTable9[[#This Row],[Unit_Price]]*OrdersRawTable9[[#This Row],[Quantity]]</f>
        <v>840.8</v>
      </c>
      <c r="X364" s="47">
        <f>OrdersRawTable9[[#This Row],[Gross_Sales]]*OrdersRawTable9[[#This Row],[Discount_Pct]]</f>
        <v>42.04</v>
      </c>
      <c r="Y364" s="45">
        <f>OrdersRawTable9[[#This Row],[Gross_Sales]]-OrdersRawTable9[[#This Row],[Discount_Amount]]</f>
        <v>798.76</v>
      </c>
      <c r="Z364" s="45">
        <f>OrdersRawTable9[[#This Row],[Unit_Cost]]*OrdersRawTable9[[#This Row],[Quantity]]</f>
        <v>545</v>
      </c>
      <c r="AA364" s="45">
        <f>OrdersRawTable9[[#This Row],[Net_Sales]]-OrdersRawTable9[[#This Row],[Total_Cost]]</f>
        <v>253.76</v>
      </c>
      <c r="AB364" s="48">
        <f>IF(OrdersRawTable9[[#This Row],[Net_Sales]]=0,0,OrdersRawTable9[[#This Row],[Profit]]/OrdersRawTable9[[#This Row],[Net_Sales]])</f>
        <v>0.31769242325604685</v>
      </c>
      <c r="AC364" s="45" t="str">
        <f>IF(COUNTIF(ReturnsRawTable[Order_Line_ID],OrdersRawTable9[[#This Row],[Order_Line_ID]])&gt;0,"Yes","No")</f>
        <v>No</v>
      </c>
      <c r="AD364" s="45" t="str">
        <f>IFERROR(VLOOKUP(OrdersRawTable9[[#This Row],[Order_Line_ID]],ReturnsRawTable[[#All],[Order_Line_ID]:[Return_Reason_Raw]],3,FALSE),"")</f>
        <v/>
      </c>
      <c r="AE364" s="49" t="str">
        <f>IFERROR(VLOOKUP(OrdersRawTable9[[#This Row],[Order_Line_ID]],ReturnsRawTable[[#All],[Order_Line_ID]:[Return_Date]],2,FALSE),"")</f>
        <v/>
      </c>
      <c r="AF364" s="45" t="str">
        <f>IFERROR(VLOOKUP(OrdersRawTable9[[#This Row],[Order_Line_ID]],ReturnsRawTable[[Order_Line_ID]:[Refund_Status]],4,FALSE),"")</f>
        <v/>
      </c>
      <c r="AG364" s="45" t="str">
        <f>VLOOKUP(OrdersRawTable9[[#This Row],[Order_ID]],ShipmentsTable[],6,FALSE)</f>
        <v>Late</v>
      </c>
      <c r="AH364" s="49">
        <f>VLOOKUP(OrdersRawTable9[[#This Row],[Order_ID]],ShipmentsTable[],3,FALSE)</f>
        <v>45889</v>
      </c>
    </row>
    <row r="365" spans="1:34" ht="15" customHeight="1">
      <c r="A365" s="14" t="s">
        <v>817</v>
      </c>
      <c r="B365" s="10" t="s">
        <v>818</v>
      </c>
      <c r="C365" s="20">
        <v>45828</v>
      </c>
      <c r="D365" s="10" t="s">
        <v>507</v>
      </c>
      <c r="E365" s="10" t="s">
        <v>508</v>
      </c>
      <c r="F365" s="10" t="str">
        <f>TRIM(LEFT(OrdersRawTable9[[#This Row],[Customer_Info]],FIND(",",OrdersRawTable9[[#This Row],[Customer_Info]])-1))</f>
        <v>Sofia Singh</v>
      </c>
      <c r="G36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365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365" s="10">
        <f>LEN(OrdersRawTable9[[#This Row],[Customer_Info]])-LEN(SUBSTITUTE(OrdersRawTable9[[#This Row],[Customer_Info]],",",""))</f>
        <v>2</v>
      </c>
      <c r="J365" s="10" t="s">
        <v>316</v>
      </c>
      <c r="K365" s="23">
        <v>1</v>
      </c>
      <c r="L365" s="26">
        <v>180.37</v>
      </c>
      <c r="M365" s="29">
        <v>0.05</v>
      </c>
      <c r="N365" s="10" t="s">
        <v>66</v>
      </c>
      <c r="O365" s="10" t="str">
        <f>IF(TRIM(OrdersRawTable9[[#This Row],[Sales_Channel_Raw]])="Market place","Marketplace",TRIM(OrdersRawTable9[[#This Row],[Sales_Channel_Raw]]))</f>
        <v>Marketplace</v>
      </c>
      <c r="P365" s="10" t="s">
        <v>58</v>
      </c>
      <c r="Q365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365" s="15" t="s">
        <v>42</v>
      </c>
      <c r="S365" t="str">
        <f>VLOOKUP(OrdersRawTable9[[#This Row],[Customer_ID_Raw]],CustomersTable11[],4,FALSE)</f>
        <v>Quebec</v>
      </c>
      <c r="T365" t="str">
        <f>VLOOKUP(OrdersRawTable9[[#This Row],[Customer_ID_Raw]],CustomersTable11[],5,FALSE)</f>
        <v>Small Business</v>
      </c>
      <c r="U365" s="45">
        <f>VLOOKUP(OrdersRawTable9[[#This Row],[Product_ID]],ProductsTable10[],4,FALSE)</f>
        <v>107.55</v>
      </c>
      <c r="V365" t="str">
        <f>VLOOKUP(OrdersRawTable9[[#This Row],[Product_ID]],ProductsTable10[],3,FALSE)</f>
        <v>Accessories</v>
      </c>
      <c r="W365" s="45">
        <f>OrdersRawTable9[[#This Row],[Unit_Price]]*OrdersRawTable9[[#This Row],[Quantity]]</f>
        <v>180.37</v>
      </c>
      <c r="X365" s="47">
        <f>OrdersRawTable9[[#This Row],[Gross_Sales]]*OrdersRawTable9[[#This Row],[Discount_Pct]]</f>
        <v>9.0185000000000013</v>
      </c>
      <c r="Y365" s="45">
        <f>OrdersRawTable9[[#This Row],[Gross_Sales]]-OrdersRawTable9[[#This Row],[Discount_Amount]]</f>
        <v>171.35150000000002</v>
      </c>
      <c r="Z365" s="45">
        <f>OrdersRawTable9[[#This Row],[Unit_Cost]]*OrdersRawTable9[[#This Row],[Quantity]]</f>
        <v>107.55</v>
      </c>
      <c r="AA365" s="45">
        <f>OrdersRawTable9[[#This Row],[Net_Sales]]-OrdersRawTable9[[#This Row],[Total_Cost]]</f>
        <v>63.801500000000019</v>
      </c>
      <c r="AB365" s="48">
        <f>IF(OrdersRawTable9[[#This Row],[Net_Sales]]=0,0,OrdersRawTable9[[#This Row],[Profit]]/OrdersRawTable9[[#This Row],[Net_Sales]])</f>
        <v>0.37234281579093276</v>
      </c>
      <c r="AC365" s="45" t="str">
        <f>IF(COUNTIF(ReturnsRawTable[Order_Line_ID],OrdersRawTable9[[#This Row],[Order_Line_ID]])&gt;0,"Yes","No")</f>
        <v>No</v>
      </c>
      <c r="AD365" s="45" t="str">
        <f>IFERROR(VLOOKUP(OrdersRawTable9[[#This Row],[Order_Line_ID]],ReturnsRawTable[[#All],[Order_Line_ID]:[Return_Reason_Raw]],3,FALSE),"")</f>
        <v/>
      </c>
      <c r="AE365" s="49" t="str">
        <f>IFERROR(VLOOKUP(OrdersRawTable9[[#This Row],[Order_Line_ID]],ReturnsRawTable[[#All],[Order_Line_ID]:[Return_Date]],2,FALSE),"")</f>
        <v/>
      </c>
      <c r="AF365" s="45" t="str">
        <f>IFERROR(VLOOKUP(OrdersRawTable9[[#This Row],[Order_Line_ID]],ReturnsRawTable[[Order_Line_ID]:[Refund_Status]],4,FALSE),"")</f>
        <v/>
      </c>
      <c r="AG365" s="45" t="str">
        <f>VLOOKUP(OrdersRawTable9[[#This Row],[Order_ID]],ShipmentsTable[],6,FALSE)</f>
        <v>Late</v>
      </c>
      <c r="AH365" s="49">
        <f>VLOOKUP(OrdersRawTable9[[#This Row],[Order_ID]],ShipmentsTable[],3,FALSE)</f>
        <v>45838</v>
      </c>
    </row>
    <row r="366" spans="1:34" ht="15" customHeight="1">
      <c r="A366" s="14" t="s">
        <v>819</v>
      </c>
      <c r="B366" s="10" t="s">
        <v>818</v>
      </c>
      <c r="C366" s="20">
        <v>45828</v>
      </c>
      <c r="D366" s="10" t="s">
        <v>507</v>
      </c>
      <c r="E366" s="10" t="s">
        <v>508</v>
      </c>
      <c r="F366" s="10" t="str">
        <f>TRIM(LEFT(OrdersRawTable9[[#This Row],[Customer_Info]],FIND(",",OrdersRawTable9[[#This Row],[Customer_Info]])-1))</f>
        <v>Sofia Singh</v>
      </c>
      <c r="G36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366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366" s="10">
        <f>LEN(OrdersRawTable9[[#This Row],[Customer_Info]])-LEN(SUBSTITUTE(OrdersRawTable9[[#This Row],[Customer_Info]],",",""))</f>
        <v>2</v>
      </c>
      <c r="J366" s="10" t="s">
        <v>332</v>
      </c>
      <c r="K366" s="23">
        <v>4</v>
      </c>
      <c r="L366" s="26">
        <v>273.89</v>
      </c>
      <c r="M366" s="29">
        <v>0</v>
      </c>
      <c r="N366" s="10" t="s">
        <v>45</v>
      </c>
      <c r="O366" s="10" t="str">
        <f>IF(TRIM(OrdersRawTable9[[#This Row],[Sales_Channel_Raw]])="Market place","Marketplace",TRIM(OrdersRawTable9[[#This Row],[Sales_Channel_Raw]]))</f>
        <v>Retail Store</v>
      </c>
      <c r="P366" s="10" t="s">
        <v>51</v>
      </c>
      <c r="Q366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366" s="15" t="s">
        <v>47</v>
      </c>
      <c r="S366" t="str">
        <f>VLOOKUP(OrdersRawTable9[[#This Row],[Customer_ID_Raw]],CustomersTable11[],4,FALSE)</f>
        <v>Quebec</v>
      </c>
      <c r="T366" t="str">
        <f>VLOOKUP(OrdersRawTable9[[#This Row],[Customer_ID_Raw]],CustomersTable11[],5,FALSE)</f>
        <v>Small Business</v>
      </c>
      <c r="U366" s="45">
        <f>VLOOKUP(OrdersRawTable9[[#This Row],[Product_ID]],ProductsTable10[],4,FALSE)</f>
        <v>140.66999999999999</v>
      </c>
      <c r="V366" t="str">
        <f>VLOOKUP(OrdersRawTable9[[#This Row],[Product_ID]],ProductsTable10[],3,FALSE)</f>
        <v>Home</v>
      </c>
      <c r="W366" s="45">
        <f>OrdersRawTable9[[#This Row],[Unit_Price]]*OrdersRawTable9[[#This Row],[Quantity]]</f>
        <v>1095.56</v>
      </c>
      <c r="X366" s="47">
        <f>OrdersRawTable9[[#This Row],[Gross_Sales]]*OrdersRawTable9[[#This Row],[Discount_Pct]]</f>
        <v>0</v>
      </c>
      <c r="Y366" s="45">
        <f>OrdersRawTable9[[#This Row],[Gross_Sales]]-OrdersRawTable9[[#This Row],[Discount_Amount]]</f>
        <v>1095.56</v>
      </c>
      <c r="Z366" s="45">
        <f>OrdersRawTable9[[#This Row],[Unit_Cost]]*OrdersRawTable9[[#This Row],[Quantity]]</f>
        <v>562.67999999999995</v>
      </c>
      <c r="AA366" s="45">
        <f>OrdersRawTable9[[#This Row],[Net_Sales]]-OrdersRawTable9[[#This Row],[Total_Cost]]</f>
        <v>532.88</v>
      </c>
      <c r="AB366" s="48">
        <f>IF(OrdersRawTable9[[#This Row],[Net_Sales]]=0,0,OrdersRawTable9[[#This Row],[Profit]]/OrdersRawTable9[[#This Row],[Net_Sales]])</f>
        <v>0.48639964949432257</v>
      </c>
      <c r="AC366" s="45" t="str">
        <f>IF(COUNTIF(ReturnsRawTable[Order_Line_ID],OrdersRawTable9[[#This Row],[Order_Line_ID]])&gt;0,"Yes","No")</f>
        <v>No</v>
      </c>
      <c r="AD366" s="45" t="str">
        <f>IFERROR(VLOOKUP(OrdersRawTable9[[#This Row],[Order_Line_ID]],ReturnsRawTable[[#All],[Order_Line_ID]:[Return_Reason_Raw]],3,FALSE),"")</f>
        <v/>
      </c>
      <c r="AE366" s="49" t="str">
        <f>IFERROR(VLOOKUP(OrdersRawTable9[[#This Row],[Order_Line_ID]],ReturnsRawTable[[#All],[Order_Line_ID]:[Return_Date]],2,FALSE),"")</f>
        <v/>
      </c>
      <c r="AF366" s="45" t="str">
        <f>IFERROR(VLOOKUP(OrdersRawTable9[[#This Row],[Order_Line_ID]],ReturnsRawTable[[Order_Line_ID]:[Refund_Status]],4,FALSE),"")</f>
        <v/>
      </c>
      <c r="AG366" s="45" t="str">
        <f>VLOOKUP(OrdersRawTable9[[#This Row],[Order_ID]],ShipmentsTable[],6,FALSE)</f>
        <v>Late</v>
      </c>
      <c r="AH366" s="49">
        <f>VLOOKUP(OrdersRawTable9[[#This Row],[Order_ID]],ShipmentsTable[],3,FALSE)</f>
        <v>45838</v>
      </c>
    </row>
    <row r="367" spans="1:34" ht="15" customHeight="1">
      <c r="A367" s="14" t="s">
        <v>820</v>
      </c>
      <c r="B367" s="10" t="s">
        <v>821</v>
      </c>
      <c r="C367" s="20">
        <v>45833</v>
      </c>
      <c r="D367" s="10" t="s">
        <v>450</v>
      </c>
      <c r="E367" s="10" t="s">
        <v>451</v>
      </c>
      <c r="F367" s="10" t="str">
        <f>TRIM(LEFT(OrdersRawTable9[[#This Row],[Customer_Info]],FIND(",",OrdersRawTable9[[#This Row],[Customer_Info]])-1))</f>
        <v>Emma Tremblay</v>
      </c>
      <c r="G36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367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367" s="10">
        <f>LEN(OrdersRawTable9[[#This Row],[Customer_Info]])-LEN(SUBSTITUTE(OrdersRawTable9[[#This Row],[Customer_Info]],",",""))</f>
        <v>2</v>
      </c>
      <c r="J367" s="10" t="s">
        <v>44</v>
      </c>
      <c r="K367" s="23">
        <v>2</v>
      </c>
      <c r="L367" s="26">
        <v>238.47</v>
      </c>
      <c r="M367" s="29">
        <v>0</v>
      </c>
      <c r="N367" s="10" t="s">
        <v>50</v>
      </c>
      <c r="O367" s="10" t="str">
        <f>IF(TRIM(OrdersRawTable9[[#This Row],[Sales_Channel_Raw]])="Market place","Marketplace",TRIM(OrdersRawTable9[[#This Row],[Sales_Channel_Raw]]))</f>
        <v>Marketplace</v>
      </c>
      <c r="P367" s="10" t="s">
        <v>51</v>
      </c>
      <c r="Q367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367" s="15" t="s">
        <v>101</v>
      </c>
      <c r="S367" t="str">
        <f>VLOOKUP(OrdersRawTable9[[#This Row],[Customer_ID_Raw]],CustomersTable11[],4,FALSE)</f>
        <v>Nova Scotia</v>
      </c>
      <c r="T367" t="str">
        <f>VLOOKUP(OrdersRawTable9[[#This Row],[Customer_ID_Raw]],CustomersTable11[],5,FALSE)</f>
        <v>Consumer</v>
      </c>
      <c r="U367" s="45">
        <f>VLOOKUP(OrdersRawTable9[[#This Row],[Product_ID]],ProductsTable10[],4,FALSE)</f>
        <v>127.65</v>
      </c>
      <c r="V367" t="str">
        <f>VLOOKUP(OrdersRawTable9[[#This Row],[Product_ID]],ProductsTable10[],3,FALSE)</f>
        <v>Accessories</v>
      </c>
      <c r="W367" s="45">
        <f>OrdersRawTable9[[#This Row],[Unit_Price]]*OrdersRawTable9[[#This Row],[Quantity]]</f>
        <v>476.94</v>
      </c>
      <c r="X367" s="47">
        <f>OrdersRawTable9[[#This Row],[Gross_Sales]]*OrdersRawTable9[[#This Row],[Discount_Pct]]</f>
        <v>0</v>
      </c>
      <c r="Y367" s="45">
        <f>OrdersRawTable9[[#This Row],[Gross_Sales]]-OrdersRawTable9[[#This Row],[Discount_Amount]]</f>
        <v>476.94</v>
      </c>
      <c r="Z367" s="45">
        <f>OrdersRawTable9[[#This Row],[Unit_Cost]]*OrdersRawTable9[[#This Row],[Quantity]]</f>
        <v>255.3</v>
      </c>
      <c r="AA367" s="45">
        <f>OrdersRawTable9[[#This Row],[Net_Sales]]-OrdersRawTable9[[#This Row],[Total_Cost]]</f>
        <v>221.64</v>
      </c>
      <c r="AB367" s="48">
        <f>IF(OrdersRawTable9[[#This Row],[Net_Sales]]=0,0,OrdersRawTable9[[#This Row],[Profit]]/OrdersRawTable9[[#This Row],[Net_Sales]])</f>
        <v>0.46471254245817079</v>
      </c>
      <c r="AC367" s="45" t="str">
        <f>IF(COUNTIF(ReturnsRawTable[Order_Line_ID],OrdersRawTable9[[#This Row],[Order_Line_ID]])&gt;0,"Yes","No")</f>
        <v>Yes</v>
      </c>
      <c r="AD367" s="45" t="str">
        <f>IFERROR(VLOOKUP(OrdersRawTable9[[#This Row],[Order_Line_ID]],ReturnsRawTable[[#All],[Order_Line_ID]:[Return_Reason_Raw]],3,FALSE),"")</f>
        <v>Not as Described</v>
      </c>
      <c r="AE367" s="49">
        <f>IFERROR(VLOOKUP(OrdersRawTable9[[#This Row],[Order_Line_ID]],ReturnsRawTable[[#All],[Order_Line_ID]:[Return_Date]],2,FALSE),"")</f>
        <v>45854</v>
      </c>
      <c r="AF367" s="45" t="str">
        <f>IFERROR(VLOOKUP(OrdersRawTable9[[#This Row],[Order_Line_ID]],ReturnsRawTable[[Order_Line_ID]:[Refund_Status]],4,FALSE),"")</f>
        <v>Pending</v>
      </c>
      <c r="AG367" s="45" t="str">
        <f>VLOOKUP(OrdersRawTable9[[#This Row],[Order_ID]],ShipmentsTable[],6,FALSE)</f>
        <v>Late</v>
      </c>
      <c r="AH367" s="49">
        <f>VLOOKUP(OrdersRawTable9[[#This Row],[Order_ID]],ShipmentsTable[],3,FALSE)</f>
        <v>45838</v>
      </c>
    </row>
    <row r="368" spans="1:34" ht="15" customHeight="1">
      <c r="A368" s="14" t="s">
        <v>822</v>
      </c>
      <c r="B368" s="10" t="s">
        <v>821</v>
      </c>
      <c r="C368" s="20">
        <v>45833</v>
      </c>
      <c r="D368" s="10" t="s">
        <v>450</v>
      </c>
      <c r="E368" s="10" t="s">
        <v>451</v>
      </c>
      <c r="F368" s="10" t="str">
        <f>TRIM(LEFT(OrdersRawTable9[[#This Row],[Customer_Info]],FIND(",",OrdersRawTable9[[#This Row],[Customer_Info]])-1))</f>
        <v>Emma Tremblay</v>
      </c>
      <c r="G36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368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368" s="10">
        <f>LEN(OrdersRawTable9[[#This Row],[Customer_Info]])-LEN(SUBSTITUTE(OrdersRawTable9[[#This Row],[Customer_Info]],",",""))</f>
        <v>2</v>
      </c>
      <c r="J368" s="10" t="s">
        <v>77</v>
      </c>
      <c r="K368" s="23">
        <v>2</v>
      </c>
      <c r="L368" s="26">
        <v>34.909999999999997</v>
      </c>
      <c r="M368" s="29">
        <v>0.15</v>
      </c>
      <c r="N368" s="10" t="s">
        <v>66</v>
      </c>
      <c r="O368" s="10" t="str">
        <f>IF(TRIM(OrdersRawTable9[[#This Row],[Sales_Channel_Raw]])="Market place","Marketplace",TRIM(OrdersRawTable9[[#This Row],[Sales_Channel_Raw]]))</f>
        <v>Marketplace</v>
      </c>
      <c r="P368" s="10" t="s">
        <v>51</v>
      </c>
      <c r="Q368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368" s="15" t="s">
        <v>47</v>
      </c>
      <c r="S368" t="str">
        <f>VLOOKUP(OrdersRawTable9[[#This Row],[Customer_ID_Raw]],CustomersTable11[],4,FALSE)</f>
        <v>Nova Scotia</v>
      </c>
      <c r="T368" t="str">
        <f>VLOOKUP(OrdersRawTable9[[#This Row],[Customer_ID_Raw]],CustomersTable11[],5,FALSE)</f>
        <v>Consumer</v>
      </c>
      <c r="U368" s="45">
        <f>VLOOKUP(OrdersRawTable9[[#This Row],[Product_ID]],ProductsTable10[],4,FALSE)</f>
        <v>19.670000000000002</v>
      </c>
      <c r="V368" t="str">
        <f>VLOOKUP(OrdersRawTable9[[#This Row],[Product_ID]],ProductsTable10[],3,FALSE)</f>
        <v>Accessories</v>
      </c>
      <c r="W368" s="45">
        <f>OrdersRawTable9[[#This Row],[Unit_Price]]*OrdersRawTable9[[#This Row],[Quantity]]</f>
        <v>69.819999999999993</v>
      </c>
      <c r="X368" s="47">
        <f>OrdersRawTable9[[#This Row],[Gross_Sales]]*OrdersRawTable9[[#This Row],[Discount_Pct]]</f>
        <v>10.472999999999999</v>
      </c>
      <c r="Y368" s="45">
        <f>OrdersRawTable9[[#This Row],[Gross_Sales]]-OrdersRawTable9[[#This Row],[Discount_Amount]]</f>
        <v>59.346999999999994</v>
      </c>
      <c r="Z368" s="45">
        <f>OrdersRawTable9[[#This Row],[Unit_Cost]]*OrdersRawTable9[[#This Row],[Quantity]]</f>
        <v>39.340000000000003</v>
      </c>
      <c r="AA368" s="45">
        <f>OrdersRawTable9[[#This Row],[Net_Sales]]-OrdersRawTable9[[#This Row],[Total_Cost]]</f>
        <v>20.006999999999991</v>
      </c>
      <c r="AB368" s="48">
        <f>IF(OrdersRawTable9[[#This Row],[Net_Sales]]=0,0,OrdersRawTable9[[#This Row],[Profit]]/OrdersRawTable9[[#This Row],[Net_Sales]])</f>
        <v>0.33711897821288345</v>
      </c>
      <c r="AC368" s="45" t="str">
        <f>IF(COUNTIF(ReturnsRawTable[Order_Line_ID],OrdersRawTable9[[#This Row],[Order_Line_ID]])&gt;0,"Yes","No")</f>
        <v>No</v>
      </c>
      <c r="AD368" s="45" t="str">
        <f>IFERROR(VLOOKUP(OrdersRawTable9[[#This Row],[Order_Line_ID]],ReturnsRawTable[[#All],[Order_Line_ID]:[Return_Reason_Raw]],3,FALSE),"")</f>
        <v/>
      </c>
      <c r="AE368" s="49" t="str">
        <f>IFERROR(VLOOKUP(OrdersRawTable9[[#This Row],[Order_Line_ID]],ReturnsRawTable[[#All],[Order_Line_ID]:[Return_Date]],2,FALSE),"")</f>
        <v/>
      </c>
      <c r="AF368" s="45" t="str">
        <f>IFERROR(VLOOKUP(OrdersRawTable9[[#This Row],[Order_Line_ID]],ReturnsRawTable[[Order_Line_ID]:[Refund_Status]],4,FALSE),"")</f>
        <v/>
      </c>
      <c r="AG368" s="45" t="str">
        <f>VLOOKUP(OrdersRawTable9[[#This Row],[Order_ID]],ShipmentsTable[],6,FALSE)</f>
        <v>Late</v>
      </c>
      <c r="AH368" s="49">
        <f>VLOOKUP(OrdersRawTable9[[#This Row],[Order_ID]],ShipmentsTable[],3,FALSE)</f>
        <v>45838</v>
      </c>
    </row>
    <row r="369" spans="1:34" ht="15" customHeight="1">
      <c r="A369" s="14" t="s">
        <v>823</v>
      </c>
      <c r="B369" s="10" t="s">
        <v>821</v>
      </c>
      <c r="C369" s="20">
        <v>45833</v>
      </c>
      <c r="D369" s="10" t="s">
        <v>450</v>
      </c>
      <c r="E369" s="10" t="s">
        <v>451</v>
      </c>
      <c r="F369" s="10" t="str">
        <f>TRIM(LEFT(OrdersRawTable9[[#This Row],[Customer_Info]],FIND(",",OrdersRawTable9[[#This Row],[Customer_Info]])-1))</f>
        <v>Emma Tremblay</v>
      </c>
      <c r="G36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369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369" s="10">
        <f>LEN(OrdersRawTable9[[#This Row],[Customer_Info]])-LEN(SUBSTITUTE(OrdersRawTable9[[#This Row],[Customer_Info]],",",""))</f>
        <v>2</v>
      </c>
      <c r="J369" s="10" t="s">
        <v>220</v>
      </c>
      <c r="K369" s="23">
        <v>2</v>
      </c>
      <c r="L369" s="26">
        <v>25.01</v>
      </c>
      <c r="M369" s="29">
        <v>0.1</v>
      </c>
      <c r="N369" s="10" t="s">
        <v>70</v>
      </c>
      <c r="O369" s="10" t="str">
        <f>IF(TRIM(OrdersRawTable9[[#This Row],[Sales_Channel_Raw]])="Market place","Marketplace",TRIM(OrdersRawTable9[[#This Row],[Sales_Channel_Raw]]))</f>
        <v>online</v>
      </c>
      <c r="P369" s="10" t="s">
        <v>46</v>
      </c>
      <c r="Q369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69" s="15" t="s">
        <v>42</v>
      </c>
      <c r="S369" t="str">
        <f>VLOOKUP(OrdersRawTable9[[#This Row],[Customer_ID_Raw]],CustomersTable11[],4,FALSE)</f>
        <v>Nova Scotia</v>
      </c>
      <c r="T369" t="str">
        <f>VLOOKUP(OrdersRawTable9[[#This Row],[Customer_ID_Raw]],CustomersTable11[],5,FALSE)</f>
        <v>Consumer</v>
      </c>
      <c r="U369" s="45">
        <f>VLOOKUP(OrdersRawTable9[[#This Row],[Product_ID]],ProductsTable10[],4,FALSE)</f>
        <v>16.86</v>
      </c>
      <c r="V369" t="str">
        <f>VLOOKUP(OrdersRawTable9[[#This Row],[Product_ID]],ProductsTable10[],3,FALSE)</f>
        <v>Office</v>
      </c>
      <c r="W369" s="45">
        <f>OrdersRawTable9[[#This Row],[Unit_Price]]*OrdersRawTable9[[#This Row],[Quantity]]</f>
        <v>50.02</v>
      </c>
      <c r="X369" s="47">
        <f>OrdersRawTable9[[#This Row],[Gross_Sales]]*OrdersRawTable9[[#This Row],[Discount_Pct]]</f>
        <v>5.0020000000000007</v>
      </c>
      <c r="Y369" s="45">
        <f>OrdersRawTable9[[#This Row],[Gross_Sales]]-OrdersRawTable9[[#This Row],[Discount_Amount]]</f>
        <v>45.018000000000001</v>
      </c>
      <c r="Z369" s="45">
        <f>OrdersRawTable9[[#This Row],[Unit_Cost]]*OrdersRawTable9[[#This Row],[Quantity]]</f>
        <v>33.72</v>
      </c>
      <c r="AA369" s="45">
        <f>OrdersRawTable9[[#This Row],[Net_Sales]]-OrdersRawTable9[[#This Row],[Total_Cost]]</f>
        <v>11.298000000000002</v>
      </c>
      <c r="AB369" s="48">
        <f>IF(OrdersRawTable9[[#This Row],[Net_Sales]]=0,0,OrdersRawTable9[[#This Row],[Profit]]/OrdersRawTable9[[#This Row],[Net_Sales]])</f>
        <v>0.25096628015460487</v>
      </c>
      <c r="AC369" s="45" t="str">
        <f>IF(COUNTIF(ReturnsRawTable[Order_Line_ID],OrdersRawTable9[[#This Row],[Order_Line_ID]])&gt;0,"Yes","No")</f>
        <v>No</v>
      </c>
      <c r="AD369" s="45" t="str">
        <f>IFERROR(VLOOKUP(OrdersRawTable9[[#This Row],[Order_Line_ID]],ReturnsRawTable[[#All],[Order_Line_ID]:[Return_Reason_Raw]],3,FALSE),"")</f>
        <v/>
      </c>
      <c r="AE369" s="49" t="str">
        <f>IFERROR(VLOOKUP(OrdersRawTable9[[#This Row],[Order_Line_ID]],ReturnsRawTable[[#All],[Order_Line_ID]:[Return_Date]],2,FALSE),"")</f>
        <v/>
      </c>
      <c r="AF369" s="45" t="str">
        <f>IFERROR(VLOOKUP(OrdersRawTable9[[#This Row],[Order_Line_ID]],ReturnsRawTable[[Order_Line_ID]:[Refund_Status]],4,FALSE),"")</f>
        <v/>
      </c>
      <c r="AG369" s="45" t="str">
        <f>VLOOKUP(OrdersRawTable9[[#This Row],[Order_ID]],ShipmentsTable[],6,FALSE)</f>
        <v>Late</v>
      </c>
      <c r="AH369" s="49">
        <f>VLOOKUP(OrdersRawTable9[[#This Row],[Order_ID]],ShipmentsTable[],3,FALSE)</f>
        <v>45838</v>
      </c>
    </row>
    <row r="370" spans="1:34" ht="15" customHeight="1">
      <c r="A370" s="14" t="s">
        <v>824</v>
      </c>
      <c r="B370" s="10" t="s">
        <v>825</v>
      </c>
      <c r="C370" s="20">
        <v>45861</v>
      </c>
      <c r="D370" s="10" t="s">
        <v>450</v>
      </c>
      <c r="E370" s="10" t="s">
        <v>451</v>
      </c>
      <c r="F370" s="10" t="str">
        <f>TRIM(LEFT(OrdersRawTable9[[#This Row],[Customer_Info]],FIND(",",OrdersRawTable9[[#This Row],[Customer_Info]])-1))</f>
        <v>Emma Tremblay</v>
      </c>
      <c r="G37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370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370" s="10">
        <f>LEN(OrdersRawTable9[[#This Row],[Customer_Info]])-LEN(SUBSTITUTE(OrdersRawTable9[[#This Row],[Customer_Info]],",",""))</f>
        <v>2</v>
      </c>
      <c r="J370" s="10" t="s">
        <v>49</v>
      </c>
      <c r="K370" s="23">
        <v>1</v>
      </c>
      <c r="L370" s="26">
        <v>300.16000000000003</v>
      </c>
      <c r="M370" s="29">
        <v>0</v>
      </c>
      <c r="N370" s="10" t="s">
        <v>70</v>
      </c>
      <c r="O370" s="10" t="str">
        <f>IF(TRIM(OrdersRawTable9[[#This Row],[Sales_Channel_Raw]])="Market place","Marketplace",TRIM(OrdersRawTable9[[#This Row],[Sales_Channel_Raw]]))</f>
        <v>online</v>
      </c>
      <c r="P370" s="10" t="s">
        <v>51</v>
      </c>
      <c r="Q370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370" s="15" t="s">
        <v>101</v>
      </c>
      <c r="S370" t="str">
        <f>VLOOKUP(OrdersRawTable9[[#This Row],[Customer_ID_Raw]],CustomersTable11[],4,FALSE)</f>
        <v>Nova Scotia</v>
      </c>
      <c r="T370" t="str">
        <f>VLOOKUP(OrdersRawTable9[[#This Row],[Customer_ID_Raw]],CustomersTable11[],5,FALSE)</f>
        <v>Consumer</v>
      </c>
      <c r="U370" s="45">
        <f>VLOOKUP(OrdersRawTable9[[#This Row],[Product_ID]],ProductsTable10[],4,FALSE)</f>
        <v>158.46</v>
      </c>
      <c r="V370" t="str">
        <f>VLOOKUP(OrdersRawTable9[[#This Row],[Product_ID]],ProductsTable10[],3,FALSE)</f>
        <v>Office</v>
      </c>
      <c r="W370" s="45">
        <f>OrdersRawTable9[[#This Row],[Unit_Price]]*OrdersRawTable9[[#This Row],[Quantity]]</f>
        <v>300.16000000000003</v>
      </c>
      <c r="X370" s="47">
        <f>OrdersRawTable9[[#This Row],[Gross_Sales]]*OrdersRawTable9[[#This Row],[Discount_Pct]]</f>
        <v>0</v>
      </c>
      <c r="Y370" s="45">
        <f>OrdersRawTable9[[#This Row],[Gross_Sales]]-OrdersRawTable9[[#This Row],[Discount_Amount]]</f>
        <v>300.16000000000003</v>
      </c>
      <c r="Z370" s="45">
        <f>OrdersRawTable9[[#This Row],[Unit_Cost]]*OrdersRawTable9[[#This Row],[Quantity]]</f>
        <v>158.46</v>
      </c>
      <c r="AA370" s="45">
        <f>OrdersRawTable9[[#This Row],[Net_Sales]]-OrdersRawTable9[[#This Row],[Total_Cost]]</f>
        <v>141.70000000000002</v>
      </c>
      <c r="AB370" s="48">
        <f>IF(OrdersRawTable9[[#This Row],[Net_Sales]]=0,0,OrdersRawTable9[[#This Row],[Profit]]/OrdersRawTable9[[#This Row],[Net_Sales]])</f>
        <v>0.47208155650319833</v>
      </c>
      <c r="AC370" s="45" t="str">
        <f>IF(COUNTIF(ReturnsRawTable[Order_Line_ID],OrdersRawTable9[[#This Row],[Order_Line_ID]])&gt;0,"Yes","No")</f>
        <v>No</v>
      </c>
      <c r="AD370" s="45" t="str">
        <f>IFERROR(VLOOKUP(OrdersRawTable9[[#This Row],[Order_Line_ID]],ReturnsRawTable[[#All],[Order_Line_ID]:[Return_Reason_Raw]],3,FALSE),"")</f>
        <v/>
      </c>
      <c r="AE370" s="49" t="str">
        <f>IFERROR(VLOOKUP(OrdersRawTable9[[#This Row],[Order_Line_ID]],ReturnsRawTable[[#All],[Order_Line_ID]:[Return_Date]],2,FALSE),"")</f>
        <v/>
      </c>
      <c r="AF370" s="45" t="str">
        <f>IFERROR(VLOOKUP(OrdersRawTable9[[#This Row],[Order_Line_ID]],ReturnsRawTable[[Order_Line_ID]:[Refund_Status]],4,FALSE),"")</f>
        <v/>
      </c>
      <c r="AG370" s="45" t="str">
        <f>VLOOKUP(OrdersRawTable9[[#This Row],[Order_ID]],ShipmentsTable[],6,FALSE)</f>
        <v>Late</v>
      </c>
      <c r="AH370" s="49">
        <f>VLOOKUP(OrdersRawTable9[[#This Row],[Order_ID]],ShipmentsTable[],3,FALSE)</f>
        <v>45871</v>
      </c>
    </row>
    <row r="371" spans="1:34" ht="15" customHeight="1">
      <c r="A371" s="14" t="s">
        <v>826</v>
      </c>
      <c r="B371" s="10" t="s">
        <v>827</v>
      </c>
      <c r="C371" s="20">
        <v>45848</v>
      </c>
      <c r="D371" s="10" t="s">
        <v>75</v>
      </c>
      <c r="E371" s="10" t="s">
        <v>76</v>
      </c>
      <c r="F371" s="10" t="str">
        <f>TRIM(LEFT(OrdersRawTable9[[#This Row],[Customer_Info]],FIND(",",OrdersRawTable9[[#This Row],[Customer_Info]])-1))</f>
        <v>Yara Tremblay</v>
      </c>
      <c r="G37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371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371" s="10">
        <f>LEN(OrdersRawTable9[[#This Row],[Customer_Info]])-LEN(SUBSTITUTE(OrdersRawTable9[[#This Row],[Customer_Info]],",",""))</f>
        <v>2</v>
      </c>
      <c r="J371" s="10" t="s">
        <v>468</v>
      </c>
      <c r="K371" s="23">
        <v>1</v>
      </c>
      <c r="L371" s="26">
        <v>160</v>
      </c>
      <c r="M371" s="29">
        <v>0.1</v>
      </c>
      <c r="N371" s="10" t="s">
        <v>40</v>
      </c>
      <c r="O371" s="10" t="str">
        <f>IF(TRIM(OrdersRawTable9[[#This Row],[Sales_Channel_Raw]])="Market place","Marketplace",TRIM(OrdersRawTable9[[#This Row],[Sales_Channel_Raw]]))</f>
        <v>Online</v>
      </c>
      <c r="P371" s="10" t="s">
        <v>98</v>
      </c>
      <c r="Q371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371" s="15" t="s">
        <v>47</v>
      </c>
      <c r="S371" t="str">
        <f>VLOOKUP(OrdersRawTable9[[#This Row],[Customer_ID_Raw]],CustomersTable11[],4,FALSE)</f>
        <v>Alberta</v>
      </c>
      <c r="T371" t="str">
        <f>VLOOKUP(OrdersRawTable9[[#This Row],[Customer_ID_Raw]],CustomersTable11[],5,FALSE)</f>
        <v>Corporate</v>
      </c>
      <c r="U371" s="45">
        <f>VLOOKUP(OrdersRawTable9[[#This Row],[Product_ID]],ProductsTable10[],4,FALSE)</f>
        <v>101.58</v>
      </c>
      <c r="V371" t="str">
        <f>VLOOKUP(OrdersRawTable9[[#This Row],[Product_ID]],ProductsTable10[],3,FALSE)</f>
        <v>Fitness</v>
      </c>
      <c r="W371" s="45">
        <f>OrdersRawTable9[[#This Row],[Unit_Price]]*OrdersRawTable9[[#This Row],[Quantity]]</f>
        <v>160</v>
      </c>
      <c r="X371" s="47">
        <f>OrdersRawTable9[[#This Row],[Gross_Sales]]*OrdersRawTable9[[#This Row],[Discount_Pct]]</f>
        <v>16</v>
      </c>
      <c r="Y371" s="45">
        <f>OrdersRawTable9[[#This Row],[Gross_Sales]]-OrdersRawTable9[[#This Row],[Discount_Amount]]</f>
        <v>144</v>
      </c>
      <c r="Z371" s="45">
        <f>OrdersRawTable9[[#This Row],[Unit_Cost]]*OrdersRawTable9[[#This Row],[Quantity]]</f>
        <v>101.58</v>
      </c>
      <c r="AA371" s="45">
        <f>OrdersRawTable9[[#This Row],[Net_Sales]]-OrdersRawTable9[[#This Row],[Total_Cost]]</f>
        <v>42.42</v>
      </c>
      <c r="AB371" s="48">
        <f>IF(OrdersRawTable9[[#This Row],[Net_Sales]]=0,0,OrdersRawTable9[[#This Row],[Profit]]/OrdersRawTable9[[#This Row],[Net_Sales]])</f>
        <v>0.29458333333333336</v>
      </c>
      <c r="AC371" s="45" t="str">
        <f>IF(COUNTIF(ReturnsRawTable[Order_Line_ID],OrdersRawTable9[[#This Row],[Order_Line_ID]])&gt;0,"Yes","No")</f>
        <v>No</v>
      </c>
      <c r="AD371" s="45" t="str">
        <f>IFERROR(VLOOKUP(OrdersRawTable9[[#This Row],[Order_Line_ID]],ReturnsRawTable[[#All],[Order_Line_ID]:[Return_Reason_Raw]],3,FALSE),"")</f>
        <v/>
      </c>
      <c r="AE371" s="49" t="str">
        <f>IFERROR(VLOOKUP(OrdersRawTable9[[#This Row],[Order_Line_ID]],ReturnsRawTable[[#All],[Order_Line_ID]:[Return_Date]],2,FALSE),"")</f>
        <v/>
      </c>
      <c r="AF371" s="45" t="str">
        <f>IFERROR(VLOOKUP(OrdersRawTable9[[#This Row],[Order_Line_ID]],ReturnsRawTable[[Order_Line_ID]:[Refund_Status]],4,FALSE),"")</f>
        <v/>
      </c>
      <c r="AG371" s="45" t="str">
        <f>VLOOKUP(OrdersRawTable9[[#This Row],[Order_ID]],ShipmentsTable[],6,FALSE)</f>
        <v>Late</v>
      </c>
      <c r="AH371" s="49">
        <f>VLOOKUP(OrdersRawTable9[[#This Row],[Order_ID]],ShipmentsTable[],3,FALSE)</f>
        <v>45853</v>
      </c>
    </row>
    <row r="372" spans="1:34" ht="15" customHeight="1">
      <c r="A372" s="14" t="s">
        <v>828</v>
      </c>
      <c r="B372" s="10" t="s">
        <v>827</v>
      </c>
      <c r="C372" s="20">
        <v>45848</v>
      </c>
      <c r="D372" s="10" t="s">
        <v>75</v>
      </c>
      <c r="E372" s="10" t="s">
        <v>76</v>
      </c>
      <c r="F372" s="10" t="str">
        <f>TRIM(LEFT(OrdersRawTable9[[#This Row],[Customer_Info]],FIND(",",OrdersRawTable9[[#This Row],[Customer_Info]])-1))</f>
        <v>Yara Tremblay</v>
      </c>
      <c r="G37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372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372" s="10">
        <f>LEN(OrdersRawTable9[[#This Row],[Customer_Info]])-LEN(SUBSTITUTE(OrdersRawTable9[[#This Row],[Customer_Info]],",",""))</f>
        <v>2</v>
      </c>
      <c r="J372" s="10" t="s">
        <v>44</v>
      </c>
      <c r="K372" s="23">
        <v>2</v>
      </c>
      <c r="L372" s="26">
        <v>238.47</v>
      </c>
      <c r="M372" s="29">
        <v>0</v>
      </c>
      <c r="N372" s="10" t="s">
        <v>50</v>
      </c>
      <c r="O372" s="10" t="str">
        <f>IF(TRIM(OrdersRawTable9[[#This Row],[Sales_Channel_Raw]])="Market place","Marketplace",TRIM(OrdersRawTable9[[#This Row],[Sales_Channel_Raw]]))</f>
        <v>Marketplace</v>
      </c>
      <c r="P372" s="10" t="s">
        <v>51</v>
      </c>
      <c r="Q372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372" s="15" t="s">
        <v>42</v>
      </c>
      <c r="S372" t="str">
        <f>VLOOKUP(OrdersRawTable9[[#This Row],[Customer_ID_Raw]],CustomersTable11[],4,FALSE)</f>
        <v>Alberta</v>
      </c>
      <c r="T372" t="str">
        <f>VLOOKUP(OrdersRawTable9[[#This Row],[Customer_ID_Raw]],CustomersTable11[],5,FALSE)</f>
        <v>Corporate</v>
      </c>
      <c r="U372" s="45">
        <f>VLOOKUP(OrdersRawTable9[[#This Row],[Product_ID]],ProductsTable10[],4,FALSE)</f>
        <v>127.65</v>
      </c>
      <c r="V372" t="str">
        <f>VLOOKUP(OrdersRawTable9[[#This Row],[Product_ID]],ProductsTable10[],3,FALSE)</f>
        <v>Accessories</v>
      </c>
      <c r="W372" s="45">
        <f>OrdersRawTable9[[#This Row],[Unit_Price]]*OrdersRawTable9[[#This Row],[Quantity]]</f>
        <v>476.94</v>
      </c>
      <c r="X372" s="47">
        <f>OrdersRawTable9[[#This Row],[Gross_Sales]]*OrdersRawTable9[[#This Row],[Discount_Pct]]</f>
        <v>0</v>
      </c>
      <c r="Y372" s="45">
        <f>OrdersRawTable9[[#This Row],[Gross_Sales]]-OrdersRawTable9[[#This Row],[Discount_Amount]]</f>
        <v>476.94</v>
      </c>
      <c r="Z372" s="45">
        <f>OrdersRawTable9[[#This Row],[Unit_Cost]]*OrdersRawTable9[[#This Row],[Quantity]]</f>
        <v>255.3</v>
      </c>
      <c r="AA372" s="45">
        <f>OrdersRawTable9[[#This Row],[Net_Sales]]-OrdersRawTable9[[#This Row],[Total_Cost]]</f>
        <v>221.64</v>
      </c>
      <c r="AB372" s="48">
        <f>IF(OrdersRawTable9[[#This Row],[Net_Sales]]=0,0,OrdersRawTable9[[#This Row],[Profit]]/OrdersRawTable9[[#This Row],[Net_Sales]])</f>
        <v>0.46471254245817079</v>
      </c>
      <c r="AC372" s="45" t="str">
        <f>IF(COUNTIF(ReturnsRawTable[Order_Line_ID],OrdersRawTable9[[#This Row],[Order_Line_ID]])&gt;0,"Yes","No")</f>
        <v>No</v>
      </c>
      <c r="AD372" s="45" t="str">
        <f>IFERROR(VLOOKUP(OrdersRawTable9[[#This Row],[Order_Line_ID]],ReturnsRawTable[[#All],[Order_Line_ID]:[Return_Reason_Raw]],3,FALSE),"")</f>
        <v/>
      </c>
      <c r="AE372" s="49" t="str">
        <f>IFERROR(VLOOKUP(OrdersRawTable9[[#This Row],[Order_Line_ID]],ReturnsRawTable[[#All],[Order_Line_ID]:[Return_Date]],2,FALSE),"")</f>
        <v/>
      </c>
      <c r="AF372" s="45" t="str">
        <f>IFERROR(VLOOKUP(OrdersRawTable9[[#This Row],[Order_Line_ID]],ReturnsRawTable[[Order_Line_ID]:[Refund_Status]],4,FALSE),"")</f>
        <v/>
      </c>
      <c r="AG372" s="45" t="str">
        <f>VLOOKUP(OrdersRawTable9[[#This Row],[Order_ID]],ShipmentsTable[],6,FALSE)</f>
        <v>Late</v>
      </c>
      <c r="AH372" s="49">
        <f>VLOOKUP(OrdersRawTable9[[#This Row],[Order_ID]],ShipmentsTable[],3,FALSE)</f>
        <v>45853</v>
      </c>
    </row>
    <row r="373" spans="1:34" ht="15" customHeight="1">
      <c r="A373" s="14" t="s">
        <v>829</v>
      </c>
      <c r="B373" s="10" t="s">
        <v>830</v>
      </c>
      <c r="C373" s="20">
        <v>45842</v>
      </c>
      <c r="D373" s="10" t="s">
        <v>37</v>
      </c>
      <c r="E373" s="10" t="s">
        <v>38</v>
      </c>
      <c r="F373" s="10" t="str">
        <f>TRIM(LEFT(OrdersRawTable9[[#This Row],[Customer_Info]],FIND(",",OrdersRawTable9[[#This Row],[Customer_Info]])-1))</f>
        <v>Amina Khan</v>
      </c>
      <c r="G37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373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373" s="10">
        <f>LEN(OrdersRawTable9[[#This Row],[Customer_Info]])-LEN(SUBSTITUTE(OrdersRawTable9[[#This Row],[Customer_Info]],",",""))</f>
        <v>2</v>
      </c>
      <c r="J373" s="10" t="s">
        <v>128</v>
      </c>
      <c r="K373" s="23">
        <v>1</v>
      </c>
      <c r="L373" s="26">
        <v>25.15</v>
      </c>
      <c r="M373" s="29">
        <v>0</v>
      </c>
      <c r="N373" s="10" t="s">
        <v>66</v>
      </c>
      <c r="O373" s="10" t="str">
        <f>IF(TRIM(OrdersRawTable9[[#This Row],[Sales_Channel_Raw]])="Market place","Marketplace",TRIM(OrdersRawTable9[[#This Row],[Sales_Channel_Raw]]))</f>
        <v>Marketplace</v>
      </c>
      <c r="P373" s="10" t="s">
        <v>46</v>
      </c>
      <c r="Q373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73" s="15" t="s">
        <v>52</v>
      </c>
      <c r="S373" t="str">
        <f>VLOOKUP(OrdersRawTable9[[#This Row],[Customer_ID_Raw]],CustomersTable11[],4,FALSE)</f>
        <v>Quebec</v>
      </c>
      <c r="T373" t="str">
        <f>VLOOKUP(OrdersRawTable9[[#This Row],[Customer_ID_Raw]],CustomersTable11[],5,FALSE)</f>
        <v>Consumer</v>
      </c>
      <c r="U373" s="45">
        <f>VLOOKUP(OrdersRawTable9[[#This Row],[Product_ID]],ProductsTable10[],4,FALSE)</f>
        <v>14.24</v>
      </c>
      <c r="V373" t="str">
        <f>VLOOKUP(OrdersRawTable9[[#This Row],[Product_ID]],ProductsTable10[],3,FALSE)</f>
        <v>Electronics</v>
      </c>
      <c r="W373" s="45">
        <f>OrdersRawTable9[[#This Row],[Unit_Price]]*OrdersRawTable9[[#This Row],[Quantity]]</f>
        <v>25.15</v>
      </c>
      <c r="X373" s="47">
        <f>OrdersRawTable9[[#This Row],[Gross_Sales]]*OrdersRawTable9[[#This Row],[Discount_Pct]]</f>
        <v>0</v>
      </c>
      <c r="Y373" s="45">
        <f>OrdersRawTable9[[#This Row],[Gross_Sales]]-OrdersRawTable9[[#This Row],[Discount_Amount]]</f>
        <v>25.15</v>
      </c>
      <c r="Z373" s="45">
        <f>OrdersRawTable9[[#This Row],[Unit_Cost]]*OrdersRawTable9[[#This Row],[Quantity]]</f>
        <v>14.24</v>
      </c>
      <c r="AA373" s="45">
        <f>OrdersRawTable9[[#This Row],[Net_Sales]]-OrdersRawTable9[[#This Row],[Total_Cost]]</f>
        <v>10.909999999999998</v>
      </c>
      <c r="AB373" s="48">
        <f>IF(OrdersRawTable9[[#This Row],[Net_Sales]]=0,0,OrdersRawTable9[[#This Row],[Profit]]/OrdersRawTable9[[#This Row],[Net_Sales]])</f>
        <v>0.43379721669980115</v>
      </c>
      <c r="AC373" s="45" t="str">
        <f>IF(COUNTIF(ReturnsRawTable[Order_Line_ID],OrdersRawTable9[[#This Row],[Order_Line_ID]])&gt;0,"Yes","No")</f>
        <v>No</v>
      </c>
      <c r="AD373" s="45" t="str">
        <f>IFERROR(VLOOKUP(OrdersRawTable9[[#This Row],[Order_Line_ID]],ReturnsRawTable[[#All],[Order_Line_ID]:[Return_Reason_Raw]],3,FALSE),"")</f>
        <v/>
      </c>
      <c r="AE373" s="49" t="str">
        <f>IFERROR(VLOOKUP(OrdersRawTable9[[#This Row],[Order_Line_ID]],ReturnsRawTable[[#All],[Order_Line_ID]:[Return_Date]],2,FALSE),"")</f>
        <v/>
      </c>
      <c r="AF373" s="45" t="str">
        <f>IFERROR(VLOOKUP(OrdersRawTable9[[#This Row],[Order_Line_ID]],ReturnsRawTable[[Order_Line_ID]:[Refund_Status]],4,FALSE),"")</f>
        <v/>
      </c>
      <c r="AG373" s="45" t="str">
        <f>VLOOKUP(OrdersRawTable9[[#This Row],[Order_ID]],ShipmentsTable[],6,FALSE)</f>
        <v>Late</v>
      </c>
      <c r="AH373" s="49">
        <f>VLOOKUP(OrdersRawTable9[[#This Row],[Order_ID]],ShipmentsTable[],3,FALSE)</f>
        <v>45849</v>
      </c>
    </row>
    <row r="374" spans="1:34" ht="15" customHeight="1">
      <c r="A374" s="14" t="s">
        <v>831</v>
      </c>
      <c r="B374" s="10" t="s">
        <v>830</v>
      </c>
      <c r="C374" s="20">
        <v>45842</v>
      </c>
      <c r="D374" s="10" t="s">
        <v>832</v>
      </c>
      <c r="E374" s="10" t="s">
        <v>38</v>
      </c>
      <c r="F374" s="10" t="str">
        <f>TRIM(LEFT(OrdersRawTable9[[#This Row],[Customer_Info]],FIND(",",OrdersRawTable9[[#This Row],[Customer_Info]])-1))</f>
        <v>Amina Khan</v>
      </c>
      <c r="G37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374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374" s="10">
        <f>LEN(OrdersRawTable9[[#This Row],[Customer_Info]])-LEN(SUBSTITUTE(OrdersRawTable9[[#This Row],[Customer_Info]],",",""))</f>
        <v>2</v>
      </c>
      <c r="J374" s="10" t="s">
        <v>93</v>
      </c>
      <c r="K374" s="23">
        <v>1</v>
      </c>
      <c r="L374" s="26">
        <v>208.89</v>
      </c>
      <c r="M374" s="29">
        <v>0.1</v>
      </c>
      <c r="N374" s="10" t="s">
        <v>45</v>
      </c>
      <c r="O374" s="10" t="str">
        <f>IF(TRIM(OrdersRawTable9[[#This Row],[Sales_Channel_Raw]])="Market place","Marketplace",TRIM(OrdersRawTable9[[#This Row],[Sales_Channel_Raw]]))</f>
        <v>Retail Store</v>
      </c>
      <c r="P374" s="10"/>
      <c r="Q374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374" s="15" t="s">
        <v>42</v>
      </c>
      <c r="S374" t="str">
        <f>VLOOKUP(OrdersRawTable9[[#This Row],[Customer_ID_Raw]],CustomersTable11[],4,FALSE)</f>
        <v>Quebec</v>
      </c>
      <c r="T374" t="str">
        <f>VLOOKUP(OrdersRawTable9[[#This Row],[Customer_ID_Raw]],CustomersTable11[],5,FALSE)</f>
        <v>Consumer</v>
      </c>
      <c r="U374" s="45">
        <f>VLOOKUP(OrdersRawTable9[[#This Row],[Product_ID]],ProductsTable10[],4,FALSE)</f>
        <v>133.05000000000001</v>
      </c>
      <c r="V374" t="str">
        <f>VLOOKUP(OrdersRawTable9[[#This Row],[Product_ID]],ProductsTable10[],3,FALSE)</f>
        <v>Accessories</v>
      </c>
      <c r="W374" s="45">
        <f>OrdersRawTable9[[#This Row],[Unit_Price]]*OrdersRawTable9[[#This Row],[Quantity]]</f>
        <v>208.89</v>
      </c>
      <c r="X374" s="47">
        <f>OrdersRawTable9[[#This Row],[Gross_Sales]]*OrdersRawTable9[[#This Row],[Discount_Pct]]</f>
        <v>20.888999999999999</v>
      </c>
      <c r="Y374" s="45">
        <f>OrdersRawTable9[[#This Row],[Gross_Sales]]-OrdersRawTable9[[#This Row],[Discount_Amount]]</f>
        <v>188.00099999999998</v>
      </c>
      <c r="Z374" s="45">
        <f>OrdersRawTable9[[#This Row],[Unit_Cost]]*OrdersRawTable9[[#This Row],[Quantity]]</f>
        <v>133.05000000000001</v>
      </c>
      <c r="AA374" s="45">
        <f>OrdersRawTable9[[#This Row],[Net_Sales]]-OrdersRawTable9[[#This Row],[Total_Cost]]</f>
        <v>54.950999999999965</v>
      </c>
      <c r="AB374" s="48">
        <f>IF(OrdersRawTable9[[#This Row],[Net_Sales]]=0,0,OrdersRawTable9[[#This Row],[Profit]]/OrdersRawTable9[[#This Row],[Net_Sales]])</f>
        <v>0.29229099845213574</v>
      </c>
      <c r="AC374" s="45" t="str">
        <f>IF(COUNTIF(ReturnsRawTable[Order_Line_ID],OrdersRawTable9[[#This Row],[Order_Line_ID]])&gt;0,"Yes","No")</f>
        <v>Yes</v>
      </c>
      <c r="AD374" s="45" t="str">
        <f>IFERROR(VLOOKUP(OrdersRawTable9[[#This Row],[Order_Line_ID]],ReturnsRawTable[[#All],[Order_Line_ID]:[Return_Reason_Raw]],3,FALSE),"")</f>
        <v>Not as Described</v>
      </c>
      <c r="AE374" s="49">
        <f>IFERROR(VLOOKUP(OrdersRawTable9[[#This Row],[Order_Line_ID]],ReturnsRawTable[[#All],[Order_Line_ID]:[Return_Date]],2,FALSE),"")</f>
        <v>45850</v>
      </c>
      <c r="AF374" s="45" t="str">
        <f>IFERROR(VLOOKUP(OrdersRawTable9[[#This Row],[Order_Line_ID]],ReturnsRawTable[[Order_Line_ID]:[Refund_Status]],4,FALSE),"")</f>
        <v>Pending</v>
      </c>
      <c r="AG374" s="45" t="str">
        <f>VLOOKUP(OrdersRawTable9[[#This Row],[Order_ID]],ShipmentsTable[],6,FALSE)</f>
        <v>Late</v>
      </c>
      <c r="AH374" s="49">
        <f>VLOOKUP(OrdersRawTable9[[#This Row],[Order_ID]],ShipmentsTable[],3,FALSE)</f>
        <v>45849</v>
      </c>
    </row>
    <row r="375" spans="1:34" ht="15" customHeight="1">
      <c r="A375" s="14" t="s">
        <v>833</v>
      </c>
      <c r="B375" s="10" t="s">
        <v>834</v>
      </c>
      <c r="C375" s="20">
        <v>45993</v>
      </c>
      <c r="D375" s="10" t="s">
        <v>835</v>
      </c>
      <c r="E375" s="10" t="s">
        <v>836</v>
      </c>
      <c r="F375" s="10" t="str">
        <f>TRIM(LEFT(OrdersRawTable9[[#This Row],[Customer_Info]],FIND(",",OrdersRawTable9[[#This Row],[Customer_Info]])-1))</f>
        <v>Sofia Wilson</v>
      </c>
      <c r="G37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375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375" s="10">
        <f>LEN(OrdersRawTable9[[#This Row],[Customer_Info]])-LEN(SUBSTITUTE(OrdersRawTable9[[#This Row],[Customer_Info]],",",""))</f>
        <v>2</v>
      </c>
      <c r="J375" s="10" t="s">
        <v>196</v>
      </c>
      <c r="K375" s="23">
        <v>1</v>
      </c>
      <c r="L375" s="26">
        <v>183.73</v>
      </c>
      <c r="M375" s="29">
        <v>0.15</v>
      </c>
      <c r="N375" s="10" t="s">
        <v>40</v>
      </c>
      <c r="O375" s="10" t="str">
        <f>IF(TRIM(OrdersRawTable9[[#This Row],[Sales_Channel_Raw]])="Market place","Marketplace",TRIM(OrdersRawTable9[[#This Row],[Sales_Channel_Raw]]))</f>
        <v>Online</v>
      </c>
      <c r="P375" s="10" t="s">
        <v>46</v>
      </c>
      <c r="Q375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75" s="15" t="s">
        <v>47</v>
      </c>
      <c r="S375" t="str">
        <f>VLOOKUP(OrdersRawTable9[[#This Row],[Customer_ID_Raw]],CustomersTable11[],4,FALSE)</f>
        <v>Ontario</v>
      </c>
      <c r="T375" t="str">
        <f>VLOOKUP(OrdersRawTable9[[#This Row],[Customer_ID_Raw]],CustomersTable11[],5,FALSE)</f>
        <v>Small Business</v>
      </c>
      <c r="U375" s="45">
        <f>VLOOKUP(OrdersRawTable9[[#This Row],[Product_ID]],ProductsTable10[],4,FALSE)</f>
        <v>98.11</v>
      </c>
      <c r="V375" t="str">
        <f>VLOOKUP(OrdersRawTable9[[#This Row],[Product_ID]],ProductsTable10[],3,FALSE)</f>
        <v>Home</v>
      </c>
      <c r="W375" s="45">
        <f>OrdersRawTable9[[#This Row],[Unit_Price]]*OrdersRawTable9[[#This Row],[Quantity]]</f>
        <v>183.73</v>
      </c>
      <c r="X375" s="47">
        <f>OrdersRawTable9[[#This Row],[Gross_Sales]]*OrdersRawTable9[[#This Row],[Discount_Pct]]</f>
        <v>27.559499999999996</v>
      </c>
      <c r="Y375" s="45">
        <f>OrdersRawTable9[[#This Row],[Gross_Sales]]-OrdersRawTable9[[#This Row],[Discount_Amount]]</f>
        <v>156.1705</v>
      </c>
      <c r="Z375" s="45">
        <f>OrdersRawTable9[[#This Row],[Unit_Cost]]*OrdersRawTable9[[#This Row],[Quantity]]</f>
        <v>98.11</v>
      </c>
      <c r="AA375" s="45">
        <f>OrdersRawTable9[[#This Row],[Net_Sales]]-OrdersRawTable9[[#This Row],[Total_Cost]]</f>
        <v>58.060500000000005</v>
      </c>
      <c r="AB375" s="48">
        <f>IF(OrdersRawTable9[[#This Row],[Net_Sales]]=0,0,OrdersRawTable9[[#This Row],[Profit]]/OrdersRawTable9[[#This Row],[Net_Sales]])</f>
        <v>0.37177635981187229</v>
      </c>
      <c r="AC375" s="45" t="str">
        <f>IF(COUNTIF(ReturnsRawTable[Order_Line_ID],OrdersRawTable9[[#This Row],[Order_Line_ID]])&gt;0,"Yes","No")</f>
        <v>No</v>
      </c>
      <c r="AD375" s="45" t="str">
        <f>IFERROR(VLOOKUP(OrdersRawTable9[[#This Row],[Order_Line_ID]],ReturnsRawTable[[#All],[Order_Line_ID]:[Return_Reason_Raw]],3,FALSE),"")</f>
        <v/>
      </c>
      <c r="AE375" s="49" t="str">
        <f>IFERROR(VLOOKUP(OrdersRawTable9[[#This Row],[Order_Line_ID]],ReturnsRawTable[[#All],[Order_Line_ID]:[Return_Date]],2,FALSE),"")</f>
        <v/>
      </c>
      <c r="AF375" s="45" t="str">
        <f>IFERROR(VLOOKUP(OrdersRawTable9[[#This Row],[Order_Line_ID]],ReturnsRawTable[[Order_Line_ID]:[Refund_Status]],4,FALSE),"")</f>
        <v/>
      </c>
      <c r="AG375" s="45" t="str">
        <f>VLOOKUP(OrdersRawTable9[[#This Row],[Order_ID]],ShipmentsTable[],6,FALSE)</f>
        <v>On time</v>
      </c>
      <c r="AH375" s="49">
        <f>VLOOKUP(OrdersRawTable9[[#This Row],[Order_ID]],ShipmentsTable[],3,FALSE)</f>
        <v>45994</v>
      </c>
    </row>
    <row r="376" spans="1:34" ht="15" customHeight="1">
      <c r="A376" s="14" t="s">
        <v>837</v>
      </c>
      <c r="B376" s="10" t="s">
        <v>838</v>
      </c>
      <c r="C376" s="20">
        <v>45935</v>
      </c>
      <c r="D376" s="10" t="s">
        <v>839</v>
      </c>
      <c r="E376" s="10" t="s">
        <v>840</v>
      </c>
      <c r="F376" s="10" t="str">
        <f>TRIM(LEFT(OrdersRawTable9[[#This Row],[Customer_Info]],FIND(",",OrdersRawTable9[[#This Row],[Customer_Info]])-1))</f>
        <v>Adam Johnson</v>
      </c>
      <c r="G37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376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376" s="10">
        <f>LEN(OrdersRawTable9[[#This Row],[Customer_Info]])-LEN(SUBSTITUTE(OrdersRawTable9[[#This Row],[Customer_Info]],",",""))</f>
        <v>2</v>
      </c>
      <c r="J376" s="10" t="s">
        <v>150</v>
      </c>
      <c r="K376" s="23">
        <v>4</v>
      </c>
      <c r="L376" s="26">
        <v>263.04000000000002</v>
      </c>
      <c r="M376" s="29">
        <v>0</v>
      </c>
      <c r="N376" s="10" t="s">
        <v>45</v>
      </c>
      <c r="O376" s="10" t="str">
        <f>IF(TRIM(OrdersRawTable9[[#This Row],[Sales_Channel_Raw]])="Market place","Marketplace",TRIM(OrdersRawTable9[[#This Row],[Sales_Channel_Raw]]))</f>
        <v>Retail Store</v>
      </c>
      <c r="P376" s="10" t="s">
        <v>58</v>
      </c>
      <c r="Q376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376" s="15" t="s">
        <v>42</v>
      </c>
      <c r="S376" t="str">
        <f>VLOOKUP(OrdersRawTable9[[#This Row],[Customer_ID_Raw]],CustomersTable11[],4,FALSE)</f>
        <v>Nova Scotia</v>
      </c>
      <c r="T376" t="str">
        <f>VLOOKUP(OrdersRawTable9[[#This Row],[Customer_ID_Raw]],CustomersTable11[],5,FALSE)</f>
        <v>Small Business</v>
      </c>
      <c r="U376" s="45">
        <f>VLOOKUP(OrdersRawTable9[[#This Row],[Product_ID]],ProductsTable10[],4,FALSE)</f>
        <v>161.84</v>
      </c>
      <c r="V376" t="str">
        <f>VLOOKUP(OrdersRawTable9[[#This Row],[Product_ID]],ProductsTable10[],3,FALSE)</f>
        <v>Office</v>
      </c>
      <c r="W376" s="45">
        <f>OrdersRawTable9[[#This Row],[Unit_Price]]*OrdersRawTable9[[#This Row],[Quantity]]</f>
        <v>1052.1600000000001</v>
      </c>
      <c r="X376" s="47">
        <f>OrdersRawTable9[[#This Row],[Gross_Sales]]*OrdersRawTable9[[#This Row],[Discount_Pct]]</f>
        <v>0</v>
      </c>
      <c r="Y376" s="45">
        <f>OrdersRawTable9[[#This Row],[Gross_Sales]]-OrdersRawTable9[[#This Row],[Discount_Amount]]</f>
        <v>1052.1600000000001</v>
      </c>
      <c r="Z376" s="45">
        <f>OrdersRawTable9[[#This Row],[Unit_Cost]]*OrdersRawTable9[[#This Row],[Quantity]]</f>
        <v>647.36</v>
      </c>
      <c r="AA376" s="45">
        <f>OrdersRawTable9[[#This Row],[Net_Sales]]-OrdersRawTable9[[#This Row],[Total_Cost]]</f>
        <v>404.80000000000007</v>
      </c>
      <c r="AB376" s="48">
        <f>IF(OrdersRawTable9[[#This Row],[Net_Sales]]=0,0,OrdersRawTable9[[#This Row],[Profit]]/OrdersRawTable9[[#This Row],[Net_Sales]])</f>
        <v>0.38473236009732364</v>
      </c>
      <c r="AC376" s="45" t="str">
        <f>IF(COUNTIF(ReturnsRawTable[Order_Line_ID],OrdersRawTable9[[#This Row],[Order_Line_ID]])&gt;0,"Yes","No")</f>
        <v>No</v>
      </c>
      <c r="AD376" s="45" t="str">
        <f>IFERROR(VLOOKUP(OrdersRawTable9[[#This Row],[Order_Line_ID]],ReturnsRawTable[[#All],[Order_Line_ID]:[Return_Reason_Raw]],3,FALSE),"")</f>
        <v/>
      </c>
      <c r="AE376" s="49" t="str">
        <f>IFERROR(VLOOKUP(OrdersRawTable9[[#This Row],[Order_Line_ID]],ReturnsRawTable[[#All],[Order_Line_ID]:[Return_Date]],2,FALSE),"")</f>
        <v/>
      </c>
      <c r="AF376" s="45" t="str">
        <f>IFERROR(VLOOKUP(OrdersRawTable9[[#This Row],[Order_Line_ID]],ReturnsRawTable[[Order_Line_ID]:[Refund_Status]],4,FALSE),"")</f>
        <v/>
      </c>
      <c r="AG376" s="45" t="str">
        <f>VLOOKUP(OrdersRawTable9[[#This Row],[Order_ID]],ShipmentsTable[],6,FALSE)</f>
        <v>On time</v>
      </c>
      <c r="AH376" s="49">
        <f>VLOOKUP(OrdersRawTable9[[#This Row],[Order_ID]],ShipmentsTable[],3,FALSE)</f>
        <v>45937</v>
      </c>
    </row>
    <row r="377" spans="1:34" ht="15" customHeight="1">
      <c r="A377" s="14" t="s">
        <v>841</v>
      </c>
      <c r="B377" s="10" t="s">
        <v>842</v>
      </c>
      <c r="C377" s="20">
        <v>45963</v>
      </c>
      <c r="D377" s="10" t="s">
        <v>843</v>
      </c>
      <c r="E377" s="10" t="s">
        <v>844</v>
      </c>
      <c r="F377" s="10" t="str">
        <f>TRIM(LEFT(OrdersRawTable9[[#This Row],[Customer_Info]],FIND(",",OrdersRawTable9[[#This Row],[Customer_Info]])-1))</f>
        <v>Maya Dubois</v>
      </c>
      <c r="G37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377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377" s="10">
        <f>LEN(OrdersRawTable9[[#This Row],[Customer_Info]])-LEN(SUBSTITUTE(OrdersRawTable9[[#This Row],[Customer_Info]],",",""))</f>
        <v>2</v>
      </c>
      <c r="J377" s="10" t="s">
        <v>201</v>
      </c>
      <c r="K377" s="23">
        <v>4</v>
      </c>
      <c r="L377" s="26">
        <v>154.47</v>
      </c>
      <c r="M377" s="29">
        <v>0</v>
      </c>
      <c r="N377" s="10" t="s">
        <v>45</v>
      </c>
      <c r="O377" s="10" t="str">
        <f>IF(TRIM(OrdersRawTable9[[#This Row],[Sales_Channel_Raw]])="Market place","Marketplace",TRIM(OrdersRawTable9[[#This Row],[Sales_Channel_Raw]]))</f>
        <v>Retail Store</v>
      </c>
      <c r="P377" s="10"/>
      <c r="Q377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377" s="15" t="s">
        <v>67</v>
      </c>
      <c r="S377" t="str">
        <f>VLOOKUP(OrdersRawTable9[[#This Row],[Customer_ID_Raw]],CustomersTable11[],4,FALSE)</f>
        <v>Alberta</v>
      </c>
      <c r="T377" t="str">
        <f>VLOOKUP(OrdersRawTable9[[#This Row],[Customer_ID_Raw]],CustomersTable11[],5,FALSE)</f>
        <v>Small Business</v>
      </c>
      <c r="U377" s="45">
        <f>VLOOKUP(OrdersRawTable9[[#This Row],[Product_ID]],ProductsTable10[],4,FALSE)</f>
        <v>102.57</v>
      </c>
      <c r="V377" t="str">
        <f>VLOOKUP(OrdersRawTable9[[#This Row],[Product_ID]],ProductsTable10[],3,FALSE)</f>
        <v>Fitness</v>
      </c>
      <c r="W377" s="45">
        <f>OrdersRawTable9[[#This Row],[Unit_Price]]*OrdersRawTable9[[#This Row],[Quantity]]</f>
        <v>617.88</v>
      </c>
      <c r="X377" s="47">
        <f>OrdersRawTable9[[#This Row],[Gross_Sales]]*OrdersRawTable9[[#This Row],[Discount_Pct]]</f>
        <v>0</v>
      </c>
      <c r="Y377" s="45">
        <f>OrdersRawTable9[[#This Row],[Gross_Sales]]-OrdersRawTable9[[#This Row],[Discount_Amount]]</f>
        <v>617.88</v>
      </c>
      <c r="Z377" s="45">
        <f>OrdersRawTable9[[#This Row],[Unit_Cost]]*OrdersRawTable9[[#This Row],[Quantity]]</f>
        <v>410.28</v>
      </c>
      <c r="AA377" s="45">
        <f>OrdersRawTable9[[#This Row],[Net_Sales]]-OrdersRawTable9[[#This Row],[Total_Cost]]</f>
        <v>207.60000000000002</v>
      </c>
      <c r="AB377" s="48">
        <f>IF(OrdersRawTable9[[#This Row],[Net_Sales]]=0,0,OrdersRawTable9[[#This Row],[Profit]]/OrdersRawTable9[[#This Row],[Net_Sales]])</f>
        <v>0.33598757040201988</v>
      </c>
      <c r="AC377" s="45" t="str">
        <f>IF(COUNTIF(ReturnsRawTable[Order_Line_ID],OrdersRawTable9[[#This Row],[Order_Line_ID]])&gt;0,"Yes","No")</f>
        <v>No</v>
      </c>
      <c r="AD377" s="45" t="str">
        <f>IFERROR(VLOOKUP(OrdersRawTable9[[#This Row],[Order_Line_ID]],ReturnsRawTable[[#All],[Order_Line_ID]:[Return_Reason_Raw]],3,FALSE),"")</f>
        <v/>
      </c>
      <c r="AE377" s="49" t="str">
        <f>IFERROR(VLOOKUP(OrdersRawTable9[[#This Row],[Order_Line_ID]],ReturnsRawTable[[#All],[Order_Line_ID]:[Return_Date]],2,FALSE),"")</f>
        <v/>
      </c>
      <c r="AF377" s="45" t="str">
        <f>IFERROR(VLOOKUP(OrdersRawTable9[[#This Row],[Order_Line_ID]],ReturnsRawTable[[Order_Line_ID]:[Refund_Status]],4,FALSE),"")</f>
        <v/>
      </c>
      <c r="AG377" s="45" t="str">
        <f>VLOOKUP(OrdersRawTable9[[#This Row],[Order_ID]],ShipmentsTable[],6,FALSE)</f>
        <v>On time</v>
      </c>
      <c r="AH377" s="49">
        <f>VLOOKUP(OrdersRawTable9[[#This Row],[Order_ID]],ShipmentsTable[],3,FALSE)</f>
        <v>45965</v>
      </c>
    </row>
    <row r="378" spans="1:34" ht="15" customHeight="1">
      <c r="A378" s="14" t="s">
        <v>845</v>
      </c>
      <c r="B378" s="10" t="s">
        <v>842</v>
      </c>
      <c r="C378" s="20">
        <v>45963</v>
      </c>
      <c r="D378" s="10" t="s">
        <v>843</v>
      </c>
      <c r="E378" s="10" t="s">
        <v>844</v>
      </c>
      <c r="F378" s="10" t="str">
        <f>TRIM(LEFT(OrdersRawTable9[[#This Row],[Customer_Info]],FIND(",",OrdersRawTable9[[#This Row],[Customer_Info]])-1))</f>
        <v>Maya Dubois</v>
      </c>
      <c r="G37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378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378" s="10">
        <f>LEN(OrdersRawTable9[[#This Row],[Customer_Info]])-LEN(SUBSTITUTE(OrdersRawTable9[[#This Row],[Customer_Info]],",",""))</f>
        <v>2</v>
      </c>
      <c r="J378" s="10" t="s">
        <v>270</v>
      </c>
      <c r="K378" s="23">
        <v>3</v>
      </c>
      <c r="L378" s="26">
        <v>214.38</v>
      </c>
      <c r="M378" s="29">
        <v>0</v>
      </c>
      <c r="N378" s="10" t="s">
        <v>40</v>
      </c>
      <c r="O378" s="10" t="str">
        <f>IF(TRIM(OrdersRawTable9[[#This Row],[Sales_Channel_Raw]])="Market place","Marketplace",TRIM(OrdersRawTable9[[#This Row],[Sales_Channel_Raw]]))</f>
        <v>Online</v>
      </c>
      <c r="P378" s="10" t="s">
        <v>98</v>
      </c>
      <c r="Q378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378" s="15" t="s">
        <v>67</v>
      </c>
      <c r="S378" t="str">
        <f>VLOOKUP(OrdersRawTable9[[#This Row],[Customer_ID_Raw]],CustomersTable11[],4,FALSE)</f>
        <v>Alberta</v>
      </c>
      <c r="T378" t="str">
        <f>VLOOKUP(OrdersRawTable9[[#This Row],[Customer_ID_Raw]],CustomersTable11[],5,FALSE)</f>
        <v>Small Business</v>
      </c>
      <c r="U378" s="45">
        <f>VLOOKUP(OrdersRawTable9[[#This Row],[Product_ID]],ProductsTable10[],4,FALSE)</f>
        <v>131.51</v>
      </c>
      <c r="V378" t="str">
        <f>VLOOKUP(OrdersRawTable9[[#This Row],[Product_ID]],ProductsTable10[],3,FALSE)</f>
        <v>Fitness</v>
      </c>
      <c r="W378" s="45">
        <f>OrdersRawTable9[[#This Row],[Unit_Price]]*OrdersRawTable9[[#This Row],[Quantity]]</f>
        <v>643.14</v>
      </c>
      <c r="X378" s="47">
        <f>OrdersRawTable9[[#This Row],[Gross_Sales]]*OrdersRawTable9[[#This Row],[Discount_Pct]]</f>
        <v>0</v>
      </c>
      <c r="Y378" s="45">
        <f>OrdersRawTable9[[#This Row],[Gross_Sales]]-OrdersRawTable9[[#This Row],[Discount_Amount]]</f>
        <v>643.14</v>
      </c>
      <c r="Z378" s="45">
        <f>OrdersRawTable9[[#This Row],[Unit_Cost]]*OrdersRawTable9[[#This Row],[Quantity]]</f>
        <v>394.53</v>
      </c>
      <c r="AA378" s="45">
        <f>OrdersRawTable9[[#This Row],[Net_Sales]]-OrdersRawTable9[[#This Row],[Total_Cost]]</f>
        <v>248.61</v>
      </c>
      <c r="AB378" s="48">
        <f>IF(OrdersRawTable9[[#This Row],[Net_Sales]]=0,0,OrdersRawTable9[[#This Row],[Profit]]/OrdersRawTable9[[#This Row],[Net_Sales]])</f>
        <v>0.38655658177068758</v>
      </c>
      <c r="AC378" s="45" t="str">
        <f>IF(COUNTIF(ReturnsRawTable[Order_Line_ID],OrdersRawTable9[[#This Row],[Order_Line_ID]])&gt;0,"Yes","No")</f>
        <v>No</v>
      </c>
      <c r="AD378" s="45" t="str">
        <f>IFERROR(VLOOKUP(OrdersRawTable9[[#This Row],[Order_Line_ID]],ReturnsRawTable[[#All],[Order_Line_ID]:[Return_Reason_Raw]],3,FALSE),"")</f>
        <v/>
      </c>
      <c r="AE378" s="49" t="str">
        <f>IFERROR(VLOOKUP(OrdersRawTable9[[#This Row],[Order_Line_ID]],ReturnsRawTable[[#All],[Order_Line_ID]:[Return_Date]],2,FALSE),"")</f>
        <v/>
      </c>
      <c r="AF378" s="45" t="str">
        <f>IFERROR(VLOOKUP(OrdersRawTable9[[#This Row],[Order_Line_ID]],ReturnsRawTable[[Order_Line_ID]:[Refund_Status]],4,FALSE),"")</f>
        <v/>
      </c>
      <c r="AG378" s="45" t="str">
        <f>VLOOKUP(OrdersRawTable9[[#This Row],[Order_ID]],ShipmentsTable[],6,FALSE)</f>
        <v>On time</v>
      </c>
      <c r="AH378" s="49">
        <f>VLOOKUP(OrdersRawTable9[[#This Row],[Order_ID]],ShipmentsTable[],3,FALSE)</f>
        <v>45965</v>
      </c>
    </row>
    <row r="379" spans="1:34" ht="15" customHeight="1">
      <c r="A379" s="14" t="s">
        <v>846</v>
      </c>
      <c r="B379" s="10" t="s">
        <v>842</v>
      </c>
      <c r="C379" s="20">
        <v>45963</v>
      </c>
      <c r="D379" s="10" t="s">
        <v>843</v>
      </c>
      <c r="E379" s="10" t="s">
        <v>844</v>
      </c>
      <c r="F379" s="10" t="str">
        <f>TRIM(LEFT(OrdersRawTable9[[#This Row],[Customer_Info]],FIND(",",OrdersRawTable9[[#This Row],[Customer_Info]])-1))</f>
        <v>Maya Dubois</v>
      </c>
      <c r="G37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379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379" s="10">
        <f>LEN(OrdersRawTable9[[#This Row],[Customer_Info]])-LEN(SUBSTITUTE(OrdersRawTable9[[#This Row],[Customer_Info]],",",""))</f>
        <v>2</v>
      </c>
      <c r="J379" s="10" t="s">
        <v>83</v>
      </c>
      <c r="K379" s="23">
        <v>3</v>
      </c>
      <c r="L379" s="26">
        <v>115.28</v>
      </c>
      <c r="M379" s="29">
        <v>0.1</v>
      </c>
      <c r="N379" s="10" t="s">
        <v>40</v>
      </c>
      <c r="O379" s="10" t="str">
        <f>IF(TRIM(OrdersRawTable9[[#This Row],[Sales_Channel_Raw]])="Market place","Marketplace",TRIM(OrdersRawTable9[[#This Row],[Sales_Channel_Raw]]))</f>
        <v>Online</v>
      </c>
      <c r="P379" s="10" t="s">
        <v>58</v>
      </c>
      <c r="Q379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379" s="15" t="s">
        <v>67</v>
      </c>
      <c r="S379" t="str">
        <f>VLOOKUP(OrdersRawTable9[[#This Row],[Customer_ID_Raw]],CustomersTable11[],4,FALSE)</f>
        <v>Alberta</v>
      </c>
      <c r="T379" t="str">
        <f>VLOOKUP(OrdersRawTable9[[#This Row],[Customer_ID_Raw]],CustomersTable11[],5,FALSE)</f>
        <v>Small Business</v>
      </c>
      <c r="U379" s="45">
        <f>VLOOKUP(OrdersRawTable9[[#This Row],[Product_ID]],ProductsTable10[],4,FALSE)</f>
        <v>61.65</v>
      </c>
      <c r="V379" t="str">
        <f>VLOOKUP(OrdersRawTable9[[#This Row],[Product_ID]],ProductsTable10[],3,FALSE)</f>
        <v>Office</v>
      </c>
      <c r="W379" s="45">
        <f>OrdersRawTable9[[#This Row],[Unit_Price]]*OrdersRawTable9[[#This Row],[Quantity]]</f>
        <v>345.84000000000003</v>
      </c>
      <c r="X379" s="47">
        <f>OrdersRawTable9[[#This Row],[Gross_Sales]]*OrdersRawTable9[[#This Row],[Discount_Pct]]</f>
        <v>34.584000000000003</v>
      </c>
      <c r="Y379" s="45">
        <f>OrdersRawTable9[[#This Row],[Gross_Sales]]-OrdersRawTable9[[#This Row],[Discount_Amount]]</f>
        <v>311.25600000000003</v>
      </c>
      <c r="Z379" s="45">
        <f>OrdersRawTable9[[#This Row],[Unit_Cost]]*OrdersRawTable9[[#This Row],[Quantity]]</f>
        <v>184.95</v>
      </c>
      <c r="AA379" s="45">
        <f>OrdersRawTable9[[#This Row],[Net_Sales]]-OrdersRawTable9[[#This Row],[Total_Cost]]</f>
        <v>126.30600000000004</v>
      </c>
      <c r="AB379" s="48">
        <f>IF(OrdersRawTable9[[#This Row],[Net_Sales]]=0,0,OrdersRawTable9[[#This Row],[Profit]]/OrdersRawTable9[[#This Row],[Net_Sales]])</f>
        <v>0.4057945870922971</v>
      </c>
      <c r="AC379" s="45" t="str">
        <f>IF(COUNTIF(ReturnsRawTable[Order_Line_ID],OrdersRawTable9[[#This Row],[Order_Line_ID]])&gt;0,"Yes","No")</f>
        <v>No</v>
      </c>
      <c r="AD379" s="45" t="str">
        <f>IFERROR(VLOOKUP(OrdersRawTable9[[#This Row],[Order_Line_ID]],ReturnsRawTable[[#All],[Order_Line_ID]:[Return_Reason_Raw]],3,FALSE),"")</f>
        <v/>
      </c>
      <c r="AE379" s="49" t="str">
        <f>IFERROR(VLOOKUP(OrdersRawTable9[[#This Row],[Order_Line_ID]],ReturnsRawTable[[#All],[Order_Line_ID]:[Return_Date]],2,FALSE),"")</f>
        <v/>
      </c>
      <c r="AF379" s="45" t="str">
        <f>IFERROR(VLOOKUP(OrdersRawTable9[[#This Row],[Order_Line_ID]],ReturnsRawTable[[Order_Line_ID]:[Refund_Status]],4,FALSE),"")</f>
        <v/>
      </c>
      <c r="AG379" s="45" t="str">
        <f>VLOOKUP(OrdersRawTable9[[#This Row],[Order_ID]],ShipmentsTable[],6,FALSE)</f>
        <v>On time</v>
      </c>
      <c r="AH379" s="49">
        <f>VLOOKUP(OrdersRawTable9[[#This Row],[Order_ID]],ShipmentsTable[],3,FALSE)</f>
        <v>45965</v>
      </c>
    </row>
    <row r="380" spans="1:34" ht="15" customHeight="1">
      <c r="A380" s="14" t="s">
        <v>847</v>
      </c>
      <c r="B380" s="10" t="s">
        <v>848</v>
      </c>
      <c r="C380" s="20">
        <v>45999</v>
      </c>
      <c r="D380" s="10" t="s">
        <v>849</v>
      </c>
      <c r="E380" s="10" t="s">
        <v>850</v>
      </c>
      <c r="F380" s="10" t="str">
        <f>TRIM(LEFT(OrdersRawTable9[[#This Row],[Customer_Info]],FIND(",",OrdersRawTable9[[#This Row],[Customer_Info]])-1))</f>
        <v>Daniel Singh</v>
      </c>
      <c r="G38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380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380" s="10">
        <f>LEN(OrdersRawTable9[[#This Row],[Customer_Info]])-LEN(SUBSTITUTE(OrdersRawTable9[[#This Row],[Customer_Info]],",",""))</f>
        <v>2</v>
      </c>
      <c r="J380" s="10" t="s">
        <v>241</v>
      </c>
      <c r="K380" s="23">
        <v>4</v>
      </c>
      <c r="L380" s="26">
        <v>300.56</v>
      </c>
      <c r="M380" s="29">
        <v>0.15</v>
      </c>
      <c r="N380" s="10" t="s">
        <v>70</v>
      </c>
      <c r="O380" s="10" t="str">
        <f>IF(TRIM(OrdersRawTable9[[#This Row],[Sales_Channel_Raw]])="Market place","Marketplace",TRIM(OrdersRawTable9[[#This Row],[Sales_Channel_Raw]]))</f>
        <v>online</v>
      </c>
      <c r="P380" s="10"/>
      <c r="Q380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380" s="15" t="s">
        <v>101</v>
      </c>
      <c r="S380" t="str">
        <f>VLOOKUP(OrdersRawTable9[[#This Row],[Customer_ID_Raw]],CustomersTable11[],4,FALSE)</f>
        <v>Manitoba</v>
      </c>
      <c r="T380" t="str">
        <f>VLOOKUP(OrdersRawTable9[[#This Row],[Customer_ID_Raw]],CustomersTable11[],5,FALSE)</f>
        <v>Consumer</v>
      </c>
      <c r="U380" s="45">
        <f>VLOOKUP(OrdersRawTable9[[#This Row],[Product_ID]],ProductsTable10[],4,FALSE)</f>
        <v>158.86000000000001</v>
      </c>
      <c r="V380" t="str">
        <f>VLOOKUP(OrdersRawTable9[[#This Row],[Product_ID]],ProductsTable10[],3,FALSE)</f>
        <v>Accessories</v>
      </c>
      <c r="W380" s="45">
        <f>OrdersRawTable9[[#This Row],[Unit_Price]]*OrdersRawTable9[[#This Row],[Quantity]]</f>
        <v>1202.24</v>
      </c>
      <c r="X380" s="47">
        <f>OrdersRawTable9[[#This Row],[Gross_Sales]]*OrdersRawTable9[[#This Row],[Discount_Pct]]</f>
        <v>180.33599999999998</v>
      </c>
      <c r="Y380" s="45">
        <f>OrdersRawTable9[[#This Row],[Gross_Sales]]-OrdersRawTable9[[#This Row],[Discount_Amount]]</f>
        <v>1021.904</v>
      </c>
      <c r="Z380" s="45">
        <f>OrdersRawTable9[[#This Row],[Unit_Cost]]*OrdersRawTable9[[#This Row],[Quantity]]</f>
        <v>635.44000000000005</v>
      </c>
      <c r="AA380" s="45">
        <f>OrdersRawTable9[[#This Row],[Net_Sales]]-OrdersRawTable9[[#This Row],[Total_Cost]]</f>
        <v>386.46399999999994</v>
      </c>
      <c r="AB380" s="48">
        <f>IF(OrdersRawTable9[[#This Row],[Net_Sales]]=0,0,OrdersRawTable9[[#This Row],[Profit]]/OrdersRawTable9[[#This Row],[Net_Sales]])</f>
        <v>0.37818033787909622</v>
      </c>
      <c r="AC380" s="45" t="str">
        <f>IF(COUNTIF(ReturnsRawTable[Order_Line_ID],OrdersRawTable9[[#This Row],[Order_Line_ID]])&gt;0,"Yes","No")</f>
        <v>No</v>
      </c>
      <c r="AD380" s="45" t="str">
        <f>IFERROR(VLOOKUP(OrdersRawTable9[[#This Row],[Order_Line_ID]],ReturnsRawTable[[#All],[Order_Line_ID]:[Return_Reason_Raw]],3,FALSE),"")</f>
        <v/>
      </c>
      <c r="AE380" s="49" t="str">
        <f>IFERROR(VLOOKUP(OrdersRawTable9[[#This Row],[Order_Line_ID]],ReturnsRawTable[[#All],[Order_Line_ID]:[Return_Date]],2,FALSE),"")</f>
        <v/>
      </c>
      <c r="AF380" s="45" t="str">
        <f>IFERROR(VLOOKUP(OrdersRawTable9[[#This Row],[Order_Line_ID]],ReturnsRawTable[[Order_Line_ID]:[Refund_Status]],4,FALSE),"")</f>
        <v/>
      </c>
      <c r="AG380" s="45" t="str">
        <f>VLOOKUP(OrdersRawTable9[[#This Row],[Order_ID]],ShipmentsTable[],6,FALSE)</f>
        <v>Late</v>
      </c>
      <c r="AH380" s="49">
        <f>VLOOKUP(OrdersRawTable9[[#This Row],[Order_ID]],ShipmentsTable[],3,FALSE)</f>
        <v>46005</v>
      </c>
    </row>
    <row r="381" spans="1:34" ht="15" customHeight="1">
      <c r="A381" s="14" t="s">
        <v>851</v>
      </c>
      <c r="B381" s="10" t="s">
        <v>848</v>
      </c>
      <c r="C381" s="20">
        <v>45999</v>
      </c>
      <c r="D381" s="10" t="s">
        <v>849</v>
      </c>
      <c r="E381" s="10" t="s">
        <v>850</v>
      </c>
      <c r="F381" s="10" t="str">
        <f>TRIM(LEFT(OrdersRawTable9[[#This Row],[Customer_Info]],FIND(",",OrdersRawTable9[[#This Row],[Customer_Info]])-1))</f>
        <v>Daniel Singh</v>
      </c>
      <c r="G38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381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381" s="10">
        <f>LEN(OrdersRawTable9[[#This Row],[Customer_Info]])-LEN(SUBSTITUTE(OrdersRawTable9[[#This Row],[Customer_Info]],",",""))</f>
        <v>2</v>
      </c>
      <c r="J381" s="10" t="s">
        <v>147</v>
      </c>
      <c r="K381" s="23">
        <v>4</v>
      </c>
      <c r="L381" s="26">
        <v>102.78</v>
      </c>
      <c r="M381" s="29">
        <v>0.1</v>
      </c>
      <c r="N381" s="10" t="s">
        <v>40</v>
      </c>
      <c r="O381" s="10" t="str">
        <f>IF(TRIM(OrdersRawTable9[[#This Row],[Sales_Channel_Raw]])="Market place","Marketplace",TRIM(OrdersRawTable9[[#This Row],[Sales_Channel_Raw]]))</f>
        <v>Online</v>
      </c>
      <c r="P381" s="10" t="s">
        <v>98</v>
      </c>
      <c r="Q381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381" s="15" t="s">
        <v>67</v>
      </c>
      <c r="S381" t="str">
        <f>VLOOKUP(OrdersRawTable9[[#This Row],[Customer_ID_Raw]],CustomersTable11[],4,FALSE)</f>
        <v>Manitoba</v>
      </c>
      <c r="T381" t="str">
        <f>VLOOKUP(OrdersRawTable9[[#This Row],[Customer_ID_Raw]],CustomersTable11[],5,FALSE)</f>
        <v>Consumer</v>
      </c>
      <c r="U381" s="45">
        <f>VLOOKUP(OrdersRawTable9[[#This Row],[Product_ID]],ProductsTable10[],4,FALSE)</f>
        <v>62.65</v>
      </c>
      <c r="V381" t="str">
        <f>VLOOKUP(OrdersRawTable9[[#This Row],[Product_ID]],ProductsTable10[],3,FALSE)</f>
        <v>Accessories</v>
      </c>
      <c r="W381" s="45">
        <f>OrdersRawTable9[[#This Row],[Unit_Price]]*OrdersRawTable9[[#This Row],[Quantity]]</f>
        <v>411.12</v>
      </c>
      <c r="X381" s="47">
        <f>OrdersRawTable9[[#This Row],[Gross_Sales]]*OrdersRawTable9[[#This Row],[Discount_Pct]]</f>
        <v>41.112000000000002</v>
      </c>
      <c r="Y381" s="45">
        <f>OrdersRawTable9[[#This Row],[Gross_Sales]]-OrdersRawTable9[[#This Row],[Discount_Amount]]</f>
        <v>370.00799999999998</v>
      </c>
      <c r="Z381" s="45">
        <f>OrdersRawTable9[[#This Row],[Unit_Cost]]*OrdersRawTable9[[#This Row],[Quantity]]</f>
        <v>250.6</v>
      </c>
      <c r="AA381" s="45">
        <f>OrdersRawTable9[[#This Row],[Net_Sales]]-OrdersRawTable9[[#This Row],[Total_Cost]]</f>
        <v>119.40799999999999</v>
      </c>
      <c r="AB381" s="48">
        <f>IF(OrdersRawTable9[[#This Row],[Net_Sales]]=0,0,OrdersRawTable9[[#This Row],[Profit]]/OrdersRawTable9[[#This Row],[Net_Sales]])</f>
        <v>0.32271734665196428</v>
      </c>
      <c r="AC381" s="45" t="str">
        <f>IF(COUNTIF(ReturnsRawTable[Order_Line_ID],OrdersRawTable9[[#This Row],[Order_Line_ID]])&gt;0,"Yes","No")</f>
        <v>No</v>
      </c>
      <c r="AD381" s="45" t="str">
        <f>IFERROR(VLOOKUP(OrdersRawTable9[[#This Row],[Order_Line_ID]],ReturnsRawTable[[#All],[Order_Line_ID]:[Return_Reason_Raw]],3,FALSE),"")</f>
        <v/>
      </c>
      <c r="AE381" s="49" t="str">
        <f>IFERROR(VLOOKUP(OrdersRawTable9[[#This Row],[Order_Line_ID]],ReturnsRawTable[[#All],[Order_Line_ID]:[Return_Date]],2,FALSE),"")</f>
        <v/>
      </c>
      <c r="AF381" s="45" t="str">
        <f>IFERROR(VLOOKUP(OrdersRawTable9[[#This Row],[Order_Line_ID]],ReturnsRawTable[[Order_Line_ID]:[Refund_Status]],4,FALSE),"")</f>
        <v/>
      </c>
      <c r="AG381" s="45" t="str">
        <f>VLOOKUP(OrdersRawTable9[[#This Row],[Order_ID]],ShipmentsTable[],6,FALSE)</f>
        <v>Late</v>
      </c>
      <c r="AH381" s="49">
        <f>VLOOKUP(OrdersRawTable9[[#This Row],[Order_ID]],ShipmentsTable[],3,FALSE)</f>
        <v>46005</v>
      </c>
    </row>
    <row r="382" spans="1:34" ht="15" customHeight="1">
      <c r="A382" s="14" t="s">
        <v>852</v>
      </c>
      <c r="B382" s="10" t="s">
        <v>853</v>
      </c>
      <c r="C382" s="20">
        <v>45802</v>
      </c>
      <c r="D382" s="10" t="s">
        <v>557</v>
      </c>
      <c r="E382" s="10" t="s">
        <v>558</v>
      </c>
      <c r="F382" s="10" t="str">
        <f>TRIM(LEFT(OrdersRawTable9[[#This Row],[Customer_Info]],FIND(",",OrdersRawTable9[[#This Row],[Customer_Info]])-1))</f>
        <v>Adam Singh</v>
      </c>
      <c r="G38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382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382" s="10">
        <f>LEN(OrdersRawTable9[[#This Row],[Customer_Info]])-LEN(SUBSTITUTE(OrdersRawTable9[[#This Row],[Customer_Info]],",",""))</f>
        <v>2</v>
      </c>
      <c r="J382" s="10" t="s">
        <v>241</v>
      </c>
      <c r="K382" s="23">
        <v>2</v>
      </c>
      <c r="L382" s="26">
        <v>300.56</v>
      </c>
      <c r="M382" s="29">
        <v>0.1</v>
      </c>
      <c r="N382" s="10" t="s">
        <v>66</v>
      </c>
      <c r="O382" s="10" t="str">
        <f>IF(TRIM(OrdersRawTable9[[#This Row],[Sales_Channel_Raw]])="Market place","Marketplace",TRIM(OrdersRawTable9[[#This Row],[Sales_Channel_Raw]]))</f>
        <v>Marketplace</v>
      </c>
      <c r="P382" s="10" t="s">
        <v>46</v>
      </c>
      <c r="Q382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82" s="15" t="s">
        <v>52</v>
      </c>
      <c r="S382" t="str">
        <f>VLOOKUP(OrdersRawTable9[[#This Row],[Customer_ID_Raw]],CustomersTable11[],4,FALSE)</f>
        <v>British Columbia</v>
      </c>
      <c r="T382" t="str">
        <f>VLOOKUP(OrdersRawTable9[[#This Row],[Customer_ID_Raw]],CustomersTable11[],5,FALSE)</f>
        <v>Consumer</v>
      </c>
      <c r="U382" s="45">
        <f>VLOOKUP(OrdersRawTable9[[#This Row],[Product_ID]],ProductsTable10[],4,FALSE)</f>
        <v>158.86000000000001</v>
      </c>
      <c r="V382" t="str">
        <f>VLOOKUP(OrdersRawTable9[[#This Row],[Product_ID]],ProductsTable10[],3,FALSE)</f>
        <v>Accessories</v>
      </c>
      <c r="W382" s="45">
        <f>OrdersRawTable9[[#This Row],[Unit_Price]]*OrdersRawTable9[[#This Row],[Quantity]]</f>
        <v>601.12</v>
      </c>
      <c r="X382" s="47">
        <f>OrdersRawTable9[[#This Row],[Gross_Sales]]*OrdersRawTable9[[#This Row],[Discount_Pct]]</f>
        <v>60.112000000000002</v>
      </c>
      <c r="Y382" s="45">
        <f>OrdersRawTable9[[#This Row],[Gross_Sales]]-OrdersRawTable9[[#This Row],[Discount_Amount]]</f>
        <v>541.00800000000004</v>
      </c>
      <c r="Z382" s="45">
        <f>OrdersRawTable9[[#This Row],[Unit_Cost]]*OrdersRawTable9[[#This Row],[Quantity]]</f>
        <v>317.72000000000003</v>
      </c>
      <c r="AA382" s="45">
        <f>OrdersRawTable9[[#This Row],[Net_Sales]]-OrdersRawTable9[[#This Row],[Total_Cost]]</f>
        <v>223.28800000000001</v>
      </c>
      <c r="AB382" s="48">
        <f>IF(OrdersRawTable9[[#This Row],[Net_Sales]]=0,0,OrdersRawTable9[[#This Row],[Profit]]/OrdersRawTable9[[#This Row],[Net_Sales]])</f>
        <v>0.4127258746635909</v>
      </c>
      <c r="AC382" s="45" t="str">
        <f>IF(COUNTIF(ReturnsRawTable[Order_Line_ID],OrdersRawTable9[[#This Row],[Order_Line_ID]])&gt;0,"Yes","No")</f>
        <v>No</v>
      </c>
      <c r="AD382" s="45" t="str">
        <f>IFERROR(VLOOKUP(OrdersRawTable9[[#This Row],[Order_Line_ID]],ReturnsRawTable[[#All],[Order_Line_ID]:[Return_Reason_Raw]],3,FALSE),"")</f>
        <v/>
      </c>
      <c r="AE382" s="49" t="str">
        <f>IFERROR(VLOOKUP(OrdersRawTable9[[#This Row],[Order_Line_ID]],ReturnsRawTable[[#All],[Order_Line_ID]:[Return_Date]],2,FALSE),"")</f>
        <v/>
      </c>
      <c r="AF382" s="45" t="str">
        <f>IFERROR(VLOOKUP(OrdersRawTable9[[#This Row],[Order_Line_ID]],ReturnsRawTable[[Order_Line_ID]:[Refund_Status]],4,FALSE),"")</f>
        <v/>
      </c>
      <c r="AG382" s="45" t="str">
        <f>VLOOKUP(OrdersRawTable9[[#This Row],[Order_ID]],ShipmentsTable[],6,FALSE)</f>
        <v>Late</v>
      </c>
      <c r="AH382" s="49">
        <f>VLOOKUP(OrdersRawTable9[[#This Row],[Order_ID]],ShipmentsTable[],3,FALSE)</f>
        <v>45811</v>
      </c>
    </row>
    <row r="383" spans="1:34" ht="15" customHeight="1">
      <c r="A383" s="14" t="s">
        <v>854</v>
      </c>
      <c r="B383" s="10" t="s">
        <v>853</v>
      </c>
      <c r="C383" s="20">
        <v>45802</v>
      </c>
      <c r="D383" s="10" t="s">
        <v>557</v>
      </c>
      <c r="E383" s="10" t="s">
        <v>558</v>
      </c>
      <c r="F383" s="10" t="str">
        <f>TRIM(LEFT(OrdersRawTable9[[#This Row],[Customer_Info]],FIND(",",OrdersRawTable9[[#This Row],[Customer_Info]])-1))</f>
        <v>Adam Singh</v>
      </c>
      <c r="G38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383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383" s="10">
        <f>LEN(OrdersRawTable9[[#This Row],[Customer_Info]])-LEN(SUBSTITUTE(OrdersRawTable9[[#This Row],[Customer_Info]],",",""))</f>
        <v>2</v>
      </c>
      <c r="J383" s="10" t="s">
        <v>93</v>
      </c>
      <c r="K383" s="23">
        <v>2</v>
      </c>
      <c r="L383" s="26">
        <v>208.89</v>
      </c>
      <c r="M383" s="29">
        <v>0</v>
      </c>
      <c r="N383" s="10" t="s">
        <v>66</v>
      </c>
      <c r="O383" s="10" t="str">
        <f>IF(TRIM(OrdersRawTable9[[#This Row],[Sales_Channel_Raw]])="Market place","Marketplace",TRIM(OrdersRawTable9[[#This Row],[Sales_Channel_Raw]]))</f>
        <v>Marketplace</v>
      </c>
      <c r="P383" s="10" t="s">
        <v>46</v>
      </c>
      <c r="Q383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83" s="15" t="s">
        <v>47</v>
      </c>
      <c r="S383" t="str">
        <f>VLOOKUP(OrdersRawTable9[[#This Row],[Customer_ID_Raw]],CustomersTable11[],4,FALSE)</f>
        <v>British Columbia</v>
      </c>
      <c r="T383" t="str">
        <f>VLOOKUP(OrdersRawTable9[[#This Row],[Customer_ID_Raw]],CustomersTable11[],5,FALSE)</f>
        <v>Consumer</v>
      </c>
      <c r="U383" s="45">
        <f>VLOOKUP(OrdersRawTable9[[#This Row],[Product_ID]],ProductsTable10[],4,FALSE)</f>
        <v>133.05000000000001</v>
      </c>
      <c r="V383" t="str">
        <f>VLOOKUP(OrdersRawTable9[[#This Row],[Product_ID]],ProductsTable10[],3,FALSE)</f>
        <v>Accessories</v>
      </c>
      <c r="W383" s="45">
        <f>OrdersRawTable9[[#This Row],[Unit_Price]]*OrdersRawTable9[[#This Row],[Quantity]]</f>
        <v>417.78</v>
      </c>
      <c r="X383" s="47">
        <f>OrdersRawTable9[[#This Row],[Gross_Sales]]*OrdersRawTable9[[#This Row],[Discount_Pct]]</f>
        <v>0</v>
      </c>
      <c r="Y383" s="45">
        <f>OrdersRawTable9[[#This Row],[Gross_Sales]]-OrdersRawTable9[[#This Row],[Discount_Amount]]</f>
        <v>417.78</v>
      </c>
      <c r="Z383" s="45">
        <f>OrdersRawTable9[[#This Row],[Unit_Cost]]*OrdersRawTable9[[#This Row],[Quantity]]</f>
        <v>266.10000000000002</v>
      </c>
      <c r="AA383" s="45">
        <f>OrdersRawTable9[[#This Row],[Net_Sales]]-OrdersRawTable9[[#This Row],[Total_Cost]]</f>
        <v>151.67999999999995</v>
      </c>
      <c r="AB383" s="48">
        <f>IF(OrdersRawTable9[[#This Row],[Net_Sales]]=0,0,OrdersRawTable9[[#This Row],[Profit]]/OrdersRawTable9[[#This Row],[Net_Sales]])</f>
        <v>0.36306189860692223</v>
      </c>
      <c r="AC383" s="45" t="str">
        <f>IF(COUNTIF(ReturnsRawTable[Order_Line_ID],OrdersRawTable9[[#This Row],[Order_Line_ID]])&gt;0,"Yes","No")</f>
        <v>No</v>
      </c>
      <c r="AD383" s="45" t="str">
        <f>IFERROR(VLOOKUP(OrdersRawTable9[[#This Row],[Order_Line_ID]],ReturnsRawTable[[#All],[Order_Line_ID]:[Return_Reason_Raw]],3,FALSE),"")</f>
        <v/>
      </c>
      <c r="AE383" s="49" t="str">
        <f>IFERROR(VLOOKUP(OrdersRawTable9[[#This Row],[Order_Line_ID]],ReturnsRawTable[[#All],[Order_Line_ID]:[Return_Date]],2,FALSE),"")</f>
        <v/>
      </c>
      <c r="AF383" s="45" t="str">
        <f>IFERROR(VLOOKUP(OrdersRawTable9[[#This Row],[Order_Line_ID]],ReturnsRawTable[[Order_Line_ID]:[Refund_Status]],4,FALSE),"")</f>
        <v/>
      </c>
      <c r="AG383" s="45" t="str">
        <f>VLOOKUP(OrdersRawTable9[[#This Row],[Order_ID]],ShipmentsTable[],6,FALSE)</f>
        <v>Late</v>
      </c>
      <c r="AH383" s="49">
        <f>VLOOKUP(OrdersRawTable9[[#This Row],[Order_ID]],ShipmentsTable[],3,FALSE)</f>
        <v>45811</v>
      </c>
    </row>
    <row r="384" spans="1:34" ht="15" customHeight="1">
      <c r="A384" s="14" t="s">
        <v>855</v>
      </c>
      <c r="B384" s="10" t="s">
        <v>853</v>
      </c>
      <c r="C384" s="20">
        <v>45802</v>
      </c>
      <c r="D384" s="10" t="s">
        <v>557</v>
      </c>
      <c r="E384" s="10" t="s">
        <v>558</v>
      </c>
      <c r="F384" s="10" t="str">
        <f>TRIM(LEFT(OrdersRawTable9[[#This Row],[Customer_Info]],FIND(",",OrdersRawTable9[[#This Row],[Customer_Info]])-1))</f>
        <v>Adam Singh</v>
      </c>
      <c r="G38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384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384" s="10">
        <f>LEN(OrdersRawTable9[[#This Row],[Customer_Info]])-LEN(SUBSTITUTE(OrdersRawTable9[[#This Row],[Customer_Info]],",",""))</f>
        <v>2</v>
      </c>
      <c r="J384" s="10" t="s">
        <v>238</v>
      </c>
      <c r="K384" s="23">
        <v>4</v>
      </c>
      <c r="L384" s="26">
        <v>82.77</v>
      </c>
      <c r="M384" s="29">
        <v>0.15</v>
      </c>
      <c r="N384" s="10" t="s">
        <v>45</v>
      </c>
      <c r="O384" s="10" t="str">
        <f>IF(TRIM(OrdersRawTable9[[#This Row],[Sales_Channel_Raw]])="Market place","Marketplace",TRIM(OrdersRawTable9[[#This Row],[Sales_Channel_Raw]]))</f>
        <v>Retail Store</v>
      </c>
      <c r="P384" s="10" t="s">
        <v>46</v>
      </c>
      <c r="Q384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84" s="15" t="s">
        <v>42</v>
      </c>
      <c r="S384" t="str">
        <f>VLOOKUP(OrdersRawTable9[[#This Row],[Customer_ID_Raw]],CustomersTable11[],4,FALSE)</f>
        <v>British Columbia</v>
      </c>
      <c r="T384" t="str">
        <f>VLOOKUP(OrdersRawTable9[[#This Row],[Customer_ID_Raw]],CustomersTable11[],5,FALSE)</f>
        <v>Consumer</v>
      </c>
      <c r="U384" s="45">
        <f>VLOOKUP(OrdersRawTable9[[#This Row],[Product_ID]],ProductsTable10[],4,FALSE)</f>
        <v>46.51</v>
      </c>
      <c r="V384" t="str">
        <f>VLOOKUP(OrdersRawTable9[[#This Row],[Product_ID]],ProductsTable10[],3,FALSE)</f>
        <v>Office</v>
      </c>
      <c r="W384" s="45">
        <f>OrdersRawTable9[[#This Row],[Unit_Price]]*OrdersRawTable9[[#This Row],[Quantity]]</f>
        <v>331.08</v>
      </c>
      <c r="X384" s="47">
        <f>OrdersRawTable9[[#This Row],[Gross_Sales]]*OrdersRawTable9[[#This Row],[Discount_Pct]]</f>
        <v>49.661999999999999</v>
      </c>
      <c r="Y384" s="45">
        <f>OrdersRawTable9[[#This Row],[Gross_Sales]]-OrdersRawTable9[[#This Row],[Discount_Amount]]</f>
        <v>281.41800000000001</v>
      </c>
      <c r="Z384" s="45">
        <f>OrdersRawTable9[[#This Row],[Unit_Cost]]*OrdersRawTable9[[#This Row],[Quantity]]</f>
        <v>186.04</v>
      </c>
      <c r="AA384" s="45">
        <f>OrdersRawTable9[[#This Row],[Net_Sales]]-OrdersRawTable9[[#This Row],[Total_Cost]]</f>
        <v>95.378000000000014</v>
      </c>
      <c r="AB384" s="48">
        <f>IF(OrdersRawTable9[[#This Row],[Net_Sales]]=0,0,OrdersRawTable9[[#This Row],[Profit]]/OrdersRawTable9[[#This Row],[Net_Sales]])</f>
        <v>0.33891932996467894</v>
      </c>
      <c r="AC384" s="45" t="str">
        <f>IF(COUNTIF(ReturnsRawTable[Order_Line_ID],OrdersRawTable9[[#This Row],[Order_Line_ID]])&gt;0,"Yes","No")</f>
        <v>Yes</v>
      </c>
      <c r="AD384" s="45" t="str">
        <f>IFERROR(VLOOKUP(OrdersRawTable9[[#This Row],[Order_Line_ID]],ReturnsRawTable[[#All],[Order_Line_ID]:[Return_Reason_Raw]],3,FALSE),"")</f>
        <v>Late Delivery</v>
      </c>
      <c r="AE384" s="49">
        <f>IFERROR(VLOOKUP(OrdersRawTable9[[#This Row],[Order_Line_ID]],ReturnsRawTable[[#All],[Order_Line_ID]:[Return_Date]],2,FALSE),"")</f>
        <v>45821</v>
      </c>
      <c r="AF384" s="45" t="str">
        <f>IFERROR(VLOOKUP(OrdersRawTable9[[#This Row],[Order_Line_ID]],ReturnsRawTable[[Order_Line_ID]:[Refund_Status]],4,FALSE),"")</f>
        <v>Refunded</v>
      </c>
      <c r="AG384" s="45" t="str">
        <f>VLOOKUP(OrdersRawTable9[[#This Row],[Order_ID]],ShipmentsTable[],6,FALSE)</f>
        <v>Late</v>
      </c>
      <c r="AH384" s="49">
        <f>VLOOKUP(OrdersRawTable9[[#This Row],[Order_ID]],ShipmentsTable[],3,FALSE)</f>
        <v>45811</v>
      </c>
    </row>
    <row r="385" spans="1:34" ht="15" customHeight="1">
      <c r="A385" s="14" t="s">
        <v>856</v>
      </c>
      <c r="B385" s="10" t="s">
        <v>853</v>
      </c>
      <c r="C385" s="20">
        <v>45802</v>
      </c>
      <c r="D385" s="10" t="s">
        <v>557</v>
      </c>
      <c r="E385" s="10" t="s">
        <v>558</v>
      </c>
      <c r="F385" s="10" t="str">
        <f>TRIM(LEFT(OrdersRawTable9[[#This Row],[Customer_Info]],FIND(",",OrdersRawTable9[[#This Row],[Customer_Info]])-1))</f>
        <v>Adam Singh</v>
      </c>
      <c r="G38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385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385" s="10">
        <f>LEN(OrdersRawTable9[[#This Row],[Customer_Info]])-LEN(SUBSTITUTE(OrdersRawTable9[[#This Row],[Customer_Info]],",",""))</f>
        <v>2</v>
      </c>
      <c r="J385" s="10" t="s">
        <v>39</v>
      </c>
      <c r="K385" s="23">
        <v>4</v>
      </c>
      <c r="L385" s="26">
        <v>236.51</v>
      </c>
      <c r="M385" s="29">
        <v>0.1</v>
      </c>
      <c r="N385" s="10" t="s">
        <v>45</v>
      </c>
      <c r="O385" s="10" t="str">
        <f>IF(TRIM(OrdersRawTable9[[#This Row],[Sales_Channel_Raw]])="Market place","Marketplace",TRIM(OrdersRawTable9[[#This Row],[Sales_Channel_Raw]]))</f>
        <v>Retail Store</v>
      </c>
      <c r="P385" s="10" t="s">
        <v>98</v>
      </c>
      <c r="Q385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385" s="15" t="s">
        <v>67</v>
      </c>
      <c r="S385" t="str">
        <f>VLOOKUP(OrdersRawTable9[[#This Row],[Customer_ID_Raw]],CustomersTable11[],4,FALSE)</f>
        <v>British Columbia</v>
      </c>
      <c r="T385" t="str">
        <f>VLOOKUP(OrdersRawTable9[[#This Row],[Customer_ID_Raw]],CustomersTable11[],5,FALSE)</f>
        <v>Consumer</v>
      </c>
      <c r="U385" s="45">
        <f>VLOOKUP(OrdersRawTable9[[#This Row],[Product_ID]],ProductsTable10[],4,FALSE)</f>
        <v>142.84</v>
      </c>
      <c r="V385" t="str">
        <f>VLOOKUP(OrdersRawTable9[[#This Row],[Product_ID]],ProductsTable10[],3,FALSE)</f>
        <v>Fitness</v>
      </c>
      <c r="W385" s="45">
        <f>OrdersRawTable9[[#This Row],[Unit_Price]]*OrdersRawTable9[[#This Row],[Quantity]]</f>
        <v>946.04</v>
      </c>
      <c r="X385" s="47">
        <f>OrdersRawTable9[[#This Row],[Gross_Sales]]*OrdersRawTable9[[#This Row],[Discount_Pct]]</f>
        <v>94.603999999999999</v>
      </c>
      <c r="Y385" s="45">
        <f>OrdersRawTable9[[#This Row],[Gross_Sales]]-OrdersRawTable9[[#This Row],[Discount_Amount]]</f>
        <v>851.43599999999992</v>
      </c>
      <c r="Z385" s="45">
        <f>OrdersRawTable9[[#This Row],[Unit_Cost]]*OrdersRawTable9[[#This Row],[Quantity]]</f>
        <v>571.36</v>
      </c>
      <c r="AA385" s="45">
        <f>OrdersRawTable9[[#This Row],[Net_Sales]]-OrdersRawTable9[[#This Row],[Total_Cost]]</f>
        <v>280.07599999999991</v>
      </c>
      <c r="AB385" s="48">
        <f>IF(OrdersRawTable9[[#This Row],[Net_Sales]]=0,0,OrdersRawTable9[[#This Row],[Profit]]/OrdersRawTable9[[#This Row],[Net_Sales]])</f>
        <v>0.32894545215377308</v>
      </c>
      <c r="AC385" s="45" t="str">
        <f>IF(COUNTIF(ReturnsRawTable[Order_Line_ID],OrdersRawTable9[[#This Row],[Order_Line_ID]])&gt;0,"Yes","No")</f>
        <v>Yes</v>
      </c>
      <c r="AD385" s="45" t="str">
        <f>IFERROR(VLOOKUP(OrdersRawTable9[[#This Row],[Order_Line_ID]],ReturnsRawTable[[#All],[Order_Line_ID]:[Return_Reason_Raw]],3,FALSE),"")</f>
        <v>Changed Mind</v>
      </c>
      <c r="AE385" s="49">
        <f>IFERROR(VLOOKUP(OrdersRawTable9[[#This Row],[Order_Line_ID]],ReturnsRawTable[[#All],[Order_Line_ID]:[Return_Date]],2,FALSE),"")</f>
        <v>45819</v>
      </c>
      <c r="AF385" s="45" t="str">
        <f>IFERROR(VLOOKUP(OrdersRawTable9[[#This Row],[Order_Line_ID]],ReturnsRawTable[[Order_Line_ID]:[Refund_Status]],4,FALSE),"")</f>
        <v>Refunded</v>
      </c>
      <c r="AG385" s="45" t="str">
        <f>VLOOKUP(OrdersRawTable9[[#This Row],[Order_ID]],ShipmentsTable[],6,FALSE)</f>
        <v>Late</v>
      </c>
      <c r="AH385" s="49">
        <f>VLOOKUP(OrdersRawTable9[[#This Row],[Order_ID]],ShipmentsTable[],3,FALSE)</f>
        <v>45811</v>
      </c>
    </row>
    <row r="386" spans="1:34" ht="15" customHeight="1">
      <c r="A386" s="14" t="s">
        <v>857</v>
      </c>
      <c r="B386" s="10" t="s">
        <v>858</v>
      </c>
      <c r="C386" s="20">
        <v>45903</v>
      </c>
      <c r="D386" s="10" t="s">
        <v>859</v>
      </c>
      <c r="E386" s="10" t="s">
        <v>860</v>
      </c>
      <c r="F386" s="10" t="str">
        <f>TRIM(LEFT(OrdersRawTable9[[#This Row],[Customer_Info]],FIND(",",OrdersRawTable9[[#This Row],[Customer_Info]])-1))</f>
        <v>Sofia Martin</v>
      </c>
      <c r="G38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386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386" s="10">
        <f>LEN(OrdersRawTable9[[#This Row],[Customer_Info]])-LEN(SUBSTITUTE(OrdersRawTable9[[#This Row],[Customer_Info]],",",""))</f>
        <v>2</v>
      </c>
      <c r="J386" s="10" t="s">
        <v>83</v>
      </c>
      <c r="K386" s="23">
        <v>4</v>
      </c>
      <c r="L386" s="26">
        <v>115.28</v>
      </c>
      <c r="M386" s="29">
        <v>0.15</v>
      </c>
      <c r="N386" s="10" t="s">
        <v>70</v>
      </c>
      <c r="O386" s="10" t="str">
        <f>IF(TRIM(OrdersRawTable9[[#This Row],[Sales_Channel_Raw]])="Market place","Marketplace",TRIM(OrdersRawTable9[[#This Row],[Sales_Channel_Raw]]))</f>
        <v>online</v>
      </c>
      <c r="P386" s="10" t="s">
        <v>98</v>
      </c>
      <c r="Q386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386" s="15" t="s">
        <v>47</v>
      </c>
      <c r="S386" t="str">
        <f>VLOOKUP(OrdersRawTable9[[#This Row],[Customer_ID_Raw]],CustomersTable11[],4,FALSE)</f>
        <v>British Columbia</v>
      </c>
      <c r="T386" t="str">
        <f>VLOOKUP(OrdersRawTable9[[#This Row],[Customer_ID_Raw]],CustomersTable11[],5,FALSE)</f>
        <v>Small Business</v>
      </c>
      <c r="U386" s="45">
        <f>VLOOKUP(OrdersRawTable9[[#This Row],[Product_ID]],ProductsTable10[],4,FALSE)</f>
        <v>61.65</v>
      </c>
      <c r="V386" t="str">
        <f>VLOOKUP(OrdersRawTable9[[#This Row],[Product_ID]],ProductsTable10[],3,FALSE)</f>
        <v>Office</v>
      </c>
      <c r="W386" s="45">
        <f>OrdersRawTable9[[#This Row],[Unit_Price]]*OrdersRawTable9[[#This Row],[Quantity]]</f>
        <v>461.12</v>
      </c>
      <c r="X386" s="47">
        <f>OrdersRawTable9[[#This Row],[Gross_Sales]]*OrdersRawTable9[[#This Row],[Discount_Pct]]</f>
        <v>69.167999999999992</v>
      </c>
      <c r="Y386" s="45">
        <f>OrdersRawTable9[[#This Row],[Gross_Sales]]-OrdersRawTable9[[#This Row],[Discount_Amount]]</f>
        <v>391.952</v>
      </c>
      <c r="Z386" s="45">
        <f>OrdersRawTable9[[#This Row],[Unit_Cost]]*OrdersRawTable9[[#This Row],[Quantity]]</f>
        <v>246.6</v>
      </c>
      <c r="AA386" s="45">
        <f>OrdersRawTable9[[#This Row],[Net_Sales]]-OrdersRawTable9[[#This Row],[Total_Cost]]</f>
        <v>145.352</v>
      </c>
      <c r="AB386" s="48">
        <f>IF(OrdersRawTable9[[#This Row],[Net_Sales]]=0,0,OrdersRawTable9[[#This Row],[Profit]]/OrdersRawTable9[[#This Row],[Net_Sales]])</f>
        <v>0.37084132750949095</v>
      </c>
      <c r="AC386" s="45" t="str">
        <f>IF(COUNTIF(ReturnsRawTable[Order_Line_ID],OrdersRawTable9[[#This Row],[Order_Line_ID]])&gt;0,"Yes","No")</f>
        <v>No</v>
      </c>
      <c r="AD386" s="45" t="str">
        <f>IFERROR(VLOOKUP(OrdersRawTable9[[#This Row],[Order_Line_ID]],ReturnsRawTable[[#All],[Order_Line_ID]:[Return_Reason_Raw]],3,FALSE),"")</f>
        <v/>
      </c>
      <c r="AE386" s="49" t="str">
        <f>IFERROR(VLOOKUP(OrdersRawTable9[[#This Row],[Order_Line_ID]],ReturnsRawTable[[#All],[Order_Line_ID]:[Return_Date]],2,FALSE),"")</f>
        <v/>
      </c>
      <c r="AF386" s="45" t="str">
        <f>IFERROR(VLOOKUP(OrdersRawTable9[[#This Row],[Order_Line_ID]],ReturnsRawTable[[Order_Line_ID]:[Refund_Status]],4,FALSE),"")</f>
        <v/>
      </c>
      <c r="AG386" s="45" t="str">
        <f>VLOOKUP(OrdersRawTable9[[#This Row],[Order_ID]],ShipmentsTable[],6,FALSE)</f>
        <v>Late</v>
      </c>
      <c r="AH386" s="49">
        <f>VLOOKUP(OrdersRawTable9[[#This Row],[Order_ID]],ShipmentsTable[],3,FALSE)</f>
        <v>45911</v>
      </c>
    </row>
    <row r="387" spans="1:34" ht="15" customHeight="1">
      <c r="A387" s="14" t="s">
        <v>861</v>
      </c>
      <c r="B387" s="10" t="s">
        <v>858</v>
      </c>
      <c r="C387" s="20">
        <v>45903</v>
      </c>
      <c r="D387" s="10" t="s">
        <v>859</v>
      </c>
      <c r="E387" s="10" t="s">
        <v>860</v>
      </c>
      <c r="F387" s="10" t="str">
        <f>TRIM(LEFT(OrdersRawTable9[[#This Row],[Customer_Info]],FIND(",",OrdersRawTable9[[#This Row],[Customer_Info]])-1))</f>
        <v>Sofia Martin</v>
      </c>
      <c r="G38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387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387" s="10">
        <f>LEN(OrdersRawTable9[[#This Row],[Customer_Info]])-LEN(SUBSTITUTE(OrdersRawTable9[[#This Row],[Customer_Info]],",",""))</f>
        <v>2</v>
      </c>
      <c r="J387" s="10" t="s">
        <v>83</v>
      </c>
      <c r="K387" s="23">
        <v>1</v>
      </c>
      <c r="L387" s="26">
        <v>115.28</v>
      </c>
      <c r="M387" s="29">
        <v>0</v>
      </c>
      <c r="N387" s="10" t="s">
        <v>66</v>
      </c>
      <c r="O387" s="10" t="str">
        <f>IF(TRIM(OrdersRawTable9[[#This Row],[Sales_Channel_Raw]])="Market place","Marketplace",TRIM(OrdersRawTable9[[#This Row],[Sales_Channel_Raw]]))</f>
        <v>Marketplace</v>
      </c>
      <c r="P387" s="10" t="s">
        <v>41</v>
      </c>
      <c r="Q387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87" s="15" t="s">
        <v>42</v>
      </c>
      <c r="S387" t="str">
        <f>VLOOKUP(OrdersRawTable9[[#This Row],[Customer_ID_Raw]],CustomersTable11[],4,FALSE)</f>
        <v>British Columbia</v>
      </c>
      <c r="T387" t="str">
        <f>VLOOKUP(OrdersRawTable9[[#This Row],[Customer_ID_Raw]],CustomersTable11[],5,FALSE)</f>
        <v>Small Business</v>
      </c>
      <c r="U387" s="45">
        <f>VLOOKUP(OrdersRawTable9[[#This Row],[Product_ID]],ProductsTable10[],4,FALSE)</f>
        <v>61.65</v>
      </c>
      <c r="V387" t="str">
        <f>VLOOKUP(OrdersRawTable9[[#This Row],[Product_ID]],ProductsTable10[],3,FALSE)</f>
        <v>Office</v>
      </c>
      <c r="W387" s="45">
        <f>OrdersRawTable9[[#This Row],[Unit_Price]]*OrdersRawTable9[[#This Row],[Quantity]]</f>
        <v>115.28</v>
      </c>
      <c r="X387" s="47">
        <f>OrdersRawTable9[[#This Row],[Gross_Sales]]*OrdersRawTable9[[#This Row],[Discount_Pct]]</f>
        <v>0</v>
      </c>
      <c r="Y387" s="45">
        <f>OrdersRawTable9[[#This Row],[Gross_Sales]]-OrdersRawTable9[[#This Row],[Discount_Amount]]</f>
        <v>115.28</v>
      </c>
      <c r="Z387" s="45">
        <f>OrdersRawTable9[[#This Row],[Unit_Cost]]*OrdersRawTable9[[#This Row],[Quantity]]</f>
        <v>61.65</v>
      </c>
      <c r="AA387" s="45">
        <f>OrdersRawTable9[[#This Row],[Net_Sales]]-OrdersRawTable9[[#This Row],[Total_Cost]]</f>
        <v>53.63</v>
      </c>
      <c r="AB387" s="48">
        <f>IF(OrdersRawTable9[[#This Row],[Net_Sales]]=0,0,OrdersRawTable9[[#This Row],[Profit]]/OrdersRawTable9[[#This Row],[Net_Sales]])</f>
        <v>0.46521512838306733</v>
      </c>
      <c r="AC387" s="45" t="str">
        <f>IF(COUNTIF(ReturnsRawTable[Order_Line_ID],OrdersRawTable9[[#This Row],[Order_Line_ID]])&gt;0,"Yes","No")</f>
        <v>Yes</v>
      </c>
      <c r="AD387" s="45" t="str">
        <f>IFERROR(VLOOKUP(OrdersRawTable9[[#This Row],[Order_Line_ID]],ReturnsRawTable[[#All],[Order_Line_ID]:[Return_Reason_Raw]],3,FALSE),"")</f>
        <v>Wrong Item</v>
      </c>
      <c r="AE387" s="49">
        <f>IFERROR(VLOOKUP(OrdersRawTable9[[#This Row],[Order_Line_ID]],ReturnsRawTable[[#All],[Order_Line_ID]:[Return_Date]],2,FALSE),"")</f>
        <v>45920</v>
      </c>
      <c r="AF387" s="45" t="str">
        <f>IFERROR(VLOOKUP(OrdersRawTable9[[#This Row],[Order_Line_ID]],ReturnsRawTable[[Order_Line_ID]:[Refund_Status]],4,FALSE),"")</f>
        <v>Refunded</v>
      </c>
      <c r="AG387" s="45" t="str">
        <f>VLOOKUP(OrdersRawTable9[[#This Row],[Order_ID]],ShipmentsTable[],6,FALSE)</f>
        <v>Late</v>
      </c>
      <c r="AH387" s="49">
        <f>VLOOKUP(OrdersRawTable9[[#This Row],[Order_ID]],ShipmentsTable[],3,FALSE)</f>
        <v>45911</v>
      </c>
    </row>
    <row r="388" spans="1:34" ht="15" customHeight="1">
      <c r="A388" s="14" t="s">
        <v>862</v>
      </c>
      <c r="B388" s="10" t="s">
        <v>858</v>
      </c>
      <c r="C388" s="20">
        <v>45903</v>
      </c>
      <c r="D388" s="10" t="s">
        <v>859</v>
      </c>
      <c r="E388" s="10" t="s">
        <v>860</v>
      </c>
      <c r="F388" s="10" t="str">
        <f>TRIM(LEFT(OrdersRawTable9[[#This Row],[Customer_Info]],FIND(",",OrdersRawTable9[[#This Row],[Customer_Info]])-1))</f>
        <v>Sofia Martin</v>
      </c>
      <c r="G38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388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388" s="10">
        <f>LEN(OrdersRawTable9[[#This Row],[Customer_Info]])-LEN(SUBSTITUTE(OrdersRawTable9[[#This Row],[Customer_Info]],",",""))</f>
        <v>2</v>
      </c>
      <c r="J388" s="10" t="s">
        <v>238</v>
      </c>
      <c r="K388" s="23">
        <v>4</v>
      </c>
      <c r="L388" s="26">
        <v>82.77</v>
      </c>
      <c r="M388" s="29">
        <v>0.15</v>
      </c>
      <c r="N388" s="10" t="s">
        <v>50</v>
      </c>
      <c r="O388" s="10" t="str">
        <f>IF(TRIM(OrdersRawTable9[[#This Row],[Sales_Channel_Raw]])="Market place","Marketplace",TRIM(OrdersRawTable9[[#This Row],[Sales_Channel_Raw]]))</f>
        <v>Marketplace</v>
      </c>
      <c r="P388" s="10" t="s">
        <v>98</v>
      </c>
      <c r="Q388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388" s="15" t="s">
        <v>42</v>
      </c>
      <c r="S388" t="str">
        <f>VLOOKUP(OrdersRawTable9[[#This Row],[Customer_ID_Raw]],CustomersTable11[],4,FALSE)</f>
        <v>British Columbia</v>
      </c>
      <c r="T388" t="str">
        <f>VLOOKUP(OrdersRawTable9[[#This Row],[Customer_ID_Raw]],CustomersTable11[],5,FALSE)</f>
        <v>Small Business</v>
      </c>
      <c r="U388" s="45">
        <f>VLOOKUP(OrdersRawTable9[[#This Row],[Product_ID]],ProductsTable10[],4,FALSE)</f>
        <v>46.51</v>
      </c>
      <c r="V388" t="str">
        <f>VLOOKUP(OrdersRawTable9[[#This Row],[Product_ID]],ProductsTable10[],3,FALSE)</f>
        <v>Office</v>
      </c>
      <c r="W388" s="45">
        <f>OrdersRawTable9[[#This Row],[Unit_Price]]*OrdersRawTable9[[#This Row],[Quantity]]</f>
        <v>331.08</v>
      </c>
      <c r="X388" s="47">
        <f>OrdersRawTable9[[#This Row],[Gross_Sales]]*OrdersRawTable9[[#This Row],[Discount_Pct]]</f>
        <v>49.661999999999999</v>
      </c>
      <c r="Y388" s="45">
        <f>OrdersRawTable9[[#This Row],[Gross_Sales]]-OrdersRawTable9[[#This Row],[Discount_Amount]]</f>
        <v>281.41800000000001</v>
      </c>
      <c r="Z388" s="45">
        <f>OrdersRawTable9[[#This Row],[Unit_Cost]]*OrdersRawTable9[[#This Row],[Quantity]]</f>
        <v>186.04</v>
      </c>
      <c r="AA388" s="45">
        <f>OrdersRawTable9[[#This Row],[Net_Sales]]-OrdersRawTable9[[#This Row],[Total_Cost]]</f>
        <v>95.378000000000014</v>
      </c>
      <c r="AB388" s="48">
        <f>IF(OrdersRawTable9[[#This Row],[Net_Sales]]=0,0,OrdersRawTable9[[#This Row],[Profit]]/OrdersRawTable9[[#This Row],[Net_Sales]])</f>
        <v>0.33891932996467894</v>
      </c>
      <c r="AC388" s="45" t="str">
        <f>IF(COUNTIF(ReturnsRawTable[Order_Line_ID],OrdersRawTable9[[#This Row],[Order_Line_ID]])&gt;0,"Yes","No")</f>
        <v>No</v>
      </c>
      <c r="AD388" s="45" t="str">
        <f>IFERROR(VLOOKUP(OrdersRawTable9[[#This Row],[Order_Line_ID]],ReturnsRawTable[[#All],[Order_Line_ID]:[Return_Reason_Raw]],3,FALSE),"")</f>
        <v/>
      </c>
      <c r="AE388" s="49" t="str">
        <f>IFERROR(VLOOKUP(OrdersRawTable9[[#This Row],[Order_Line_ID]],ReturnsRawTable[[#All],[Order_Line_ID]:[Return_Date]],2,FALSE),"")</f>
        <v/>
      </c>
      <c r="AF388" s="45" t="str">
        <f>IFERROR(VLOOKUP(OrdersRawTable9[[#This Row],[Order_Line_ID]],ReturnsRawTable[[Order_Line_ID]:[Refund_Status]],4,FALSE),"")</f>
        <v/>
      </c>
      <c r="AG388" s="45" t="str">
        <f>VLOOKUP(OrdersRawTable9[[#This Row],[Order_ID]],ShipmentsTable[],6,FALSE)</f>
        <v>Late</v>
      </c>
      <c r="AH388" s="49">
        <f>VLOOKUP(OrdersRawTable9[[#This Row],[Order_ID]],ShipmentsTable[],3,FALSE)</f>
        <v>45911</v>
      </c>
    </row>
    <row r="389" spans="1:34" ht="15" customHeight="1">
      <c r="A389" s="14" t="s">
        <v>863</v>
      </c>
      <c r="B389" s="10" t="s">
        <v>858</v>
      </c>
      <c r="C389" s="20">
        <v>45903</v>
      </c>
      <c r="D389" s="10" t="s">
        <v>859</v>
      </c>
      <c r="E389" s="10" t="s">
        <v>860</v>
      </c>
      <c r="F389" s="10" t="str">
        <f>TRIM(LEFT(OrdersRawTable9[[#This Row],[Customer_Info]],FIND(",",OrdersRawTable9[[#This Row],[Customer_Info]])-1))</f>
        <v>Sofia Martin</v>
      </c>
      <c r="G38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389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389" s="10">
        <f>LEN(OrdersRawTable9[[#This Row],[Customer_Info]])-LEN(SUBSTITUTE(OrdersRawTable9[[#This Row],[Customer_Info]],",",""))</f>
        <v>2</v>
      </c>
      <c r="J389" s="10" t="s">
        <v>201</v>
      </c>
      <c r="K389" s="23">
        <v>2</v>
      </c>
      <c r="L389" s="26">
        <v>154.47</v>
      </c>
      <c r="M389" s="29">
        <v>0.15</v>
      </c>
      <c r="N389" s="10" t="s">
        <v>64</v>
      </c>
      <c r="O389" s="10" t="str">
        <f>IF(TRIM(OrdersRawTable9[[#This Row],[Sales_Channel_Raw]])="Market place","Marketplace",TRIM(OrdersRawTable9[[#This Row],[Sales_Channel_Raw]]))</f>
        <v>Retail Store</v>
      </c>
      <c r="P389" s="10" t="s">
        <v>58</v>
      </c>
      <c r="Q389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389" s="15" t="s">
        <v>47</v>
      </c>
      <c r="S389" t="str">
        <f>VLOOKUP(OrdersRawTable9[[#This Row],[Customer_ID_Raw]],CustomersTable11[],4,FALSE)</f>
        <v>British Columbia</v>
      </c>
      <c r="T389" t="str">
        <f>VLOOKUP(OrdersRawTable9[[#This Row],[Customer_ID_Raw]],CustomersTable11[],5,FALSE)</f>
        <v>Small Business</v>
      </c>
      <c r="U389" s="45">
        <f>VLOOKUP(OrdersRawTable9[[#This Row],[Product_ID]],ProductsTable10[],4,FALSE)</f>
        <v>102.57</v>
      </c>
      <c r="V389" t="str">
        <f>VLOOKUP(OrdersRawTable9[[#This Row],[Product_ID]],ProductsTable10[],3,FALSE)</f>
        <v>Fitness</v>
      </c>
      <c r="W389" s="45">
        <f>OrdersRawTable9[[#This Row],[Unit_Price]]*OrdersRawTable9[[#This Row],[Quantity]]</f>
        <v>308.94</v>
      </c>
      <c r="X389" s="47">
        <f>OrdersRawTable9[[#This Row],[Gross_Sales]]*OrdersRawTable9[[#This Row],[Discount_Pct]]</f>
        <v>46.341000000000001</v>
      </c>
      <c r="Y389" s="45">
        <f>OrdersRawTable9[[#This Row],[Gross_Sales]]-OrdersRawTable9[[#This Row],[Discount_Amount]]</f>
        <v>262.59899999999999</v>
      </c>
      <c r="Z389" s="45">
        <f>OrdersRawTable9[[#This Row],[Unit_Cost]]*OrdersRawTable9[[#This Row],[Quantity]]</f>
        <v>205.14</v>
      </c>
      <c r="AA389" s="45">
        <f>OrdersRawTable9[[#This Row],[Net_Sales]]-OrdersRawTable9[[#This Row],[Total_Cost]]</f>
        <v>57.459000000000003</v>
      </c>
      <c r="AB389" s="48">
        <f>IF(OrdersRawTable9[[#This Row],[Net_Sales]]=0,0,OrdersRawTable9[[#This Row],[Profit]]/OrdersRawTable9[[#This Row],[Net_Sales]])</f>
        <v>0.21880890635531744</v>
      </c>
      <c r="AC389" s="45" t="str">
        <f>IF(COUNTIF(ReturnsRawTable[Order_Line_ID],OrdersRawTable9[[#This Row],[Order_Line_ID]])&gt;0,"Yes","No")</f>
        <v>No</v>
      </c>
      <c r="AD389" s="45" t="str">
        <f>IFERROR(VLOOKUP(OrdersRawTable9[[#This Row],[Order_Line_ID]],ReturnsRawTable[[#All],[Order_Line_ID]:[Return_Reason_Raw]],3,FALSE),"")</f>
        <v/>
      </c>
      <c r="AE389" s="49" t="str">
        <f>IFERROR(VLOOKUP(OrdersRawTable9[[#This Row],[Order_Line_ID]],ReturnsRawTable[[#All],[Order_Line_ID]:[Return_Date]],2,FALSE),"")</f>
        <v/>
      </c>
      <c r="AF389" s="45" t="str">
        <f>IFERROR(VLOOKUP(OrdersRawTable9[[#This Row],[Order_Line_ID]],ReturnsRawTable[[Order_Line_ID]:[Refund_Status]],4,FALSE),"")</f>
        <v/>
      </c>
      <c r="AG389" s="45" t="str">
        <f>VLOOKUP(OrdersRawTable9[[#This Row],[Order_ID]],ShipmentsTable[],6,FALSE)</f>
        <v>Late</v>
      </c>
      <c r="AH389" s="49">
        <f>VLOOKUP(OrdersRawTable9[[#This Row],[Order_ID]],ShipmentsTable[],3,FALSE)</f>
        <v>45911</v>
      </c>
    </row>
    <row r="390" spans="1:34" ht="15" customHeight="1">
      <c r="A390" s="14" t="s">
        <v>864</v>
      </c>
      <c r="B390" s="10" t="s">
        <v>865</v>
      </c>
      <c r="C390" s="20">
        <v>45925</v>
      </c>
      <c r="D390" s="10" t="s">
        <v>866</v>
      </c>
      <c r="E390" s="10" t="s">
        <v>867</v>
      </c>
      <c r="F390" s="10" t="str">
        <f>TRIM(LEFT(OrdersRawTable9[[#This Row],[Customer_Info]],FIND(",",OrdersRawTable9[[#This Row],[Customer_Info]])-1))</f>
        <v>Maya Singh</v>
      </c>
      <c r="G39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390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390" s="10">
        <f>LEN(OrdersRawTable9[[#This Row],[Customer_Info]])-LEN(SUBSTITUTE(OrdersRawTable9[[#This Row],[Customer_Info]],",",""))</f>
        <v>2</v>
      </c>
      <c r="J390" s="10" t="s">
        <v>93</v>
      </c>
      <c r="K390" s="23">
        <v>3</v>
      </c>
      <c r="L390" s="26">
        <v>208.89</v>
      </c>
      <c r="M390" s="29">
        <v>0.15</v>
      </c>
      <c r="N390" s="10" t="s">
        <v>66</v>
      </c>
      <c r="O390" s="10" t="str">
        <f>IF(TRIM(OrdersRawTable9[[#This Row],[Sales_Channel_Raw]])="Market place","Marketplace",TRIM(OrdersRawTable9[[#This Row],[Sales_Channel_Raw]]))</f>
        <v>Marketplace</v>
      </c>
      <c r="P390" s="10" t="s">
        <v>58</v>
      </c>
      <c r="Q390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390" s="15" t="s">
        <v>52</v>
      </c>
      <c r="S390" t="str">
        <f>VLOOKUP(OrdersRawTable9[[#This Row],[Customer_ID_Raw]],CustomersTable11[],4,FALSE)</f>
        <v>Alberta</v>
      </c>
      <c r="T390" t="str">
        <f>VLOOKUP(OrdersRawTable9[[#This Row],[Customer_ID_Raw]],CustomersTable11[],5,FALSE)</f>
        <v>Small Business</v>
      </c>
      <c r="U390" s="45">
        <f>VLOOKUP(OrdersRawTable9[[#This Row],[Product_ID]],ProductsTable10[],4,FALSE)</f>
        <v>133.05000000000001</v>
      </c>
      <c r="V390" t="str">
        <f>VLOOKUP(OrdersRawTable9[[#This Row],[Product_ID]],ProductsTable10[],3,FALSE)</f>
        <v>Accessories</v>
      </c>
      <c r="W390" s="45">
        <f>OrdersRawTable9[[#This Row],[Unit_Price]]*OrdersRawTable9[[#This Row],[Quantity]]</f>
        <v>626.66999999999996</v>
      </c>
      <c r="X390" s="47">
        <f>OrdersRawTable9[[#This Row],[Gross_Sales]]*OrdersRawTable9[[#This Row],[Discount_Pct]]</f>
        <v>94.000499999999988</v>
      </c>
      <c r="Y390" s="45">
        <f>OrdersRawTable9[[#This Row],[Gross_Sales]]-OrdersRawTable9[[#This Row],[Discount_Amount]]</f>
        <v>532.66949999999997</v>
      </c>
      <c r="Z390" s="45">
        <f>OrdersRawTable9[[#This Row],[Unit_Cost]]*OrdersRawTable9[[#This Row],[Quantity]]</f>
        <v>399.15000000000003</v>
      </c>
      <c r="AA390" s="45">
        <f>OrdersRawTable9[[#This Row],[Net_Sales]]-OrdersRawTable9[[#This Row],[Total_Cost]]</f>
        <v>133.51949999999994</v>
      </c>
      <c r="AB390" s="48">
        <f>IF(OrdersRawTable9[[#This Row],[Net_Sales]]=0,0,OrdersRawTable9[[#This Row],[Profit]]/OrdersRawTable9[[#This Row],[Net_Sales]])</f>
        <v>0.25066105718461434</v>
      </c>
      <c r="AC390" s="45" t="str">
        <f>IF(COUNTIF(ReturnsRawTable[Order_Line_ID],OrdersRawTable9[[#This Row],[Order_Line_ID]])&gt;0,"Yes","No")</f>
        <v>No</v>
      </c>
      <c r="AD390" s="45" t="str">
        <f>IFERROR(VLOOKUP(OrdersRawTable9[[#This Row],[Order_Line_ID]],ReturnsRawTable[[#All],[Order_Line_ID]:[Return_Reason_Raw]],3,FALSE),"")</f>
        <v/>
      </c>
      <c r="AE390" s="49" t="str">
        <f>IFERROR(VLOOKUP(OrdersRawTable9[[#This Row],[Order_Line_ID]],ReturnsRawTable[[#All],[Order_Line_ID]:[Return_Date]],2,FALSE),"")</f>
        <v/>
      </c>
      <c r="AF390" s="45" t="str">
        <f>IFERROR(VLOOKUP(OrdersRawTable9[[#This Row],[Order_Line_ID]],ReturnsRawTable[[Order_Line_ID]:[Refund_Status]],4,FALSE),"")</f>
        <v/>
      </c>
      <c r="AG390" s="45" t="str">
        <f>VLOOKUP(OrdersRawTable9[[#This Row],[Order_ID]],ShipmentsTable[],6,FALSE)</f>
        <v>On time</v>
      </c>
      <c r="AH390" s="49">
        <f>VLOOKUP(OrdersRawTable9[[#This Row],[Order_ID]],ShipmentsTable[],3,FALSE)</f>
        <v>45928</v>
      </c>
    </row>
    <row r="391" spans="1:34" ht="15" customHeight="1">
      <c r="A391" s="14" t="s">
        <v>868</v>
      </c>
      <c r="B391" s="10" t="s">
        <v>865</v>
      </c>
      <c r="C391" s="20">
        <v>45925</v>
      </c>
      <c r="D391" s="10" t="s">
        <v>866</v>
      </c>
      <c r="E391" s="10" t="s">
        <v>867</v>
      </c>
      <c r="F391" s="10" t="str">
        <f>TRIM(LEFT(OrdersRawTable9[[#This Row],[Customer_Info]],FIND(",",OrdersRawTable9[[#This Row],[Customer_Info]])-1))</f>
        <v>Maya Singh</v>
      </c>
      <c r="G39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391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391" s="10">
        <f>LEN(OrdersRawTable9[[#This Row],[Customer_Info]])-LEN(SUBSTITUTE(OrdersRawTable9[[#This Row],[Customer_Info]],",",""))</f>
        <v>2</v>
      </c>
      <c r="J391" s="10" t="s">
        <v>178</v>
      </c>
      <c r="K391" s="23">
        <v>3</v>
      </c>
      <c r="L391" s="26">
        <v>61.81</v>
      </c>
      <c r="M391" s="29">
        <v>0</v>
      </c>
      <c r="N391" s="10" t="s">
        <v>64</v>
      </c>
      <c r="O391" s="10" t="str">
        <f>IF(TRIM(OrdersRawTable9[[#This Row],[Sales_Channel_Raw]])="Market place","Marketplace",TRIM(OrdersRawTable9[[#This Row],[Sales_Channel_Raw]]))</f>
        <v>Retail Store</v>
      </c>
      <c r="P391" s="10" t="s">
        <v>98</v>
      </c>
      <c r="Q391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391" s="15" t="s">
        <v>52</v>
      </c>
      <c r="S391" t="str">
        <f>VLOOKUP(OrdersRawTable9[[#This Row],[Customer_ID_Raw]],CustomersTable11[],4,FALSE)</f>
        <v>Alberta</v>
      </c>
      <c r="T391" t="str">
        <f>VLOOKUP(OrdersRawTable9[[#This Row],[Customer_ID_Raw]],CustomersTable11[],5,FALSE)</f>
        <v>Small Business</v>
      </c>
      <c r="U391" s="45">
        <f>VLOOKUP(OrdersRawTable9[[#This Row],[Product_ID]],ProductsTable10[],4,FALSE)</f>
        <v>33.19</v>
      </c>
      <c r="V391" t="str">
        <f>VLOOKUP(OrdersRawTable9[[#This Row],[Product_ID]],ProductsTable10[],3,FALSE)</f>
        <v>Office</v>
      </c>
      <c r="W391" s="45">
        <f>OrdersRawTable9[[#This Row],[Unit_Price]]*OrdersRawTable9[[#This Row],[Quantity]]</f>
        <v>185.43</v>
      </c>
      <c r="X391" s="47">
        <f>OrdersRawTable9[[#This Row],[Gross_Sales]]*OrdersRawTable9[[#This Row],[Discount_Pct]]</f>
        <v>0</v>
      </c>
      <c r="Y391" s="45">
        <f>OrdersRawTable9[[#This Row],[Gross_Sales]]-OrdersRawTable9[[#This Row],[Discount_Amount]]</f>
        <v>185.43</v>
      </c>
      <c r="Z391" s="45">
        <f>OrdersRawTable9[[#This Row],[Unit_Cost]]*OrdersRawTable9[[#This Row],[Quantity]]</f>
        <v>99.57</v>
      </c>
      <c r="AA391" s="45">
        <f>OrdersRawTable9[[#This Row],[Net_Sales]]-OrdersRawTable9[[#This Row],[Total_Cost]]</f>
        <v>85.860000000000014</v>
      </c>
      <c r="AB391" s="48">
        <f>IF(OrdersRawTable9[[#This Row],[Net_Sales]]=0,0,OrdersRawTable9[[#This Row],[Profit]]/OrdersRawTable9[[#This Row],[Net_Sales]])</f>
        <v>0.46303187186539402</v>
      </c>
      <c r="AC391" s="45" t="str">
        <f>IF(COUNTIF(ReturnsRawTable[Order_Line_ID],OrdersRawTable9[[#This Row],[Order_Line_ID]])&gt;0,"Yes","No")</f>
        <v>No</v>
      </c>
      <c r="AD391" s="45" t="str">
        <f>IFERROR(VLOOKUP(OrdersRawTable9[[#This Row],[Order_Line_ID]],ReturnsRawTable[[#All],[Order_Line_ID]:[Return_Reason_Raw]],3,FALSE),"")</f>
        <v/>
      </c>
      <c r="AE391" s="49" t="str">
        <f>IFERROR(VLOOKUP(OrdersRawTable9[[#This Row],[Order_Line_ID]],ReturnsRawTable[[#All],[Order_Line_ID]:[Return_Date]],2,FALSE),"")</f>
        <v/>
      </c>
      <c r="AF391" s="45" t="str">
        <f>IFERROR(VLOOKUP(OrdersRawTable9[[#This Row],[Order_Line_ID]],ReturnsRawTable[[Order_Line_ID]:[Refund_Status]],4,FALSE),"")</f>
        <v/>
      </c>
      <c r="AG391" s="45" t="str">
        <f>VLOOKUP(OrdersRawTable9[[#This Row],[Order_ID]],ShipmentsTable[],6,FALSE)</f>
        <v>On time</v>
      </c>
      <c r="AH391" s="49">
        <f>VLOOKUP(OrdersRawTable9[[#This Row],[Order_ID]],ShipmentsTable[],3,FALSE)</f>
        <v>45928</v>
      </c>
    </row>
    <row r="392" spans="1:34" ht="15" customHeight="1">
      <c r="A392" s="14" t="s">
        <v>869</v>
      </c>
      <c r="B392" s="10" t="s">
        <v>865</v>
      </c>
      <c r="C392" s="20">
        <v>45925</v>
      </c>
      <c r="D392" s="10" t="s">
        <v>866</v>
      </c>
      <c r="E392" s="10" t="s">
        <v>867</v>
      </c>
      <c r="F392" s="10" t="str">
        <f>TRIM(LEFT(OrdersRawTable9[[#This Row],[Customer_Info]],FIND(",",OrdersRawTable9[[#This Row],[Customer_Info]])-1))</f>
        <v>Maya Singh</v>
      </c>
      <c r="G39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392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392" s="10">
        <f>LEN(OrdersRawTable9[[#This Row],[Customer_Info]])-LEN(SUBSTITUTE(OrdersRawTable9[[#This Row],[Customer_Info]],",",""))</f>
        <v>2</v>
      </c>
      <c r="J392" s="10" t="s">
        <v>521</v>
      </c>
      <c r="K392" s="23">
        <v>2</v>
      </c>
      <c r="L392" s="26">
        <v>37.82</v>
      </c>
      <c r="M392" s="29">
        <v>0.15</v>
      </c>
      <c r="N392" s="10" t="s">
        <v>64</v>
      </c>
      <c r="O392" s="10" t="str">
        <f>IF(TRIM(OrdersRawTable9[[#This Row],[Sales_Channel_Raw]])="Market place","Marketplace",TRIM(OrdersRawTable9[[#This Row],[Sales_Channel_Raw]]))</f>
        <v>Retail Store</v>
      </c>
      <c r="P392" s="10" t="s">
        <v>41</v>
      </c>
      <c r="Q392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92" s="15" t="s">
        <v>52</v>
      </c>
      <c r="S392" t="str">
        <f>VLOOKUP(OrdersRawTable9[[#This Row],[Customer_ID_Raw]],CustomersTable11[],4,FALSE)</f>
        <v>Alberta</v>
      </c>
      <c r="T392" t="str">
        <f>VLOOKUP(OrdersRawTable9[[#This Row],[Customer_ID_Raw]],CustomersTable11[],5,FALSE)</f>
        <v>Small Business</v>
      </c>
      <c r="U392" s="45">
        <f>VLOOKUP(OrdersRawTable9[[#This Row],[Product_ID]],ProductsTable10[],4,FALSE)</f>
        <v>24.76</v>
      </c>
      <c r="V392" t="str">
        <f>VLOOKUP(OrdersRawTable9[[#This Row],[Product_ID]],ProductsTable10[],3,FALSE)</f>
        <v>Electronics</v>
      </c>
      <c r="W392" s="45">
        <f>OrdersRawTable9[[#This Row],[Unit_Price]]*OrdersRawTable9[[#This Row],[Quantity]]</f>
        <v>75.64</v>
      </c>
      <c r="X392" s="47">
        <f>OrdersRawTable9[[#This Row],[Gross_Sales]]*OrdersRawTable9[[#This Row],[Discount_Pct]]</f>
        <v>11.346</v>
      </c>
      <c r="Y392" s="45">
        <f>OrdersRawTable9[[#This Row],[Gross_Sales]]-OrdersRawTable9[[#This Row],[Discount_Amount]]</f>
        <v>64.293999999999997</v>
      </c>
      <c r="Z392" s="45">
        <f>OrdersRawTable9[[#This Row],[Unit_Cost]]*OrdersRawTable9[[#This Row],[Quantity]]</f>
        <v>49.52</v>
      </c>
      <c r="AA392" s="45">
        <f>OrdersRawTable9[[#This Row],[Net_Sales]]-OrdersRawTable9[[#This Row],[Total_Cost]]</f>
        <v>14.773999999999994</v>
      </c>
      <c r="AB392" s="48">
        <f>IF(OrdersRawTable9[[#This Row],[Net_Sales]]=0,0,OrdersRawTable9[[#This Row],[Profit]]/OrdersRawTable9[[#This Row],[Net_Sales]])</f>
        <v>0.22978816063707336</v>
      </c>
      <c r="AC392" s="45" t="str">
        <f>IF(COUNTIF(ReturnsRawTable[Order_Line_ID],OrdersRawTable9[[#This Row],[Order_Line_ID]])&gt;0,"Yes","No")</f>
        <v>No</v>
      </c>
      <c r="AD392" s="45" t="str">
        <f>IFERROR(VLOOKUP(OrdersRawTable9[[#This Row],[Order_Line_ID]],ReturnsRawTable[[#All],[Order_Line_ID]:[Return_Reason_Raw]],3,FALSE),"")</f>
        <v/>
      </c>
      <c r="AE392" s="49" t="str">
        <f>IFERROR(VLOOKUP(OrdersRawTable9[[#This Row],[Order_Line_ID]],ReturnsRawTable[[#All],[Order_Line_ID]:[Return_Date]],2,FALSE),"")</f>
        <v/>
      </c>
      <c r="AF392" s="45" t="str">
        <f>IFERROR(VLOOKUP(OrdersRawTable9[[#This Row],[Order_Line_ID]],ReturnsRawTable[[Order_Line_ID]:[Refund_Status]],4,FALSE),"")</f>
        <v/>
      </c>
      <c r="AG392" s="45" t="str">
        <f>VLOOKUP(OrdersRawTable9[[#This Row],[Order_ID]],ShipmentsTable[],6,FALSE)</f>
        <v>On time</v>
      </c>
      <c r="AH392" s="49">
        <f>VLOOKUP(OrdersRawTable9[[#This Row],[Order_ID]],ShipmentsTable[],3,FALSE)</f>
        <v>45928</v>
      </c>
    </row>
    <row r="393" spans="1:34" ht="15" customHeight="1">
      <c r="A393" s="14" t="s">
        <v>870</v>
      </c>
      <c r="B393" s="10" t="s">
        <v>865</v>
      </c>
      <c r="C393" s="20">
        <v>45925</v>
      </c>
      <c r="D393" s="10" t="s">
        <v>866</v>
      </c>
      <c r="E393" s="10" t="s">
        <v>867</v>
      </c>
      <c r="F393" s="10" t="str">
        <f>TRIM(LEFT(OrdersRawTable9[[#This Row],[Customer_Info]],FIND(",",OrdersRawTable9[[#This Row],[Customer_Info]])-1))</f>
        <v>Maya Singh</v>
      </c>
      <c r="G39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393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393" s="10">
        <f>LEN(OrdersRawTable9[[#This Row],[Customer_Info]])-LEN(SUBSTITUTE(OrdersRawTable9[[#This Row],[Customer_Info]],",",""))</f>
        <v>2</v>
      </c>
      <c r="J393" s="10" t="s">
        <v>57</v>
      </c>
      <c r="K393" s="23">
        <v>1</v>
      </c>
      <c r="L393" s="26">
        <v>208.81</v>
      </c>
      <c r="M393" s="29">
        <v>0.1</v>
      </c>
      <c r="N393" s="10" t="s">
        <v>64</v>
      </c>
      <c r="O393" s="10" t="str">
        <f>IF(TRIM(OrdersRawTable9[[#This Row],[Sales_Channel_Raw]])="Market place","Marketplace",TRIM(OrdersRawTable9[[#This Row],[Sales_Channel_Raw]]))</f>
        <v>Retail Store</v>
      </c>
      <c r="P393" s="10" t="s">
        <v>41</v>
      </c>
      <c r="Q393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93" s="15" t="s">
        <v>67</v>
      </c>
      <c r="S393" t="str">
        <f>VLOOKUP(OrdersRawTable9[[#This Row],[Customer_ID_Raw]],CustomersTable11[],4,FALSE)</f>
        <v>Alberta</v>
      </c>
      <c r="T393" t="str">
        <f>VLOOKUP(OrdersRawTable9[[#This Row],[Customer_ID_Raw]],CustomersTable11[],5,FALSE)</f>
        <v>Small Business</v>
      </c>
      <c r="U393" s="45">
        <f>VLOOKUP(OrdersRawTable9[[#This Row],[Product_ID]],ProductsTable10[],4,FALSE)</f>
        <v>139.04</v>
      </c>
      <c r="V393" t="str">
        <f>VLOOKUP(OrdersRawTable9[[#This Row],[Product_ID]],ProductsTable10[],3,FALSE)</f>
        <v>Fitness</v>
      </c>
      <c r="W393" s="45">
        <f>OrdersRawTable9[[#This Row],[Unit_Price]]*OrdersRawTable9[[#This Row],[Quantity]]</f>
        <v>208.81</v>
      </c>
      <c r="X393" s="47">
        <f>OrdersRawTable9[[#This Row],[Gross_Sales]]*OrdersRawTable9[[#This Row],[Discount_Pct]]</f>
        <v>20.881</v>
      </c>
      <c r="Y393" s="45">
        <f>OrdersRawTable9[[#This Row],[Gross_Sales]]-OrdersRawTable9[[#This Row],[Discount_Amount]]</f>
        <v>187.929</v>
      </c>
      <c r="Z393" s="45">
        <f>OrdersRawTable9[[#This Row],[Unit_Cost]]*OrdersRawTable9[[#This Row],[Quantity]]</f>
        <v>139.04</v>
      </c>
      <c r="AA393" s="45">
        <f>OrdersRawTable9[[#This Row],[Net_Sales]]-OrdersRawTable9[[#This Row],[Total_Cost]]</f>
        <v>48.88900000000001</v>
      </c>
      <c r="AB393" s="48">
        <f>IF(OrdersRawTable9[[#This Row],[Net_Sales]]=0,0,OrdersRawTable9[[#This Row],[Profit]]/OrdersRawTable9[[#This Row],[Net_Sales]])</f>
        <v>0.26014611901303158</v>
      </c>
      <c r="AC393" s="45" t="str">
        <f>IF(COUNTIF(ReturnsRawTable[Order_Line_ID],OrdersRawTable9[[#This Row],[Order_Line_ID]])&gt;0,"Yes","No")</f>
        <v>No</v>
      </c>
      <c r="AD393" s="45" t="str">
        <f>IFERROR(VLOOKUP(OrdersRawTable9[[#This Row],[Order_Line_ID]],ReturnsRawTable[[#All],[Order_Line_ID]:[Return_Reason_Raw]],3,FALSE),"")</f>
        <v/>
      </c>
      <c r="AE393" s="49" t="str">
        <f>IFERROR(VLOOKUP(OrdersRawTable9[[#This Row],[Order_Line_ID]],ReturnsRawTable[[#All],[Order_Line_ID]:[Return_Date]],2,FALSE),"")</f>
        <v/>
      </c>
      <c r="AF393" s="45" t="str">
        <f>IFERROR(VLOOKUP(OrdersRawTable9[[#This Row],[Order_Line_ID]],ReturnsRawTable[[Order_Line_ID]:[Refund_Status]],4,FALSE),"")</f>
        <v/>
      </c>
      <c r="AG393" s="45" t="str">
        <f>VLOOKUP(OrdersRawTable9[[#This Row],[Order_ID]],ShipmentsTable[],6,FALSE)</f>
        <v>On time</v>
      </c>
      <c r="AH393" s="49">
        <f>VLOOKUP(OrdersRawTable9[[#This Row],[Order_ID]],ShipmentsTable[],3,FALSE)</f>
        <v>45928</v>
      </c>
    </row>
    <row r="394" spans="1:34" ht="15" customHeight="1">
      <c r="A394" s="14" t="s">
        <v>871</v>
      </c>
      <c r="B394" s="10" t="s">
        <v>872</v>
      </c>
      <c r="C394" s="20">
        <v>45847</v>
      </c>
      <c r="D394" s="10" t="s">
        <v>638</v>
      </c>
      <c r="E394" s="10" t="s">
        <v>639</v>
      </c>
      <c r="F394" s="10" t="str">
        <f>TRIM(LEFT(OrdersRawTable9[[#This Row],[Customer_Info]],FIND(",",OrdersRawTable9[[#This Row],[Customer_Info]])-1))</f>
        <v>Emma Brown</v>
      </c>
      <c r="G39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394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394" s="10">
        <f>LEN(OrdersRawTable9[[#This Row],[Customer_Info]])-LEN(SUBSTITUTE(OrdersRawTable9[[#This Row],[Customer_Info]],",",""))</f>
        <v>2</v>
      </c>
      <c r="J394" s="10" t="s">
        <v>309</v>
      </c>
      <c r="K394" s="23">
        <v>3</v>
      </c>
      <c r="L394" s="26">
        <v>56.99</v>
      </c>
      <c r="M394" s="29">
        <v>0.1</v>
      </c>
      <c r="N394" s="10" t="s">
        <v>70</v>
      </c>
      <c r="O394" s="10" t="str">
        <f>IF(TRIM(OrdersRawTable9[[#This Row],[Sales_Channel_Raw]])="Market place","Marketplace",TRIM(OrdersRawTable9[[#This Row],[Sales_Channel_Raw]]))</f>
        <v>online</v>
      </c>
      <c r="P394" s="10" t="s">
        <v>58</v>
      </c>
      <c r="Q394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394" s="15" t="s">
        <v>47</v>
      </c>
      <c r="S394" t="str">
        <f>VLOOKUP(OrdersRawTable9[[#This Row],[Customer_ID_Raw]],CustomersTable11[],4,FALSE)</f>
        <v>British Columbia</v>
      </c>
      <c r="T394" t="str">
        <f>VLOOKUP(OrdersRawTable9[[#This Row],[Customer_ID_Raw]],CustomersTable11[],5,FALSE)</f>
        <v>Corporate</v>
      </c>
      <c r="U394" s="45">
        <f>VLOOKUP(OrdersRawTable9[[#This Row],[Product_ID]],ProductsTable10[],4,FALSE)</f>
        <v>33.65</v>
      </c>
      <c r="V394" t="str">
        <f>VLOOKUP(OrdersRawTable9[[#This Row],[Product_ID]],ProductsTable10[],3,FALSE)</f>
        <v>Home</v>
      </c>
      <c r="W394" s="45">
        <f>OrdersRawTable9[[#This Row],[Unit_Price]]*OrdersRawTable9[[#This Row],[Quantity]]</f>
        <v>170.97</v>
      </c>
      <c r="X394" s="47">
        <f>OrdersRawTable9[[#This Row],[Gross_Sales]]*OrdersRawTable9[[#This Row],[Discount_Pct]]</f>
        <v>17.097000000000001</v>
      </c>
      <c r="Y394" s="45">
        <f>OrdersRawTable9[[#This Row],[Gross_Sales]]-OrdersRawTable9[[#This Row],[Discount_Amount]]</f>
        <v>153.87299999999999</v>
      </c>
      <c r="Z394" s="45">
        <f>OrdersRawTable9[[#This Row],[Unit_Cost]]*OrdersRawTable9[[#This Row],[Quantity]]</f>
        <v>100.94999999999999</v>
      </c>
      <c r="AA394" s="45">
        <f>OrdersRawTable9[[#This Row],[Net_Sales]]-OrdersRawTable9[[#This Row],[Total_Cost]]</f>
        <v>52.923000000000002</v>
      </c>
      <c r="AB394" s="48">
        <f>IF(OrdersRawTable9[[#This Row],[Net_Sales]]=0,0,OrdersRawTable9[[#This Row],[Profit]]/OrdersRawTable9[[#This Row],[Net_Sales]])</f>
        <v>0.34393948256029327</v>
      </c>
      <c r="AC394" s="45" t="str">
        <f>IF(COUNTIF(ReturnsRawTable[Order_Line_ID],OrdersRawTable9[[#This Row],[Order_Line_ID]])&gt;0,"Yes","No")</f>
        <v>No</v>
      </c>
      <c r="AD394" s="45" t="str">
        <f>IFERROR(VLOOKUP(OrdersRawTable9[[#This Row],[Order_Line_ID]],ReturnsRawTable[[#All],[Order_Line_ID]:[Return_Reason_Raw]],3,FALSE),"")</f>
        <v/>
      </c>
      <c r="AE394" s="49" t="str">
        <f>IFERROR(VLOOKUP(OrdersRawTable9[[#This Row],[Order_Line_ID]],ReturnsRawTable[[#All],[Order_Line_ID]:[Return_Date]],2,FALSE),"")</f>
        <v/>
      </c>
      <c r="AF394" s="45" t="str">
        <f>IFERROR(VLOOKUP(OrdersRawTable9[[#This Row],[Order_Line_ID]],ReturnsRawTable[[Order_Line_ID]:[Refund_Status]],4,FALSE),"")</f>
        <v/>
      </c>
      <c r="AG394" s="45" t="str">
        <f>VLOOKUP(OrdersRawTable9[[#This Row],[Order_ID]],ShipmentsTable[],6,FALSE)</f>
        <v>Late</v>
      </c>
      <c r="AH394" s="49">
        <f>VLOOKUP(OrdersRawTable9[[#This Row],[Order_ID]],ShipmentsTable[],3,FALSE)</f>
        <v>45857</v>
      </c>
    </row>
    <row r="395" spans="1:34" ht="15" customHeight="1">
      <c r="A395" s="14" t="s">
        <v>873</v>
      </c>
      <c r="B395" s="10" t="s">
        <v>874</v>
      </c>
      <c r="C395" s="20">
        <v>45951</v>
      </c>
      <c r="D395" s="10" t="s">
        <v>321</v>
      </c>
      <c r="E395" s="10" t="s">
        <v>322</v>
      </c>
      <c r="F395" s="10" t="str">
        <f>TRIM(LEFT(OrdersRawTable9[[#This Row],[Customer_Info]],FIND(",",OrdersRawTable9[[#This Row],[Customer_Info]])-1))</f>
        <v>Emma Brown</v>
      </c>
      <c r="G39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395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395" s="10">
        <f>LEN(OrdersRawTable9[[#This Row],[Customer_Info]])-LEN(SUBSTITUTE(OrdersRawTable9[[#This Row],[Customer_Info]],",",""))</f>
        <v>2</v>
      </c>
      <c r="J395" s="10" t="s">
        <v>119</v>
      </c>
      <c r="K395" s="23">
        <v>1</v>
      </c>
      <c r="L395" s="26">
        <v>103.3</v>
      </c>
      <c r="M395" s="29">
        <v>0</v>
      </c>
      <c r="N395" s="10" t="s">
        <v>45</v>
      </c>
      <c r="O395" s="10" t="str">
        <f>IF(TRIM(OrdersRawTable9[[#This Row],[Sales_Channel_Raw]])="Market place","Marketplace",TRIM(OrdersRawTable9[[#This Row],[Sales_Channel_Raw]]))</f>
        <v>Retail Store</v>
      </c>
      <c r="P395" s="10" t="s">
        <v>46</v>
      </c>
      <c r="Q395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95" s="15" t="s">
        <v>47</v>
      </c>
      <c r="S395" t="str">
        <f>VLOOKUP(OrdersRawTable9[[#This Row],[Customer_ID_Raw]],CustomersTable11[],4,FALSE)</f>
        <v>Ontario</v>
      </c>
      <c r="T395" t="str">
        <f>VLOOKUP(OrdersRawTable9[[#This Row],[Customer_ID_Raw]],CustomersTable11[],5,FALSE)</f>
        <v>Corporate</v>
      </c>
      <c r="U395" s="45">
        <f>VLOOKUP(OrdersRawTable9[[#This Row],[Product_ID]],ProductsTable10[],4,FALSE)</f>
        <v>70.180000000000007</v>
      </c>
      <c r="V395" t="str">
        <f>VLOOKUP(OrdersRawTable9[[#This Row],[Product_ID]],ProductsTable10[],3,FALSE)</f>
        <v>Home</v>
      </c>
      <c r="W395" s="45">
        <f>OrdersRawTable9[[#This Row],[Unit_Price]]*OrdersRawTable9[[#This Row],[Quantity]]</f>
        <v>103.3</v>
      </c>
      <c r="X395" s="47">
        <f>OrdersRawTable9[[#This Row],[Gross_Sales]]*OrdersRawTable9[[#This Row],[Discount_Pct]]</f>
        <v>0</v>
      </c>
      <c r="Y395" s="45">
        <f>OrdersRawTable9[[#This Row],[Gross_Sales]]-OrdersRawTable9[[#This Row],[Discount_Amount]]</f>
        <v>103.3</v>
      </c>
      <c r="Z395" s="45">
        <f>OrdersRawTable9[[#This Row],[Unit_Cost]]*OrdersRawTable9[[#This Row],[Quantity]]</f>
        <v>70.180000000000007</v>
      </c>
      <c r="AA395" s="45">
        <f>OrdersRawTable9[[#This Row],[Net_Sales]]-OrdersRawTable9[[#This Row],[Total_Cost]]</f>
        <v>33.11999999999999</v>
      </c>
      <c r="AB395" s="48">
        <f>IF(OrdersRawTable9[[#This Row],[Net_Sales]]=0,0,OrdersRawTable9[[#This Row],[Profit]]/OrdersRawTable9[[#This Row],[Net_Sales]])</f>
        <v>0.32061955469506281</v>
      </c>
      <c r="AC395" s="45" t="str">
        <f>IF(COUNTIF(ReturnsRawTable[Order_Line_ID],OrdersRawTable9[[#This Row],[Order_Line_ID]])&gt;0,"Yes","No")</f>
        <v>No</v>
      </c>
      <c r="AD395" s="45" t="str">
        <f>IFERROR(VLOOKUP(OrdersRawTable9[[#This Row],[Order_Line_ID]],ReturnsRawTable[[#All],[Order_Line_ID]:[Return_Reason_Raw]],3,FALSE),"")</f>
        <v/>
      </c>
      <c r="AE395" s="49" t="str">
        <f>IFERROR(VLOOKUP(OrdersRawTable9[[#This Row],[Order_Line_ID]],ReturnsRawTable[[#All],[Order_Line_ID]:[Return_Date]],2,FALSE),"")</f>
        <v/>
      </c>
      <c r="AF395" s="45" t="str">
        <f>IFERROR(VLOOKUP(OrdersRawTable9[[#This Row],[Order_Line_ID]],ReturnsRawTable[[Order_Line_ID]:[Refund_Status]],4,FALSE),"")</f>
        <v/>
      </c>
      <c r="AG395" s="45" t="str">
        <f>VLOOKUP(OrdersRawTable9[[#This Row],[Order_ID]],ShipmentsTable[],6,FALSE)</f>
        <v>Late</v>
      </c>
      <c r="AH395" s="49">
        <f>VLOOKUP(OrdersRawTable9[[#This Row],[Order_ID]],ShipmentsTable[],3,FALSE)</f>
        <v>45957</v>
      </c>
    </row>
    <row r="396" spans="1:34" ht="15" customHeight="1">
      <c r="A396" s="14" t="s">
        <v>875</v>
      </c>
      <c r="B396" s="10" t="s">
        <v>874</v>
      </c>
      <c r="C396" s="20">
        <v>45951</v>
      </c>
      <c r="D396" s="10" t="s">
        <v>321</v>
      </c>
      <c r="E396" s="10" t="s">
        <v>322</v>
      </c>
      <c r="F396" s="10" t="str">
        <f>TRIM(LEFT(OrdersRawTable9[[#This Row],[Customer_Info]],FIND(",",OrdersRawTable9[[#This Row],[Customer_Info]])-1))</f>
        <v>Emma Brown</v>
      </c>
      <c r="G39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396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396" s="10">
        <f>LEN(OrdersRawTable9[[#This Row],[Customer_Info]])-LEN(SUBSTITUTE(OrdersRawTable9[[#This Row],[Customer_Info]],",",""))</f>
        <v>2</v>
      </c>
      <c r="J396" s="10" t="s">
        <v>106</v>
      </c>
      <c r="K396" s="23">
        <v>4</v>
      </c>
      <c r="L396" s="26">
        <v>195.38</v>
      </c>
      <c r="M396" s="29">
        <v>0.05</v>
      </c>
      <c r="N396" s="10" t="s">
        <v>40</v>
      </c>
      <c r="O396" s="10" t="str">
        <f>IF(TRIM(OrdersRawTable9[[#This Row],[Sales_Channel_Raw]])="Market place","Marketplace",TRIM(OrdersRawTable9[[#This Row],[Sales_Channel_Raw]]))</f>
        <v>Online</v>
      </c>
      <c r="P396" s="10" t="s">
        <v>46</v>
      </c>
      <c r="Q396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96" s="15" t="s">
        <v>67</v>
      </c>
      <c r="S396" t="str">
        <f>VLOOKUP(OrdersRawTable9[[#This Row],[Customer_ID_Raw]],CustomersTable11[],4,FALSE)</f>
        <v>Ontario</v>
      </c>
      <c r="T396" t="str">
        <f>VLOOKUP(OrdersRawTable9[[#This Row],[Customer_ID_Raw]],CustomersTable11[],5,FALSE)</f>
        <v>Corporate</v>
      </c>
      <c r="U396" s="45">
        <f>VLOOKUP(OrdersRawTable9[[#This Row],[Product_ID]],ProductsTable10[],4,FALSE)</f>
        <v>114.29</v>
      </c>
      <c r="V396" t="str">
        <f>VLOOKUP(OrdersRawTable9[[#This Row],[Product_ID]],ProductsTable10[],3,FALSE)</f>
        <v>Electronics</v>
      </c>
      <c r="W396" s="45">
        <f>OrdersRawTable9[[#This Row],[Unit_Price]]*OrdersRawTable9[[#This Row],[Quantity]]</f>
        <v>781.52</v>
      </c>
      <c r="X396" s="47">
        <f>OrdersRawTable9[[#This Row],[Gross_Sales]]*OrdersRawTable9[[#This Row],[Discount_Pct]]</f>
        <v>39.076000000000001</v>
      </c>
      <c r="Y396" s="45">
        <f>OrdersRawTable9[[#This Row],[Gross_Sales]]-OrdersRawTable9[[#This Row],[Discount_Amount]]</f>
        <v>742.44399999999996</v>
      </c>
      <c r="Z396" s="45">
        <f>OrdersRawTable9[[#This Row],[Unit_Cost]]*OrdersRawTable9[[#This Row],[Quantity]]</f>
        <v>457.16</v>
      </c>
      <c r="AA396" s="45">
        <f>OrdersRawTable9[[#This Row],[Net_Sales]]-OrdersRawTable9[[#This Row],[Total_Cost]]</f>
        <v>285.28399999999993</v>
      </c>
      <c r="AB396" s="48">
        <f>IF(OrdersRawTable9[[#This Row],[Net_Sales]]=0,0,OrdersRawTable9[[#This Row],[Profit]]/OrdersRawTable9[[#This Row],[Net_Sales]])</f>
        <v>0.38424985588138627</v>
      </c>
      <c r="AC396" s="45" t="str">
        <f>IF(COUNTIF(ReturnsRawTable[Order_Line_ID],OrdersRawTable9[[#This Row],[Order_Line_ID]])&gt;0,"Yes","No")</f>
        <v>No</v>
      </c>
      <c r="AD396" s="45" t="str">
        <f>IFERROR(VLOOKUP(OrdersRawTable9[[#This Row],[Order_Line_ID]],ReturnsRawTable[[#All],[Order_Line_ID]:[Return_Reason_Raw]],3,FALSE),"")</f>
        <v/>
      </c>
      <c r="AE396" s="49" t="str">
        <f>IFERROR(VLOOKUP(OrdersRawTable9[[#This Row],[Order_Line_ID]],ReturnsRawTable[[#All],[Order_Line_ID]:[Return_Date]],2,FALSE),"")</f>
        <v/>
      </c>
      <c r="AF396" s="45" t="str">
        <f>IFERROR(VLOOKUP(OrdersRawTable9[[#This Row],[Order_Line_ID]],ReturnsRawTable[[Order_Line_ID]:[Refund_Status]],4,FALSE),"")</f>
        <v/>
      </c>
      <c r="AG396" s="45" t="str">
        <f>VLOOKUP(OrdersRawTable9[[#This Row],[Order_ID]],ShipmentsTable[],6,FALSE)</f>
        <v>Late</v>
      </c>
      <c r="AH396" s="49">
        <f>VLOOKUP(OrdersRawTable9[[#This Row],[Order_ID]],ShipmentsTable[],3,FALSE)</f>
        <v>45957</v>
      </c>
    </row>
    <row r="397" spans="1:34" ht="15" customHeight="1">
      <c r="A397" s="14" t="s">
        <v>876</v>
      </c>
      <c r="B397" s="10" t="s">
        <v>874</v>
      </c>
      <c r="C397" s="20">
        <v>45951</v>
      </c>
      <c r="D397" s="10" t="s">
        <v>321</v>
      </c>
      <c r="E397" s="10" t="s">
        <v>322</v>
      </c>
      <c r="F397" s="10" t="str">
        <f>TRIM(LEFT(OrdersRawTable9[[#This Row],[Customer_Info]],FIND(",",OrdersRawTable9[[#This Row],[Customer_Info]])-1))</f>
        <v>Emma Brown</v>
      </c>
      <c r="G39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397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397" s="10">
        <f>LEN(OrdersRawTable9[[#This Row],[Customer_Info]])-LEN(SUBSTITUTE(OrdersRawTable9[[#This Row],[Customer_Info]],",",""))</f>
        <v>2</v>
      </c>
      <c r="J397" s="10" t="s">
        <v>204</v>
      </c>
      <c r="K397" s="23">
        <v>4</v>
      </c>
      <c r="L397" s="26">
        <v>244.25</v>
      </c>
      <c r="M397" s="29">
        <v>0.1</v>
      </c>
      <c r="N397" s="10" t="s">
        <v>70</v>
      </c>
      <c r="O397" s="10" t="str">
        <f>IF(TRIM(OrdersRawTable9[[#This Row],[Sales_Channel_Raw]])="Market place","Marketplace",TRIM(OrdersRawTable9[[#This Row],[Sales_Channel_Raw]]))</f>
        <v>online</v>
      </c>
      <c r="P397" s="10" t="s">
        <v>98</v>
      </c>
      <c r="Q397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397" s="15" t="s">
        <v>52</v>
      </c>
      <c r="S397" t="str">
        <f>VLOOKUP(OrdersRawTable9[[#This Row],[Customer_ID_Raw]],CustomersTable11[],4,FALSE)</f>
        <v>Ontario</v>
      </c>
      <c r="T397" t="str">
        <f>VLOOKUP(OrdersRawTable9[[#This Row],[Customer_ID_Raw]],CustomersTable11[],5,FALSE)</f>
        <v>Corporate</v>
      </c>
      <c r="U397" s="45">
        <f>VLOOKUP(OrdersRawTable9[[#This Row],[Product_ID]],ProductsTable10[],4,FALSE)</f>
        <v>150.96</v>
      </c>
      <c r="V397" t="str">
        <f>VLOOKUP(OrdersRawTable9[[#This Row],[Product_ID]],ProductsTable10[],3,FALSE)</f>
        <v>Office</v>
      </c>
      <c r="W397" s="45">
        <f>OrdersRawTable9[[#This Row],[Unit_Price]]*OrdersRawTable9[[#This Row],[Quantity]]</f>
        <v>977</v>
      </c>
      <c r="X397" s="47">
        <f>OrdersRawTable9[[#This Row],[Gross_Sales]]*OrdersRawTable9[[#This Row],[Discount_Pct]]</f>
        <v>97.7</v>
      </c>
      <c r="Y397" s="45">
        <f>OrdersRawTable9[[#This Row],[Gross_Sales]]-OrdersRawTable9[[#This Row],[Discount_Amount]]</f>
        <v>879.3</v>
      </c>
      <c r="Z397" s="45">
        <f>OrdersRawTable9[[#This Row],[Unit_Cost]]*OrdersRawTable9[[#This Row],[Quantity]]</f>
        <v>603.84</v>
      </c>
      <c r="AA397" s="45">
        <f>OrdersRawTable9[[#This Row],[Net_Sales]]-OrdersRawTable9[[#This Row],[Total_Cost]]</f>
        <v>275.45999999999992</v>
      </c>
      <c r="AB397" s="48">
        <f>IF(OrdersRawTable9[[#This Row],[Net_Sales]]=0,0,OrdersRawTable9[[#This Row],[Profit]]/OrdersRawTable9[[#This Row],[Net_Sales]])</f>
        <v>0.31327192084612754</v>
      </c>
      <c r="AC397" s="45" t="str">
        <f>IF(COUNTIF(ReturnsRawTable[Order_Line_ID],OrdersRawTable9[[#This Row],[Order_Line_ID]])&gt;0,"Yes","No")</f>
        <v>Yes</v>
      </c>
      <c r="AD397" s="45" t="str">
        <f>IFERROR(VLOOKUP(OrdersRawTable9[[#This Row],[Order_Line_ID]],ReturnsRawTable[[#All],[Order_Line_ID]:[Return_Reason_Raw]],3,FALSE),"")</f>
        <v>Changed Mind</v>
      </c>
      <c r="AE397" s="49">
        <f>IFERROR(VLOOKUP(OrdersRawTable9[[#This Row],[Order_Line_ID]],ReturnsRawTable[[#All],[Order_Line_ID]:[Return_Date]],2,FALSE),"")</f>
        <v>45971</v>
      </c>
      <c r="AF397" s="45" t="str">
        <f>IFERROR(VLOOKUP(OrdersRawTable9[[#This Row],[Order_Line_ID]],ReturnsRawTable[[Order_Line_ID]:[Refund_Status]],4,FALSE),"")</f>
        <v>Refunded</v>
      </c>
      <c r="AG397" s="45" t="str">
        <f>VLOOKUP(OrdersRawTable9[[#This Row],[Order_ID]],ShipmentsTable[],6,FALSE)</f>
        <v>Late</v>
      </c>
      <c r="AH397" s="49">
        <f>VLOOKUP(OrdersRawTable9[[#This Row],[Order_ID]],ShipmentsTable[],3,FALSE)</f>
        <v>45957</v>
      </c>
    </row>
    <row r="398" spans="1:34" ht="15" customHeight="1">
      <c r="A398" s="14" t="s">
        <v>877</v>
      </c>
      <c r="B398" s="10" t="s">
        <v>874</v>
      </c>
      <c r="C398" s="20">
        <v>45951</v>
      </c>
      <c r="D398" s="10" t="s">
        <v>321</v>
      </c>
      <c r="E398" s="10" t="s">
        <v>322</v>
      </c>
      <c r="F398" s="10" t="str">
        <f>TRIM(LEFT(OrdersRawTable9[[#This Row],[Customer_Info]],FIND(",",OrdersRawTable9[[#This Row],[Customer_Info]])-1))</f>
        <v>Emma Brown</v>
      </c>
      <c r="G39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398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398" s="10">
        <f>LEN(OrdersRawTable9[[#This Row],[Customer_Info]])-LEN(SUBSTITUTE(OrdersRawTable9[[#This Row],[Customer_Info]],",",""))</f>
        <v>2</v>
      </c>
      <c r="J398" s="10" t="s">
        <v>77</v>
      </c>
      <c r="K398" s="23">
        <v>1</v>
      </c>
      <c r="L398" s="26">
        <v>34.909999999999997</v>
      </c>
      <c r="M398" s="29">
        <v>0.1</v>
      </c>
      <c r="N398" s="10" t="s">
        <v>40</v>
      </c>
      <c r="O398" s="10" t="str">
        <f>IF(TRIM(OrdersRawTable9[[#This Row],[Sales_Channel_Raw]])="Market place","Marketplace",TRIM(OrdersRawTable9[[#This Row],[Sales_Channel_Raw]]))</f>
        <v>Online</v>
      </c>
      <c r="P398" s="10" t="s">
        <v>46</v>
      </c>
      <c r="Q398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98" s="15" t="s">
        <v>42</v>
      </c>
      <c r="S398" t="str">
        <f>VLOOKUP(OrdersRawTable9[[#This Row],[Customer_ID_Raw]],CustomersTable11[],4,FALSE)</f>
        <v>Ontario</v>
      </c>
      <c r="T398" t="str">
        <f>VLOOKUP(OrdersRawTable9[[#This Row],[Customer_ID_Raw]],CustomersTable11[],5,FALSE)</f>
        <v>Corporate</v>
      </c>
      <c r="U398" s="45">
        <f>VLOOKUP(OrdersRawTable9[[#This Row],[Product_ID]],ProductsTable10[],4,FALSE)</f>
        <v>19.670000000000002</v>
      </c>
      <c r="V398" t="str">
        <f>VLOOKUP(OrdersRawTable9[[#This Row],[Product_ID]],ProductsTable10[],3,FALSE)</f>
        <v>Accessories</v>
      </c>
      <c r="W398" s="45">
        <f>OrdersRawTable9[[#This Row],[Unit_Price]]*OrdersRawTable9[[#This Row],[Quantity]]</f>
        <v>34.909999999999997</v>
      </c>
      <c r="X398" s="47">
        <f>OrdersRawTable9[[#This Row],[Gross_Sales]]*OrdersRawTable9[[#This Row],[Discount_Pct]]</f>
        <v>3.4909999999999997</v>
      </c>
      <c r="Y398" s="45">
        <f>OrdersRawTable9[[#This Row],[Gross_Sales]]-OrdersRawTable9[[#This Row],[Discount_Amount]]</f>
        <v>31.418999999999997</v>
      </c>
      <c r="Z398" s="45">
        <f>OrdersRawTable9[[#This Row],[Unit_Cost]]*OrdersRawTable9[[#This Row],[Quantity]]</f>
        <v>19.670000000000002</v>
      </c>
      <c r="AA398" s="45">
        <f>OrdersRawTable9[[#This Row],[Net_Sales]]-OrdersRawTable9[[#This Row],[Total_Cost]]</f>
        <v>11.748999999999995</v>
      </c>
      <c r="AB398" s="48">
        <f>IF(OrdersRawTable9[[#This Row],[Net_Sales]]=0,0,OrdersRawTable9[[#This Row],[Profit]]/OrdersRawTable9[[#This Row],[Net_Sales]])</f>
        <v>0.37394570164550101</v>
      </c>
      <c r="AC398" s="45" t="str">
        <f>IF(COUNTIF(ReturnsRawTable[Order_Line_ID],OrdersRawTable9[[#This Row],[Order_Line_ID]])&gt;0,"Yes","No")</f>
        <v>No</v>
      </c>
      <c r="AD398" s="45" t="str">
        <f>IFERROR(VLOOKUP(OrdersRawTable9[[#This Row],[Order_Line_ID]],ReturnsRawTable[[#All],[Order_Line_ID]:[Return_Reason_Raw]],3,FALSE),"")</f>
        <v/>
      </c>
      <c r="AE398" s="49" t="str">
        <f>IFERROR(VLOOKUP(OrdersRawTable9[[#This Row],[Order_Line_ID]],ReturnsRawTable[[#All],[Order_Line_ID]:[Return_Date]],2,FALSE),"")</f>
        <v/>
      </c>
      <c r="AF398" s="45" t="str">
        <f>IFERROR(VLOOKUP(OrdersRawTable9[[#This Row],[Order_Line_ID]],ReturnsRawTable[[Order_Line_ID]:[Refund_Status]],4,FALSE),"")</f>
        <v/>
      </c>
      <c r="AG398" s="45" t="str">
        <f>VLOOKUP(OrdersRawTable9[[#This Row],[Order_ID]],ShipmentsTable[],6,FALSE)</f>
        <v>Late</v>
      </c>
      <c r="AH398" s="49">
        <f>VLOOKUP(OrdersRawTable9[[#This Row],[Order_ID]],ShipmentsTable[],3,FALSE)</f>
        <v>45957</v>
      </c>
    </row>
    <row r="399" spans="1:34" ht="15" customHeight="1">
      <c r="A399" s="14" t="s">
        <v>878</v>
      </c>
      <c r="B399" s="10" t="s">
        <v>879</v>
      </c>
      <c r="C399" s="20">
        <v>45879</v>
      </c>
      <c r="D399" s="10" t="s">
        <v>880</v>
      </c>
      <c r="E399" s="10" t="s">
        <v>881</v>
      </c>
      <c r="F399" s="10" t="str">
        <f>TRIM(LEFT(OrdersRawTable9[[#This Row],[Customer_Info]],FIND(",",OrdersRawTable9[[#This Row],[Customer_Info]])-1))</f>
        <v>Sofia Dubois</v>
      </c>
      <c r="G39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399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399" s="10">
        <f>LEN(OrdersRawTable9[[#This Row],[Customer_Info]])-LEN(SUBSTITUTE(OrdersRawTable9[[#This Row],[Customer_Info]],",",""))</f>
        <v>2</v>
      </c>
      <c r="J399" s="10" t="s">
        <v>63</v>
      </c>
      <c r="K399" s="23">
        <v>1</v>
      </c>
      <c r="L399" s="26">
        <v>105.38</v>
      </c>
      <c r="M399" s="29">
        <v>0.15</v>
      </c>
      <c r="N399" s="10" t="s">
        <v>45</v>
      </c>
      <c r="O399" s="10" t="str">
        <f>IF(TRIM(OrdersRawTable9[[#This Row],[Sales_Channel_Raw]])="Market place","Marketplace",TRIM(OrdersRawTable9[[#This Row],[Sales_Channel_Raw]]))</f>
        <v>Retail Store</v>
      </c>
      <c r="P399" s="10" t="s">
        <v>46</v>
      </c>
      <c r="Q399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399" s="15" t="s">
        <v>47</v>
      </c>
      <c r="S399" t="str">
        <f>VLOOKUP(OrdersRawTable9[[#This Row],[Customer_ID_Raw]],CustomersTable11[],4,FALSE)</f>
        <v>Manitoba</v>
      </c>
      <c r="T399" t="str">
        <f>VLOOKUP(OrdersRawTable9[[#This Row],[Customer_ID_Raw]],CustomersTable11[],5,FALSE)</f>
        <v>Consumer</v>
      </c>
      <c r="U399" s="45">
        <f>VLOOKUP(OrdersRawTable9[[#This Row],[Product_ID]],ProductsTable10[],4,FALSE)</f>
        <v>67.290000000000006</v>
      </c>
      <c r="V399" t="str">
        <f>VLOOKUP(OrdersRawTable9[[#This Row],[Product_ID]],ProductsTable10[],3,FALSE)</f>
        <v>Electronics</v>
      </c>
      <c r="W399" s="45">
        <f>OrdersRawTable9[[#This Row],[Unit_Price]]*OrdersRawTable9[[#This Row],[Quantity]]</f>
        <v>105.38</v>
      </c>
      <c r="X399" s="47">
        <f>OrdersRawTable9[[#This Row],[Gross_Sales]]*OrdersRawTable9[[#This Row],[Discount_Pct]]</f>
        <v>15.806999999999999</v>
      </c>
      <c r="Y399" s="45">
        <f>OrdersRawTable9[[#This Row],[Gross_Sales]]-OrdersRawTable9[[#This Row],[Discount_Amount]]</f>
        <v>89.572999999999993</v>
      </c>
      <c r="Z399" s="45">
        <f>OrdersRawTable9[[#This Row],[Unit_Cost]]*OrdersRawTable9[[#This Row],[Quantity]]</f>
        <v>67.290000000000006</v>
      </c>
      <c r="AA399" s="45">
        <f>OrdersRawTable9[[#This Row],[Net_Sales]]-OrdersRawTable9[[#This Row],[Total_Cost]]</f>
        <v>22.282999999999987</v>
      </c>
      <c r="AB399" s="48">
        <f>IF(OrdersRawTable9[[#This Row],[Net_Sales]]=0,0,OrdersRawTable9[[#This Row],[Profit]]/OrdersRawTable9[[#This Row],[Net_Sales]])</f>
        <v>0.24876916034965882</v>
      </c>
      <c r="AC399" s="45" t="str">
        <f>IF(COUNTIF(ReturnsRawTable[Order_Line_ID],OrdersRawTable9[[#This Row],[Order_Line_ID]])&gt;0,"Yes","No")</f>
        <v>No</v>
      </c>
      <c r="AD399" s="45" t="str">
        <f>IFERROR(VLOOKUP(OrdersRawTable9[[#This Row],[Order_Line_ID]],ReturnsRawTable[[#All],[Order_Line_ID]:[Return_Reason_Raw]],3,FALSE),"")</f>
        <v/>
      </c>
      <c r="AE399" s="49" t="str">
        <f>IFERROR(VLOOKUP(OrdersRawTable9[[#This Row],[Order_Line_ID]],ReturnsRawTable[[#All],[Order_Line_ID]:[Return_Date]],2,FALSE),"")</f>
        <v/>
      </c>
      <c r="AF399" s="45" t="str">
        <f>IFERROR(VLOOKUP(OrdersRawTable9[[#This Row],[Order_Line_ID]],ReturnsRawTable[[Order_Line_ID]:[Refund_Status]],4,FALSE),"")</f>
        <v/>
      </c>
      <c r="AG399" s="45" t="str">
        <f>VLOOKUP(OrdersRawTable9[[#This Row],[Order_ID]],ShipmentsTable[],6,FALSE)</f>
        <v>On time</v>
      </c>
      <c r="AH399" s="49">
        <f>VLOOKUP(OrdersRawTable9[[#This Row],[Order_ID]],ShipmentsTable[],3,FALSE)</f>
        <v>45881</v>
      </c>
    </row>
    <row r="400" spans="1:34" ht="15" customHeight="1">
      <c r="A400" s="14" t="s">
        <v>882</v>
      </c>
      <c r="B400" s="10" t="s">
        <v>879</v>
      </c>
      <c r="C400" s="20">
        <v>45879</v>
      </c>
      <c r="D400" s="10" t="s">
        <v>880</v>
      </c>
      <c r="E400" s="10" t="s">
        <v>881</v>
      </c>
      <c r="F400" s="10" t="str">
        <f>TRIM(LEFT(OrdersRawTable9[[#This Row],[Customer_Info]],FIND(",",OrdersRawTable9[[#This Row],[Customer_Info]])-1))</f>
        <v>Sofia Dubois</v>
      </c>
      <c r="G40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400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400" s="10">
        <f>LEN(OrdersRawTable9[[#This Row],[Customer_Info]])-LEN(SUBSTITUTE(OrdersRawTable9[[#This Row],[Customer_Info]],",",""))</f>
        <v>2</v>
      </c>
      <c r="J400" s="10" t="s">
        <v>180</v>
      </c>
      <c r="K400" s="23">
        <v>2</v>
      </c>
      <c r="L400" s="26">
        <v>91.75</v>
      </c>
      <c r="M400" s="29">
        <v>0.15</v>
      </c>
      <c r="N400" s="10" t="s">
        <v>40</v>
      </c>
      <c r="O400" s="10" t="str">
        <f>IF(TRIM(OrdersRawTable9[[#This Row],[Sales_Channel_Raw]])="Market place","Marketplace",TRIM(OrdersRawTable9[[#This Row],[Sales_Channel_Raw]]))</f>
        <v>Online</v>
      </c>
      <c r="P400" s="10"/>
      <c r="Q400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400" s="15" t="s">
        <v>47</v>
      </c>
      <c r="S400" t="str">
        <f>VLOOKUP(OrdersRawTable9[[#This Row],[Customer_ID_Raw]],CustomersTable11[],4,FALSE)</f>
        <v>Manitoba</v>
      </c>
      <c r="T400" t="str">
        <f>VLOOKUP(OrdersRawTable9[[#This Row],[Customer_ID_Raw]],CustomersTable11[],5,FALSE)</f>
        <v>Consumer</v>
      </c>
      <c r="U400" s="45">
        <f>VLOOKUP(OrdersRawTable9[[#This Row],[Product_ID]],ProductsTable10[],4,FALSE)</f>
        <v>58.27</v>
      </c>
      <c r="V400" t="str">
        <f>VLOOKUP(OrdersRawTable9[[#This Row],[Product_ID]],ProductsTable10[],3,FALSE)</f>
        <v>Home</v>
      </c>
      <c r="W400" s="45">
        <f>OrdersRawTable9[[#This Row],[Unit_Price]]*OrdersRawTable9[[#This Row],[Quantity]]</f>
        <v>183.5</v>
      </c>
      <c r="X400" s="47">
        <f>OrdersRawTable9[[#This Row],[Gross_Sales]]*OrdersRawTable9[[#This Row],[Discount_Pct]]</f>
        <v>27.524999999999999</v>
      </c>
      <c r="Y400" s="45">
        <f>OrdersRawTable9[[#This Row],[Gross_Sales]]-OrdersRawTable9[[#This Row],[Discount_Amount]]</f>
        <v>155.97499999999999</v>
      </c>
      <c r="Z400" s="45">
        <f>OrdersRawTable9[[#This Row],[Unit_Cost]]*OrdersRawTable9[[#This Row],[Quantity]]</f>
        <v>116.54</v>
      </c>
      <c r="AA400" s="45">
        <f>OrdersRawTable9[[#This Row],[Net_Sales]]-OrdersRawTable9[[#This Row],[Total_Cost]]</f>
        <v>39.434999999999988</v>
      </c>
      <c r="AB400" s="48">
        <f>IF(OrdersRawTable9[[#This Row],[Net_Sales]]=0,0,OrdersRawTable9[[#This Row],[Profit]]/OrdersRawTable9[[#This Row],[Net_Sales]])</f>
        <v>0.2528289790030453</v>
      </c>
      <c r="AC400" s="45" t="str">
        <f>IF(COUNTIF(ReturnsRawTable[Order_Line_ID],OrdersRawTable9[[#This Row],[Order_Line_ID]])&gt;0,"Yes","No")</f>
        <v>Yes</v>
      </c>
      <c r="AD400" s="45" t="str">
        <f>IFERROR(VLOOKUP(OrdersRawTable9[[#This Row],[Order_Line_ID]],ReturnsRawTable[[#All],[Order_Line_ID]:[Return_Reason_Raw]],3,FALSE),"")</f>
        <v>Wrong Item</v>
      </c>
      <c r="AE400" s="49">
        <f>IFERROR(VLOOKUP(OrdersRawTable9[[#This Row],[Order_Line_ID]],ReturnsRawTable[[#All],[Order_Line_ID]:[Return_Date]],2,FALSE),"")</f>
        <v>45901</v>
      </c>
      <c r="AF400" s="45" t="str">
        <f>IFERROR(VLOOKUP(OrdersRawTable9[[#This Row],[Order_Line_ID]],ReturnsRawTable[[Order_Line_ID]:[Refund_Status]],4,FALSE),"")</f>
        <v>Pending</v>
      </c>
      <c r="AG400" s="45" t="str">
        <f>VLOOKUP(OrdersRawTable9[[#This Row],[Order_ID]],ShipmentsTable[],6,FALSE)</f>
        <v>On time</v>
      </c>
      <c r="AH400" s="49">
        <f>VLOOKUP(OrdersRawTable9[[#This Row],[Order_ID]],ShipmentsTable[],3,FALSE)</f>
        <v>45881</v>
      </c>
    </row>
    <row r="401" spans="1:34" ht="15" customHeight="1">
      <c r="A401" s="14" t="s">
        <v>883</v>
      </c>
      <c r="B401" s="10" t="s">
        <v>879</v>
      </c>
      <c r="C401" s="20">
        <v>45879</v>
      </c>
      <c r="D401" s="10" t="s">
        <v>880</v>
      </c>
      <c r="E401" s="10" t="s">
        <v>881</v>
      </c>
      <c r="F401" s="10" t="str">
        <f>TRIM(LEFT(OrdersRawTable9[[#This Row],[Customer_Info]],FIND(",",OrdersRawTable9[[#This Row],[Customer_Info]])-1))</f>
        <v>Sofia Dubois</v>
      </c>
      <c r="G40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401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401" s="10">
        <f>LEN(OrdersRawTable9[[#This Row],[Customer_Info]])-LEN(SUBSTITUTE(OrdersRawTable9[[#This Row],[Customer_Info]],",",""))</f>
        <v>2</v>
      </c>
      <c r="J401" s="10" t="s">
        <v>39</v>
      </c>
      <c r="K401" s="23">
        <v>2</v>
      </c>
      <c r="L401" s="26">
        <v>236.51</v>
      </c>
      <c r="M401" s="29">
        <v>0.05</v>
      </c>
      <c r="N401" s="10" t="s">
        <v>45</v>
      </c>
      <c r="O401" s="10" t="str">
        <f>IF(TRIM(OrdersRawTable9[[#This Row],[Sales_Channel_Raw]])="Market place","Marketplace",TRIM(OrdersRawTable9[[#This Row],[Sales_Channel_Raw]]))</f>
        <v>Retail Store</v>
      </c>
      <c r="P401" s="10" t="s">
        <v>46</v>
      </c>
      <c r="Q401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401" s="15" t="s">
        <v>52</v>
      </c>
      <c r="S401" t="str">
        <f>VLOOKUP(OrdersRawTable9[[#This Row],[Customer_ID_Raw]],CustomersTable11[],4,FALSE)</f>
        <v>Manitoba</v>
      </c>
      <c r="T401" t="str">
        <f>VLOOKUP(OrdersRawTable9[[#This Row],[Customer_ID_Raw]],CustomersTable11[],5,FALSE)</f>
        <v>Consumer</v>
      </c>
      <c r="U401" s="45">
        <f>VLOOKUP(OrdersRawTable9[[#This Row],[Product_ID]],ProductsTable10[],4,FALSE)</f>
        <v>142.84</v>
      </c>
      <c r="V401" t="str">
        <f>VLOOKUP(OrdersRawTable9[[#This Row],[Product_ID]],ProductsTable10[],3,FALSE)</f>
        <v>Fitness</v>
      </c>
      <c r="W401" s="45">
        <f>OrdersRawTable9[[#This Row],[Unit_Price]]*OrdersRawTable9[[#This Row],[Quantity]]</f>
        <v>473.02</v>
      </c>
      <c r="X401" s="47">
        <f>OrdersRawTable9[[#This Row],[Gross_Sales]]*OrdersRawTable9[[#This Row],[Discount_Pct]]</f>
        <v>23.651</v>
      </c>
      <c r="Y401" s="45">
        <f>OrdersRawTable9[[#This Row],[Gross_Sales]]-OrdersRawTable9[[#This Row],[Discount_Amount]]</f>
        <v>449.36899999999997</v>
      </c>
      <c r="Z401" s="45">
        <f>OrdersRawTable9[[#This Row],[Unit_Cost]]*OrdersRawTable9[[#This Row],[Quantity]]</f>
        <v>285.68</v>
      </c>
      <c r="AA401" s="45">
        <f>OrdersRawTable9[[#This Row],[Net_Sales]]-OrdersRawTable9[[#This Row],[Total_Cost]]</f>
        <v>163.68899999999996</v>
      </c>
      <c r="AB401" s="48">
        <f>IF(OrdersRawTable9[[#This Row],[Net_Sales]]=0,0,OrdersRawTable9[[#This Row],[Profit]]/OrdersRawTable9[[#This Row],[Net_Sales]])</f>
        <v>0.36426411256673241</v>
      </c>
      <c r="AC401" s="45" t="str">
        <f>IF(COUNTIF(ReturnsRawTable[Order_Line_ID],OrdersRawTable9[[#This Row],[Order_Line_ID]])&gt;0,"Yes","No")</f>
        <v>No</v>
      </c>
      <c r="AD401" s="45" t="str">
        <f>IFERROR(VLOOKUP(OrdersRawTable9[[#This Row],[Order_Line_ID]],ReturnsRawTable[[#All],[Order_Line_ID]:[Return_Reason_Raw]],3,FALSE),"")</f>
        <v/>
      </c>
      <c r="AE401" s="49" t="str">
        <f>IFERROR(VLOOKUP(OrdersRawTable9[[#This Row],[Order_Line_ID]],ReturnsRawTable[[#All],[Order_Line_ID]:[Return_Date]],2,FALSE),"")</f>
        <v/>
      </c>
      <c r="AF401" s="45" t="str">
        <f>IFERROR(VLOOKUP(OrdersRawTable9[[#This Row],[Order_Line_ID]],ReturnsRawTable[[Order_Line_ID]:[Refund_Status]],4,FALSE),"")</f>
        <v/>
      </c>
      <c r="AG401" s="45" t="str">
        <f>VLOOKUP(OrdersRawTable9[[#This Row],[Order_ID]],ShipmentsTable[],6,FALSE)</f>
        <v>On time</v>
      </c>
      <c r="AH401" s="49">
        <f>VLOOKUP(OrdersRawTable9[[#This Row],[Order_ID]],ShipmentsTable[],3,FALSE)</f>
        <v>45881</v>
      </c>
    </row>
    <row r="402" spans="1:34" ht="15" customHeight="1">
      <c r="A402" s="14" t="s">
        <v>884</v>
      </c>
      <c r="B402" s="10" t="s">
        <v>879</v>
      </c>
      <c r="C402" s="20">
        <v>45879</v>
      </c>
      <c r="D402" s="10" t="s">
        <v>880</v>
      </c>
      <c r="E402" s="10" t="s">
        <v>881</v>
      </c>
      <c r="F402" s="10" t="str">
        <f>TRIM(LEFT(OrdersRawTable9[[#This Row],[Customer_Info]],FIND(",",OrdersRawTable9[[#This Row],[Customer_Info]])-1))</f>
        <v>Sofia Dubois</v>
      </c>
      <c r="G40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402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402" s="10">
        <f>LEN(OrdersRawTable9[[#This Row],[Customer_Info]])-LEN(SUBSTITUTE(OrdersRawTable9[[#This Row],[Customer_Info]],",",""))</f>
        <v>2</v>
      </c>
      <c r="J402" s="10" t="s">
        <v>309</v>
      </c>
      <c r="K402" s="23">
        <v>1</v>
      </c>
      <c r="L402" s="26">
        <v>56.99</v>
      </c>
      <c r="M402" s="29">
        <v>0</v>
      </c>
      <c r="N402" s="10" t="s">
        <v>66</v>
      </c>
      <c r="O402" s="10" t="str">
        <f>IF(TRIM(OrdersRawTable9[[#This Row],[Sales_Channel_Raw]])="Market place","Marketplace",TRIM(OrdersRawTable9[[#This Row],[Sales_Channel_Raw]]))</f>
        <v>Marketplace</v>
      </c>
      <c r="P402" s="10" t="s">
        <v>41</v>
      </c>
      <c r="Q402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402" s="15" t="s">
        <v>42</v>
      </c>
      <c r="S402" t="str">
        <f>VLOOKUP(OrdersRawTable9[[#This Row],[Customer_ID_Raw]],CustomersTable11[],4,FALSE)</f>
        <v>Manitoba</v>
      </c>
      <c r="T402" t="str">
        <f>VLOOKUP(OrdersRawTable9[[#This Row],[Customer_ID_Raw]],CustomersTable11[],5,FALSE)</f>
        <v>Consumer</v>
      </c>
      <c r="U402" s="45">
        <f>VLOOKUP(OrdersRawTable9[[#This Row],[Product_ID]],ProductsTable10[],4,FALSE)</f>
        <v>33.65</v>
      </c>
      <c r="V402" t="str">
        <f>VLOOKUP(OrdersRawTable9[[#This Row],[Product_ID]],ProductsTable10[],3,FALSE)</f>
        <v>Home</v>
      </c>
      <c r="W402" s="45">
        <f>OrdersRawTable9[[#This Row],[Unit_Price]]*OrdersRawTable9[[#This Row],[Quantity]]</f>
        <v>56.99</v>
      </c>
      <c r="X402" s="47">
        <f>OrdersRawTable9[[#This Row],[Gross_Sales]]*OrdersRawTable9[[#This Row],[Discount_Pct]]</f>
        <v>0</v>
      </c>
      <c r="Y402" s="45">
        <f>OrdersRawTable9[[#This Row],[Gross_Sales]]-OrdersRawTable9[[#This Row],[Discount_Amount]]</f>
        <v>56.99</v>
      </c>
      <c r="Z402" s="45">
        <f>OrdersRawTable9[[#This Row],[Unit_Cost]]*OrdersRawTable9[[#This Row],[Quantity]]</f>
        <v>33.65</v>
      </c>
      <c r="AA402" s="45">
        <f>OrdersRawTable9[[#This Row],[Net_Sales]]-OrdersRawTable9[[#This Row],[Total_Cost]]</f>
        <v>23.340000000000003</v>
      </c>
      <c r="AB402" s="48">
        <f>IF(OrdersRawTable9[[#This Row],[Net_Sales]]=0,0,OrdersRawTable9[[#This Row],[Profit]]/OrdersRawTable9[[#This Row],[Net_Sales]])</f>
        <v>0.40954553430426394</v>
      </c>
      <c r="AC402" s="45" t="str">
        <f>IF(COUNTIF(ReturnsRawTable[Order_Line_ID],OrdersRawTable9[[#This Row],[Order_Line_ID]])&gt;0,"Yes","No")</f>
        <v>No</v>
      </c>
      <c r="AD402" s="45" t="str">
        <f>IFERROR(VLOOKUP(OrdersRawTable9[[#This Row],[Order_Line_ID]],ReturnsRawTable[[#All],[Order_Line_ID]:[Return_Reason_Raw]],3,FALSE),"")</f>
        <v/>
      </c>
      <c r="AE402" s="49" t="str">
        <f>IFERROR(VLOOKUP(OrdersRawTable9[[#This Row],[Order_Line_ID]],ReturnsRawTable[[#All],[Order_Line_ID]:[Return_Date]],2,FALSE),"")</f>
        <v/>
      </c>
      <c r="AF402" s="45" t="str">
        <f>IFERROR(VLOOKUP(OrdersRawTable9[[#This Row],[Order_Line_ID]],ReturnsRawTable[[Order_Line_ID]:[Refund_Status]],4,FALSE),"")</f>
        <v/>
      </c>
      <c r="AG402" s="45" t="str">
        <f>VLOOKUP(OrdersRawTable9[[#This Row],[Order_ID]],ShipmentsTable[],6,FALSE)</f>
        <v>On time</v>
      </c>
      <c r="AH402" s="49">
        <f>VLOOKUP(OrdersRawTable9[[#This Row],[Order_ID]],ShipmentsTable[],3,FALSE)</f>
        <v>45881</v>
      </c>
    </row>
    <row r="403" spans="1:34" ht="15" customHeight="1">
      <c r="A403" s="14" t="s">
        <v>885</v>
      </c>
      <c r="B403" s="10" t="s">
        <v>886</v>
      </c>
      <c r="C403" s="20">
        <v>45696</v>
      </c>
      <c r="D403" s="10" t="s">
        <v>283</v>
      </c>
      <c r="E403" s="10" t="s">
        <v>284</v>
      </c>
      <c r="F403" s="10" t="str">
        <f>TRIM(LEFT(OrdersRawTable9[[#This Row],[Customer_Info]],FIND(",",OrdersRawTable9[[#This Row],[Customer_Info]])-1))</f>
        <v>Daniel Johnson</v>
      </c>
      <c r="G40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403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403" s="10">
        <f>LEN(OrdersRawTable9[[#This Row],[Customer_Info]])-LEN(SUBSTITUTE(OrdersRawTable9[[#This Row],[Customer_Info]],",",""))</f>
        <v>2</v>
      </c>
      <c r="J403" s="10" t="s">
        <v>147</v>
      </c>
      <c r="K403" s="23">
        <v>2</v>
      </c>
      <c r="L403" s="26">
        <v>102.78</v>
      </c>
      <c r="M403" s="29">
        <v>0</v>
      </c>
      <c r="N403" s="10" t="s">
        <v>40</v>
      </c>
      <c r="O403" s="10" t="str">
        <f>IF(TRIM(OrdersRawTable9[[#This Row],[Sales_Channel_Raw]])="Market place","Marketplace",TRIM(OrdersRawTable9[[#This Row],[Sales_Channel_Raw]]))</f>
        <v>Online</v>
      </c>
      <c r="P403" s="10" t="s">
        <v>41</v>
      </c>
      <c r="Q403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403" s="15" t="s">
        <v>42</v>
      </c>
      <c r="S403" t="str">
        <f>VLOOKUP(OrdersRawTable9[[#This Row],[Customer_ID_Raw]],CustomersTable11[],4,FALSE)</f>
        <v>Alberta</v>
      </c>
      <c r="T403" t="str">
        <f>VLOOKUP(OrdersRawTable9[[#This Row],[Customer_ID_Raw]],CustomersTable11[],5,FALSE)</f>
        <v>Corporate</v>
      </c>
      <c r="U403" s="45">
        <f>VLOOKUP(OrdersRawTable9[[#This Row],[Product_ID]],ProductsTable10[],4,FALSE)</f>
        <v>62.65</v>
      </c>
      <c r="V403" t="str">
        <f>VLOOKUP(OrdersRawTable9[[#This Row],[Product_ID]],ProductsTable10[],3,FALSE)</f>
        <v>Accessories</v>
      </c>
      <c r="W403" s="45">
        <f>OrdersRawTable9[[#This Row],[Unit_Price]]*OrdersRawTable9[[#This Row],[Quantity]]</f>
        <v>205.56</v>
      </c>
      <c r="X403" s="47">
        <f>OrdersRawTable9[[#This Row],[Gross_Sales]]*OrdersRawTable9[[#This Row],[Discount_Pct]]</f>
        <v>0</v>
      </c>
      <c r="Y403" s="45">
        <f>OrdersRawTable9[[#This Row],[Gross_Sales]]-OrdersRawTable9[[#This Row],[Discount_Amount]]</f>
        <v>205.56</v>
      </c>
      <c r="Z403" s="45">
        <f>OrdersRawTable9[[#This Row],[Unit_Cost]]*OrdersRawTable9[[#This Row],[Quantity]]</f>
        <v>125.3</v>
      </c>
      <c r="AA403" s="45">
        <f>OrdersRawTable9[[#This Row],[Net_Sales]]-OrdersRawTable9[[#This Row],[Total_Cost]]</f>
        <v>80.260000000000005</v>
      </c>
      <c r="AB403" s="48">
        <f>IF(OrdersRawTable9[[#This Row],[Net_Sales]]=0,0,OrdersRawTable9[[#This Row],[Profit]]/OrdersRawTable9[[#This Row],[Net_Sales]])</f>
        <v>0.39044561198676786</v>
      </c>
      <c r="AC403" s="45" t="str">
        <f>IF(COUNTIF(ReturnsRawTable[Order_Line_ID],OrdersRawTable9[[#This Row],[Order_Line_ID]])&gt;0,"Yes","No")</f>
        <v>No</v>
      </c>
      <c r="AD403" s="45" t="str">
        <f>IFERROR(VLOOKUP(OrdersRawTable9[[#This Row],[Order_Line_ID]],ReturnsRawTable[[#All],[Order_Line_ID]:[Return_Reason_Raw]],3,FALSE),"")</f>
        <v/>
      </c>
      <c r="AE403" s="49" t="str">
        <f>IFERROR(VLOOKUP(OrdersRawTable9[[#This Row],[Order_Line_ID]],ReturnsRawTable[[#All],[Order_Line_ID]:[Return_Date]],2,FALSE),"")</f>
        <v/>
      </c>
      <c r="AF403" s="45" t="str">
        <f>IFERROR(VLOOKUP(OrdersRawTable9[[#This Row],[Order_Line_ID]],ReturnsRawTable[[Order_Line_ID]:[Refund_Status]],4,FALSE),"")</f>
        <v/>
      </c>
      <c r="AG403" s="45" t="str">
        <f>VLOOKUP(OrdersRawTable9[[#This Row],[Order_ID]],ShipmentsTable[],6,FALSE)</f>
        <v>Late</v>
      </c>
      <c r="AH403" s="49">
        <f>VLOOKUP(OrdersRawTable9[[#This Row],[Order_ID]],ShipmentsTable[],3,FALSE)</f>
        <v>45703</v>
      </c>
    </row>
    <row r="404" spans="1:34" ht="15" customHeight="1">
      <c r="A404" s="14" t="s">
        <v>887</v>
      </c>
      <c r="B404" s="10" t="s">
        <v>886</v>
      </c>
      <c r="C404" s="20">
        <v>45696</v>
      </c>
      <c r="D404" s="10" t="s">
        <v>283</v>
      </c>
      <c r="E404" s="10" t="s">
        <v>284</v>
      </c>
      <c r="F404" s="10" t="str">
        <f>TRIM(LEFT(OrdersRawTable9[[#This Row],[Customer_Info]],FIND(",",OrdersRawTable9[[#This Row],[Customer_Info]])-1))</f>
        <v>Daniel Johnson</v>
      </c>
      <c r="G40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404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404" s="10">
        <f>LEN(OrdersRawTable9[[#This Row],[Customer_Info]])-LEN(SUBSTITUTE(OrdersRawTable9[[#This Row],[Customer_Info]],",",""))</f>
        <v>2</v>
      </c>
      <c r="J404" s="10" t="s">
        <v>251</v>
      </c>
      <c r="K404" s="23">
        <v>1</v>
      </c>
      <c r="L404" s="26">
        <v>228.91</v>
      </c>
      <c r="M404" s="29">
        <v>0</v>
      </c>
      <c r="N404" s="10" t="s">
        <v>40</v>
      </c>
      <c r="O404" s="10" t="str">
        <f>IF(TRIM(OrdersRawTable9[[#This Row],[Sales_Channel_Raw]])="Market place","Marketplace",TRIM(OrdersRawTable9[[#This Row],[Sales_Channel_Raw]]))</f>
        <v>Online</v>
      </c>
      <c r="P404" s="10"/>
      <c r="Q404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404" s="15" t="s">
        <v>101</v>
      </c>
      <c r="S404" t="str">
        <f>VLOOKUP(OrdersRawTable9[[#This Row],[Customer_ID_Raw]],CustomersTable11[],4,FALSE)</f>
        <v>Alberta</v>
      </c>
      <c r="T404" t="str">
        <f>VLOOKUP(OrdersRawTable9[[#This Row],[Customer_ID_Raw]],CustomersTable11[],5,FALSE)</f>
        <v>Corporate</v>
      </c>
      <c r="U404" s="45">
        <f>VLOOKUP(OrdersRawTable9[[#This Row],[Product_ID]],ProductsTable10[],4,FALSE)</f>
        <v>149.4</v>
      </c>
      <c r="V404" t="str">
        <f>VLOOKUP(OrdersRawTable9[[#This Row],[Product_ID]],ProductsTable10[],3,FALSE)</f>
        <v>Office</v>
      </c>
      <c r="W404" s="45">
        <f>OrdersRawTable9[[#This Row],[Unit_Price]]*OrdersRawTable9[[#This Row],[Quantity]]</f>
        <v>228.91</v>
      </c>
      <c r="X404" s="47">
        <f>OrdersRawTable9[[#This Row],[Gross_Sales]]*OrdersRawTable9[[#This Row],[Discount_Pct]]</f>
        <v>0</v>
      </c>
      <c r="Y404" s="45">
        <f>OrdersRawTable9[[#This Row],[Gross_Sales]]-OrdersRawTable9[[#This Row],[Discount_Amount]]</f>
        <v>228.91</v>
      </c>
      <c r="Z404" s="45">
        <f>OrdersRawTable9[[#This Row],[Unit_Cost]]*OrdersRawTable9[[#This Row],[Quantity]]</f>
        <v>149.4</v>
      </c>
      <c r="AA404" s="45">
        <f>OrdersRawTable9[[#This Row],[Net_Sales]]-OrdersRawTable9[[#This Row],[Total_Cost]]</f>
        <v>79.509999999999991</v>
      </c>
      <c r="AB404" s="48">
        <f>IF(OrdersRawTable9[[#This Row],[Net_Sales]]=0,0,OrdersRawTable9[[#This Row],[Profit]]/OrdersRawTable9[[#This Row],[Net_Sales]])</f>
        <v>0.34734175003276391</v>
      </c>
      <c r="AC404" s="45" t="str">
        <f>IF(COUNTIF(ReturnsRawTable[Order_Line_ID],OrdersRawTable9[[#This Row],[Order_Line_ID]])&gt;0,"Yes","No")</f>
        <v>No</v>
      </c>
      <c r="AD404" s="45" t="str">
        <f>IFERROR(VLOOKUP(OrdersRawTable9[[#This Row],[Order_Line_ID]],ReturnsRawTable[[#All],[Order_Line_ID]:[Return_Reason_Raw]],3,FALSE),"")</f>
        <v/>
      </c>
      <c r="AE404" s="49" t="str">
        <f>IFERROR(VLOOKUP(OrdersRawTable9[[#This Row],[Order_Line_ID]],ReturnsRawTable[[#All],[Order_Line_ID]:[Return_Date]],2,FALSE),"")</f>
        <v/>
      </c>
      <c r="AF404" s="45" t="str">
        <f>IFERROR(VLOOKUP(OrdersRawTable9[[#This Row],[Order_Line_ID]],ReturnsRawTable[[Order_Line_ID]:[Refund_Status]],4,FALSE),"")</f>
        <v/>
      </c>
      <c r="AG404" s="45" t="str">
        <f>VLOOKUP(OrdersRawTable9[[#This Row],[Order_ID]],ShipmentsTable[],6,FALSE)</f>
        <v>Late</v>
      </c>
      <c r="AH404" s="49">
        <f>VLOOKUP(OrdersRawTable9[[#This Row],[Order_ID]],ShipmentsTable[],3,FALSE)</f>
        <v>45703</v>
      </c>
    </row>
    <row r="405" spans="1:34" ht="15" customHeight="1">
      <c r="A405" s="14" t="s">
        <v>888</v>
      </c>
      <c r="B405" s="10" t="s">
        <v>889</v>
      </c>
      <c r="C405" s="20">
        <v>45928</v>
      </c>
      <c r="D405" s="10" t="s">
        <v>890</v>
      </c>
      <c r="E405" s="10" t="s">
        <v>891</v>
      </c>
      <c r="F405" s="10" t="str">
        <f>TRIM(LEFT(OrdersRawTable9[[#This Row],[Customer_Info]],FIND(",",OrdersRawTable9[[#This Row],[Customer_Info]])-1))</f>
        <v>Daniel Martin</v>
      </c>
      <c r="G40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405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405" s="10">
        <f>LEN(OrdersRawTable9[[#This Row],[Customer_Info]])-LEN(SUBSTITUTE(OrdersRawTable9[[#This Row],[Customer_Info]],",",""))</f>
        <v>2</v>
      </c>
      <c r="J405" s="10" t="s">
        <v>456</v>
      </c>
      <c r="K405" s="23">
        <v>1</v>
      </c>
      <c r="L405" s="26">
        <v>275.76</v>
      </c>
      <c r="M405" s="29">
        <v>0</v>
      </c>
      <c r="N405" s="10" t="s">
        <v>40</v>
      </c>
      <c r="O405" s="10" t="str">
        <f>IF(TRIM(OrdersRawTable9[[#This Row],[Sales_Channel_Raw]])="Market place","Marketplace",TRIM(OrdersRawTable9[[#This Row],[Sales_Channel_Raw]]))</f>
        <v>Online</v>
      </c>
      <c r="P405" s="10" t="s">
        <v>41</v>
      </c>
      <c r="Q405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405" s="15" t="s">
        <v>42</v>
      </c>
      <c r="S405" t="str">
        <f>VLOOKUP(OrdersRawTable9[[#This Row],[Customer_ID_Raw]],CustomersTable11[],4,FALSE)</f>
        <v>Alberta</v>
      </c>
      <c r="T405" t="str">
        <f>VLOOKUP(OrdersRawTable9[[#This Row],[Customer_ID_Raw]],CustomersTable11[],5,FALSE)</f>
        <v>Consumer</v>
      </c>
      <c r="U405" s="45">
        <f>VLOOKUP(OrdersRawTable9[[#This Row],[Product_ID]],ProductsTable10[],4,FALSE)</f>
        <v>156.97</v>
      </c>
      <c r="V405" t="str">
        <f>VLOOKUP(OrdersRawTable9[[#This Row],[Product_ID]],ProductsTable10[],3,FALSE)</f>
        <v>Home</v>
      </c>
      <c r="W405" s="45">
        <f>OrdersRawTable9[[#This Row],[Unit_Price]]*OrdersRawTable9[[#This Row],[Quantity]]</f>
        <v>275.76</v>
      </c>
      <c r="X405" s="47">
        <f>OrdersRawTable9[[#This Row],[Gross_Sales]]*OrdersRawTable9[[#This Row],[Discount_Pct]]</f>
        <v>0</v>
      </c>
      <c r="Y405" s="45">
        <f>OrdersRawTable9[[#This Row],[Gross_Sales]]-OrdersRawTable9[[#This Row],[Discount_Amount]]</f>
        <v>275.76</v>
      </c>
      <c r="Z405" s="45">
        <f>OrdersRawTable9[[#This Row],[Unit_Cost]]*OrdersRawTable9[[#This Row],[Quantity]]</f>
        <v>156.97</v>
      </c>
      <c r="AA405" s="45">
        <f>OrdersRawTable9[[#This Row],[Net_Sales]]-OrdersRawTable9[[#This Row],[Total_Cost]]</f>
        <v>118.78999999999999</v>
      </c>
      <c r="AB405" s="48">
        <f>IF(OrdersRawTable9[[#This Row],[Net_Sales]]=0,0,OrdersRawTable9[[#This Row],[Profit]]/OrdersRawTable9[[#This Row],[Net_Sales]])</f>
        <v>0.43077313606034229</v>
      </c>
      <c r="AC405" s="45" t="str">
        <f>IF(COUNTIF(ReturnsRawTable[Order_Line_ID],OrdersRawTable9[[#This Row],[Order_Line_ID]])&gt;0,"Yes","No")</f>
        <v>No</v>
      </c>
      <c r="AD405" s="45" t="str">
        <f>IFERROR(VLOOKUP(OrdersRawTable9[[#This Row],[Order_Line_ID]],ReturnsRawTable[[#All],[Order_Line_ID]:[Return_Reason_Raw]],3,FALSE),"")</f>
        <v/>
      </c>
      <c r="AE405" s="49" t="str">
        <f>IFERROR(VLOOKUP(OrdersRawTable9[[#This Row],[Order_Line_ID]],ReturnsRawTable[[#All],[Order_Line_ID]:[Return_Date]],2,FALSE),"")</f>
        <v/>
      </c>
      <c r="AF405" s="45" t="str">
        <f>IFERROR(VLOOKUP(OrdersRawTable9[[#This Row],[Order_Line_ID]],ReturnsRawTable[[Order_Line_ID]:[Refund_Status]],4,FALSE),"")</f>
        <v/>
      </c>
      <c r="AG405" s="45" t="str">
        <f>VLOOKUP(OrdersRawTable9[[#This Row],[Order_ID]],ShipmentsTable[],6,FALSE)</f>
        <v>Late</v>
      </c>
      <c r="AH405" s="49">
        <f>VLOOKUP(OrdersRawTable9[[#This Row],[Order_ID]],ShipmentsTable[],3,FALSE)</f>
        <v>45938</v>
      </c>
    </row>
    <row r="406" spans="1:34" ht="15" customHeight="1">
      <c r="A406" s="14" t="s">
        <v>892</v>
      </c>
      <c r="B406" s="10" t="s">
        <v>889</v>
      </c>
      <c r="C406" s="20">
        <v>45928</v>
      </c>
      <c r="D406" s="10" t="s">
        <v>890</v>
      </c>
      <c r="E406" s="10" t="s">
        <v>891</v>
      </c>
      <c r="F406" s="10" t="str">
        <f>TRIM(LEFT(OrdersRawTable9[[#This Row],[Customer_Info]],FIND(",",OrdersRawTable9[[#This Row],[Customer_Info]])-1))</f>
        <v>Daniel Martin</v>
      </c>
      <c r="G40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406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406" s="10">
        <f>LEN(OrdersRawTable9[[#This Row],[Customer_Info]])-LEN(SUBSTITUTE(OrdersRawTable9[[#This Row],[Customer_Info]],",",""))</f>
        <v>2</v>
      </c>
      <c r="J406" s="10" t="s">
        <v>119</v>
      </c>
      <c r="K406" s="23">
        <v>1</v>
      </c>
      <c r="L406" s="26">
        <v>103.3</v>
      </c>
      <c r="M406" s="29">
        <v>0</v>
      </c>
      <c r="N406" s="10" t="s">
        <v>66</v>
      </c>
      <c r="O406" s="10" t="str">
        <f>IF(TRIM(OrdersRawTable9[[#This Row],[Sales_Channel_Raw]])="Market place","Marketplace",TRIM(OrdersRawTable9[[#This Row],[Sales_Channel_Raw]]))</f>
        <v>Marketplace</v>
      </c>
      <c r="P406" s="10" t="s">
        <v>98</v>
      </c>
      <c r="Q406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406" s="15" t="s">
        <v>101</v>
      </c>
      <c r="S406" t="str">
        <f>VLOOKUP(OrdersRawTable9[[#This Row],[Customer_ID_Raw]],CustomersTable11[],4,FALSE)</f>
        <v>Alberta</v>
      </c>
      <c r="T406" t="str">
        <f>VLOOKUP(OrdersRawTable9[[#This Row],[Customer_ID_Raw]],CustomersTable11[],5,FALSE)</f>
        <v>Consumer</v>
      </c>
      <c r="U406" s="45">
        <f>VLOOKUP(OrdersRawTable9[[#This Row],[Product_ID]],ProductsTable10[],4,FALSE)</f>
        <v>70.180000000000007</v>
      </c>
      <c r="V406" t="str">
        <f>VLOOKUP(OrdersRawTable9[[#This Row],[Product_ID]],ProductsTable10[],3,FALSE)</f>
        <v>Home</v>
      </c>
      <c r="W406" s="45">
        <f>OrdersRawTable9[[#This Row],[Unit_Price]]*OrdersRawTable9[[#This Row],[Quantity]]</f>
        <v>103.3</v>
      </c>
      <c r="X406" s="47">
        <f>OrdersRawTable9[[#This Row],[Gross_Sales]]*OrdersRawTable9[[#This Row],[Discount_Pct]]</f>
        <v>0</v>
      </c>
      <c r="Y406" s="45">
        <f>OrdersRawTable9[[#This Row],[Gross_Sales]]-OrdersRawTable9[[#This Row],[Discount_Amount]]</f>
        <v>103.3</v>
      </c>
      <c r="Z406" s="45">
        <f>OrdersRawTable9[[#This Row],[Unit_Cost]]*OrdersRawTable9[[#This Row],[Quantity]]</f>
        <v>70.180000000000007</v>
      </c>
      <c r="AA406" s="45">
        <f>OrdersRawTable9[[#This Row],[Net_Sales]]-OrdersRawTable9[[#This Row],[Total_Cost]]</f>
        <v>33.11999999999999</v>
      </c>
      <c r="AB406" s="48">
        <f>IF(OrdersRawTable9[[#This Row],[Net_Sales]]=0,0,OrdersRawTable9[[#This Row],[Profit]]/OrdersRawTable9[[#This Row],[Net_Sales]])</f>
        <v>0.32061955469506281</v>
      </c>
      <c r="AC406" s="45" t="str">
        <f>IF(COUNTIF(ReturnsRawTable[Order_Line_ID],OrdersRawTable9[[#This Row],[Order_Line_ID]])&gt;0,"Yes","No")</f>
        <v>No</v>
      </c>
      <c r="AD406" s="45" t="str">
        <f>IFERROR(VLOOKUP(OrdersRawTable9[[#This Row],[Order_Line_ID]],ReturnsRawTable[[#All],[Order_Line_ID]:[Return_Reason_Raw]],3,FALSE),"")</f>
        <v/>
      </c>
      <c r="AE406" s="49" t="str">
        <f>IFERROR(VLOOKUP(OrdersRawTable9[[#This Row],[Order_Line_ID]],ReturnsRawTable[[#All],[Order_Line_ID]:[Return_Date]],2,FALSE),"")</f>
        <v/>
      </c>
      <c r="AF406" s="45" t="str">
        <f>IFERROR(VLOOKUP(OrdersRawTable9[[#This Row],[Order_Line_ID]],ReturnsRawTable[[Order_Line_ID]:[Refund_Status]],4,FALSE),"")</f>
        <v/>
      </c>
      <c r="AG406" s="45" t="str">
        <f>VLOOKUP(OrdersRawTable9[[#This Row],[Order_ID]],ShipmentsTable[],6,FALSE)</f>
        <v>Late</v>
      </c>
      <c r="AH406" s="49">
        <f>VLOOKUP(OrdersRawTable9[[#This Row],[Order_ID]],ShipmentsTable[],3,FALSE)</f>
        <v>45938</v>
      </c>
    </row>
    <row r="407" spans="1:34" ht="15" customHeight="1">
      <c r="A407" s="14" t="s">
        <v>893</v>
      </c>
      <c r="B407" s="10" t="s">
        <v>894</v>
      </c>
      <c r="C407" s="20">
        <v>45930</v>
      </c>
      <c r="D407" s="10" t="s">
        <v>895</v>
      </c>
      <c r="E407" s="10" t="s">
        <v>896</v>
      </c>
      <c r="F407" s="10" t="str">
        <f>TRIM(LEFT(OrdersRawTable9[[#This Row],[Customer_Info]],FIND(",",OrdersRawTable9[[#This Row],[Customer_Info]])-1))</f>
        <v>Sofia Ali</v>
      </c>
      <c r="G40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407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407" s="10">
        <f>LEN(OrdersRawTable9[[#This Row],[Customer_Info]])-LEN(SUBSTITUTE(OrdersRawTable9[[#This Row],[Customer_Info]],",",""))</f>
        <v>2</v>
      </c>
      <c r="J407" s="10" t="s">
        <v>83</v>
      </c>
      <c r="K407" s="23">
        <v>2</v>
      </c>
      <c r="L407" s="26">
        <v>115.28</v>
      </c>
      <c r="M407" s="29">
        <v>0.15</v>
      </c>
      <c r="N407" s="10" t="s">
        <v>45</v>
      </c>
      <c r="O407" s="10" t="str">
        <f>IF(TRIM(OrdersRawTable9[[#This Row],[Sales_Channel_Raw]])="Market place","Marketplace",TRIM(OrdersRawTable9[[#This Row],[Sales_Channel_Raw]]))</f>
        <v>Retail Store</v>
      </c>
      <c r="P407" s="10" t="s">
        <v>58</v>
      </c>
      <c r="Q407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407" s="15" t="s">
        <v>47</v>
      </c>
      <c r="S407" t="str">
        <f>VLOOKUP(OrdersRawTable9[[#This Row],[Customer_ID_Raw]],CustomersTable11[],4,FALSE)</f>
        <v>Quebec</v>
      </c>
      <c r="T407" t="str">
        <f>VLOOKUP(OrdersRawTable9[[#This Row],[Customer_ID_Raw]],CustomersTable11[],5,FALSE)</f>
        <v>Consumer</v>
      </c>
      <c r="U407" s="45">
        <f>VLOOKUP(OrdersRawTable9[[#This Row],[Product_ID]],ProductsTable10[],4,FALSE)</f>
        <v>61.65</v>
      </c>
      <c r="V407" t="str">
        <f>VLOOKUP(OrdersRawTable9[[#This Row],[Product_ID]],ProductsTable10[],3,FALSE)</f>
        <v>Office</v>
      </c>
      <c r="W407" s="45">
        <f>OrdersRawTable9[[#This Row],[Unit_Price]]*OrdersRawTable9[[#This Row],[Quantity]]</f>
        <v>230.56</v>
      </c>
      <c r="X407" s="47">
        <f>OrdersRawTable9[[#This Row],[Gross_Sales]]*OrdersRawTable9[[#This Row],[Discount_Pct]]</f>
        <v>34.583999999999996</v>
      </c>
      <c r="Y407" s="45">
        <f>OrdersRawTable9[[#This Row],[Gross_Sales]]-OrdersRawTable9[[#This Row],[Discount_Amount]]</f>
        <v>195.976</v>
      </c>
      <c r="Z407" s="45">
        <f>OrdersRawTable9[[#This Row],[Unit_Cost]]*OrdersRawTable9[[#This Row],[Quantity]]</f>
        <v>123.3</v>
      </c>
      <c r="AA407" s="45">
        <f>OrdersRawTable9[[#This Row],[Net_Sales]]-OrdersRawTable9[[#This Row],[Total_Cost]]</f>
        <v>72.676000000000002</v>
      </c>
      <c r="AB407" s="48">
        <f>IF(OrdersRawTable9[[#This Row],[Net_Sales]]=0,0,OrdersRawTable9[[#This Row],[Profit]]/OrdersRawTable9[[#This Row],[Net_Sales]])</f>
        <v>0.37084132750949095</v>
      </c>
      <c r="AC407" s="45" t="str">
        <f>IF(COUNTIF(ReturnsRawTable[Order_Line_ID],OrdersRawTable9[[#This Row],[Order_Line_ID]])&gt;0,"Yes","No")</f>
        <v>No</v>
      </c>
      <c r="AD407" s="45" t="str">
        <f>IFERROR(VLOOKUP(OrdersRawTable9[[#This Row],[Order_Line_ID]],ReturnsRawTable[[#All],[Order_Line_ID]:[Return_Reason_Raw]],3,FALSE),"")</f>
        <v/>
      </c>
      <c r="AE407" s="49" t="str">
        <f>IFERROR(VLOOKUP(OrdersRawTable9[[#This Row],[Order_Line_ID]],ReturnsRawTable[[#All],[Order_Line_ID]:[Return_Date]],2,FALSE),"")</f>
        <v/>
      </c>
      <c r="AF407" s="45" t="str">
        <f>IFERROR(VLOOKUP(OrdersRawTable9[[#This Row],[Order_Line_ID]],ReturnsRawTable[[Order_Line_ID]:[Refund_Status]],4,FALSE),"")</f>
        <v/>
      </c>
      <c r="AG407" s="45" t="str">
        <f>VLOOKUP(OrdersRawTable9[[#This Row],[Order_ID]],ShipmentsTable[],6,FALSE)</f>
        <v>On time</v>
      </c>
      <c r="AH407" s="49">
        <f>VLOOKUP(OrdersRawTable9[[#This Row],[Order_ID]],ShipmentsTable[],3,FALSE)</f>
        <v>45931</v>
      </c>
    </row>
    <row r="408" spans="1:34" ht="15" customHeight="1">
      <c r="A408" s="14" t="s">
        <v>897</v>
      </c>
      <c r="B408" s="10" t="s">
        <v>894</v>
      </c>
      <c r="C408" s="20">
        <v>45930</v>
      </c>
      <c r="D408" s="10" t="s">
        <v>895</v>
      </c>
      <c r="E408" s="10" t="s">
        <v>896</v>
      </c>
      <c r="F408" s="10" t="str">
        <f>TRIM(LEFT(OrdersRawTable9[[#This Row],[Customer_Info]],FIND(",",OrdersRawTable9[[#This Row],[Customer_Info]])-1))</f>
        <v>Sofia Ali</v>
      </c>
      <c r="G40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408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408" s="10">
        <f>LEN(OrdersRawTable9[[#This Row],[Customer_Info]])-LEN(SUBSTITUTE(OrdersRawTable9[[#This Row],[Customer_Info]],",",""))</f>
        <v>2</v>
      </c>
      <c r="J408" s="10" t="s">
        <v>106</v>
      </c>
      <c r="K408" s="23">
        <v>4</v>
      </c>
      <c r="L408" s="26">
        <v>195.38</v>
      </c>
      <c r="M408" s="29">
        <v>0</v>
      </c>
      <c r="N408" s="10" t="s">
        <v>40</v>
      </c>
      <c r="O408" s="10" t="str">
        <f>IF(TRIM(OrdersRawTable9[[#This Row],[Sales_Channel_Raw]])="Market place","Marketplace",TRIM(OrdersRawTable9[[#This Row],[Sales_Channel_Raw]]))</f>
        <v>Online</v>
      </c>
      <c r="P408" s="10" t="s">
        <v>46</v>
      </c>
      <c r="Q408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408" s="15" t="s">
        <v>47</v>
      </c>
      <c r="S408" t="str">
        <f>VLOOKUP(OrdersRawTable9[[#This Row],[Customer_ID_Raw]],CustomersTable11[],4,FALSE)</f>
        <v>Quebec</v>
      </c>
      <c r="T408" t="str">
        <f>VLOOKUP(OrdersRawTable9[[#This Row],[Customer_ID_Raw]],CustomersTable11[],5,FALSE)</f>
        <v>Consumer</v>
      </c>
      <c r="U408" s="45">
        <f>VLOOKUP(OrdersRawTable9[[#This Row],[Product_ID]],ProductsTable10[],4,FALSE)</f>
        <v>114.29</v>
      </c>
      <c r="V408" t="str">
        <f>VLOOKUP(OrdersRawTable9[[#This Row],[Product_ID]],ProductsTable10[],3,FALSE)</f>
        <v>Electronics</v>
      </c>
      <c r="W408" s="45">
        <f>OrdersRawTable9[[#This Row],[Unit_Price]]*OrdersRawTable9[[#This Row],[Quantity]]</f>
        <v>781.52</v>
      </c>
      <c r="X408" s="47">
        <f>OrdersRawTable9[[#This Row],[Gross_Sales]]*OrdersRawTable9[[#This Row],[Discount_Pct]]</f>
        <v>0</v>
      </c>
      <c r="Y408" s="45">
        <f>OrdersRawTable9[[#This Row],[Gross_Sales]]-OrdersRawTable9[[#This Row],[Discount_Amount]]</f>
        <v>781.52</v>
      </c>
      <c r="Z408" s="45">
        <f>OrdersRawTable9[[#This Row],[Unit_Cost]]*OrdersRawTable9[[#This Row],[Quantity]]</f>
        <v>457.16</v>
      </c>
      <c r="AA408" s="45">
        <f>OrdersRawTable9[[#This Row],[Net_Sales]]-OrdersRawTable9[[#This Row],[Total_Cost]]</f>
        <v>324.35999999999996</v>
      </c>
      <c r="AB408" s="48">
        <f>IF(OrdersRawTable9[[#This Row],[Net_Sales]]=0,0,OrdersRawTable9[[#This Row],[Profit]]/OrdersRawTable9[[#This Row],[Net_Sales]])</f>
        <v>0.41503736308731698</v>
      </c>
      <c r="AC408" s="45" t="str">
        <f>IF(COUNTIF(ReturnsRawTable[Order_Line_ID],OrdersRawTable9[[#This Row],[Order_Line_ID]])&gt;0,"Yes","No")</f>
        <v>No</v>
      </c>
      <c r="AD408" s="45" t="str">
        <f>IFERROR(VLOOKUP(OrdersRawTable9[[#This Row],[Order_Line_ID]],ReturnsRawTable[[#All],[Order_Line_ID]:[Return_Reason_Raw]],3,FALSE),"")</f>
        <v/>
      </c>
      <c r="AE408" s="49" t="str">
        <f>IFERROR(VLOOKUP(OrdersRawTable9[[#This Row],[Order_Line_ID]],ReturnsRawTable[[#All],[Order_Line_ID]:[Return_Date]],2,FALSE),"")</f>
        <v/>
      </c>
      <c r="AF408" s="45" t="str">
        <f>IFERROR(VLOOKUP(OrdersRawTable9[[#This Row],[Order_Line_ID]],ReturnsRawTable[[Order_Line_ID]:[Refund_Status]],4,FALSE),"")</f>
        <v/>
      </c>
      <c r="AG408" s="45" t="str">
        <f>VLOOKUP(OrdersRawTable9[[#This Row],[Order_ID]],ShipmentsTable[],6,FALSE)</f>
        <v>On time</v>
      </c>
      <c r="AH408" s="49">
        <f>VLOOKUP(OrdersRawTable9[[#This Row],[Order_ID]],ShipmentsTable[],3,FALSE)</f>
        <v>45931</v>
      </c>
    </row>
    <row r="409" spans="1:34" ht="15" customHeight="1">
      <c r="A409" s="14" t="s">
        <v>898</v>
      </c>
      <c r="B409" s="10" t="s">
        <v>899</v>
      </c>
      <c r="C409" s="20">
        <v>45821</v>
      </c>
      <c r="D409" s="10" t="s">
        <v>233</v>
      </c>
      <c r="E409" s="10" t="s">
        <v>234</v>
      </c>
      <c r="F409" s="10" t="str">
        <f>TRIM(LEFT(OrdersRawTable9[[#This Row],[Customer_Info]],FIND(",",OrdersRawTable9[[#This Row],[Customer_Info]])-1))</f>
        <v>Omar Gagnon</v>
      </c>
      <c r="G40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409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409" s="10">
        <f>LEN(OrdersRawTable9[[#This Row],[Customer_Info]])-LEN(SUBSTITUTE(OrdersRawTable9[[#This Row],[Customer_Info]],",",""))</f>
        <v>2</v>
      </c>
      <c r="J409" s="10" t="s">
        <v>110</v>
      </c>
      <c r="K409" s="23">
        <v>2</v>
      </c>
      <c r="L409" s="26">
        <v>133.24</v>
      </c>
      <c r="M409" s="29">
        <v>0.15</v>
      </c>
      <c r="N409" s="10" t="s">
        <v>70</v>
      </c>
      <c r="O409" s="10" t="str">
        <f>IF(TRIM(OrdersRawTable9[[#This Row],[Sales_Channel_Raw]])="Market place","Marketplace",TRIM(OrdersRawTable9[[#This Row],[Sales_Channel_Raw]]))</f>
        <v>online</v>
      </c>
      <c r="P409" s="10" t="s">
        <v>51</v>
      </c>
      <c r="Q409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409" s="15" t="s">
        <v>101</v>
      </c>
      <c r="S409" t="str">
        <f>VLOOKUP(OrdersRawTable9[[#This Row],[Customer_ID_Raw]],CustomersTable11[],4,FALSE)</f>
        <v>Manitoba</v>
      </c>
      <c r="T409" t="str">
        <f>VLOOKUP(OrdersRawTable9[[#This Row],[Customer_ID_Raw]],CustomersTable11[],5,FALSE)</f>
        <v>Small Business</v>
      </c>
      <c r="U409" s="45">
        <f>VLOOKUP(OrdersRawTable9[[#This Row],[Product_ID]],ProductsTable10[],4,FALSE)</f>
        <v>77.540000000000006</v>
      </c>
      <c r="V409" t="str">
        <f>VLOOKUP(OrdersRawTable9[[#This Row],[Product_ID]],ProductsTable10[],3,FALSE)</f>
        <v>Electronics</v>
      </c>
      <c r="W409" s="45">
        <f>OrdersRawTable9[[#This Row],[Unit_Price]]*OrdersRawTable9[[#This Row],[Quantity]]</f>
        <v>266.48</v>
      </c>
      <c r="X409" s="47">
        <f>OrdersRawTable9[[#This Row],[Gross_Sales]]*OrdersRawTable9[[#This Row],[Discount_Pct]]</f>
        <v>39.972000000000001</v>
      </c>
      <c r="Y409" s="45">
        <f>OrdersRawTable9[[#This Row],[Gross_Sales]]-OrdersRawTable9[[#This Row],[Discount_Amount]]</f>
        <v>226.50800000000001</v>
      </c>
      <c r="Z409" s="45">
        <f>OrdersRawTable9[[#This Row],[Unit_Cost]]*OrdersRawTable9[[#This Row],[Quantity]]</f>
        <v>155.08000000000001</v>
      </c>
      <c r="AA409" s="45">
        <f>OrdersRawTable9[[#This Row],[Net_Sales]]-OrdersRawTable9[[#This Row],[Total_Cost]]</f>
        <v>71.427999999999997</v>
      </c>
      <c r="AB409" s="48">
        <f>IF(OrdersRawTable9[[#This Row],[Net_Sales]]=0,0,OrdersRawTable9[[#This Row],[Profit]]/OrdersRawTable9[[#This Row],[Net_Sales]])</f>
        <v>0.3153442704010454</v>
      </c>
      <c r="AC409" s="45" t="str">
        <f>IF(COUNTIF(ReturnsRawTable[Order_Line_ID],OrdersRawTable9[[#This Row],[Order_Line_ID]])&gt;0,"Yes","No")</f>
        <v>No</v>
      </c>
      <c r="AD409" s="45" t="str">
        <f>IFERROR(VLOOKUP(OrdersRawTable9[[#This Row],[Order_Line_ID]],ReturnsRawTable[[#All],[Order_Line_ID]:[Return_Reason_Raw]],3,FALSE),"")</f>
        <v/>
      </c>
      <c r="AE409" s="49" t="str">
        <f>IFERROR(VLOOKUP(OrdersRawTable9[[#This Row],[Order_Line_ID]],ReturnsRawTable[[#All],[Order_Line_ID]:[Return_Date]],2,FALSE),"")</f>
        <v/>
      </c>
      <c r="AF409" s="45" t="str">
        <f>IFERROR(VLOOKUP(OrdersRawTable9[[#This Row],[Order_Line_ID]],ReturnsRawTable[[Order_Line_ID]:[Refund_Status]],4,FALSE),"")</f>
        <v/>
      </c>
      <c r="AG409" s="45" t="str">
        <f>VLOOKUP(OrdersRawTable9[[#This Row],[Order_ID]],ShipmentsTable[],6,FALSE)</f>
        <v>Late</v>
      </c>
      <c r="AH409" s="49">
        <f>VLOOKUP(OrdersRawTable9[[#This Row],[Order_ID]],ShipmentsTable[],3,FALSE)</f>
        <v>45830</v>
      </c>
    </row>
    <row r="410" spans="1:34" ht="15" customHeight="1">
      <c r="A410" s="14" t="s">
        <v>900</v>
      </c>
      <c r="B410" s="10" t="s">
        <v>899</v>
      </c>
      <c r="C410" s="20">
        <v>45821</v>
      </c>
      <c r="D410" s="10" t="s">
        <v>233</v>
      </c>
      <c r="E410" s="10" t="s">
        <v>234</v>
      </c>
      <c r="F410" s="10" t="str">
        <f>TRIM(LEFT(OrdersRawTable9[[#This Row],[Customer_Info]],FIND(",",OrdersRawTable9[[#This Row],[Customer_Info]])-1))</f>
        <v>Omar Gagnon</v>
      </c>
      <c r="G41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410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410" s="10">
        <f>LEN(OrdersRawTable9[[#This Row],[Customer_Info]])-LEN(SUBSTITUTE(OrdersRawTable9[[#This Row],[Customer_Info]],",",""))</f>
        <v>2</v>
      </c>
      <c r="J410" s="10" t="s">
        <v>108</v>
      </c>
      <c r="K410" s="23">
        <v>2</v>
      </c>
      <c r="L410" s="26">
        <v>33.369999999999997</v>
      </c>
      <c r="M410" s="29">
        <v>0.15</v>
      </c>
      <c r="N410" s="10" t="s">
        <v>64</v>
      </c>
      <c r="O410" s="10" t="str">
        <f>IF(TRIM(OrdersRawTable9[[#This Row],[Sales_Channel_Raw]])="Market place","Marketplace",TRIM(OrdersRawTable9[[#This Row],[Sales_Channel_Raw]]))</f>
        <v>Retail Store</v>
      </c>
      <c r="P410" s="10" t="s">
        <v>51</v>
      </c>
      <c r="Q410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410" s="15" t="s">
        <v>52</v>
      </c>
      <c r="S410" t="str">
        <f>VLOOKUP(OrdersRawTable9[[#This Row],[Customer_ID_Raw]],CustomersTable11[],4,FALSE)</f>
        <v>Manitoba</v>
      </c>
      <c r="T410" t="str">
        <f>VLOOKUP(OrdersRawTable9[[#This Row],[Customer_ID_Raw]],CustomersTable11[],5,FALSE)</f>
        <v>Small Business</v>
      </c>
      <c r="U410" s="45">
        <f>VLOOKUP(OrdersRawTable9[[#This Row],[Product_ID]],ProductsTable10[],4,FALSE)</f>
        <v>18.670000000000002</v>
      </c>
      <c r="V410" t="str">
        <f>VLOOKUP(OrdersRawTable9[[#This Row],[Product_ID]],ProductsTable10[],3,FALSE)</f>
        <v>Fitness</v>
      </c>
      <c r="W410" s="45">
        <f>OrdersRawTable9[[#This Row],[Unit_Price]]*OrdersRawTable9[[#This Row],[Quantity]]</f>
        <v>66.739999999999995</v>
      </c>
      <c r="X410" s="47">
        <f>OrdersRawTable9[[#This Row],[Gross_Sales]]*OrdersRawTable9[[#This Row],[Discount_Pct]]</f>
        <v>10.010999999999999</v>
      </c>
      <c r="Y410" s="45">
        <f>OrdersRawTable9[[#This Row],[Gross_Sales]]-OrdersRawTable9[[#This Row],[Discount_Amount]]</f>
        <v>56.728999999999999</v>
      </c>
      <c r="Z410" s="45">
        <f>OrdersRawTable9[[#This Row],[Unit_Cost]]*OrdersRawTable9[[#This Row],[Quantity]]</f>
        <v>37.340000000000003</v>
      </c>
      <c r="AA410" s="45">
        <f>OrdersRawTable9[[#This Row],[Net_Sales]]-OrdersRawTable9[[#This Row],[Total_Cost]]</f>
        <v>19.388999999999996</v>
      </c>
      <c r="AB410" s="48">
        <f>IF(OrdersRawTable9[[#This Row],[Net_Sales]]=0,0,OrdersRawTable9[[#This Row],[Profit]]/OrdersRawTable9[[#This Row],[Net_Sales]])</f>
        <v>0.34178286238079281</v>
      </c>
      <c r="AC410" s="45" t="str">
        <f>IF(COUNTIF(ReturnsRawTable[Order_Line_ID],OrdersRawTable9[[#This Row],[Order_Line_ID]])&gt;0,"Yes","No")</f>
        <v>No</v>
      </c>
      <c r="AD410" s="45" t="str">
        <f>IFERROR(VLOOKUP(OrdersRawTable9[[#This Row],[Order_Line_ID]],ReturnsRawTable[[#All],[Order_Line_ID]:[Return_Reason_Raw]],3,FALSE),"")</f>
        <v/>
      </c>
      <c r="AE410" s="49" t="str">
        <f>IFERROR(VLOOKUP(OrdersRawTable9[[#This Row],[Order_Line_ID]],ReturnsRawTable[[#All],[Order_Line_ID]:[Return_Date]],2,FALSE),"")</f>
        <v/>
      </c>
      <c r="AF410" s="45" t="str">
        <f>IFERROR(VLOOKUP(OrdersRawTable9[[#This Row],[Order_Line_ID]],ReturnsRawTable[[Order_Line_ID]:[Refund_Status]],4,FALSE),"")</f>
        <v/>
      </c>
      <c r="AG410" s="45" t="str">
        <f>VLOOKUP(OrdersRawTable9[[#This Row],[Order_ID]],ShipmentsTable[],6,FALSE)</f>
        <v>Late</v>
      </c>
      <c r="AH410" s="49">
        <f>VLOOKUP(OrdersRawTable9[[#This Row],[Order_ID]],ShipmentsTable[],3,FALSE)</f>
        <v>45830</v>
      </c>
    </row>
    <row r="411" spans="1:34" ht="15" customHeight="1">
      <c r="A411" s="14" t="s">
        <v>901</v>
      </c>
      <c r="B411" s="10" t="s">
        <v>899</v>
      </c>
      <c r="C411" s="20">
        <v>45821</v>
      </c>
      <c r="D411" s="10" t="s">
        <v>233</v>
      </c>
      <c r="E411" s="10" t="s">
        <v>234</v>
      </c>
      <c r="F411" s="10" t="str">
        <f>TRIM(LEFT(OrdersRawTable9[[#This Row],[Customer_Info]],FIND(",",OrdersRawTable9[[#This Row],[Customer_Info]])-1))</f>
        <v>Omar Gagnon</v>
      </c>
      <c r="G41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411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411" s="10">
        <f>LEN(OrdersRawTable9[[#This Row],[Customer_Info]])-LEN(SUBSTITUTE(OrdersRawTable9[[#This Row],[Customer_Info]],",",""))</f>
        <v>2</v>
      </c>
      <c r="J411" s="10" t="s">
        <v>106</v>
      </c>
      <c r="K411" s="23">
        <v>3</v>
      </c>
      <c r="L411" s="26">
        <v>195.38</v>
      </c>
      <c r="M411" s="29">
        <v>0.1</v>
      </c>
      <c r="N411" s="10" t="s">
        <v>70</v>
      </c>
      <c r="O411" s="10" t="str">
        <f>IF(TRIM(OrdersRawTable9[[#This Row],[Sales_Channel_Raw]])="Market place","Marketplace",TRIM(OrdersRawTable9[[#This Row],[Sales_Channel_Raw]]))</f>
        <v>online</v>
      </c>
      <c r="P411" s="10" t="s">
        <v>58</v>
      </c>
      <c r="Q411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411" s="15" t="s">
        <v>101</v>
      </c>
      <c r="S411" t="str">
        <f>VLOOKUP(OrdersRawTable9[[#This Row],[Customer_ID_Raw]],CustomersTable11[],4,FALSE)</f>
        <v>Manitoba</v>
      </c>
      <c r="T411" t="str">
        <f>VLOOKUP(OrdersRawTable9[[#This Row],[Customer_ID_Raw]],CustomersTable11[],5,FALSE)</f>
        <v>Small Business</v>
      </c>
      <c r="U411" s="45">
        <f>VLOOKUP(OrdersRawTable9[[#This Row],[Product_ID]],ProductsTable10[],4,FALSE)</f>
        <v>114.29</v>
      </c>
      <c r="V411" t="str">
        <f>VLOOKUP(OrdersRawTable9[[#This Row],[Product_ID]],ProductsTable10[],3,FALSE)</f>
        <v>Electronics</v>
      </c>
      <c r="W411" s="45">
        <f>OrdersRawTable9[[#This Row],[Unit_Price]]*OrdersRawTable9[[#This Row],[Quantity]]</f>
        <v>586.14</v>
      </c>
      <c r="X411" s="47">
        <f>OrdersRawTable9[[#This Row],[Gross_Sales]]*OrdersRawTable9[[#This Row],[Discount_Pct]]</f>
        <v>58.614000000000004</v>
      </c>
      <c r="Y411" s="45">
        <f>OrdersRawTable9[[#This Row],[Gross_Sales]]-OrdersRawTable9[[#This Row],[Discount_Amount]]</f>
        <v>527.52599999999995</v>
      </c>
      <c r="Z411" s="45">
        <f>OrdersRawTable9[[#This Row],[Unit_Cost]]*OrdersRawTable9[[#This Row],[Quantity]]</f>
        <v>342.87</v>
      </c>
      <c r="AA411" s="45">
        <f>OrdersRawTable9[[#This Row],[Net_Sales]]-OrdersRawTable9[[#This Row],[Total_Cost]]</f>
        <v>184.65599999999995</v>
      </c>
      <c r="AB411" s="48">
        <f>IF(OrdersRawTable9[[#This Row],[Net_Sales]]=0,0,OrdersRawTable9[[#This Row],[Profit]]/OrdersRawTable9[[#This Row],[Net_Sales]])</f>
        <v>0.35004151454146332</v>
      </c>
      <c r="AC411" s="45" t="str">
        <f>IF(COUNTIF(ReturnsRawTable[Order_Line_ID],OrdersRawTable9[[#This Row],[Order_Line_ID]])&gt;0,"Yes","No")</f>
        <v>No</v>
      </c>
      <c r="AD411" s="45" t="str">
        <f>IFERROR(VLOOKUP(OrdersRawTable9[[#This Row],[Order_Line_ID]],ReturnsRawTable[[#All],[Order_Line_ID]:[Return_Reason_Raw]],3,FALSE),"")</f>
        <v/>
      </c>
      <c r="AE411" s="49" t="str">
        <f>IFERROR(VLOOKUP(OrdersRawTable9[[#This Row],[Order_Line_ID]],ReturnsRawTable[[#All],[Order_Line_ID]:[Return_Date]],2,FALSE),"")</f>
        <v/>
      </c>
      <c r="AF411" s="45" t="str">
        <f>IFERROR(VLOOKUP(OrdersRawTable9[[#This Row],[Order_Line_ID]],ReturnsRawTable[[Order_Line_ID]:[Refund_Status]],4,FALSE),"")</f>
        <v/>
      </c>
      <c r="AG411" s="45" t="str">
        <f>VLOOKUP(OrdersRawTable9[[#This Row],[Order_ID]],ShipmentsTable[],6,FALSE)</f>
        <v>Late</v>
      </c>
      <c r="AH411" s="49">
        <f>VLOOKUP(OrdersRawTable9[[#This Row],[Order_ID]],ShipmentsTable[],3,FALSE)</f>
        <v>45830</v>
      </c>
    </row>
    <row r="412" spans="1:34" ht="15" customHeight="1">
      <c r="A412" s="14" t="s">
        <v>902</v>
      </c>
      <c r="B412" s="10" t="s">
        <v>903</v>
      </c>
      <c r="C412" s="20">
        <v>45679</v>
      </c>
      <c r="D412" s="10" t="s">
        <v>351</v>
      </c>
      <c r="E412" s="10" t="s">
        <v>352</v>
      </c>
      <c r="F412" s="10" t="str">
        <f>TRIM(LEFT(OrdersRawTable9[[#This Row],[Customer_Info]],FIND(",",OrdersRawTable9[[#This Row],[Customer_Info]])-1))</f>
        <v>Sofia Tremblay</v>
      </c>
      <c r="G41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412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412" s="10">
        <f>LEN(OrdersRawTable9[[#This Row],[Customer_Info]])-LEN(SUBSTITUTE(OrdersRawTable9[[#This Row],[Customer_Info]],",",""))</f>
        <v>2</v>
      </c>
      <c r="J412" s="10" t="s">
        <v>128</v>
      </c>
      <c r="K412" s="23">
        <v>3</v>
      </c>
      <c r="L412" s="26">
        <v>25.15</v>
      </c>
      <c r="M412" s="29">
        <v>0.05</v>
      </c>
      <c r="N412" s="10" t="s">
        <v>66</v>
      </c>
      <c r="O412" s="10" t="str">
        <f>IF(TRIM(OrdersRawTable9[[#This Row],[Sales_Channel_Raw]])="Market place","Marketplace",TRIM(OrdersRawTable9[[#This Row],[Sales_Channel_Raw]]))</f>
        <v>Marketplace</v>
      </c>
      <c r="P412" s="10" t="s">
        <v>51</v>
      </c>
      <c r="Q412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412" s="15" t="s">
        <v>52</v>
      </c>
      <c r="S412" t="str">
        <f>VLOOKUP(OrdersRawTable9[[#This Row],[Customer_ID_Raw]],CustomersTable11[],4,FALSE)</f>
        <v>Alberta</v>
      </c>
      <c r="T412" t="str">
        <f>VLOOKUP(OrdersRawTable9[[#This Row],[Customer_ID_Raw]],CustomersTable11[],5,FALSE)</f>
        <v>Corporate</v>
      </c>
      <c r="U412" s="45">
        <f>VLOOKUP(OrdersRawTable9[[#This Row],[Product_ID]],ProductsTable10[],4,FALSE)</f>
        <v>14.24</v>
      </c>
      <c r="V412" t="str">
        <f>VLOOKUP(OrdersRawTable9[[#This Row],[Product_ID]],ProductsTable10[],3,FALSE)</f>
        <v>Electronics</v>
      </c>
      <c r="W412" s="45">
        <f>OrdersRawTable9[[#This Row],[Unit_Price]]*OrdersRawTable9[[#This Row],[Quantity]]</f>
        <v>75.449999999999989</v>
      </c>
      <c r="X412" s="47">
        <f>OrdersRawTable9[[#This Row],[Gross_Sales]]*OrdersRawTable9[[#This Row],[Discount_Pct]]</f>
        <v>3.7724999999999995</v>
      </c>
      <c r="Y412" s="45">
        <f>OrdersRawTable9[[#This Row],[Gross_Sales]]-OrdersRawTable9[[#This Row],[Discount_Amount]]</f>
        <v>71.677499999999995</v>
      </c>
      <c r="Z412" s="45">
        <f>OrdersRawTable9[[#This Row],[Unit_Cost]]*OrdersRawTable9[[#This Row],[Quantity]]</f>
        <v>42.72</v>
      </c>
      <c r="AA412" s="45">
        <f>OrdersRawTable9[[#This Row],[Net_Sales]]-OrdersRawTable9[[#This Row],[Total_Cost]]</f>
        <v>28.957499999999996</v>
      </c>
      <c r="AB412" s="48">
        <f>IF(OrdersRawTable9[[#This Row],[Net_Sales]]=0,0,OrdersRawTable9[[#This Row],[Profit]]/OrdersRawTable9[[#This Row],[Net_Sales]])</f>
        <v>0.403997070210317</v>
      </c>
      <c r="AC412" s="45" t="str">
        <f>IF(COUNTIF(ReturnsRawTable[Order_Line_ID],OrdersRawTable9[[#This Row],[Order_Line_ID]])&gt;0,"Yes","No")</f>
        <v>No</v>
      </c>
      <c r="AD412" s="45" t="str">
        <f>IFERROR(VLOOKUP(OrdersRawTable9[[#This Row],[Order_Line_ID]],ReturnsRawTable[[#All],[Order_Line_ID]:[Return_Reason_Raw]],3,FALSE),"")</f>
        <v/>
      </c>
      <c r="AE412" s="49" t="str">
        <f>IFERROR(VLOOKUP(OrdersRawTable9[[#This Row],[Order_Line_ID]],ReturnsRawTable[[#All],[Order_Line_ID]:[Return_Date]],2,FALSE),"")</f>
        <v/>
      </c>
      <c r="AF412" s="45" t="str">
        <f>IFERROR(VLOOKUP(OrdersRawTable9[[#This Row],[Order_Line_ID]],ReturnsRawTable[[Order_Line_ID]:[Refund_Status]],4,FALSE),"")</f>
        <v/>
      </c>
      <c r="AG412" s="45" t="str">
        <f>VLOOKUP(OrdersRawTable9[[#This Row],[Order_ID]],ShipmentsTable[],6,FALSE)</f>
        <v>On time</v>
      </c>
      <c r="AH412" s="49">
        <f>VLOOKUP(OrdersRawTable9[[#This Row],[Order_ID]],ShipmentsTable[],3,FALSE)</f>
        <v>45683</v>
      </c>
    </row>
    <row r="413" spans="1:34" ht="15" customHeight="1">
      <c r="A413" s="14" t="s">
        <v>904</v>
      </c>
      <c r="B413" s="10" t="s">
        <v>905</v>
      </c>
      <c r="C413" s="20">
        <v>45902</v>
      </c>
      <c r="D413" s="10" t="s">
        <v>378</v>
      </c>
      <c r="E413" s="10" t="s">
        <v>135</v>
      </c>
      <c r="F413" s="10" t="str">
        <f>TRIM(LEFT(OrdersRawTable9[[#This Row],[Customer_Info]],FIND(",",OrdersRawTable9[[#This Row],[Customer_Info]])-1))</f>
        <v>Emma Tremblay</v>
      </c>
      <c r="G41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413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413" s="10">
        <f>LEN(OrdersRawTable9[[#This Row],[Customer_Info]])-LEN(SUBSTITUTE(OrdersRawTable9[[#This Row],[Customer_Info]],",",""))</f>
        <v>2</v>
      </c>
      <c r="J413" s="10" t="s">
        <v>106</v>
      </c>
      <c r="K413" s="23">
        <v>1</v>
      </c>
      <c r="L413" s="26">
        <v>195.38</v>
      </c>
      <c r="M413" s="29">
        <v>0.15</v>
      </c>
      <c r="N413" s="10" t="s">
        <v>66</v>
      </c>
      <c r="O413" s="10" t="str">
        <f>IF(TRIM(OrdersRawTable9[[#This Row],[Sales_Channel_Raw]])="Market place","Marketplace",TRIM(OrdersRawTable9[[#This Row],[Sales_Channel_Raw]]))</f>
        <v>Marketplace</v>
      </c>
      <c r="P413" s="10" t="s">
        <v>46</v>
      </c>
      <c r="Q413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413" s="15" t="s">
        <v>52</v>
      </c>
      <c r="S413" t="str">
        <f>VLOOKUP(OrdersRawTable9[[#This Row],[Customer_ID_Raw]],CustomersTable11[],4,FALSE)</f>
        <v>Alberta</v>
      </c>
      <c r="T413" t="str">
        <f>VLOOKUP(OrdersRawTable9[[#This Row],[Customer_ID_Raw]],CustomersTable11[],5,FALSE)</f>
        <v>Consumer</v>
      </c>
      <c r="U413" s="45">
        <f>VLOOKUP(OrdersRawTable9[[#This Row],[Product_ID]],ProductsTable10[],4,FALSE)</f>
        <v>114.29</v>
      </c>
      <c r="V413" t="str">
        <f>VLOOKUP(OrdersRawTable9[[#This Row],[Product_ID]],ProductsTable10[],3,FALSE)</f>
        <v>Electronics</v>
      </c>
      <c r="W413" s="45">
        <f>OrdersRawTable9[[#This Row],[Unit_Price]]*OrdersRawTable9[[#This Row],[Quantity]]</f>
        <v>195.38</v>
      </c>
      <c r="X413" s="47">
        <f>OrdersRawTable9[[#This Row],[Gross_Sales]]*OrdersRawTable9[[#This Row],[Discount_Pct]]</f>
        <v>29.306999999999999</v>
      </c>
      <c r="Y413" s="45">
        <f>OrdersRawTable9[[#This Row],[Gross_Sales]]-OrdersRawTable9[[#This Row],[Discount_Amount]]</f>
        <v>166.07300000000001</v>
      </c>
      <c r="Z413" s="45">
        <f>OrdersRawTable9[[#This Row],[Unit_Cost]]*OrdersRawTable9[[#This Row],[Quantity]]</f>
        <v>114.29</v>
      </c>
      <c r="AA413" s="45">
        <f>OrdersRawTable9[[#This Row],[Net_Sales]]-OrdersRawTable9[[#This Row],[Total_Cost]]</f>
        <v>51.783000000000001</v>
      </c>
      <c r="AB413" s="48">
        <f>IF(OrdersRawTable9[[#This Row],[Net_Sales]]=0,0,OrdersRawTable9[[#This Row],[Profit]]/OrdersRawTable9[[#This Row],[Net_Sales]])</f>
        <v>0.31180866245566707</v>
      </c>
      <c r="AC413" s="45" t="str">
        <f>IF(COUNTIF(ReturnsRawTable[Order_Line_ID],OrdersRawTable9[[#This Row],[Order_Line_ID]])&gt;0,"Yes","No")</f>
        <v>Yes</v>
      </c>
      <c r="AD413" s="45" t="str">
        <f>IFERROR(VLOOKUP(OrdersRawTable9[[#This Row],[Order_Line_ID]],ReturnsRawTable[[#All],[Order_Line_ID]:[Return_Reason_Raw]],3,FALSE),"")</f>
        <v>Changed Mind</v>
      </c>
      <c r="AE413" s="49">
        <f>IFERROR(VLOOKUP(OrdersRawTable9[[#This Row],[Order_Line_ID]],ReturnsRawTable[[#All],[Order_Line_ID]:[Return_Date]],2,FALSE),"")</f>
        <v>45926</v>
      </c>
      <c r="AF413" s="45" t="str">
        <f>IFERROR(VLOOKUP(OrdersRawTable9[[#This Row],[Order_Line_ID]],ReturnsRawTable[[Order_Line_ID]:[Refund_Status]],4,FALSE),"")</f>
        <v>Refunded</v>
      </c>
      <c r="AG413" s="45" t="str">
        <f>VLOOKUP(OrdersRawTable9[[#This Row],[Order_ID]],ShipmentsTable[],6,FALSE)</f>
        <v>Late</v>
      </c>
      <c r="AH413" s="49">
        <f>VLOOKUP(OrdersRawTable9[[#This Row],[Order_ID]],ShipmentsTable[],3,FALSE)</f>
        <v>45908</v>
      </c>
    </row>
    <row r="414" spans="1:34" ht="15" customHeight="1">
      <c r="A414" s="14" t="s">
        <v>906</v>
      </c>
      <c r="B414" s="10" t="s">
        <v>907</v>
      </c>
      <c r="C414" s="20">
        <v>46000</v>
      </c>
      <c r="D414" s="10" t="s">
        <v>598</v>
      </c>
      <c r="E414" s="10" t="s">
        <v>599</v>
      </c>
      <c r="F414" s="10" t="str">
        <f>TRIM(LEFT(OrdersRawTable9[[#This Row],[Customer_Info]],FIND(",",OrdersRawTable9[[#This Row],[Customer_Info]])-1))</f>
        <v>Yara Dubois</v>
      </c>
      <c r="G41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414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414" s="10">
        <f>LEN(OrdersRawTable9[[#This Row],[Customer_Info]])-LEN(SUBSTITUTE(OrdersRawTable9[[#This Row],[Customer_Info]],",",""))</f>
        <v>2</v>
      </c>
      <c r="J414" s="10" t="s">
        <v>495</v>
      </c>
      <c r="K414" s="23">
        <v>3</v>
      </c>
      <c r="L414" s="26">
        <v>207.71</v>
      </c>
      <c r="M414" s="29">
        <v>0.15</v>
      </c>
      <c r="N414" s="10" t="s">
        <v>40</v>
      </c>
      <c r="O414" s="10" t="str">
        <f>IF(TRIM(OrdersRawTable9[[#This Row],[Sales_Channel_Raw]])="Market place","Marketplace",TRIM(OrdersRawTable9[[#This Row],[Sales_Channel_Raw]]))</f>
        <v>Online</v>
      </c>
      <c r="P414" s="10" t="s">
        <v>41</v>
      </c>
      <c r="Q414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414" s="15" t="s">
        <v>42</v>
      </c>
      <c r="S414" t="str">
        <f>VLOOKUP(OrdersRawTable9[[#This Row],[Customer_ID_Raw]],CustomersTable11[],4,FALSE)</f>
        <v>Quebec</v>
      </c>
      <c r="T414" t="str">
        <f>VLOOKUP(OrdersRawTable9[[#This Row],[Customer_ID_Raw]],CustomersTable11[],5,FALSE)</f>
        <v>Small Business</v>
      </c>
      <c r="U414" s="45">
        <f>VLOOKUP(OrdersRawTable9[[#This Row],[Product_ID]],ProductsTable10[],4,FALSE)</f>
        <v>132.97</v>
      </c>
      <c r="V414" t="str">
        <f>VLOOKUP(OrdersRawTable9[[#This Row],[Product_ID]],ProductsTable10[],3,FALSE)</f>
        <v>Home</v>
      </c>
      <c r="W414" s="45">
        <f>OrdersRawTable9[[#This Row],[Unit_Price]]*OrdersRawTable9[[#This Row],[Quantity]]</f>
        <v>623.13</v>
      </c>
      <c r="X414" s="47">
        <f>OrdersRawTable9[[#This Row],[Gross_Sales]]*OrdersRawTable9[[#This Row],[Discount_Pct]]</f>
        <v>93.469499999999996</v>
      </c>
      <c r="Y414" s="45">
        <f>OrdersRawTable9[[#This Row],[Gross_Sales]]-OrdersRawTable9[[#This Row],[Discount_Amount]]</f>
        <v>529.66049999999996</v>
      </c>
      <c r="Z414" s="45">
        <f>OrdersRawTable9[[#This Row],[Unit_Cost]]*OrdersRawTable9[[#This Row],[Quantity]]</f>
        <v>398.90999999999997</v>
      </c>
      <c r="AA414" s="45">
        <f>OrdersRawTable9[[#This Row],[Net_Sales]]-OrdersRawTable9[[#This Row],[Total_Cost]]</f>
        <v>130.75049999999999</v>
      </c>
      <c r="AB414" s="48">
        <f>IF(OrdersRawTable9[[#This Row],[Net_Sales]]=0,0,OrdersRawTable9[[#This Row],[Profit]]/OrdersRawTable9[[#This Row],[Net_Sales]])</f>
        <v>0.24685718493261249</v>
      </c>
      <c r="AC414" s="45" t="str">
        <f>IF(COUNTIF(ReturnsRawTable[Order_Line_ID],OrdersRawTable9[[#This Row],[Order_Line_ID]])&gt;0,"Yes","No")</f>
        <v>No</v>
      </c>
      <c r="AD414" s="45" t="str">
        <f>IFERROR(VLOOKUP(OrdersRawTable9[[#This Row],[Order_Line_ID]],ReturnsRawTable[[#All],[Order_Line_ID]:[Return_Reason_Raw]],3,FALSE),"")</f>
        <v/>
      </c>
      <c r="AE414" s="49" t="str">
        <f>IFERROR(VLOOKUP(OrdersRawTable9[[#This Row],[Order_Line_ID]],ReturnsRawTable[[#All],[Order_Line_ID]:[Return_Date]],2,FALSE),"")</f>
        <v/>
      </c>
      <c r="AF414" s="45" t="str">
        <f>IFERROR(VLOOKUP(OrdersRawTable9[[#This Row],[Order_Line_ID]],ReturnsRawTable[[Order_Line_ID]:[Refund_Status]],4,FALSE),"")</f>
        <v/>
      </c>
      <c r="AG414" s="45" t="str">
        <f>VLOOKUP(OrdersRawTable9[[#This Row],[Order_ID]],ShipmentsTable[],6,FALSE)</f>
        <v>Late</v>
      </c>
      <c r="AH414" s="49">
        <f>VLOOKUP(OrdersRawTable9[[#This Row],[Order_ID]],ShipmentsTable[],3,FALSE)</f>
        <v>46006</v>
      </c>
    </row>
    <row r="415" spans="1:34" ht="15" customHeight="1">
      <c r="A415" s="14" t="s">
        <v>908</v>
      </c>
      <c r="B415" s="10" t="s">
        <v>909</v>
      </c>
      <c r="C415" s="20">
        <v>45770</v>
      </c>
      <c r="D415" s="10" t="s">
        <v>910</v>
      </c>
      <c r="E415" s="10" t="s">
        <v>911</v>
      </c>
      <c r="F415" s="10" t="str">
        <f>TRIM(LEFT(OrdersRawTable9[[#This Row],[Customer_Info]],FIND(",",OrdersRawTable9[[#This Row],[Customer_Info]])-1))</f>
        <v>Ethan Martin</v>
      </c>
      <c r="G41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415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415" s="10">
        <f>LEN(OrdersRawTable9[[#This Row],[Customer_Info]])-LEN(SUBSTITUTE(OrdersRawTable9[[#This Row],[Customer_Info]],",",""))</f>
        <v>2</v>
      </c>
      <c r="J415" s="10" t="s">
        <v>316</v>
      </c>
      <c r="K415" s="23">
        <v>4</v>
      </c>
      <c r="L415" s="26">
        <v>180.37</v>
      </c>
      <c r="M415" s="29">
        <v>0</v>
      </c>
      <c r="N415" s="10" t="s">
        <v>40</v>
      </c>
      <c r="O415" s="10" t="str">
        <f>IF(TRIM(OrdersRawTable9[[#This Row],[Sales_Channel_Raw]])="Market place","Marketplace",TRIM(OrdersRawTable9[[#This Row],[Sales_Channel_Raw]]))</f>
        <v>Online</v>
      </c>
      <c r="P415" s="10" t="s">
        <v>98</v>
      </c>
      <c r="Q415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415" s="15" t="s">
        <v>101</v>
      </c>
      <c r="S415" t="str">
        <f>VLOOKUP(OrdersRawTable9[[#This Row],[Customer_ID_Raw]],CustomersTable11[],4,FALSE)</f>
        <v>Quebec</v>
      </c>
      <c r="T415" t="str">
        <f>VLOOKUP(OrdersRawTable9[[#This Row],[Customer_ID_Raw]],CustomersTable11[],5,FALSE)</f>
        <v>Consumer</v>
      </c>
      <c r="U415" s="45">
        <f>VLOOKUP(OrdersRawTable9[[#This Row],[Product_ID]],ProductsTable10[],4,FALSE)</f>
        <v>107.55</v>
      </c>
      <c r="V415" t="str">
        <f>VLOOKUP(OrdersRawTable9[[#This Row],[Product_ID]],ProductsTable10[],3,FALSE)</f>
        <v>Accessories</v>
      </c>
      <c r="W415" s="45">
        <f>OrdersRawTable9[[#This Row],[Unit_Price]]*OrdersRawTable9[[#This Row],[Quantity]]</f>
        <v>721.48</v>
      </c>
      <c r="X415" s="47">
        <f>OrdersRawTable9[[#This Row],[Gross_Sales]]*OrdersRawTable9[[#This Row],[Discount_Pct]]</f>
        <v>0</v>
      </c>
      <c r="Y415" s="45">
        <f>OrdersRawTable9[[#This Row],[Gross_Sales]]-OrdersRawTable9[[#This Row],[Discount_Amount]]</f>
        <v>721.48</v>
      </c>
      <c r="Z415" s="45">
        <f>OrdersRawTable9[[#This Row],[Unit_Cost]]*OrdersRawTable9[[#This Row],[Quantity]]</f>
        <v>430.2</v>
      </c>
      <c r="AA415" s="45">
        <f>OrdersRawTable9[[#This Row],[Net_Sales]]-OrdersRawTable9[[#This Row],[Total_Cost]]</f>
        <v>291.28000000000003</v>
      </c>
      <c r="AB415" s="48">
        <f>IF(OrdersRawTable9[[#This Row],[Net_Sales]]=0,0,OrdersRawTable9[[#This Row],[Profit]]/OrdersRawTable9[[#This Row],[Net_Sales]])</f>
        <v>0.40372567500138606</v>
      </c>
      <c r="AC415" s="45" t="str">
        <f>IF(COUNTIF(ReturnsRawTable[Order_Line_ID],OrdersRawTable9[[#This Row],[Order_Line_ID]])&gt;0,"Yes","No")</f>
        <v>No</v>
      </c>
      <c r="AD415" s="45" t="str">
        <f>IFERROR(VLOOKUP(OrdersRawTable9[[#This Row],[Order_Line_ID]],ReturnsRawTable[[#All],[Order_Line_ID]:[Return_Reason_Raw]],3,FALSE),"")</f>
        <v/>
      </c>
      <c r="AE415" s="49" t="str">
        <f>IFERROR(VLOOKUP(OrdersRawTable9[[#This Row],[Order_Line_ID]],ReturnsRawTable[[#All],[Order_Line_ID]:[Return_Date]],2,FALSE),"")</f>
        <v/>
      </c>
      <c r="AF415" s="45" t="str">
        <f>IFERROR(VLOOKUP(OrdersRawTable9[[#This Row],[Order_Line_ID]],ReturnsRawTable[[Order_Line_ID]:[Refund_Status]],4,FALSE),"")</f>
        <v/>
      </c>
      <c r="AG415" s="45" t="str">
        <f>VLOOKUP(OrdersRawTable9[[#This Row],[Order_ID]],ShipmentsTable[],6,FALSE)</f>
        <v>Late</v>
      </c>
      <c r="AH415" s="49">
        <f>VLOOKUP(OrdersRawTable9[[#This Row],[Order_ID]],ShipmentsTable[],3,FALSE)</f>
        <v>45777</v>
      </c>
    </row>
    <row r="416" spans="1:34" ht="15" customHeight="1">
      <c r="A416" s="14" t="s">
        <v>912</v>
      </c>
      <c r="B416" s="10" t="s">
        <v>913</v>
      </c>
      <c r="C416" s="20">
        <v>45800</v>
      </c>
      <c r="D416" s="10" t="s">
        <v>680</v>
      </c>
      <c r="E416" s="10" t="s">
        <v>681</v>
      </c>
      <c r="F416" s="10" t="str">
        <f>TRIM(LEFT(OrdersRawTable9[[#This Row],[Customer_Info]],FIND(",",OrdersRawTable9[[#This Row],[Customer_Info]])-1))</f>
        <v>Amina Tremblay</v>
      </c>
      <c r="G41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416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416" s="10">
        <f>LEN(OrdersRawTable9[[#This Row],[Customer_Info]])-LEN(SUBSTITUTE(OrdersRawTable9[[#This Row],[Customer_Info]],",",""))</f>
        <v>2</v>
      </c>
      <c r="J416" s="10" t="s">
        <v>214</v>
      </c>
      <c r="K416" s="23">
        <v>4</v>
      </c>
      <c r="L416" s="26">
        <v>186.92</v>
      </c>
      <c r="M416" s="29">
        <v>0.1</v>
      </c>
      <c r="N416" s="10" t="s">
        <v>40</v>
      </c>
      <c r="O416" s="10" t="str">
        <f>IF(TRIM(OrdersRawTable9[[#This Row],[Sales_Channel_Raw]])="Market place","Marketplace",TRIM(OrdersRawTable9[[#This Row],[Sales_Channel_Raw]]))</f>
        <v>Online</v>
      </c>
      <c r="P416" s="10" t="s">
        <v>58</v>
      </c>
      <c r="Q416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416" s="15" t="s">
        <v>42</v>
      </c>
      <c r="S416" t="str">
        <f>VLOOKUP(OrdersRawTable9[[#This Row],[Customer_ID_Raw]],CustomersTable11[],4,FALSE)</f>
        <v>British Columbia</v>
      </c>
      <c r="T416" t="str">
        <f>VLOOKUP(OrdersRawTable9[[#This Row],[Customer_ID_Raw]],CustomersTable11[],5,FALSE)</f>
        <v>Corporate</v>
      </c>
      <c r="U416" s="45">
        <f>VLOOKUP(OrdersRawTable9[[#This Row],[Product_ID]],ProductsTable10[],4,FALSE)</f>
        <v>114.11</v>
      </c>
      <c r="V416" t="str">
        <f>VLOOKUP(OrdersRawTable9[[#This Row],[Product_ID]],ProductsTable10[],3,FALSE)</f>
        <v>Home</v>
      </c>
      <c r="W416" s="45">
        <f>OrdersRawTable9[[#This Row],[Unit_Price]]*OrdersRawTable9[[#This Row],[Quantity]]</f>
        <v>747.68</v>
      </c>
      <c r="X416" s="47">
        <f>OrdersRawTable9[[#This Row],[Gross_Sales]]*OrdersRawTable9[[#This Row],[Discount_Pct]]</f>
        <v>74.768000000000001</v>
      </c>
      <c r="Y416" s="45">
        <f>OrdersRawTable9[[#This Row],[Gross_Sales]]-OrdersRawTable9[[#This Row],[Discount_Amount]]</f>
        <v>672.91199999999992</v>
      </c>
      <c r="Z416" s="45">
        <f>OrdersRawTable9[[#This Row],[Unit_Cost]]*OrdersRawTable9[[#This Row],[Quantity]]</f>
        <v>456.44</v>
      </c>
      <c r="AA416" s="45">
        <f>OrdersRawTable9[[#This Row],[Net_Sales]]-OrdersRawTable9[[#This Row],[Total_Cost]]</f>
        <v>216.47199999999992</v>
      </c>
      <c r="AB416" s="48">
        <f>IF(OrdersRawTable9[[#This Row],[Net_Sales]]=0,0,OrdersRawTable9[[#This Row],[Profit]]/OrdersRawTable9[[#This Row],[Net_Sales]])</f>
        <v>0.32169436716836669</v>
      </c>
      <c r="AC416" s="45" t="str">
        <f>IF(COUNTIF(ReturnsRawTable[Order_Line_ID],OrdersRawTable9[[#This Row],[Order_Line_ID]])&gt;0,"Yes","No")</f>
        <v>No</v>
      </c>
      <c r="AD416" s="45" t="str">
        <f>IFERROR(VLOOKUP(OrdersRawTable9[[#This Row],[Order_Line_ID]],ReturnsRawTable[[#All],[Order_Line_ID]:[Return_Reason_Raw]],3,FALSE),"")</f>
        <v/>
      </c>
      <c r="AE416" s="49" t="str">
        <f>IFERROR(VLOOKUP(OrdersRawTable9[[#This Row],[Order_Line_ID]],ReturnsRawTable[[#All],[Order_Line_ID]:[Return_Date]],2,FALSE),"")</f>
        <v/>
      </c>
      <c r="AF416" s="45" t="str">
        <f>IFERROR(VLOOKUP(OrdersRawTable9[[#This Row],[Order_Line_ID]],ReturnsRawTable[[Order_Line_ID]:[Refund_Status]],4,FALSE),"")</f>
        <v/>
      </c>
      <c r="AG416" s="45" t="str">
        <f>VLOOKUP(OrdersRawTable9[[#This Row],[Order_ID]],ShipmentsTable[],6,FALSE)</f>
        <v>On time</v>
      </c>
      <c r="AH416" s="49">
        <f>VLOOKUP(OrdersRawTable9[[#This Row],[Order_ID]],ShipmentsTable[],3,FALSE)</f>
        <v>45805</v>
      </c>
    </row>
    <row r="417" spans="1:34" ht="15" customHeight="1">
      <c r="A417" s="14" t="s">
        <v>914</v>
      </c>
      <c r="B417" s="10" t="s">
        <v>913</v>
      </c>
      <c r="C417" s="20">
        <v>45800</v>
      </c>
      <c r="D417" s="10" t="s">
        <v>680</v>
      </c>
      <c r="E417" s="10" t="s">
        <v>681</v>
      </c>
      <c r="F417" s="10" t="str">
        <f>TRIM(LEFT(OrdersRawTable9[[#This Row],[Customer_Info]],FIND(",",OrdersRawTable9[[#This Row],[Customer_Info]])-1))</f>
        <v>Amina Tremblay</v>
      </c>
      <c r="G41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417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417" s="10">
        <f>LEN(OrdersRawTable9[[#This Row],[Customer_Info]])-LEN(SUBSTITUTE(OrdersRawTable9[[#This Row],[Customer_Info]],",",""))</f>
        <v>2</v>
      </c>
      <c r="J417" s="10" t="s">
        <v>72</v>
      </c>
      <c r="K417" s="23">
        <v>1</v>
      </c>
      <c r="L417" s="26">
        <v>210.2</v>
      </c>
      <c r="M417" s="29">
        <v>0</v>
      </c>
      <c r="N417" s="10" t="s">
        <v>50</v>
      </c>
      <c r="O417" s="10" t="str">
        <f>IF(TRIM(OrdersRawTable9[[#This Row],[Sales_Channel_Raw]])="Market place","Marketplace",TRIM(OrdersRawTable9[[#This Row],[Sales_Channel_Raw]]))</f>
        <v>Marketplace</v>
      </c>
      <c r="P417" s="10" t="s">
        <v>51</v>
      </c>
      <c r="Q417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417" s="15" t="s">
        <v>67</v>
      </c>
      <c r="S417" t="str">
        <f>VLOOKUP(OrdersRawTable9[[#This Row],[Customer_ID_Raw]],CustomersTable11[],4,FALSE)</f>
        <v>British Columbia</v>
      </c>
      <c r="T417" t="str">
        <f>VLOOKUP(OrdersRawTable9[[#This Row],[Customer_ID_Raw]],CustomersTable11[],5,FALSE)</f>
        <v>Corporate</v>
      </c>
      <c r="U417" s="45">
        <f>VLOOKUP(OrdersRawTable9[[#This Row],[Product_ID]],ProductsTable10[],4,FALSE)</f>
        <v>136.25</v>
      </c>
      <c r="V417" t="str">
        <f>VLOOKUP(OrdersRawTable9[[#This Row],[Product_ID]],ProductsTable10[],3,FALSE)</f>
        <v>Fitness</v>
      </c>
      <c r="W417" s="45">
        <f>OrdersRawTable9[[#This Row],[Unit_Price]]*OrdersRawTable9[[#This Row],[Quantity]]</f>
        <v>210.2</v>
      </c>
      <c r="X417" s="47">
        <f>OrdersRawTable9[[#This Row],[Gross_Sales]]*OrdersRawTable9[[#This Row],[Discount_Pct]]</f>
        <v>0</v>
      </c>
      <c r="Y417" s="45">
        <f>OrdersRawTable9[[#This Row],[Gross_Sales]]-OrdersRawTable9[[#This Row],[Discount_Amount]]</f>
        <v>210.2</v>
      </c>
      <c r="Z417" s="45">
        <f>OrdersRawTable9[[#This Row],[Unit_Cost]]*OrdersRawTable9[[#This Row],[Quantity]]</f>
        <v>136.25</v>
      </c>
      <c r="AA417" s="45">
        <f>OrdersRawTable9[[#This Row],[Net_Sales]]-OrdersRawTable9[[#This Row],[Total_Cost]]</f>
        <v>73.949999999999989</v>
      </c>
      <c r="AB417" s="48">
        <f>IF(OrdersRawTable9[[#This Row],[Net_Sales]]=0,0,OrdersRawTable9[[#This Row],[Profit]]/OrdersRawTable9[[#This Row],[Net_Sales]])</f>
        <v>0.35180780209324447</v>
      </c>
      <c r="AC417" s="45" t="str">
        <f>IF(COUNTIF(ReturnsRawTable[Order_Line_ID],OrdersRawTable9[[#This Row],[Order_Line_ID]])&gt;0,"Yes","No")</f>
        <v>No</v>
      </c>
      <c r="AD417" s="45" t="str">
        <f>IFERROR(VLOOKUP(OrdersRawTable9[[#This Row],[Order_Line_ID]],ReturnsRawTable[[#All],[Order_Line_ID]:[Return_Reason_Raw]],3,FALSE),"")</f>
        <v/>
      </c>
      <c r="AE417" s="49" t="str">
        <f>IFERROR(VLOOKUP(OrdersRawTable9[[#This Row],[Order_Line_ID]],ReturnsRawTable[[#All],[Order_Line_ID]:[Return_Date]],2,FALSE),"")</f>
        <v/>
      </c>
      <c r="AF417" s="45" t="str">
        <f>IFERROR(VLOOKUP(OrdersRawTable9[[#This Row],[Order_Line_ID]],ReturnsRawTable[[Order_Line_ID]:[Refund_Status]],4,FALSE),"")</f>
        <v/>
      </c>
      <c r="AG417" s="45" t="str">
        <f>VLOOKUP(OrdersRawTable9[[#This Row],[Order_ID]],ShipmentsTable[],6,FALSE)</f>
        <v>On time</v>
      </c>
      <c r="AH417" s="49">
        <f>VLOOKUP(OrdersRawTable9[[#This Row],[Order_ID]],ShipmentsTable[],3,FALSE)</f>
        <v>45805</v>
      </c>
    </row>
    <row r="418" spans="1:34" ht="15" customHeight="1">
      <c r="A418" s="14" t="s">
        <v>915</v>
      </c>
      <c r="B418" s="10" t="s">
        <v>913</v>
      </c>
      <c r="C418" s="20">
        <v>45800</v>
      </c>
      <c r="D418" s="10" t="s">
        <v>680</v>
      </c>
      <c r="E418" s="10" t="s">
        <v>681</v>
      </c>
      <c r="F418" s="10" t="str">
        <f>TRIM(LEFT(OrdersRawTable9[[#This Row],[Customer_Info]],FIND(",",OrdersRawTable9[[#This Row],[Customer_Info]])-1))</f>
        <v>Amina Tremblay</v>
      </c>
      <c r="G41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418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418" s="10">
        <f>LEN(OrdersRawTable9[[#This Row],[Customer_Info]])-LEN(SUBSTITUTE(OrdersRawTable9[[#This Row],[Customer_Info]],",",""))</f>
        <v>2</v>
      </c>
      <c r="J418" s="10" t="s">
        <v>121</v>
      </c>
      <c r="K418" s="23">
        <v>3</v>
      </c>
      <c r="L418" s="26">
        <v>287.16000000000003</v>
      </c>
      <c r="M418" s="29">
        <v>0.1</v>
      </c>
      <c r="N418" s="10" t="s">
        <v>50</v>
      </c>
      <c r="O418" s="10" t="str">
        <f>IF(TRIM(OrdersRawTable9[[#This Row],[Sales_Channel_Raw]])="Market place","Marketplace",TRIM(OrdersRawTable9[[#This Row],[Sales_Channel_Raw]]))</f>
        <v>Marketplace</v>
      </c>
      <c r="P418" s="10" t="s">
        <v>46</v>
      </c>
      <c r="Q418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418" s="15" t="s">
        <v>67</v>
      </c>
      <c r="S418" t="str">
        <f>VLOOKUP(OrdersRawTable9[[#This Row],[Customer_ID_Raw]],CustomersTable11[],4,FALSE)</f>
        <v>British Columbia</v>
      </c>
      <c r="T418" t="str">
        <f>VLOOKUP(OrdersRawTable9[[#This Row],[Customer_ID_Raw]],CustomersTable11[],5,FALSE)</f>
        <v>Corporate</v>
      </c>
      <c r="U418" s="45">
        <f>VLOOKUP(OrdersRawTable9[[#This Row],[Product_ID]],ProductsTable10[],4,FALSE)</f>
        <v>148.21</v>
      </c>
      <c r="V418" t="str">
        <f>VLOOKUP(OrdersRawTable9[[#This Row],[Product_ID]],ProductsTable10[],3,FALSE)</f>
        <v>Accessories</v>
      </c>
      <c r="W418" s="45">
        <f>OrdersRawTable9[[#This Row],[Unit_Price]]*OrdersRawTable9[[#This Row],[Quantity]]</f>
        <v>861.48</v>
      </c>
      <c r="X418" s="47">
        <f>OrdersRawTable9[[#This Row],[Gross_Sales]]*OrdersRawTable9[[#This Row],[Discount_Pct]]</f>
        <v>86.14800000000001</v>
      </c>
      <c r="Y418" s="45">
        <f>OrdersRawTable9[[#This Row],[Gross_Sales]]-OrdersRawTable9[[#This Row],[Discount_Amount]]</f>
        <v>775.33199999999999</v>
      </c>
      <c r="Z418" s="45">
        <f>OrdersRawTable9[[#This Row],[Unit_Cost]]*OrdersRawTable9[[#This Row],[Quantity]]</f>
        <v>444.63</v>
      </c>
      <c r="AA418" s="45">
        <f>OrdersRawTable9[[#This Row],[Net_Sales]]-OrdersRawTable9[[#This Row],[Total_Cost]]</f>
        <v>330.702</v>
      </c>
      <c r="AB418" s="48">
        <f>IF(OrdersRawTable9[[#This Row],[Net_Sales]]=0,0,OrdersRawTable9[[#This Row],[Profit]]/OrdersRawTable9[[#This Row],[Net_Sales]])</f>
        <v>0.42652953831390938</v>
      </c>
      <c r="AC418" s="45" t="str">
        <f>IF(COUNTIF(ReturnsRawTable[Order_Line_ID],OrdersRawTable9[[#This Row],[Order_Line_ID]])&gt;0,"Yes","No")</f>
        <v>No</v>
      </c>
      <c r="AD418" s="45" t="str">
        <f>IFERROR(VLOOKUP(OrdersRawTable9[[#This Row],[Order_Line_ID]],ReturnsRawTable[[#All],[Order_Line_ID]:[Return_Reason_Raw]],3,FALSE),"")</f>
        <v/>
      </c>
      <c r="AE418" s="49" t="str">
        <f>IFERROR(VLOOKUP(OrdersRawTable9[[#This Row],[Order_Line_ID]],ReturnsRawTable[[#All],[Order_Line_ID]:[Return_Date]],2,FALSE),"")</f>
        <v/>
      </c>
      <c r="AF418" s="45" t="str">
        <f>IFERROR(VLOOKUP(OrdersRawTable9[[#This Row],[Order_Line_ID]],ReturnsRawTable[[Order_Line_ID]:[Refund_Status]],4,FALSE),"")</f>
        <v/>
      </c>
      <c r="AG418" s="45" t="str">
        <f>VLOOKUP(OrdersRawTable9[[#This Row],[Order_ID]],ShipmentsTable[],6,FALSE)</f>
        <v>On time</v>
      </c>
      <c r="AH418" s="49">
        <f>VLOOKUP(OrdersRawTable9[[#This Row],[Order_ID]],ShipmentsTable[],3,FALSE)</f>
        <v>45805</v>
      </c>
    </row>
    <row r="419" spans="1:34" ht="15" customHeight="1">
      <c r="A419" s="14" t="s">
        <v>916</v>
      </c>
      <c r="B419" s="10" t="s">
        <v>917</v>
      </c>
      <c r="C419" s="20">
        <v>45748.041666666664</v>
      </c>
      <c r="D419" s="10" t="s">
        <v>260</v>
      </c>
      <c r="E419" s="10" t="s">
        <v>261</v>
      </c>
      <c r="F419" s="10" t="str">
        <f>TRIM(LEFT(OrdersRawTable9[[#This Row],[Customer_Info]],FIND(",",OrdersRawTable9[[#This Row],[Customer_Info]])-1))</f>
        <v>Emma Gagnon</v>
      </c>
      <c r="G41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419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419" s="10">
        <f>LEN(OrdersRawTable9[[#This Row],[Customer_Info]])-LEN(SUBSTITUTE(OrdersRawTable9[[#This Row],[Customer_Info]],",",""))</f>
        <v>2</v>
      </c>
      <c r="J419" s="10" t="s">
        <v>270</v>
      </c>
      <c r="K419" s="23">
        <v>4</v>
      </c>
      <c r="L419" s="26">
        <v>214.38</v>
      </c>
      <c r="M419" s="29">
        <v>0.1</v>
      </c>
      <c r="N419" s="10" t="s">
        <v>45</v>
      </c>
      <c r="O419" s="10" t="str">
        <f>IF(TRIM(OrdersRawTable9[[#This Row],[Sales_Channel_Raw]])="Market place","Marketplace",TRIM(OrdersRawTable9[[#This Row],[Sales_Channel_Raw]]))</f>
        <v>Retail Store</v>
      </c>
      <c r="P419" s="10" t="s">
        <v>98</v>
      </c>
      <c r="Q419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419" s="15" t="s">
        <v>47</v>
      </c>
      <c r="S419" t="str">
        <f>VLOOKUP(OrdersRawTable9[[#This Row],[Customer_ID_Raw]],CustomersTable11[],4,FALSE)</f>
        <v>Quebec</v>
      </c>
      <c r="T419" t="str">
        <f>VLOOKUP(OrdersRawTable9[[#This Row],[Customer_ID_Raw]],CustomersTable11[],5,FALSE)</f>
        <v>Consumer</v>
      </c>
      <c r="U419" s="45">
        <f>VLOOKUP(OrdersRawTable9[[#This Row],[Product_ID]],ProductsTable10[],4,FALSE)</f>
        <v>131.51</v>
      </c>
      <c r="V419" t="str">
        <f>VLOOKUP(OrdersRawTable9[[#This Row],[Product_ID]],ProductsTable10[],3,FALSE)</f>
        <v>Fitness</v>
      </c>
      <c r="W419" s="45">
        <f>OrdersRawTable9[[#This Row],[Unit_Price]]*OrdersRawTable9[[#This Row],[Quantity]]</f>
        <v>857.52</v>
      </c>
      <c r="X419" s="47">
        <f>OrdersRawTable9[[#This Row],[Gross_Sales]]*OrdersRawTable9[[#This Row],[Discount_Pct]]</f>
        <v>85.75200000000001</v>
      </c>
      <c r="Y419" s="45">
        <f>OrdersRawTable9[[#This Row],[Gross_Sales]]-OrdersRawTable9[[#This Row],[Discount_Amount]]</f>
        <v>771.76800000000003</v>
      </c>
      <c r="Z419" s="45">
        <f>OrdersRawTable9[[#This Row],[Unit_Cost]]*OrdersRawTable9[[#This Row],[Quantity]]</f>
        <v>526.04</v>
      </c>
      <c r="AA419" s="45">
        <f>OrdersRawTable9[[#This Row],[Net_Sales]]-OrdersRawTable9[[#This Row],[Total_Cost]]</f>
        <v>245.72800000000007</v>
      </c>
      <c r="AB419" s="48">
        <f>IF(OrdersRawTable9[[#This Row],[Net_Sales]]=0,0,OrdersRawTable9[[#This Row],[Profit]]/OrdersRawTable9[[#This Row],[Net_Sales]])</f>
        <v>0.31839620196743068</v>
      </c>
      <c r="AC419" s="45" t="str">
        <f>IF(COUNTIF(ReturnsRawTable[Order_Line_ID],OrdersRawTable9[[#This Row],[Order_Line_ID]])&gt;0,"Yes","No")</f>
        <v>No</v>
      </c>
      <c r="AD419" s="45" t="str">
        <f>IFERROR(VLOOKUP(OrdersRawTable9[[#This Row],[Order_Line_ID]],ReturnsRawTable[[#All],[Order_Line_ID]:[Return_Reason_Raw]],3,FALSE),"")</f>
        <v/>
      </c>
      <c r="AE419" s="49" t="str">
        <f>IFERROR(VLOOKUP(OrdersRawTable9[[#This Row],[Order_Line_ID]],ReturnsRawTable[[#All],[Order_Line_ID]:[Return_Date]],2,FALSE),"")</f>
        <v/>
      </c>
      <c r="AF419" s="45" t="str">
        <f>IFERROR(VLOOKUP(OrdersRawTable9[[#This Row],[Order_Line_ID]],ReturnsRawTable[[Order_Line_ID]:[Refund_Status]],4,FALSE),"")</f>
        <v/>
      </c>
      <c r="AG419" s="45" t="str">
        <f>VLOOKUP(OrdersRawTable9[[#This Row],[Order_ID]],ShipmentsTable[],6,FALSE)</f>
        <v>Late</v>
      </c>
      <c r="AH419" s="49">
        <f>VLOOKUP(OrdersRawTable9[[#This Row],[Order_ID]],ShipmentsTable[],3,FALSE)</f>
        <v>45758</v>
      </c>
    </row>
    <row r="420" spans="1:34" ht="15" customHeight="1">
      <c r="A420" s="14" t="s">
        <v>918</v>
      </c>
      <c r="B420" s="10" t="s">
        <v>919</v>
      </c>
      <c r="C420" s="20">
        <v>45778</v>
      </c>
      <c r="D420" s="10" t="s">
        <v>652</v>
      </c>
      <c r="E420" s="10" t="s">
        <v>653</v>
      </c>
      <c r="F420" s="10" t="str">
        <f>TRIM(LEFT(OrdersRawTable9[[#This Row],[Customer_Info]],FIND(",",OrdersRawTable9[[#This Row],[Customer_Info]])-1))</f>
        <v>Liam Wilson</v>
      </c>
      <c r="G42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420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420" s="10">
        <f>LEN(OrdersRawTable9[[#This Row],[Customer_Info]])-LEN(SUBSTITUTE(OrdersRawTable9[[#This Row],[Customer_Info]],",",""))</f>
        <v>2</v>
      </c>
      <c r="J420" s="10" t="s">
        <v>112</v>
      </c>
      <c r="K420" s="23">
        <v>1</v>
      </c>
      <c r="L420" s="26">
        <v>88.61</v>
      </c>
      <c r="M420" s="29">
        <v>0.1</v>
      </c>
      <c r="N420" s="10" t="s">
        <v>40</v>
      </c>
      <c r="O420" s="10" t="str">
        <f>IF(TRIM(OrdersRawTable9[[#This Row],[Sales_Channel_Raw]])="Market place","Marketplace",TRIM(OrdersRawTable9[[#This Row],[Sales_Channel_Raw]]))</f>
        <v>Online</v>
      </c>
      <c r="P420" s="10" t="s">
        <v>51</v>
      </c>
      <c r="Q420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420" s="15" t="s">
        <v>47</v>
      </c>
      <c r="S420" t="str">
        <f>VLOOKUP(OrdersRawTable9[[#This Row],[Customer_ID_Raw]],CustomersTable11[],4,FALSE)</f>
        <v>Quebec</v>
      </c>
      <c r="T420" t="str">
        <f>VLOOKUP(OrdersRawTable9[[#This Row],[Customer_ID_Raw]],CustomersTable11[],5,FALSE)</f>
        <v>Small Business</v>
      </c>
      <c r="U420" s="45">
        <f>VLOOKUP(OrdersRawTable9[[#This Row],[Product_ID]],ProductsTable10[],4,FALSE)</f>
        <v>49.75</v>
      </c>
      <c r="V420" t="str">
        <f>VLOOKUP(OrdersRawTable9[[#This Row],[Product_ID]],ProductsTable10[],3,FALSE)</f>
        <v>Electronics</v>
      </c>
      <c r="W420" s="45">
        <f>OrdersRawTable9[[#This Row],[Unit_Price]]*OrdersRawTable9[[#This Row],[Quantity]]</f>
        <v>88.61</v>
      </c>
      <c r="X420" s="47">
        <f>OrdersRawTable9[[#This Row],[Gross_Sales]]*OrdersRawTable9[[#This Row],[Discount_Pct]]</f>
        <v>8.8610000000000007</v>
      </c>
      <c r="Y420" s="45">
        <f>OrdersRawTable9[[#This Row],[Gross_Sales]]-OrdersRawTable9[[#This Row],[Discount_Amount]]</f>
        <v>79.748999999999995</v>
      </c>
      <c r="Z420" s="45">
        <f>OrdersRawTable9[[#This Row],[Unit_Cost]]*OrdersRawTable9[[#This Row],[Quantity]]</f>
        <v>49.75</v>
      </c>
      <c r="AA420" s="45">
        <f>OrdersRawTable9[[#This Row],[Net_Sales]]-OrdersRawTable9[[#This Row],[Total_Cost]]</f>
        <v>29.998999999999995</v>
      </c>
      <c r="AB420" s="48">
        <f>IF(OrdersRawTable9[[#This Row],[Net_Sales]]=0,0,OrdersRawTable9[[#This Row],[Profit]]/OrdersRawTable9[[#This Row],[Net_Sales]])</f>
        <v>0.37616772624108136</v>
      </c>
      <c r="AC420" s="45" t="str">
        <f>IF(COUNTIF(ReturnsRawTable[Order_Line_ID],OrdersRawTable9[[#This Row],[Order_Line_ID]])&gt;0,"Yes","No")</f>
        <v>Yes</v>
      </c>
      <c r="AD420" s="45" t="str">
        <f>IFERROR(VLOOKUP(OrdersRawTable9[[#This Row],[Order_Line_ID]],ReturnsRawTable[[#All],[Order_Line_ID]:[Return_Reason_Raw]],3,FALSE),"")</f>
        <v>Late Delivery</v>
      </c>
      <c r="AE420" s="49">
        <f>IFERROR(VLOOKUP(OrdersRawTable9[[#This Row],[Order_Line_ID]],ReturnsRawTable[[#All],[Order_Line_ID]:[Return_Date]],2,FALSE),"")</f>
        <v>45789</v>
      </c>
      <c r="AF420" s="45" t="str">
        <f>IFERROR(VLOOKUP(OrdersRawTable9[[#This Row],[Order_Line_ID]],ReturnsRawTable[[Order_Line_ID]:[Refund_Status]],4,FALSE),"")</f>
        <v>Refunded</v>
      </c>
      <c r="AG420" s="45" t="str">
        <f>VLOOKUP(OrdersRawTable9[[#This Row],[Order_ID]],ShipmentsTable[],6,FALSE)</f>
        <v>On time</v>
      </c>
      <c r="AH420" s="49">
        <f>VLOOKUP(OrdersRawTable9[[#This Row],[Order_ID]],ShipmentsTable[],3,FALSE)</f>
        <v>45779</v>
      </c>
    </row>
    <row r="421" spans="1:34" ht="15" customHeight="1">
      <c r="A421" s="14" t="s">
        <v>920</v>
      </c>
      <c r="B421" s="10" t="s">
        <v>919</v>
      </c>
      <c r="C421" s="20">
        <v>45778</v>
      </c>
      <c r="D421" s="10" t="s">
        <v>652</v>
      </c>
      <c r="E421" s="10" t="s">
        <v>653</v>
      </c>
      <c r="F421" s="10" t="str">
        <f>TRIM(LEFT(OrdersRawTable9[[#This Row],[Customer_Info]],FIND(",",OrdersRawTable9[[#This Row],[Customer_Info]])-1))</f>
        <v>Liam Wilson</v>
      </c>
      <c r="G42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421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421" s="10">
        <f>LEN(OrdersRawTable9[[#This Row],[Customer_Info]])-LEN(SUBSTITUTE(OrdersRawTable9[[#This Row],[Customer_Info]],",",""))</f>
        <v>2</v>
      </c>
      <c r="J421" s="10" t="s">
        <v>238</v>
      </c>
      <c r="K421" s="23">
        <v>1</v>
      </c>
      <c r="L421" s="26">
        <v>82.77</v>
      </c>
      <c r="M421" s="29">
        <v>0.1</v>
      </c>
      <c r="N421" s="10" t="s">
        <v>40</v>
      </c>
      <c r="O421" s="10" t="str">
        <f>IF(TRIM(OrdersRawTable9[[#This Row],[Sales_Channel_Raw]])="Market place","Marketplace",TRIM(OrdersRawTable9[[#This Row],[Sales_Channel_Raw]]))</f>
        <v>Online</v>
      </c>
      <c r="P421" s="10" t="s">
        <v>98</v>
      </c>
      <c r="Q421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421" s="15" t="s">
        <v>47</v>
      </c>
      <c r="S421" t="str">
        <f>VLOOKUP(OrdersRawTable9[[#This Row],[Customer_ID_Raw]],CustomersTable11[],4,FALSE)</f>
        <v>Quebec</v>
      </c>
      <c r="T421" t="str">
        <f>VLOOKUP(OrdersRawTable9[[#This Row],[Customer_ID_Raw]],CustomersTable11[],5,FALSE)</f>
        <v>Small Business</v>
      </c>
      <c r="U421" s="45">
        <f>VLOOKUP(OrdersRawTable9[[#This Row],[Product_ID]],ProductsTable10[],4,FALSE)</f>
        <v>46.51</v>
      </c>
      <c r="V421" t="str">
        <f>VLOOKUP(OrdersRawTable9[[#This Row],[Product_ID]],ProductsTable10[],3,FALSE)</f>
        <v>Office</v>
      </c>
      <c r="W421" s="45">
        <f>OrdersRawTable9[[#This Row],[Unit_Price]]*OrdersRawTable9[[#This Row],[Quantity]]</f>
        <v>82.77</v>
      </c>
      <c r="X421" s="47">
        <f>OrdersRawTable9[[#This Row],[Gross_Sales]]*OrdersRawTable9[[#This Row],[Discount_Pct]]</f>
        <v>8.2769999999999992</v>
      </c>
      <c r="Y421" s="45">
        <f>OrdersRawTable9[[#This Row],[Gross_Sales]]-OrdersRawTable9[[#This Row],[Discount_Amount]]</f>
        <v>74.492999999999995</v>
      </c>
      <c r="Z421" s="45">
        <f>OrdersRawTable9[[#This Row],[Unit_Cost]]*OrdersRawTable9[[#This Row],[Quantity]]</f>
        <v>46.51</v>
      </c>
      <c r="AA421" s="45">
        <f>OrdersRawTable9[[#This Row],[Net_Sales]]-OrdersRawTable9[[#This Row],[Total_Cost]]</f>
        <v>27.982999999999997</v>
      </c>
      <c r="AB421" s="48">
        <f>IF(OrdersRawTable9[[#This Row],[Net_Sales]]=0,0,OrdersRawTable9[[#This Row],[Profit]]/OrdersRawTable9[[#This Row],[Net_Sales]])</f>
        <v>0.37564603385553003</v>
      </c>
      <c r="AC421" s="45" t="str">
        <f>IF(COUNTIF(ReturnsRawTable[Order_Line_ID],OrdersRawTable9[[#This Row],[Order_Line_ID]])&gt;0,"Yes","No")</f>
        <v>No</v>
      </c>
      <c r="AD421" s="45" t="str">
        <f>IFERROR(VLOOKUP(OrdersRawTable9[[#This Row],[Order_Line_ID]],ReturnsRawTable[[#All],[Order_Line_ID]:[Return_Reason_Raw]],3,FALSE),"")</f>
        <v/>
      </c>
      <c r="AE421" s="49" t="str">
        <f>IFERROR(VLOOKUP(OrdersRawTable9[[#This Row],[Order_Line_ID]],ReturnsRawTable[[#All],[Order_Line_ID]:[Return_Date]],2,FALSE),"")</f>
        <v/>
      </c>
      <c r="AF421" s="45" t="str">
        <f>IFERROR(VLOOKUP(OrdersRawTable9[[#This Row],[Order_Line_ID]],ReturnsRawTable[[Order_Line_ID]:[Refund_Status]],4,FALSE),"")</f>
        <v/>
      </c>
      <c r="AG421" s="45" t="str">
        <f>VLOOKUP(OrdersRawTable9[[#This Row],[Order_ID]],ShipmentsTable[],6,FALSE)</f>
        <v>On time</v>
      </c>
      <c r="AH421" s="49">
        <f>VLOOKUP(OrdersRawTable9[[#This Row],[Order_ID]],ShipmentsTable[],3,FALSE)</f>
        <v>45779</v>
      </c>
    </row>
    <row r="422" spans="1:34" ht="15" customHeight="1">
      <c r="A422" s="14" t="s">
        <v>921</v>
      </c>
      <c r="B422" s="10" t="s">
        <v>919</v>
      </c>
      <c r="C422" s="20">
        <v>45778</v>
      </c>
      <c r="D422" s="10" t="s">
        <v>652</v>
      </c>
      <c r="E422" s="10" t="s">
        <v>653</v>
      </c>
      <c r="F422" s="10" t="str">
        <f>TRIM(LEFT(OrdersRawTable9[[#This Row],[Customer_Info]],FIND(",",OrdersRawTable9[[#This Row],[Customer_Info]])-1))</f>
        <v>Liam Wilson</v>
      </c>
      <c r="G42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422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422" s="10">
        <f>LEN(OrdersRawTable9[[#This Row],[Customer_Info]])-LEN(SUBSTITUTE(OrdersRawTable9[[#This Row],[Customer_Info]],",",""))</f>
        <v>2</v>
      </c>
      <c r="J422" s="10" t="s">
        <v>309</v>
      </c>
      <c r="K422" s="23">
        <v>3</v>
      </c>
      <c r="L422" s="26">
        <v>56.99</v>
      </c>
      <c r="M422" s="29">
        <v>0.15</v>
      </c>
      <c r="N422" s="10" t="s">
        <v>45</v>
      </c>
      <c r="O422" s="10" t="str">
        <f>IF(TRIM(OrdersRawTable9[[#This Row],[Sales_Channel_Raw]])="Market place","Marketplace",TRIM(OrdersRawTable9[[#This Row],[Sales_Channel_Raw]]))</f>
        <v>Retail Store</v>
      </c>
      <c r="P422" s="10" t="s">
        <v>46</v>
      </c>
      <c r="Q422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422" s="15" t="s">
        <v>42</v>
      </c>
      <c r="S422" t="str">
        <f>VLOOKUP(OrdersRawTable9[[#This Row],[Customer_ID_Raw]],CustomersTable11[],4,FALSE)</f>
        <v>Quebec</v>
      </c>
      <c r="T422" t="str">
        <f>VLOOKUP(OrdersRawTable9[[#This Row],[Customer_ID_Raw]],CustomersTable11[],5,FALSE)</f>
        <v>Small Business</v>
      </c>
      <c r="U422" s="45">
        <f>VLOOKUP(OrdersRawTable9[[#This Row],[Product_ID]],ProductsTable10[],4,FALSE)</f>
        <v>33.65</v>
      </c>
      <c r="V422" t="str">
        <f>VLOOKUP(OrdersRawTable9[[#This Row],[Product_ID]],ProductsTable10[],3,FALSE)</f>
        <v>Home</v>
      </c>
      <c r="W422" s="45">
        <f>OrdersRawTable9[[#This Row],[Unit_Price]]*OrdersRawTable9[[#This Row],[Quantity]]</f>
        <v>170.97</v>
      </c>
      <c r="X422" s="47">
        <f>OrdersRawTable9[[#This Row],[Gross_Sales]]*OrdersRawTable9[[#This Row],[Discount_Pct]]</f>
        <v>25.645499999999998</v>
      </c>
      <c r="Y422" s="45">
        <f>OrdersRawTable9[[#This Row],[Gross_Sales]]-OrdersRawTable9[[#This Row],[Discount_Amount]]</f>
        <v>145.3245</v>
      </c>
      <c r="Z422" s="45">
        <f>OrdersRawTable9[[#This Row],[Unit_Cost]]*OrdersRawTable9[[#This Row],[Quantity]]</f>
        <v>100.94999999999999</v>
      </c>
      <c r="AA422" s="45">
        <f>OrdersRawTable9[[#This Row],[Net_Sales]]-OrdersRawTable9[[#This Row],[Total_Cost]]</f>
        <v>44.374500000000012</v>
      </c>
      <c r="AB422" s="48">
        <f>IF(OrdersRawTable9[[#This Row],[Net_Sales]]=0,0,OrdersRawTable9[[#This Row],[Profit]]/OrdersRawTable9[[#This Row],[Net_Sales]])</f>
        <v>0.30534768741678114</v>
      </c>
      <c r="AC422" s="45" t="str">
        <f>IF(COUNTIF(ReturnsRawTable[Order_Line_ID],OrdersRawTable9[[#This Row],[Order_Line_ID]])&gt;0,"Yes","No")</f>
        <v>No</v>
      </c>
      <c r="AD422" s="45" t="str">
        <f>IFERROR(VLOOKUP(OrdersRawTable9[[#This Row],[Order_Line_ID]],ReturnsRawTable[[#All],[Order_Line_ID]:[Return_Reason_Raw]],3,FALSE),"")</f>
        <v/>
      </c>
      <c r="AE422" s="49" t="str">
        <f>IFERROR(VLOOKUP(OrdersRawTable9[[#This Row],[Order_Line_ID]],ReturnsRawTable[[#All],[Order_Line_ID]:[Return_Date]],2,FALSE),"")</f>
        <v/>
      </c>
      <c r="AF422" s="45" t="str">
        <f>IFERROR(VLOOKUP(OrdersRawTable9[[#This Row],[Order_Line_ID]],ReturnsRawTable[[Order_Line_ID]:[Refund_Status]],4,FALSE),"")</f>
        <v/>
      </c>
      <c r="AG422" s="45" t="str">
        <f>VLOOKUP(OrdersRawTable9[[#This Row],[Order_ID]],ShipmentsTable[],6,FALSE)</f>
        <v>On time</v>
      </c>
      <c r="AH422" s="49">
        <f>VLOOKUP(OrdersRawTable9[[#This Row],[Order_ID]],ShipmentsTable[],3,FALSE)</f>
        <v>45779</v>
      </c>
    </row>
    <row r="423" spans="1:34" ht="15" customHeight="1">
      <c r="A423" s="14" t="s">
        <v>922</v>
      </c>
      <c r="B423" s="10" t="s">
        <v>923</v>
      </c>
      <c r="C423" s="20">
        <v>45685</v>
      </c>
      <c r="D423" s="10" t="s">
        <v>517</v>
      </c>
      <c r="E423" s="10" t="s">
        <v>518</v>
      </c>
      <c r="F423" s="10" t="str">
        <f>TRIM(LEFT(OrdersRawTable9[[#This Row],[Customer_Info]],FIND(",",OrdersRawTable9[[#This Row],[Customer_Info]])-1))</f>
        <v>Sara Singh</v>
      </c>
      <c r="G42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423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423" s="10">
        <f>LEN(OrdersRawTable9[[#This Row],[Customer_Info]])-LEN(SUBSTITUTE(OrdersRawTable9[[#This Row],[Customer_Info]],",",""))</f>
        <v>2</v>
      </c>
      <c r="J423" s="10" t="s">
        <v>110</v>
      </c>
      <c r="K423" s="23">
        <v>1</v>
      </c>
      <c r="L423" s="26">
        <v>133.24</v>
      </c>
      <c r="M423" s="29">
        <v>0.15</v>
      </c>
      <c r="N423" s="10" t="s">
        <v>70</v>
      </c>
      <c r="O423" s="10" t="str">
        <f>IF(TRIM(OrdersRawTable9[[#This Row],[Sales_Channel_Raw]])="Market place","Marketplace",TRIM(OrdersRawTable9[[#This Row],[Sales_Channel_Raw]]))</f>
        <v>online</v>
      </c>
      <c r="P423" s="10" t="s">
        <v>58</v>
      </c>
      <c r="Q423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423" s="15" t="s">
        <v>101</v>
      </c>
      <c r="S423" t="str">
        <f>VLOOKUP(OrdersRawTable9[[#This Row],[Customer_ID_Raw]],CustomersTable11[],4,FALSE)</f>
        <v>British Columbia</v>
      </c>
      <c r="T423" t="str">
        <f>VLOOKUP(OrdersRawTable9[[#This Row],[Customer_ID_Raw]],CustomersTable11[],5,FALSE)</f>
        <v>Small Business</v>
      </c>
      <c r="U423" s="45">
        <f>VLOOKUP(OrdersRawTable9[[#This Row],[Product_ID]],ProductsTable10[],4,FALSE)</f>
        <v>77.540000000000006</v>
      </c>
      <c r="V423" t="str">
        <f>VLOOKUP(OrdersRawTable9[[#This Row],[Product_ID]],ProductsTable10[],3,FALSE)</f>
        <v>Electronics</v>
      </c>
      <c r="W423" s="45">
        <f>OrdersRawTable9[[#This Row],[Unit_Price]]*OrdersRawTable9[[#This Row],[Quantity]]</f>
        <v>133.24</v>
      </c>
      <c r="X423" s="47">
        <f>OrdersRawTable9[[#This Row],[Gross_Sales]]*OrdersRawTable9[[#This Row],[Discount_Pct]]</f>
        <v>19.986000000000001</v>
      </c>
      <c r="Y423" s="45">
        <f>OrdersRawTable9[[#This Row],[Gross_Sales]]-OrdersRawTable9[[#This Row],[Discount_Amount]]</f>
        <v>113.254</v>
      </c>
      <c r="Z423" s="45">
        <f>OrdersRawTable9[[#This Row],[Unit_Cost]]*OrdersRawTable9[[#This Row],[Quantity]]</f>
        <v>77.540000000000006</v>
      </c>
      <c r="AA423" s="45">
        <f>OrdersRawTable9[[#This Row],[Net_Sales]]-OrdersRawTable9[[#This Row],[Total_Cost]]</f>
        <v>35.713999999999999</v>
      </c>
      <c r="AB423" s="48">
        <f>IF(OrdersRawTable9[[#This Row],[Net_Sales]]=0,0,OrdersRawTable9[[#This Row],[Profit]]/OrdersRawTable9[[#This Row],[Net_Sales]])</f>
        <v>0.3153442704010454</v>
      </c>
      <c r="AC423" s="45" t="str">
        <f>IF(COUNTIF(ReturnsRawTable[Order_Line_ID],OrdersRawTable9[[#This Row],[Order_Line_ID]])&gt;0,"Yes","No")</f>
        <v>No</v>
      </c>
      <c r="AD423" s="45" t="str">
        <f>IFERROR(VLOOKUP(OrdersRawTable9[[#This Row],[Order_Line_ID]],ReturnsRawTable[[#All],[Order_Line_ID]:[Return_Reason_Raw]],3,FALSE),"")</f>
        <v/>
      </c>
      <c r="AE423" s="49" t="str">
        <f>IFERROR(VLOOKUP(OrdersRawTable9[[#This Row],[Order_Line_ID]],ReturnsRawTable[[#All],[Order_Line_ID]:[Return_Date]],2,FALSE),"")</f>
        <v/>
      </c>
      <c r="AF423" s="45" t="str">
        <f>IFERROR(VLOOKUP(OrdersRawTable9[[#This Row],[Order_Line_ID]],ReturnsRawTable[[Order_Line_ID]:[Refund_Status]],4,FALSE),"")</f>
        <v/>
      </c>
      <c r="AG423" s="45" t="str">
        <f>VLOOKUP(OrdersRawTable9[[#This Row],[Order_ID]],ShipmentsTable[],6,FALSE)</f>
        <v>Late</v>
      </c>
      <c r="AH423" s="49">
        <f>VLOOKUP(OrdersRawTable9[[#This Row],[Order_ID]],ShipmentsTable[],3,FALSE)</f>
        <v>45694</v>
      </c>
    </row>
    <row r="424" spans="1:34" ht="15" customHeight="1">
      <c r="A424" s="14" t="s">
        <v>924</v>
      </c>
      <c r="B424" s="10" t="s">
        <v>923</v>
      </c>
      <c r="C424" s="20">
        <v>45685</v>
      </c>
      <c r="D424" s="10" t="s">
        <v>517</v>
      </c>
      <c r="E424" s="10" t="s">
        <v>518</v>
      </c>
      <c r="F424" s="10" t="str">
        <f>TRIM(LEFT(OrdersRawTable9[[#This Row],[Customer_Info]],FIND(",",OrdersRawTable9[[#This Row],[Customer_Info]])-1))</f>
        <v>Sara Singh</v>
      </c>
      <c r="G42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424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424" s="10">
        <f>LEN(OrdersRawTable9[[#This Row],[Customer_Info]])-LEN(SUBSTITUTE(OrdersRawTable9[[#This Row],[Customer_Info]],",",""))</f>
        <v>2</v>
      </c>
      <c r="J424" s="10" t="s">
        <v>241</v>
      </c>
      <c r="K424" s="23">
        <v>3</v>
      </c>
      <c r="L424" s="26">
        <v>300.56</v>
      </c>
      <c r="M424" s="29">
        <v>0.15</v>
      </c>
      <c r="N424" s="10" t="s">
        <v>66</v>
      </c>
      <c r="O424" s="10" t="str">
        <f>IF(TRIM(OrdersRawTable9[[#This Row],[Sales_Channel_Raw]])="Market place","Marketplace",TRIM(OrdersRawTable9[[#This Row],[Sales_Channel_Raw]]))</f>
        <v>Marketplace</v>
      </c>
      <c r="P424" s="10" t="s">
        <v>46</v>
      </c>
      <c r="Q424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424" s="15" t="s">
        <v>67</v>
      </c>
      <c r="S424" t="str">
        <f>VLOOKUP(OrdersRawTable9[[#This Row],[Customer_ID_Raw]],CustomersTable11[],4,FALSE)</f>
        <v>British Columbia</v>
      </c>
      <c r="T424" t="str">
        <f>VLOOKUP(OrdersRawTable9[[#This Row],[Customer_ID_Raw]],CustomersTable11[],5,FALSE)</f>
        <v>Small Business</v>
      </c>
      <c r="U424" s="45">
        <f>VLOOKUP(OrdersRawTable9[[#This Row],[Product_ID]],ProductsTable10[],4,FALSE)</f>
        <v>158.86000000000001</v>
      </c>
      <c r="V424" t="str">
        <f>VLOOKUP(OrdersRawTable9[[#This Row],[Product_ID]],ProductsTable10[],3,FALSE)</f>
        <v>Accessories</v>
      </c>
      <c r="W424" s="45">
        <f>OrdersRawTable9[[#This Row],[Unit_Price]]*OrdersRawTable9[[#This Row],[Quantity]]</f>
        <v>901.68000000000006</v>
      </c>
      <c r="X424" s="47">
        <f>OrdersRawTable9[[#This Row],[Gross_Sales]]*OrdersRawTable9[[#This Row],[Discount_Pct]]</f>
        <v>135.25200000000001</v>
      </c>
      <c r="Y424" s="45">
        <f>OrdersRawTable9[[#This Row],[Gross_Sales]]-OrdersRawTable9[[#This Row],[Discount_Amount]]</f>
        <v>766.42800000000011</v>
      </c>
      <c r="Z424" s="45">
        <f>OrdersRawTable9[[#This Row],[Unit_Cost]]*OrdersRawTable9[[#This Row],[Quantity]]</f>
        <v>476.58000000000004</v>
      </c>
      <c r="AA424" s="45">
        <f>OrdersRawTable9[[#This Row],[Net_Sales]]-OrdersRawTable9[[#This Row],[Total_Cost]]</f>
        <v>289.84800000000007</v>
      </c>
      <c r="AB424" s="48">
        <f>IF(OrdersRawTable9[[#This Row],[Net_Sales]]=0,0,OrdersRawTable9[[#This Row],[Profit]]/OrdersRawTable9[[#This Row],[Net_Sales]])</f>
        <v>0.37818033787909633</v>
      </c>
      <c r="AC424" s="45" t="str">
        <f>IF(COUNTIF(ReturnsRawTable[Order_Line_ID],OrdersRawTable9[[#This Row],[Order_Line_ID]])&gt;0,"Yes","No")</f>
        <v>No</v>
      </c>
      <c r="AD424" s="45" t="str">
        <f>IFERROR(VLOOKUP(OrdersRawTable9[[#This Row],[Order_Line_ID]],ReturnsRawTable[[#All],[Order_Line_ID]:[Return_Reason_Raw]],3,FALSE),"")</f>
        <v/>
      </c>
      <c r="AE424" s="49" t="str">
        <f>IFERROR(VLOOKUP(OrdersRawTable9[[#This Row],[Order_Line_ID]],ReturnsRawTable[[#All],[Order_Line_ID]:[Return_Date]],2,FALSE),"")</f>
        <v/>
      </c>
      <c r="AF424" s="45" t="str">
        <f>IFERROR(VLOOKUP(OrdersRawTable9[[#This Row],[Order_Line_ID]],ReturnsRawTable[[Order_Line_ID]:[Refund_Status]],4,FALSE),"")</f>
        <v/>
      </c>
      <c r="AG424" s="45" t="str">
        <f>VLOOKUP(OrdersRawTable9[[#This Row],[Order_ID]],ShipmentsTable[],6,FALSE)</f>
        <v>Late</v>
      </c>
      <c r="AH424" s="49">
        <f>VLOOKUP(OrdersRawTable9[[#This Row],[Order_ID]],ShipmentsTable[],3,FALSE)</f>
        <v>45694</v>
      </c>
    </row>
    <row r="425" spans="1:34" ht="15" customHeight="1">
      <c r="A425" s="14" t="s">
        <v>925</v>
      </c>
      <c r="B425" s="10" t="s">
        <v>926</v>
      </c>
      <c r="C425" s="20">
        <v>45987</v>
      </c>
      <c r="D425" s="10" t="s">
        <v>927</v>
      </c>
      <c r="E425" s="10" t="s">
        <v>928</v>
      </c>
      <c r="F425" s="10" t="str">
        <f>TRIM(LEFT(OrdersRawTable9[[#This Row],[Customer_Info]],FIND(",",OrdersRawTable9[[#This Row],[Customer_Info]])-1))</f>
        <v>Daniel Wilson</v>
      </c>
      <c r="G42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425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425" s="10">
        <f>LEN(OrdersRawTable9[[#This Row],[Customer_Info]])-LEN(SUBSTITUTE(OrdersRawTable9[[#This Row],[Customer_Info]],",",""))</f>
        <v>2</v>
      </c>
      <c r="J425" s="10" t="s">
        <v>44</v>
      </c>
      <c r="K425" s="23">
        <v>4</v>
      </c>
      <c r="L425" s="26">
        <v>238.47</v>
      </c>
      <c r="M425" s="29">
        <v>0</v>
      </c>
      <c r="N425" s="10" t="s">
        <v>50</v>
      </c>
      <c r="O425" s="10" t="str">
        <f>IF(TRIM(OrdersRawTable9[[#This Row],[Sales_Channel_Raw]])="Market place","Marketplace",TRIM(OrdersRawTable9[[#This Row],[Sales_Channel_Raw]]))</f>
        <v>Marketplace</v>
      </c>
      <c r="P425" s="10" t="s">
        <v>98</v>
      </c>
      <c r="Q425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425" s="15" t="s">
        <v>42</v>
      </c>
      <c r="S425" t="str">
        <f>VLOOKUP(OrdersRawTable9[[#This Row],[Customer_ID_Raw]],CustomersTable11[],4,FALSE)</f>
        <v>British Columbia</v>
      </c>
      <c r="T425" t="str">
        <f>VLOOKUP(OrdersRawTable9[[#This Row],[Customer_ID_Raw]],CustomersTable11[],5,FALSE)</f>
        <v>Consumer</v>
      </c>
      <c r="U425" s="45">
        <f>VLOOKUP(OrdersRawTable9[[#This Row],[Product_ID]],ProductsTable10[],4,FALSE)</f>
        <v>127.65</v>
      </c>
      <c r="V425" t="str">
        <f>VLOOKUP(OrdersRawTable9[[#This Row],[Product_ID]],ProductsTable10[],3,FALSE)</f>
        <v>Accessories</v>
      </c>
      <c r="W425" s="45">
        <f>OrdersRawTable9[[#This Row],[Unit_Price]]*OrdersRawTable9[[#This Row],[Quantity]]</f>
        <v>953.88</v>
      </c>
      <c r="X425" s="47">
        <f>OrdersRawTable9[[#This Row],[Gross_Sales]]*OrdersRawTable9[[#This Row],[Discount_Pct]]</f>
        <v>0</v>
      </c>
      <c r="Y425" s="45">
        <f>OrdersRawTable9[[#This Row],[Gross_Sales]]-OrdersRawTable9[[#This Row],[Discount_Amount]]</f>
        <v>953.88</v>
      </c>
      <c r="Z425" s="45">
        <f>OrdersRawTable9[[#This Row],[Unit_Cost]]*OrdersRawTable9[[#This Row],[Quantity]]</f>
        <v>510.6</v>
      </c>
      <c r="AA425" s="45">
        <f>OrdersRawTable9[[#This Row],[Net_Sales]]-OrdersRawTable9[[#This Row],[Total_Cost]]</f>
        <v>443.28</v>
      </c>
      <c r="AB425" s="48">
        <f>IF(OrdersRawTable9[[#This Row],[Net_Sales]]=0,0,OrdersRawTable9[[#This Row],[Profit]]/OrdersRawTable9[[#This Row],[Net_Sales]])</f>
        <v>0.46471254245817079</v>
      </c>
      <c r="AC425" s="45" t="str">
        <f>IF(COUNTIF(ReturnsRawTable[Order_Line_ID],OrdersRawTable9[[#This Row],[Order_Line_ID]])&gt;0,"Yes","No")</f>
        <v>No</v>
      </c>
      <c r="AD425" s="45" t="str">
        <f>IFERROR(VLOOKUP(OrdersRawTable9[[#This Row],[Order_Line_ID]],ReturnsRawTable[[#All],[Order_Line_ID]:[Return_Reason_Raw]],3,FALSE),"")</f>
        <v/>
      </c>
      <c r="AE425" s="49" t="str">
        <f>IFERROR(VLOOKUP(OrdersRawTable9[[#This Row],[Order_Line_ID]],ReturnsRawTable[[#All],[Order_Line_ID]:[Return_Date]],2,FALSE),"")</f>
        <v/>
      </c>
      <c r="AF425" s="45" t="str">
        <f>IFERROR(VLOOKUP(OrdersRawTable9[[#This Row],[Order_Line_ID]],ReturnsRawTable[[Order_Line_ID]:[Refund_Status]],4,FALSE),"")</f>
        <v/>
      </c>
      <c r="AG425" s="45" t="str">
        <f>VLOOKUP(OrdersRawTable9[[#This Row],[Order_ID]],ShipmentsTable[],6,FALSE)</f>
        <v>Late</v>
      </c>
      <c r="AH425" s="49">
        <f>VLOOKUP(OrdersRawTable9[[#This Row],[Order_ID]],ShipmentsTable[],3,FALSE)</f>
        <v>45995</v>
      </c>
    </row>
    <row r="426" spans="1:34" ht="15" customHeight="1">
      <c r="A426" s="14" t="s">
        <v>929</v>
      </c>
      <c r="B426" s="10" t="s">
        <v>926</v>
      </c>
      <c r="C426" s="20">
        <v>45987</v>
      </c>
      <c r="D426" s="10" t="s">
        <v>927</v>
      </c>
      <c r="E426" s="10" t="s">
        <v>928</v>
      </c>
      <c r="F426" s="10" t="str">
        <f>TRIM(LEFT(OrdersRawTable9[[#This Row],[Customer_Info]],FIND(",",OrdersRawTable9[[#This Row],[Customer_Info]])-1))</f>
        <v>Daniel Wilson</v>
      </c>
      <c r="G42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426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426" s="10">
        <f>LEN(OrdersRawTable9[[#This Row],[Customer_Info]])-LEN(SUBSTITUTE(OrdersRawTable9[[#This Row],[Customer_Info]],",",""))</f>
        <v>2</v>
      </c>
      <c r="J426" s="10" t="s">
        <v>276</v>
      </c>
      <c r="K426" s="23">
        <v>1</v>
      </c>
      <c r="L426" s="26">
        <v>182.94</v>
      </c>
      <c r="M426" s="29">
        <v>0.15</v>
      </c>
      <c r="N426" s="10" t="s">
        <v>45</v>
      </c>
      <c r="O426" s="10" t="str">
        <f>IF(TRIM(OrdersRawTable9[[#This Row],[Sales_Channel_Raw]])="Market place","Marketplace",TRIM(OrdersRawTable9[[#This Row],[Sales_Channel_Raw]]))</f>
        <v>Retail Store</v>
      </c>
      <c r="P426" s="10" t="s">
        <v>51</v>
      </c>
      <c r="Q426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426" s="15" t="s">
        <v>101</v>
      </c>
      <c r="S426" t="str">
        <f>VLOOKUP(OrdersRawTable9[[#This Row],[Customer_ID_Raw]],CustomersTable11[],4,FALSE)</f>
        <v>British Columbia</v>
      </c>
      <c r="T426" t="str">
        <f>VLOOKUP(OrdersRawTable9[[#This Row],[Customer_ID_Raw]],CustomersTable11[],5,FALSE)</f>
        <v>Consumer</v>
      </c>
      <c r="U426" s="45">
        <f>VLOOKUP(OrdersRawTable9[[#This Row],[Product_ID]],ProductsTable10[],4,FALSE)</f>
        <v>118.95</v>
      </c>
      <c r="V426" t="str">
        <f>VLOOKUP(OrdersRawTable9[[#This Row],[Product_ID]],ProductsTable10[],3,FALSE)</f>
        <v>Fitness</v>
      </c>
      <c r="W426" s="45">
        <f>OrdersRawTable9[[#This Row],[Unit_Price]]*OrdersRawTable9[[#This Row],[Quantity]]</f>
        <v>182.94</v>
      </c>
      <c r="X426" s="47">
        <f>OrdersRawTable9[[#This Row],[Gross_Sales]]*OrdersRawTable9[[#This Row],[Discount_Pct]]</f>
        <v>27.440999999999999</v>
      </c>
      <c r="Y426" s="45">
        <f>OrdersRawTable9[[#This Row],[Gross_Sales]]-OrdersRawTable9[[#This Row],[Discount_Amount]]</f>
        <v>155.499</v>
      </c>
      <c r="Z426" s="45">
        <f>OrdersRawTable9[[#This Row],[Unit_Cost]]*OrdersRawTable9[[#This Row],[Quantity]]</f>
        <v>118.95</v>
      </c>
      <c r="AA426" s="45">
        <f>OrdersRawTable9[[#This Row],[Net_Sales]]-OrdersRawTable9[[#This Row],[Total_Cost]]</f>
        <v>36.548999999999992</v>
      </c>
      <c r="AB426" s="48">
        <f>IF(OrdersRawTable9[[#This Row],[Net_Sales]]=0,0,OrdersRawTable9[[#This Row],[Profit]]/OrdersRawTable9[[#This Row],[Net_Sales]])</f>
        <v>0.23504331217564095</v>
      </c>
      <c r="AC426" s="45" t="str">
        <f>IF(COUNTIF(ReturnsRawTable[Order_Line_ID],OrdersRawTable9[[#This Row],[Order_Line_ID]])&gt;0,"Yes","No")</f>
        <v>No</v>
      </c>
      <c r="AD426" s="45" t="str">
        <f>IFERROR(VLOOKUP(OrdersRawTable9[[#This Row],[Order_Line_ID]],ReturnsRawTable[[#All],[Order_Line_ID]:[Return_Reason_Raw]],3,FALSE),"")</f>
        <v/>
      </c>
      <c r="AE426" s="49" t="str">
        <f>IFERROR(VLOOKUP(OrdersRawTable9[[#This Row],[Order_Line_ID]],ReturnsRawTable[[#All],[Order_Line_ID]:[Return_Date]],2,FALSE),"")</f>
        <v/>
      </c>
      <c r="AF426" s="45" t="str">
        <f>IFERROR(VLOOKUP(OrdersRawTable9[[#This Row],[Order_Line_ID]],ReturnsRawTable[[Order_Line_ID]:[Refund_Status]],4,FALSE),"")</f>
        <v/>
      </c>
      <c r="AG426" s="45" t="str">
        <f>VLOOKUP(OrdersRawTable9[[#This Row],[Order_ID]],ShipmentsTable[],6,FALSE)</f>
        <v>Late</v>
      </c>
      <c r="AH426" s="49">
        <f>VLOOKUP(OrdersRawTable9[[#This Row],[Order_ID]],ShipmentsTable[],3,FALSE)</f>
        <v>45995</v>
      </c>
    </row>
    <row r="427" spans="1:34" ht="15" customHeight="1">
      <c r="A427" s="14" t="s">
        <v>930</v>
      </c>
      <c r="B427" s="10" t="s">
        <v>931</v>
      </c>
      <c r="C427" s="20">
        <v>45959</v>
      </c>
      <c r="D427" s="10" t="s">
        <v>159</v>
      </c>
      <c r="E427" s="10" t="s">
        <v>160</v>
      </c>
      <c r="F427" s="10" t="str">
        <f>TRIM(LEFT(OrdersRawTable9[[#This Row],[Customer_Info]],FIND(",",OrdersRawTable9[[#This Row],[Customer_Info]])-1))</f>
        <v>Omar Brown</v>
      </c>
      <c r="G42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427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427" s="10">
        <f>LEN(OrdersRawTable9[[#This Row],[Customer_Info]])-LEN(SUBSTITUTE(OrdersRawTable9[[#This Row],[Customer_Info]],",",""))</f>
        <v>2</v>
      </c>
      <c r="J427" s="10" t="s">
        <v>119</v>
      </c>
      <c r="K427" s="23">
        <v>3</v>
      </c>
      <c r="L427" s="26">
        <v>103.3</v>
      </c>
      <c r="M427" s="29">
        <v>0</v>
      </c>
      <c r="N427" s="10" t="s">
        <v>66</v>
      </c>
      <c r="O427" s="10" t="str">
        <f>IF(TRIM(OrdersRawTable9[[#This Row],[Sales_Channel_Raw]])="Market place","Marketplace",TRIM(OrdersRawTable9[[#This Row],[Sales_Channel_Raw]]))</f>
        <v>Marketplace</v>
      </c>
      <c r="P427" s="10" t="s">
        <v>46</v>
      </c>
      <c r="Q427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427" s="15" t="s">
        <v>67</v>
      </c>
      <c r="S427" t="str">
        <f>VLOOKUP(OrdersRawTable9[[#This Row],[Customer_ID_Raw]],CustomersTable11[],4,FALSE)</f>
        <v>Nova Scotia</v>
      </c>
      <c r="T427" t="str">
        <f>VLOOKUP(OrdersRawTable9[[#This Row],[Customer_ID_Raw]],CustomersTable11[],5,FALSE)</f>
        <v>Consumer</v>
      </c>
      <c r="U427" s="45">
        <f>VLOOKUP(OrdersRawTable9[[#This Row],[Product_ID]],ProductsTable10[],4,FALSE)</f>
        <v>70.180000000000007</v>
      </c>
      <c r="V427" t="str">
        <f>VLOOKUP(OrdersRawTable9[[#This Row],[Product_ID]],ProductsTable10[],3,FALSE)</f>
        <v>Home</v>
      </c>
      <c r="W427" s="45">
        <f>OrdersRawTable9[[#This Row],[Unit_Price]]*OrdersRawTable9[[#This Row],[Quantity]]</f>
        <v>309.89999999999998</v>
      </c>
      <c r="X427" s="47">
        <f>OrdersRawTable9[[#This Row],[Gross_Sales]]*OrdersRawTable9[[#This Row],[Discount_Pct]]</f>
        <v>0</v>
      </c>
      <c r="Y427" s="45">
        <f>OrdersRawTable9[[#This Row],[Gross_Sales]]-OrdersRawTable9[[#This Row],[Discount_Amount]]</f>
        <v>309.89999999999998</v>
      </c>
      <c r="Z427" s="45">
        <f>OrdersRawTable9[[#This Row],[Unit_Cost]]*OrdersRawTable9[[#This Row],[Quantity]]</f>
        <v>210.54000000000002</v>
      </c>
      <c r="AA427" s="45">
        <f>OrdersRawTable9[[#This Row],[Net_Sales]]-OrdersRawTable9[[#This Row],[Total_Cost]]</f>
        <v>99.359999999999957</v>
      </c>
      <c r="AB427" s="48">
        <f>IF(OrdersRawTable9[[#This Row],[Net_Sales]]=0,0,OrdersRawTable9[[#This Row],[Profit]]/OrdersRawTable9[[#This Row],[Net_Sales]])</f>
        <v>0.32061955469506281</v>
      </c>
      <c r="AC427" s="45" t="str">
        <f>IF(COUNTIF(ReturnsRawTable[Order_Line_ID],OrdersRawTable9[[#This Row],[Order_Line_ID]])&gt;0,"Yes","No")</f>
        <v>Yes</v>
      </c>
      <c r="AD427" s="45" t="str">
        <f>IFERROR(VLOOKUP(OrdersRawTable9[[#This Row],[Order_Line_ID]],ReturnsRawTable[[#All],[Order_Line_ID]:[Return_Reason_Raw]],3,FALSE),"")</f>
        <v>Wrong item</v>
      </c>
      <c r="AE427" s="49">
        <f>IFERROR(VLOOKUP(OrdersRawTable9[[#This Row],[Order_Line_ID]],ReturnsRawTable[[#All],[Order_Line_ID]:[Return_Date]],2,FALSE),"")</f>
        <v>45970</v>
      </c>
      <c r="AF427" s="45" t="str">
        <f>IFERROR(VLOOKUP(OrdersRawTable9[[#This Row],[Order_Line_ID]],ReturnsRawTable[[Order_Line_ID]:[Refund_Status]],4,FALSE),"")</f>
        <v>Refunded</v>
      </c>
      <c r="AG427" s="45" t="str">
        <f>VLOOKUP(OrdersRawTable9[[#This Row],[Order_ID]],ShipmentsTable[],6,FALSE)</f>
        <v>On time</v>
      </c>
      <c r="AH427" s="49">
        <f>VLOOKUP(OrdersRawTable9[[#This Row],[Order_ID]],ShipmentsTable[],3,FALSE)</f>
        <v>45963</v>
      </c>
    </row>
    <row r="428" spans="1:34" ht="15" customHeight="1">
      <c r="A428" s="14" t="s">
        <v>932</v>
      </c>
      <c r="B428" s="10" t="s">
        <v>931</v>
      </c>
      <c r="C428" s="20">
        <v>45959</v>
      </c>
      <c r="D428" s="10" t="s">
        <v>159</v>
      </c>
      <c r="E428" s="10" t="s">
        <v>160</v>
      </c>
      <c r="F428" s="10" t="str">
        <f>TRIM(LEFT(OrdersRawTable9[[#This Row],[Customer_Info]],FIND(",",OrdersRawTable9[[#This Row],[Customer_Info]])-1))</f>
        <v>Omar Brown</v>
      </c>
      <c r="G42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428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428" s="10">
        <f>LEN(OrdersRawTable9[[#This Row],[Customer_Info]])-LEN(SUBSTITUTE(OrdersRawTable9[[#This Row],[Customer_Info]],",",""))</f>
        <v>2</v>
      </c>
      <c r="J428" s="10" t="s">
        <v>220</v>
      </c>
      <c r="K428" s="23">
        <v>3</v>
      </c>
      <c r="L428" s="26">
        <v>25.01</v>
      </c>
      <c r="M428" s="29">
        <v>0</v>
      </c>
      <c r="N428" s="10" t="s">
        <v>66</v>
      </c>
      <c r="O428" s="10" t="str">
        <f>IF(TRIM(OrdersRawTable9[[#This Row],[Sales_Channel_Raw]])="Market place","Marketplace",TRIM(OrdersRawTable9[[#This Row],[Sales_Channel_Raw]]))</f>
        <v>Marketplace</v>
      </c>
      <c r="P428" s="10" t="s">
        <v>58</v>
      </c>
      <c r="Q428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428" s="15" t="s">
        <v>101</v>
      </c>
      <c r="S428" t="str">
        <f>VLOOKUP(OrdersRawTable9[[#This Row],[Customer_ID_Raw]],CustomersTable11[],4,FALSE)</f>
        <v>Nova Scotia</v>
      </c>
      <c r="T428" t="str">
        <f>VLOOKUP(OrdersRawTable9[[#This Row],[Customer_ID_Raw]],CustomersTable11[],5,FALSE)</f>
        <v>Consumer</v>
      </c>
      <c r="U428" s="45">
        <f>VLOOKUP(OrdersRawTable9[[#This Row],[Product_ID]],ProductsTable10[],4,FALSE)</f>
        <v>16.86</v>
      </c>
      <c r="V428" t="str">
        <f>VLOOKUP(OrdersRawTable9[[#This Row],[Product_ID]],ProductsTable10[],3,FALSE)</f>
        <v>Office</v>
      </c>
      <c r="W428" s="45">
        <f>OrdersRawTable9[[#This Row],[Unit_Price]]*OrdersRawTable9[[#This Row],[Quantity]]</f>
        <v>75.03</v>
      </c>
      <c r="X428" s="47">
        <f>OrdersRawTable9[[#This Row],[Gross_Sales]]*OrdersRawTable9[[#This Row],[Discount_Pct]]</f>
        <v>0</v>
      </c>
      <c r="Y428" s="45">
        <f>OrdersRawTable9[[#This Row],[Gross_Sales]]-OrdersRawTable9[[#This Row],[Discount_Amount]]</f>
        <v>75.03</v>
      </c>
      <c r="Z428" s="45">
        <f>OrdersRawTable9[[#This Row],[Unit_Cost]]*OrdersRawTable9[[#This Row],[Quantity]]</f>
        <v>50.58</v>
      </c>
      <c r="AA428" s="45">
        <f>OrdersRawTable9[[#This Row],[Net_Sales]]-OrdersRawTable9[[#This Row],[Total_Cost]]</f>
        <v>24.450000000000003</v>
      </c>
      <c r="AB428" s="48">
        <f>IF(OrdersRawTable9[[#This Row],[Net_Sales]]=0,0,OrdersRawTable9[[#This Row],[Profit]]/OrdersRawTable9[[#This Row],[Net_Sales]])</f>
        <v>0.32586965213914437</v>
      </c>
      <c r="AC428" s="45" t="str">
        <f>IF(COUNTIF(ReturnsRawTable[Order_Line_ID],OrdersRawTable9[[#This Row],[Order_Line_ID]])&gt;0,"Yes","No")</f>
        <v>No</v>
      </c>
      <c r="AD428" s="45" t="str">
        <f>IFERROR(VLOOKUP(OrdersRawTable9[[#This Row],[Order_Line_ID]],ReturnsRawTable[[#All],[Order_Line_ID]:[Return_Reason_Raw]],3,FALSE),"")</f>
        <v/>
      </c>
      <c r="AE428" s="49" t="str">
        <f>IFERROR(VLOOKUP(OrdersRawTable9[[#This Row],[Order_Line_ID]],ReturnsRawTable[[#All],[Order_Line_ID]:[Return_Date]],2,FALSE),"")</f>
        <v/>
      </c>
      <c r="AF428" s="45" t="str">
        <f>IFERROR(VLOOKUP(OrdersRawTable9[[#This Row],[Order_Line_ID]],ReturnsRawTable[[Order_Line_ID]:[Refund_Status]],4,FALSE),"")</f>
        <v/>
      </c>
      <c r="AG428" s="45" t="str">
        <f>VLOOKUP(OrdersRawTable9[[#This Row],[Order_ID]],ShipmentsTable[],6,FALSE)</f>
        <v>On time</v>
      </c>
      <c r="AH428" s="49">
        <f>VLOOKUP(OrdersRawTable9[[#This Row],[Order_ID]],ShipmentsTable[],3,FALSE)</f>
        <v>45963</v>
      </c>
    </row>
    <row r="429" spans="1:34" ht="15" customHeight="1">
      <c r="A429" s="14" t="s">
        <v>933</v>
      </c>
      <c r="B429" s="10" t="s">
        <v>934</v>
      </c>
      <c r="C429" s="20">
        <v>45881</v>
      </c>
      <c r="D429" s="10" t="s">
        <v>935</v>
      </c>
      <c r="E429" s="10" t="s">
        <v>936</v>
      </c>
      <c r="F429" s="10" t="str">
        <f>TRIM(LEFT(OrdersRawTable9[[#This Row],[Customer_Info]],FIND(",",OrdersRawTable9[[#This Row],[Customer_Info]])-1))</f>
        <v>Emma Singh</v>
      </c>
      <c r="G42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429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429" s="10">
        <f>LEN(OrdersRawTable9[[#This Row],[Customer_Info]])-LEN(SUBSTITUTE(OrdersRawTable9[[#This Row],[Customer_Info]],",",""))</f>
        <v>2</v>
      </c>
      <c r="J429" s="10" t="s">
        <v>196</v>
      </c>
      <c r="K429" s="23">
        <v>3</v>
      </c>
      <c r="L429" s="26">
        <v>183.73</v>
      </c>
      <c r="M429" s="29">
        <v>0.1</v>
      </c>
      <c r="N429" s="10" t="s">
        <v>64</v>
      </c>
      <c r="O429" s="10" t="str">
        <f>IF(TRIM(OrdersRawTable9[[#This Row],[Sales_Channel_Raw]])="Market place","Marketplace",TRIM(OrdersRawTable9[[#This Row],[Sales_Channel_Raw]]))</f>
        <v>Retail Store</v>
      </c>
      <c r="P429" s="10" t="s">
        <v>51</v>
      </c>
      <c r="Q429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429" s="15" t="s">
        <v>52</v>
      </c>
      <c r="S429" t="str">
        <f>VLOOKUP(OrdersRawTable9[[#This Row],[Customer_ID_Raw]],CustomersTable11[],4,FALSE)</f>
        <v>Ontario</v>
      </c>
      <c r="T429" t="str">
        <f>VLOOKUP(OrdersRawTable9[[#This Row],[Customer_ID_Raw]],CustomersTable11[],5,FALSE)</f>
        <v>Consumer</v>
      </c>
      <c r="U429" s="45">
        <f>VLOOKUP(OrdersRawTable9[[#This Row],[Product_ID]],ProductsTable10[],4,FALSE)</f>
        <v>98.11</v>
      </c>
      <c r="V429" t="str">
        <f>VLOOKUP(OrdersRawTable9[[#This Row],[Product_ID]],ProductsTable10[],3,FALSE)</f>
        <v>Home</v>
      </c>
      <c r="W429" s="45">
        <f>OrdersRawTable9[[#This Row],[Unit_Price]]*OrdersRawTable9[[#This Row],[Quantity]]</f>
        <v>551.18999999999994</v>
      </c>
      <c r="X429" s="47">
        <f>OrdersRawTable9[[#This Row],[Gross_Sales]]*OrdersRawTable9[[#This Row],[Discount_Pct]]</f>
        <v>55.119</v>
      </c>
      <c r="Y429" s="45">
        <f>OrdersRawTable9[[#This Row],[Gross_Sales]]-OrdersRawTable9[[#This Row],[Discount_Amount]]</f>
        <v>496.07099999999991</v>
      </c>
      <c r="Z429" s="45">
        <f>OrdersRawTable9[[#This Row],[Unit_Cost]]*OrdersRawTable9[[#This Row],[Quantity]]</f>
        <v>294.33</v>
      </c>
      <c r="AA429" s="45">
        <f>OrdersRawTable9[[#This Row],[Net_Sales]]-OrdersRawTable9[[#This Row],[Total_Cost]]</f>
        <v>201.74099999999993</v>
      </c>
      <c r="AB429" s="48">
        <f>IF(OrdersRawTable9[[#This Row],[Net_Sales]]=0,0,OrdersRawTable9[[#This Row],[Profit]]/OrdersRawTable9[[#This Row],[Net_Sales]])</f>
        <v>0.40667767315565706</v>
      </c>
      <c r="AC429" s="45" t="str">
        <f>IF(COUNTIF(ReturnsRawTable[Order_Line_ID],OrdersRawTable9[[#This Row],[Order_Line_ID]])&gt;0,"Yes","No")</f>
        <v>No</v>
      </c>
      <c r="AD429" s="45" t="str">
        <f>IFERROR(VLOOKUP(OrdersRawTable9[[#This Row],[Order_Line_ID]],ReturnsRawTable[[#All],[Order_Line_ID]:[Return_Reason_Raw]],3,FALSE),"")</f>
        <v/>
      </c>
      <c r="AE429" s="49" t="str">
        <f>IFERROR(VLOOKUP(OrdersRawTable9[[#This Row],[Order_Line_ID]],ReturnsRawTable[[#All],[Order_Line_ID]:[Return_Date]],2,FALSE),"")</f>
        <v/>
      </c>
      <c r="AF429" s="45" t="str">
        <f>IFERROR(VLOOKUP(OrdersRawTable9[[#This Row],[Order_Line_ID]],ReturnsRawTable[[Order_Line_ID]:[Refund_Status]],4,FALSE),"")</f>
        <v/>
      </c>
      <c r="AG429" s="45" t="str">
        <f>VLOOKUP(OrdersRawTable9[[#This Row],[Order_ID]],ShipmentsTable[],6,FALSE)</f>
        <v>On time</v>
      </c>
      <c r="AH429" s="49">
        <f>VLOOKUP(OrdersRawTable9[[#This Row],[Order_ID]],ShipmentsTable[],3,FALSE)</f>
        <v>45886</v>
      </c>
    </row>
    <row r="430" spans="1:34" ht="15" customHeight="1">
      <c r="A430" s="14" t="s">
        <v>937</v>
      </c>
      <c r="B430" s="10" t="s">
        <v>934</v>
      </c>
      <c r="C430" s="20">
        <v>45881</v>
      </c>
      <c r="D430" s="10" t="s">
        <v>935</v>
      </c>
      <c r="E430" s="10" t="s">
        <v>936</v>
      </c>
      <c r="F430" s="10" t="str">
        <f>TRIM(LEFT(OrdersRawTable9[[#This Row],[Customer_Info]],FIND(",",OrdersRawTable9[[#This Row],[Customer_Info]])-1))</f>
        <v>Emma Singh</v>
      </c>
      <c r="G43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430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430" s="10">
        <f>LEN(OrdersRawTable9[[#This Row],[Customer_Info]])-LEN(SUBSTITUTE(OrdersRawTable9[[#This Row],[Customer_Info]],",",""))</f>
        <v>2</v>
      </c>
      <c r="J430" s="10" t="s">
        <v>57</v>
      </c>
      <c r="K430" s="23">
        <v>4</v>
      </c>
      <c r="L430" s="26">
        <v>208.81</v>
      </c>
      <c r="M430" s="29">
        <v>0.05</v>
      </c>
      <c r="N430" s="10" t="s">
        <v>64</v>
      </c>
      <c r="O430" s="10" t="str">
        <f>IF(TRIM(OrdersRawTable9[[#This Row],[Sales_Channel_Raw]])="Market place","Marketplace",TRIM(OrdersRawTable9[[#This Row],[Sales_Channel_Raw]]))</f>
        <v>Retail Store</v>
      </c>
      <c r="P430" s="10" t="s">
        <v>41</v>
      </c>
      <c r="Q430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430" s="15" t="s">
        <v>67</v>
      </c>
      <c r="S430" t="str">
        <f>VLOOKUP(OrdersRawTable9[[#This Row],[Customer_ID_Raw]],CustomersTable11[],4,FALSE)</f>
        <v>Ontario</v>
      </c>
      <c r="T430" t="str">
        <f>VLOOKUP(OrdersRawTable9[[#This Row],[Customer_ID_Raw]],CustomersTable11[],5,FALSE)</f>
        <v>Consumer</v>
      </c>
      <c r="U430" s="45">
        <f>VLOOKUP(OrdersRawTable9[[#This Row],[Product_ID]],ProductsTable10[],4,FALSE)</f>
        <v>139.04</v>
      </c>
      <c r="V430" t="str">
        <f>VLOOKUP(OrdersRawTable9[[#This Row],[Product_ID]],ProductsTable10[],3,FALSE)</f>
        <v>Fitness</v>
      </c>
      <c r="W430" s="45">
        <f>OrdersRawTable9[[#This Row],[Unit_Price]]*OrdersRawTable9[[#This Row],[Quantity]]</f>
        <v>835.24</v>
      </c>
      <c r="X430" s="47">
        <f>OrdersRawTable9[[#This Row],[Gross_Sales]]*OrdersRawTable9[[#This Row],[Discount_Pct]]</f>
        <v>41.762</v>
      </c>
      <c r="Y430" s="45">
        <f>OrdersRawTable9[[#This Row],[Gross_Sales]]-OrdersRawTable9[[#This Row],[Discount_Amount]]</f>
        <v>793.47800000000007</v>
      </c>
      <c r="Z430" s="45">
        <f>OrdersRawTable9[[#This Row],[Unit_Cost]]*OrdersRawTable9[[#This Row],[Quantity]]</f>
        <v>556.16</v>
      </c>
      <c r="AA430" s="45">
        <f>OrdersRawTable9[[#This Row],[Net_Sales]]-OrdersRawTable9[[#This Row],[Total_Cost]]</f>
        <v>237.3180000000001</v>
      </c>
      <c r="AB430" s="48">
        <f>IF(OrdersRawTable9[[#This Row],[Net_Sales]]=0,0,OrdersRawTable9[[#This Row],[Profit]]/OrdersRawTable9[[#This Row],[Net_Sales]])</f>
        <v>0.29908579695971416</v>
      </c>
      <c r="AC430" s="45" t="str">
        <f>IF(COUNTIF(ReturnsRawTable[Order_Line_ID],OrdersRawTable9[[#This Row],[Order_Line_ID]])&gt;0,"Yes","No")</f>
        <v>No</v>
      </c>
      <c r="AD430" s="45" t="str">
        <f>IFERROR(VLOOKUP(OrdersRawTable9[[#This Row],[Order_Line_ID]],ReturnsRawTable[[#All],[Order_Line_ID]:[Return_Reason_Raw]],3,FALSE),"")</f>
        <v/>
      </c>
      <c r="AE430" s="49" t="str">
        <f>IFERROR(VLOOKUP(OrdersRawTable9[[#This Row],[Order_Line_ID]],ReturnsRawTable[[#All],[Order_Line_ID]:[Return_Date]],2,FALSE),"")</f>
        <v/>
      </c>
      <c r="AF430" s="45" t="str">
        <f>IFERROR(VLOOKUP(OrdersRawTable9[[#This Row],[Order_Line_ID]],ReturnsRawTable[[Order_Line_ID]:[Refund_Status]],4,FALSE),"")</f>
        <v/>
      </c>
      <c r="AG430" s="45" t="str">
        <f>VLOOKUP(OrdersRawTable9[[#This Row],[Order_ID]],ShipmentsTable[],6,FALSE)</f>
        <v>On time</v>
      </c>
      <c r="AH430" s="49">
        <f>VLOOKUP(OrdersRawTable9[[#This Row],[Order_ID]],ShipmentsTable[],3,FALSE)</f>
        <v>45886</v>
      </c>
    </row>
    <row r="431" spans="1:34" ht="15" customHeight="1">
      <c r="A431" s="14" t="s">
        <v>938</v>
      </c>
      <c r="B431" s="10" t="s">
        <v>934</v>
      </c>
      <c r="C431" s="20">
        <v>45881</v>
      </c>
      <c r="D431" s="10" t="s">
        <v>935</v>
      </c>
      <c r="E431" s="10" t="s">
        <v>936</v>
      </c>
      <c r="F431" s="10" t="str">
        <f>TRIM(LEFT(OrdersRawTable9[[#This Row],[Customer_Info]],FIND(",",OrdersRawTable9[[#This Row],[Customer_Info]])-1))</f>
        <v>Emma Singh</v>
      </c>
      <c r="G43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431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431" s="10">
        <f>LEN(OrdersRawTable9[[#This Row],[Customer_Info]])-LEN(SUBSTITUTE(OrdersRawTable9[[#This Row],[Customer_Info]],",",""))</f>
        <v>2</v>
      </c>
      <c r="J431" s="10" t="s">
        <v>784</v>
      </c>
      <c r="K431" s="23">
        <v>1</v>
      </c>
      <c r="L431" s="26">
        <v>96.33</v>
      </c>
      <c r="M431" s="29">
        <v>0.05</v>
      </c>
      <c r="N431" s="10" t="s">
        <v>66</v>
      </c>
      <c r="O431" s="10" t="str">
        <f>IF(TRIM(OrdersRawTable9[[#This Row],[Sales_Channel_Raw]])="Market place","Marketplace",TRIM(OrdersRawTable9[[#This Row],[Sales_Channel_Raw]]))</f>
        <v>Marketplace</v>
      </c>
      <c r="P431" s="10" t="s">
        <v>58</v>
      </c>
      <c r="Q431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431" s="15" t="s">
        <v>101</v>
      </c>
      <c r="S431" t="str">
        <f>VLOOKUP(OrdersRawTable9[[#This Row],[Customer_ID_Raw]],CustomersTable11[],4,FALSE)</f>
        <v>Ontario</v>
      </c>
      <c r="T431" t="str">
        <f>VLOOKUP(OrdersRawTable9[[#This Row],[Customer_ID_Raw]],CustomersTable11[],5,FALSE)</f>
        <v>Consumer</v>
      </c>
      <c r="U431" s="45">
        <f>VLOOKUP(OrdersRawTable9[[#This Row],[Product_ID]],ProductsTable10[],4,FALSE)</f>
        <v>57.85</v>
      </c>
      <c r="V431" t="str">
        <f>VLOOKUP(OrdersRawTable9[[#This Row],[Product_ID]],ProductsTable10[],3,FALSE)</f>
        <v>Accessories</v>
      </c>
      <c r="W431" s="45">
        <f>OrdersRawTable9[[#This Row],[Unit_Price]]*OrdersRawTable9[[#This Row],[Quantity]]</f>
        <v>96.33</v>
      </c>
      <c r="X431" s="47">
        <f>OrdersRawTable9[[#This Row],[Gross_Sales]]*OrdersRawTable9[[#This Row],[Discount_Pct]]</f>
        <v>4.8165000000000004</v>
      </c>
      <c r="Y431" s="45">
        <f>OrdersRawTable9[[#This Row],[Gross_Sales]]-OrdersRawTable9[[#This Row],[Discount_Amount]]</f>
        <v>91.513499999999993</v>
      </c>
      <c r="Z431" s="45">
        <f>OrdersRawTable9[[#This Row],[Unit_Cost]]*OrdersRawTable9[[#This Row],[Quantity]]</f>
        <v>57.85</v>
      </c>
      <c r="AA431" s="45">
        <f>OrdersRawTable9[[#This Row],[Net_Sales]]-OrdersRawTable9[[#This Row],[Total_Cost]]</f>
        <v>33.663499999999992</v>
      </c>
      <c r="AB431" s="48">
        <f>IF(OrdersRawTable9[[#This Row],[Net_Sales]]=0,0,OrdersRawTable9[[#This Row],[Profit]]/OrdersRawTable9[[#This Row],[Net_Sales]])</f>
        <v>0.36785283045670852</v>
      </c>
      <c r="AC431" s="45" t="str">
        <f>IF(COUNTIF(ReturnsRawTable[Order_Line_ID],OrdersRawTable9[[#This Row],[Order_Line_ID]])&gt;0,"Yes","No")</f>
        <v>No</v>
      </c>
      <c r="AD431" s="45" t="str">
        <f>IFERROR(VLOOKUP(OrdersRawTable9[[#This Row],[Order_Line_ID]],ReturnsRawTable[[#All],[Order_Line_ID]:[Return_Reason_Raw]],3,FALSE),"")</f>
        <v/>
      </c>
      <c r="AE431" s="49" t="str">
        <f>IFERROR(VLOOKUP(OrdersRawTable9[[#This Row],[Order_Line_ID]],ReturnsRawTable[[#All],[Order_Line_ID]:[Return_Date]],2,FALSE),"")</f>
        <v/>
      </c>
      <c r="AF431" s="45" t="str">
        <f>IFERROR(VLOOKUP(OrdersRawTable9[[#This Row],[Order_Line_ID]],ReturnsRawTable[[Order_Line_ID]:[Refund_Status]],4,FALSE),"")</f>
        <v/>
      </c>
      <c r="AG431" s="45" t="str">
        <f>VLOOKUP(OrdersRawTable9[[#This Row],[Order_ID]],ShipmentsTable[],6,FALSE)</f>
        <v>On time</v>
      </c>
      <c r="AH431" s="49">
        <f>VLOOKUP(OrdersRawTable9[[#This Row],[Order_ID]],ShipmentsTable[],3,FALSE)</f>
        <v>45886</v>
      </c>
    </row>
    <row r="432" spans="1:34" ht="15" customHeight="1">
      <c r="A432" s="14" t="s">
        <v>939</v>
      </c>
      <c r="B432" s="10" t="s">
        <v>934</v>
      </c>
      <c r="C432" s="20">
        <v>45881</v>
      </c>
      <c r="D432" s="10" t="s">
        <v>935</v>
      </c>
      <c r="E432" s="10" t="s">
        <v>936</v>
      </c>
      <c r="F432" s="10" t="str">
        <f>TRIM(LEFT(OrdersRawTable9[[#This Row],[Customer_Info]],FIND(",",OrdersRawTable9[[#This Row],[Customer_Info]])-1))</f>
        <v>Emma Singh</v>
      </c>
      <c r="G43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432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432" s="10">
        <f>LEN(OrdersRawTable9[[#This Row],[Customer_Info]])-LEN(SUBSTITUTE(OrdersRawTable9[[#This Row],[Customer_Info]],",",""))</f>
        <v>2</v>
      </c>
      <c r="J432" s="10" t="s">
        <v>44</v>
      </c>
      <c r="K432" s="23">
        <v>3</v>
      </c>
      <c r="L432" s="26">
        <v>238.47</v>
      </c>
      <c r="M432" s="29">
        <v>0</v>
      </c>
      <c r="N432" s="10" t="s">
        <v>50</v>
      </c>
      <c r="O432" s="10" t="str">
        <f>IF(TRIM(OrdersRawTable9[[#This Row],[Sales_Channel_Raw]])="Market place","Marketplace",TRIM(OrdersRawTable9[[#This Row],[Sales_Channel_Raw]]))</f>
        <v>Marketplace</v>
      </c>
      <c r="P432" s="10" t="s">
        <v>51</v>
      </c>
      <c r="Q432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432" s="15" t="s">
        <v>47</v>
      </c>
      <c r="S432" t="str">
        <f>VLOOKUP(OrdersRawTable9[[#This Row],[Customer_ID_Raw]],CustomersTable11[],4,FALSE)</f>
        <v>Ontario</v>
      </c>
      <c r="T432" t="str">
        <f>VLOOKUP(OrdersRawTable9[[#This Row],[Customer_ID_Raw]],CustomersTable11[],5,FALSE)</f>
        <v>Consumer</v>
      </c>
      <c r="U432" s="45">
        <f>VLOOKUP(OrdersRawTable9[[#This Row],[Product_ID]],ProductsTable10[],4,FALSE)</f>
        <v>127.65</v>
      </c>
      <c r="V432" t="str">
        <f>VLOOKUP(OrdersRawTable9[[#This Row],[Product_ID]],ProductsTable10[],3,FALSE)</f>
        <v>Accessories</v>
      </c>
      <c r="W432" s="45">
        <f>OrdersRawTable9[[#This Row],[Unit_Price]]*OrdersRawTable9[[#This Row],[Quantity]]</f>
        <v>715.41</v>
      </c>
      <c r="X432" s="47">
        <f>OrdersRawTable9[[#This Row],[Gross_Sales]]*OrdersRawTable9[[#This Row],[Discount_Pct]]</f>
        <v>0</v>
      </c>
      <c r="Y432" s="45">
        <f>OrdersRawTable9[[#This Row],[Gross_Sales]]-OrdersRawTable9[[#This Row],[Discount_Amount]]</f>
        <v>715.41</v>
      </c>
      <c r="Z432" s="45">
        <f>OrdersRawTable9[[#This Row],[Unit_Cost]]*OrdersRawTable9[[#This Row],[Quantity]]</f>
        <v>382.95000000000005</v>
      </c>
      <c r="AA432" s="45">
        <f>OrdersRawTable9[[#This Row],[Net_Sales]]-OrdersRawTable9[[#This Row],[Total_Cost]]</f>
        <v>332.45999999999992</v>
      </c>
      <c r="AB432" s="48">
        <f>IF(OrdersRawTable9[[#This Row],[Net_Sales]]=0,0,OrdersRawTable9[[#This Row],[Profit]]/OrdersRawTable9[[#This Row],[Net_Sales]])</f>
        <v>0.46471254245817073</v>
      </c>
      <c r="AC432" s="45" t="str">
        <f>IF(COUNTIF(ReturnsRawTable[Order_Line_ID],OrdersRawTable9[[#This Row],[Order_Line_ID]])&gt;0,"Yes","No")</f>
        <v>No</v>
      </c>
      <c r="AD432" s="45" t="str">
        <f>IFERROR(VLOOKUP(OrdersRawTable9[[#This Row],[Order_Line_ID]],ReturnsRawTable[[#All],[Order_Line_ID]:[Return_Reason_Raw]],3,FALSE),"")</f>
        <v/>
      </c>
      <c r="AE432" s="49" t="str">
        <f>IFERROR(VLOOKUP(OrdersRawTable9[[#This Row],[Order_Line_ID]],ReturnsRawTable[[#All],[Order_Line_ID]:[Return_Date]],2,FALSE),"")</f>
        <v/>
      </c>
      <c r="AF432" s="45" t="str">
        <f>IFERROR(VLOOKUP(OrdersRawTable9[[#This Row],[Order_Line_ID]],ReturnsRawTable[[Order_Line_ID]:[Refund_Status]],4,FALSE),"")</f>
        <v/>
      </c>
      <c r="AG432" s="45" t="str">
        <f>VLOOKUP(OrdersRawTable9[[#This Row],[Order_ID]],ShipmentsTable[],6,FALSE)</f>
        <v>On time</v>
      </c>
      <c r="AH432" s="49">
        <f>VLOOKUP(OrdersRawTable9[[#This Row],[Order_ID]],ShipmentsTable[],3,FALSE)</f>
        <v>45886</v>
      </c>
    </row>
    <row r="433" spans="1:34" ht="15" customHeight="1">
      <c r="A433" s="14" t="s">
        <v>940</v>
      </c>
      <c r="B433" s="10" t="s">
        <v>941</v>
      </c>
      <c r="C433" s="20">
        <v>45948</v>
      </c>
      <c r="D433" s="10" t="s">
        <v>443</v>
      </c>
      <c r="E433" s="10" t="s">
        <v>444</v>
      </c>
      <c r="F433" s="10" t="str">
        <f>TRIM(LEFT(OrdersRawTable9[[#This Row],[Customer_Info]],FIND(",",OrdersRawTable9[[#This Row],[Customer_Info]])-1))</f>
        <v>Sara Tremblay</v>
      </c>
      <c r="G43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433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433" s="10">
        <f>LEN(OrdersRawTable9[[#This Row],[Customer_Info]])-LEN(SUBSTITUTE(OrdersRawTable9[[#This Row],[Customer_Info]],",",""))</f>
        <v>2</v>
      </c>
      <c r="J433" s="10" t="s">
        <v>316</v>
      </c>
      <c r="K433" s="23">
        <v>4</v>
      </c>
      <c r="L433" s="26">
        <v>180.37</v>
      </c>
      <c r="M433" s="29">
        <v>0</v>
      </c>
      <c r="N433" s="10" t="s">
        <v>50</v>
      </c>
      <c r="O433" s="10" t="str">
        <f>IF(TRIM(OrdersRawTable9[[#This Row],[Sales_Channel_Raw]])="Market place","Marketplace",TRIM(OrdersRawTable9[[#This Row],[Sales_Channel_Raw]]))</f>
        <v>Marketplace</v>
      </c>
      <c r="P433" s="10" t="s">
        <v>58</v>
      </c>
      <c r="Q433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433" s="15" t="s">
        <v>52</v>
      </c>
      <c r="S433" t="str">
        <f>VLOOKUP(OrdersRawTable9[[#This Row],[Customer_ID_Raw]],CustomersTable11[],4,FALSE)</f>
        <v>Manitoba</v>
      </c>
      <c r="T433" t="str">
        <f>VLOOKUP(OrdersRawTable9[[#This Row],[Customer_ID_Raw]],CustomersTable11[],5,FALSE)</f>
        <v>Corporate</v>
      </c>
      <c r="U433" s="45">
        <f>VLOOKUP(OrdersRawTable9[[#This Row],[Product_ID]],ProductsTable10[],4,FALSE)</f>
        <v>107.55</v>
      </c>
      <c r="V433" t="str">
        <f>VLOOKUP(OrdersRawTable9[[#This Row],[Product_ID]],ProductsTable10[],3,FALSE)</f>
        <v>Accessories</v>
      </c>
      <c r="W433" s="45">
        <f>OrdersRawTable9[[#This Row],[Unit_Price]]*OrdersRawTable9[[#This Row],[Quantity]]</f>
        <v>721.48</v>
      </c>
      <c r="X433" s="47">
        <f>OrdersRawTable9[[#This Row],[Gross_Sales]]*OrdersRawTable9[[#This Row],[Discount_Pct]]</f>
        <v>0</v>
      </c>
      <c r="Y433" s="45">
        <f>OrdersRawTable9[[#This Row],[Gross_Sales]]-OrdersRawTable9[[#This Row],[Discount_Amount]]</f>
        <v>721.48</v>
      </c>
      <c r="Z433" s="45">
        <f>OrdersRawTable9[[#This Row],[Unit_Cost]]*OrdersRawTable9[[#This Row],[Quantity]]</f>
        <v>430.2</v>
      </c>
      <c r="AA433" s="45">
        <f>OrdersRawTable9[[#This Row],[Net_Sales]]-OrdersRawTable9[[#This Row],[Total_Cost]]</f>
        <v>291.28000000000003</v>
      </c>
      <c r="AB433" s="48">
        <f>IF(OrdersRawTable9[[#This Row],[Net_Sales]]=0,0,OrdersRawTable9[[#This Row],[Profit]]/OrdersRawTable9[[#This Row],[Net_Sales]])</f>
        <v>0.40372567500138606</v>
      </c>
      <c r="AC433" s="45" t="str">
        <f>IF(COUNTIF(ReturnsRawTable[Order_Line_ID],OrdersRawTable9[[#This Row],[Order_Line_ID]])&gt;0,"Yes","No")</f>
        <v>Yes</v>
      </c>
      <c r="AD433" s="45" t="str">
        <f>IFERROR(VLOOKUP(OrdersRawTable9[[#This Row],[Order_Line_ID]],ReturnsRawTable[[#All],[Order_Line_ID]:[Return_Reason_Raw]],3,FALSE),"")</f>
        <v>Wrong item</v>
      </c>
      <c r="AE433" s="49">
        <f>IFERROR(VLOOKUP(OrdersRawTable9[[#This Row],[Order_Line_ID]],ReturnsRawTable[[#All],[Order_Line_ID]:[Return_Date]],2,FALSE),"")</f>
        <v>45975</v>
      </c>
      <c r="AF433" s="45" t="str">
        <f>IFERROR(VLOOKUP(OrdersRawTable9[[#This Row],[Order_Line_ID]],ReturnsRawTable[[Order_Line_ID]:[Refund_Status]],4,FALSE),"")</f>
        <v>Refunded</v>
      </c>
      <c r="AG433" s="45" t="str">
        <f>VLOOKUP(OrdersRawTable9[[#This Row],[Order_ID]],ShipmentsTable[],6,FALSE)</f>
        <v>Late</v>
      </c>
      <c r="AH433" s="49">
        <f>VLOOKUP(OrdersRawTable9[[#This Row],[Order_ID]],ShipmentsTable[],3,FALSE)</f>
        <v>45957</v>
      </c>
    </row>
    <row r="434" spans="1:34" ht="15" customHeight="1">
      <c r="A434" s="14" t="s">
        <v>942</v>
      </c>
      <c r="B434" s="10" t="s">
        <v>941</v>
      </c>
      <c r="C434" s="20">
        <v>45948</v>
      </c>
      <c r="D434" s="10" t="s">
        <v>443</v>
      </c>
      <c r="E434" s="10" t="s">
        <v>444</v>
      </c>
      <c r="F434" s="10" t="str">
        <f>TRIM(LEFT(OrdersRawTable9[[#This Row],[Customer_Info]],FIND(",",OrdersRawTable9[[#This Row],[Customer_Info]])-1))</f>
        <v>Sara Tremblay</v>
      </c>
      <c r="G43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434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434" s="10">
        <f>LEN(OrdersRawTable9[[#This Row],[Customer_Info]])-LEN(SUBSTITUTE(OrdersRawTable9[[#This Row],[Customer_Info]],",",""))</f>
        <v>2</v>
      </c>
      <c r="J434" s="10" t="s">
        <v>110</v>
      </c>
      <c r="K434" s="23">
        <v>1</v>
      </c>
      <c r="L434" s="26">
        <v>133.24</v>
      </c>
      <c r="M434" s="29">
        <v>0.15</v>
      </c>
      <c r="N434" s="10" t="s">
        <v>64</v>
      </c>
      <c r="O434" s="10" t="str">
        <f>IF(TRIM(OrdersRawTable9[[#This Row],[Sales_Channel_Raw]])="Market place","Marketplace",TRIM(OrdersRawTable9[[#This Row],[Sales_Channel_Raw]]))</f>
        <v>Retail Store</v>
      </c>
      <c r="P434" s="10" t="s">
        <v>46</v>
      </c>
      <c r="Q434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434" s="15" t="s">
        <v>101</v>
      </c>
      <c r="S434" t="str">
        <f>VLOOKUP(OrdersRawTable9[[#This Row],[Customer_ID_Raw]],CustomersTable11[],4,FALSE)</f>
        <v>Manitoba</v>
      </c>
      <c r="T434" t="str">
        <f>VLOOKUP(OrdersRawTable9[[#This Row],[Customer_ID_Raw]],CustomersTable11[],5,FALSE)</f>
        <v>Corporate</v>
      </c>
      <c r="U434" s="45">
        <f>VLOOKUP(OrdersRawTable9[[#This Row],[Product_ID]],ProductsTable10[],4,FALSE)</f>
        <v>77.540000000000006</v>
      </c>
      <c r="V434" t="str">
        <f>VLOOKUP(OrdersRawTable9[[#This Row],[Product_ID]],ProductsTable10[],3,FALSE)</f>
        <v>Electronics</v>
      </c>
      <c r="W434" s="45">
        <f>OrdersRawTable9[[#This Row],[Unit_Price]]*OrdersRawTable9[[#This Row],[Quantity]]</f>
        <v>133.24</v>
      </c>
      <c r="X434" s="47">
        <f>OrdersRawTable9[[#This Row],[Gross_Sales]]*OrdersRawTable9[[#This Row],[Discount_Pct]]</f>
        <v>19.986000000000001</v>
      </c>
      <c r="Y434" s="45">
        <f>OrdersRawTable9[[#This Row],[Gross_Sales]]-OrdersRawTable9[[#This Row],[Discount_Amount]]</f>
        <v>113.254</v>
      </c>
      <c r="Z434" s="45">
        <f>OrdersRawTable9[[#This Row],[Unit_Cost]]*OrdersRawTable9[[#This Row],[Quantity]]</f>
        <v>77.540000000000006</v>
      </c>
      <c r="AA434" s="45">
        <f>OrdersRawTable9[[#This Row],[Net_Sales]]-OrdersRawTable9[[#This Row],[Total_Cost]]</f>
        <v>35.713999999999999</v>
      </c>
      <c r="AB434" s="48">
        <f>IF(OrdersRawTable9[[#This Row],[Net_Sales]]=0,0,OrdersRawTable9[[#This Row],[Profit]]/OrdersRawTable9[[#This Row],[Net_Sales]])</f>
        <v>0.3153442704010454</v>
      </c>
      <c r="AC434" s="45" t="str">
        <f>IF(COUNTIF(ReturnsRawTable[Order_Line_ID],OrdersRawTable9[[#This Row],[Order_Line_ID]])&gt;0,"Yes","No")</f>
        <v>No</v>
      </c>
      <c r="AD434" s="45" t="str">
        <f>IFERROR(VLOOKUP(OrdersRawTable9[[#This Row],[Order_Line_ID]],ReturnsRawTable[[#All],[Order_Line_ID]:[Return_Reason_Raw]],3,FALSE),"")</f>
        <v/>
      </c>
      <c r="AE434" s="49" t="str">
        <f>IFERROR(VLOOKUP(OrdersRawTable9[[#This Row],[Order_Line_ID]],ReturnsRawTable[[#All],[Order_Line_ID]:[Return_Date]],2,FALSE),"")</f>
        <v/>
      </c>
      <c r="AF434" s="45" t="str">
        <f>IFERROR(VLOOKUP(OrdersRawTable9[[#This Row],[Order_Line_ID]],ReturnsRawTable[[Order_Line_ID]:[Refund_Status]],4,FALSE),"")</f>
        <v/>
      </c>
      <c r="AG434" s="45" t="str">
        <f>VLOOKUP(OrdersRawTable9[[#This Row],[Order_ID]],ShipmentsTable[],6,FALSE)</f>
        <v>Late</v>
      </c>
      <c r="AH434" s="49">
        <f>VLOOKUP(OrdersRawTable9[[#This Row],[Order_ID]],ShipmentsTable[],3,FALSE)</f>
        <v>45957</v>
      </c>
    </row>
    <row r="435" spans="1:34" ht="15" customHeight="1">
      <c r="A435" s="14" t="s">
        <v>943</v>
      </c>
      <c r="B435" s="10" t="s">
        <v>941</v>
      </c>
      <c r="C435" s="20">
        <v>45948</v>
      </c>
      <c r="D435" s="10" t="s">
        <v>443</v>
      </c>
      <c r="E435" s="10" t="s">
        <v>444</v>
      </c>
      <c r="F435" s="10" t="str">
        <f>TRIM(LEFT(OrdersRawTable9[[#This Row],[Customer_Info]],FIND(",",OrdersRawTable9[[#This Row],[Customer_Info]])-1))</f>
        <v>Sara Tremblay</v>
      </c>
      <c r="G43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435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435" s="10">
        <f>LEN(OrdersRawTable9[[#This Row],[Customer_Info]])-LEN(SUBSTITUTE(OrdersRawTable9[[#This Row],[Customer_Info]],",",""))</f>
        <v>2</v>
      </c>
      <c r="J435" s="10" t="s">
        <v>178</v>
      </c>
      <c r="K435" s="23">
        <v>2</v>
      </c>
      <c r="L435" s="26">
        <v>61.81</v>
      </c>
      <c r="M435" s="29">
        <v>0</v>
      </c>
      <c r="N435" s="10" t="s">
        <v>64</v>
      </c>
      <c r="O435" s="10" t="str">
        <f>IF(TRIM(OrdersRawTable9[[#This Row],[Sales_Channel_Raw]])="Market place","Marketplace",TRIM(OrdersRawTable9[[#This Row],[Sales_Channel_Raw]]))</f>
        <v>Retail Store</v>
      </c>
      <c r="P435" s="10" t="s">
        <v>41</v>
      </c>
      <c r="Q435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435" s="15" t="s">
        <v>67</v>
      </c>
      <c r="S435" t="str">
        <f>VLOOKUP(OrdersRawTable9[[#This Row],[Customer_ID_Raw]],CustomersTable11[],4,FALSE)</f>
        <v>Manitoba</v>
      </c>
      <c r="T435" t="str">
        <f>VLOOKUP(OrdersRawTable9[[#This Row],[Customer_ID_Raw]],CustomersTable11[],5,FALSE)</f>
        <v>Corporate</v>
      </c>
      <c r="U435" s="45">
        <f>VLOOKUP(OrdersRawTable9[[#This Row],[Product_ID]],ProductsTable10[],4,FALSE)</f>
        <v>33.19</v>
      </c>
      <c r="V435" t="str">
        <f>VLOOKUP(OrdersRawTable9[[#This Row],[Product_ID]],ProductsTable10[],3,FALSE)</f>
        <v>Office</v>
      </c>
      <c r="W435" s="45">
        <f>OrdersRawTable9[[#This Row],[Unit_Price]]*OrdersRawTable9[[#This Row],[Quantity]]</f>
        <v>123.62</v>
      </c>
      <c r="X435" s="47">
        <f>OrdersRawTable9[[#This Row],[Gross_Sales]]*OrdersRawTable9[[#This Row],[Discount_Pct]]</f>
        <v>0</v>
      </c>
      <c r="Y435" s="45">
        <f>OrdersRawTable9[[#This Row],[Gross_Sales]]-OrdersRawTable9[[#This Row],[Discount_Amount]]</f>
        <v>123.62</v>
      </c>
      <c r="Z435" s="45">
        <f>OrdersRawTable9[[#This Row],[Unit_Cost]]*OrdersRawTable9[[#This Row],[Quantity]]</f>
        <v>66.38</v>
      </c>
      <c r="AA435" s="45">
        <f>OrdersRawTable9[[#This Row],[Net_Sales]]-OrdersRawTable9[[#This Row],[Total_Cost]]</f>
        <v>57.240000000000009</v>
      </c>
      <c r="AB435" s="48">
        <f>IF(OrdersRawTable9[[#This Row],[Net_Sales]]=0,0,OrdersRawTable9[[#This Row],[Profit]]/OrdersRawTable9[[#This Row],[Net_Sales]])</f>
        <v>0.46303187186539402</v>
      </c>
      <c r="AC435" s="45" t="str">
        <f>IF(COUNTIF(ReturnsRawTable[Order_Line_ID],OrdersRawTable9[[#This Row],[Order_Line_ID]])&gt;0,"Yes","No")</f>
        <v>No</v>
      </c>
      <c r="AD435" s="45" t="str">
        <f>IFERROR(VLOOKUP(OrdersRawTable9[[#This Row],[Order_Line_ID]],ReturnsRawTable[[#All],[Order_Line_ID]:[Return_Reason_Raw]],3,FALSE),"")</f>
        <v/>
      </c>
      <c r="AE435" s="49" t="str">
        <f>IFERROR(VLOOKUP(OrdersRawTable9[[#This Row],[Order_Line_ID]],ReturnsRawTable[[#All],[Order_Line_ID]:[Return_Date]],2,FALSE),"")</f>
        <v/>
      </c>
      <c r="AF435" s="45" t="str">
        <f>IFERROR(VLOOKUP(OrdersRawTable9[[#This Row],[Order_Line_ID]],ReturnsRawTable[[Order_Line_ID]:[Refund_Status]],4,FALSE),"")</f>
        <v/>
      </c>
      <c r="AG435" s="45" t="str">
        <f>VLOOKUP(OrdersRawTable9[[#This Row],[Order_ID]],ShipmentsTable[],6,FALSE)</f>
        <v>Late</v>
      </c>
      <c r="AH435" s="49">
        <f>VLOOKUP(OrdersRawTable9[[#This Row],[Order_ID]],ShipmentsTable[],3,FALSE)</f>
        <v>45957</v>
      </c>
    </row>
    <row r="436" spans="1:34" ht="15" customHeight="1">
      <c r="A436" s="14" t="s">
        <v>944</v>
      </c>
      <c r="B436" s="10" t="s">
        <v>941</v>
      </c>
      <c r="C436" s="20">
        <v>45948</v>
      </c>
      <c r="D436" s="10" t="s">
        <v>443</v>
      </c>
      <c r="E436" s="10" t="s">
        <v>444</v>
      </c>
      <c r="F436" s="10" t="str">
        <f>TRIM(LEFT(OrdersRawTable9[[#This Row],[Customer_Info]],FIND(",",OrdersRawTable9[[#This Row],[Customer_Info]])-1))</f>
        <v>Sara Tremblay</v>
      </c>
      <c r="G43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436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436" s="10">
        <f>LEN(OrdersRawTable9[[#This Row],[Customer_Info]])-LEN(SUBSTITUTE(OrdersRawTable9[[#This Row],[Customer_Info]],",",""))</f>
        <v>2</v>
      </c>
      <c r="J436" s="10" t="s">
        <v>77</v>
      </c>
      <c r="K436" s="23">
        <v>4</v>
      </c>
      <c r="L436" s="26">
        <v>34.909999999999997</v>
      </c>
      <c r="M436" s="29">
        <v>0</v>
      </c>
      <c r="N436" s="10" t="s">
        <v>66</v>
      </c>
      <c r="O436" s="10" t="str">
        <f>IF(TRIM(OrdersRawTable9[[#This Row],[Sales_Channel_Raw]])="Market place","Marketplace",TRIM(OrdersRawTable9[[#This Row],[Sales_Channel_Raw]]))</f>
        <v>Marketplace</v>
      </c>
      <c r="P436" s="10"/>
      <c r="Q436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436" s="15" t="s">
        <v>42</v>
      </c>
      <c r="S436" t="str">
        <f>VLOOKUP(OrdersRawTable9[[#This Row],[Customer_ID_Raw]],CustomersTable11[],4,FALSE)</f>
        <v>Manitoba</v>
      </c>
      <c r="T436" t="str">
        <f>VLOOKUP(OrdersRawTable9[[#This Row],[Customer_ID_Raw]],CustomersTable11[],5,FALSE)</f>
        <v>Corporate</v>
      </c>
      <c r="U436" s="45">
        <f>VLOOKUP(OrdersRawTable9[[#This Row],[Product_ID]],ProductsTable10[],4,FALSE)</f>
        <v>19.670000000000002</v>
      </c>
      <c r="V436" t="str">
        <f>VLOOKUP(OrdersRawTable9[[#This Row],[Product_ID]],ProductsTable10[],3,FALSE)</f>
        <v>Accessories</v>
      </c>
      <c r="W436" s="45">
        <f>OrdersRawTable9[[#This Row],[Unit_Price]]*OrdersRawTable9[[#This Row],[Quantity]]</f>
        <v>139.63999999999999</v>
      </c>
      <c r="X436" s="47">
        <f>OrdersRawTable9[[#This Row],[Gross_Sales]]*OrdersRawTable9[[#This Row],[Discount_Pct]]</f>
        <v>0</v>
      </c>
      <c r="Y436" s="45">
        <f>OrdersRawTable9[[#This Row],[Gross_Sales]]-OrdersRawTable9[[#This Row],[Discount_Amount]]</f>
        <v>139.63999999999999</v>
      </c>
      <c r="Z436" s="45">
        <f>OrdersRawTable9[[#This Row],[Unit_Cost]]*OrdersRawTable9[[#This Row],[Quantity]]</f>
        <v>78.680000000000007</v>
      </c>
      <c r="AA436" s="45">
        <f>OrdersRawTable9[[#This Row],[Net_Sales]]-OrdersRawTable9[[#This Row],[Total_Cost]]</f>
        <v>60.95999999999998</v>
      </c>
      <c r="AB436" s="48">
        <f>IF(OrdersRawTable9[[#This Row],[Net_Sales]]=0,0,OrdersRawTable9[[#This Row],[Profit]]/OrdersRawTable9[[#This Row],[Net_Sales]])</f>
        <v>0.43655113148095093</v>
      </c>
      <c r="AC436" s="45" t="str">
        <f>IF(COUNTIF(ReturnsRawTable[Order_Line_ID],OrdersRawTable9[[#This Row],[Order_Line_ID]])&gt;0,"Yes","No")</f>
        <v>No</v>
      </c>
      <c r="AD436" s="45" t="str">
        <f>IFERROR(VLOOKUP(OrdersRawTable9[[#This Row],[Order_Line_ID]],ReturnsRawTable[[#All],[Order_Line_ID]:[Return_Reason_Raw]],3,FALSE),"")</f>
        <v/>
      </c>
      <c r="AE436" s="49" t="str">
        <f>IFERROR(VLOOKUP(OrdersRawTable9[[#This Row],[Order_Line_ID]],ReturnsRawTable[[#All],[Order_Line_ID]:[Return_Date]],2,FALSE),"")</f>
        <v/>
      </c>
      <c r="AF436" s="45" t="str">
        <f>IFERROR(VLOOKUP(OrdersRawTable9[[#This Row],[Order_Line_ID]],ReturnsRawTable[[Order_Line_ID]:[Refund_Status]],4,FALSE),"")</f>
        <v/>
      </c>
      <c r="AG436" s="45" t="str">
        <f>VLOOKUP(OrdersRawTable9[[#This Row],[Order_ID]],ShipmentsTable[],6,FALSE)</f>
        <v>Late</v>
      </c>
      <c r="AH436" s="49">
        <f>VLOOKUP(OrdersRawTable9[[#This Row],[Order_ID]],ShipmentsTable[],3,FALSE)</f>
        <v>45957</v>
      </c>
    </row>
    <row r="437" spans="1:34" ht="15" customHeight="1">
      <c r="A437" s="14" t="s">
        <v>945</v>
      </c>
      <c r="B437" s="10" t="s">
        <v>946</v>
      </c>
      <c r="C437" s="20">
        <v>45706</v>
      </c>
      <c r="D437" s="10" t="s">
        <v>947</v>
      </c>
      <c r="E437" s="10" t="s">
        <v>948</v>
      </c>
      <c r="F437" s="10" t="str">
        <f>TRIM(LEFT(OrdersRawTable9[[#This Row],[Customer_Info]],FIND(",",OrdersRawTable9[[#This Row],[Customer_Info]])-1))</f>
        <v>Adam Ali</v>
      </c>
      <c r="G43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437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437" s="10">
        <f>LEN(OrdersRawTable9[[#This Row],[Customer_Info]])-LEN(SUBSTITUTE(OrdersRawTable9[[#This Row],[Customer_Info]],",",""))</f>
        <v>2</v>
      </c>
      <c r="J437" s="10" t="s">
        <v>72</v>
      </c>
      <c r="K437" s="23">
        <v>4</v>
      </c>
      <c r="L437" s="26">
        <v>210.2</v>
      </c>
      <c r="M437" s="29">
        <v>0</v>
      </c>
      <c r="N437" s="10" t="s">
        <v>66</v>
      </c>
      <c r="O437" s="10" t="str">
        <f>IF(TRIM(OrdersRawTable9[[#This Row],[Sales_Channel_Raw]])="Market place","Marketplace",TRIM(OrdersRawTable9[[#This Row],[Sales_Channel_Raw]]))</f>
        <v>Marketplace</v>
      </c>
      <c r="P437" s="10" t="s">
        <v>98</v>
      </c>
      <c r="Q437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437" s="15" t="s">
        <v>101</v>
      </c>
      <c r="S437" t="str">
        <f>VLOOKUP(OrdersRawTable9[[#This Row],[Customer_ID_Raw]],CustomersTable11[],4,FALSE)</f>
        <v>Ontario</v>
      </c>
      <c r="T437" t="str">
        <f>VLOOKUP(OrdersRawTable9[[#This Row],[Customer_ID_Raw]],CustomersTable11[],5,FALSE)</f>
        <v>Corporate</v>
      </c>
      <c r="U437" s="45">
        <f>VLOOKUP(OrdersRawTable9[[#This Row],[Product_ID]],ProductsTable10[],4,FALSE)</f>
        <v>136.25</v>
      </c>
      <c r="V437" t="str">
        <f>VLOOKUP(OrdersRawTable9[[#This Row],[Product_ID]],ProductsTable10[],3,FALSE)</f>
        <v>Fitness</v>
      </c>
      <c r="W437" s="45">
        <f>OrdersRawTable9[[#This Row],[Unit_Price]]*OrdersRawTable9[[#This Row],[Quantity]]</f>
        <v>840.8</v>
      </c>
      <c r="X437" s="47">
        <f>OrdersRawTable9[[#This Row],[Gross_Sales]]*OrdersRawTable9[[#This Row],[Discount_Pct]]</f>
        <v>0</v>
      </c>
      <c r="Y437" s="45">
        <f>OrdersRawTable9[[#This Row],[Gross_Sales]]-OrdersRawTable9[[#This Row],[Discount_Amount]]</f>
        <v>840.8</v>
      </c>
      <c r="Z437" s="45">
        <f>OrdersRawTable9[[#This Row],[Unit_Cost]]*OrdersRawTable9[[#This Row],[Quantity]]</f>
        <v>545</v>
      </c>
      <c r="AA437" s="45">
        <f>OrdersRawTable9[[#This Row],[Net_Sales]]-OrdersRawTable9[[#This Row],[Total_Cost]]</f>
        <v>295.79999999999995</v>
      </c>
      <c r="AB437" s="48">
        <f>IF(OrdersRawTable9[[#This Row],[Net_Sales]]=0,0,OrdersRawTable9[[#This Row],[Profit]]/OrdersRawTable9[[#This Row],[Net_Sales]])</f>
        <v>0.35180780209324447</v>
      </c>
      <c r="AC437" s="45" t="str">
        <f>IF(COUNTIF(ReturnsRawTable[Order_Line_ID],OrdersRawTable9[[#This Row],[Order_Line_ID]])&gt;0,"Yes","No")</f>
        <v>No</v>
      </c>
      <c r="AD437" s="45" t="str">
        <f>IFERROR(VLOOKUP(OrdersRawTable9[[#This Row],[Order_Line_ID]],ReturnsRawTable[[#All],[Order_Line_ID]:[Return_Reason_Raw]],3,FALSE),"")</f>
        <v/>
      </c>
      <c r="AE437" s="49" t="str">
        <f>IFERROR(VLOOKUP(OrdersRawTable9[[#This Row],[Order_Line_ID]],ReturnsRawTable[[#All],[Order_Line_ID]:[Return_Date]],2,FALSE),"")</f>
        <v/>
      </c>
      <c r="AF437" s="45" t="str">
        <f>IFERROR(VLOOKUP(OrdersRawTable9[[#This Row],[Order_Line_ID]],ReturnsRawTable[[Order_Line_ID]:[Refund_Status]],4,FALSE),"")</f>
        <v/>
      </c>
      <c r="AG437" s="45" t="str">
        <f>VLOOKUP(OrdersRawTable9[[#This Row],[Order_ID]],ShipmentsTable[],6,FALSE)</f>
        <v>Late</v>
      </c>
      <c r="AH437" s="49">
        <f>VLOOKUP(OrdersRawTable9[[#This Row],[Order_ID]],ShipmentsTable[],3,FALSE)</f>
        <v>45711</v>
      </c>
    </row>
    <row r="438" spans="1:34" ht="15" customHeight="1">
      <c r="A438" s="14" t="s">
        <v>949</v>
      </c>
      <c r="B438" s="10" t="s">
        <v>946</v>
      </c>
      <c r="C438" s="20">
        <v>45706</v>
      </c>
      <c r="D438" s="10" t="s">
        <v>947</v>
      </c>
      <c r="E438" s="10" t="s">
        <v>948</v>
      </c>
      <c r="F438" s="10" t="str">
        <f>TRIM(LEFT(OrdersRawTable9[[#This Row],[Customer_Info]],FIND(",",OrdersRawTable9[[#This Row],[Customer_Info]])-1))</f>
        <v>Adam Ali</v>
      </c>
      <c r="G43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438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438" s="10">
        <f>LEN(OrdersRawTable9[[#This Row],[Customer_Info]])-LEN(SUBSTITUTE(OrdersRawTable9[[#This Row],[Customer_Info]],",",""))</f>
        <v>2</v>
      </c>
      <c r="J438" s="10" t="s">
        <v>270</v>
      </c>
      <c r="K438" s="23">
        <v>4</v>
      </c>
      <c r="L438" s="26">
        <v>214.38</v>
      </c>
      <c r="M438" s="29">
        <v>0.05</v>
      </c>
      <c r="N438" s="10" t="s">
        <v>70</v>
      </c>
      <c r="O438" s="10" t="str">
        <f>IF(TRIM(OrdersRawTable9[[#This Row],[Sales_Channel_Raw]])="Market place","Marketplace",TRIM(OrdersRawTable9[[#This Row],[Sales_Channel_Raw]]))</f>
        <v>online</v>
      </c>
      <c r="P438" s="10" t="s">
        <v>46</v>
      </c>
      <c r="Q438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438" s="15" t="s">
        <v>101</v>
      </c>
      <c r="S438" t="str">
        <f>VLOOKUP(OrdersRawTable9[[#This Row],[Customer_ID_Raw]],CustomersTable11[],4,FALSE)</f>
        <v>Ontario</v>
      </c>
      <c r="T438" t="str">
        <f>VLOOKUP(OrdersRawTable9[[#This Row],[Customer_ID_Raw]],CustomersTable11[],5,FALSE)</f>
        <v>Corporate</v>
      </c>
      <c r="U438" s="45">
        <f>VLOOKUP(OrdersRawTable9[[#This Row],[Product_ID]],ProductsTable10[],4,FALSE)</f>
        <v>131.51</v>
      </c>
      <c r="V438" t="str">
        <f>VLOOKUP(OrdersRawTable9[[#This Row],[Product_ID]],ProductsTable10[],3,FALSE)</f>
        <v>Fitness</v>
      </c>
      <c r="W438" s="45">
        <f>OrdersRawTable9[[#This Row],[Unit_Price]]*OrdersRawTable9[[#This Row],[Quantity]]</f>
        <v>857.52</v>
      </c>
      <c r="X438" s="47">
        <f>OrdersRawTable9[[#This Row],[Gross_Sales]]*OrdersRawTable9[[#This Row],[Discount_Pct]]</f>
        <v>42.876000000000005</v>
      </c>
      <c r="Y438" s="45">
        <f>OrdersRawTable9[[#This Row],[Gross_Sales]]-OrdersRawTable9[[#This Row],[Discount_Amount]]</f>
        <v>814.64400000000001</v>
      </c>
      <c r="Z438" s="45">
        <f>OrdersRawTable9[[#This Row],[Unit_Cost]]*OrdersRawTable9[[#This Row],[Quantity]]</f>
        <v>526.04</v>
      </c>
      <c r="AA438" s="45">
        <f>OrdersRawTable9[[#This Row],[Net_Sales]]-OrdersRawTable9[[#This Row],[Total_Cost]]</f>
        <v>288.60400000000004</v>
      </c>
      <c r="AB438" s="48">
        <f>IF(OrdersRawTable9[[#This Row],[Net_Sales]]=0,0,OrdersRawTable9[[#This Row],[Profit]]/OrdersRawTable9[[#This Row],[Net_Sales]])</f>
        <v>0.35427008607440802</v>
      </c>
      <c r="AC438" s="45" t="str">
        <f>IF(COUNTIF(ReturnsRawTable[Order_Line_ID],OrdersRawTable9[[#This Row],[Order_Line_ID]])&gt;0,"Yes","No")</f>
        <v>Yes</v>
      </c>
      <c r="AD438" s="45" t="str">
        <f>IFERROR(VLOOKUP(OrdersRawTable9[[#This Row],[Order_Line_ID]],ReturnsRawTable[[#All],[Order_Line_ID]:[Return_Reason_Raw]],3,FALSE),"")</f>
        <v>Changed Mind</v>
      </c>
      <c r="AE438" s="49">
        <f>IFERROR(VLOOKUP(OrdersRawTable9[[#This Row],[Order_Line_ID]],ReturnsRawTable[[#All],[Order_Line_ID]:[Return_Date]],2,FALSE),"")</f>
        <v>45728.041666666664</v>
      </c>
      <c r="AF438" s="45" t="str">
        <f>IFERROR(VLOOKUP(OrdersRawTable9[[#This Row],[Order_Line_ID]],ReturnsRawTable[[Order_Line_ID]:[Refund_Status]],4,FALSE),"")</f>
        <v>Refunded</v>
      </c>
      <c r="AG438" s="45" t="str">
        <f>VLOOKUP(OrdersRawTable9[[#This Row],[Order_ID]],ShipmentsTable[],6,FALSE)</f>
        <v>Late</v>
      </c>
      <c r="AH438" s="49">
        <f>VLOOKUP(OrdersRawTable9[[#This Row],[Order_ID]],ShipmentsTable[],3,FALSE)</f>
        <v>45711</v>
      </c>
    </row>
    <row r="439" spans="1:34" ht="15" customHeight="1">
      <c r="A439" s="14" t="s">
        <v>950</v>
      </c>
      <c r="B439" s="10" t="s">
        <v>946</v>
      </c>
      <c r="C439" s="20">
        <v>45706</v>
      </c>
      <c r="D439" s="10" t="s">
        <v>947</v>
      </c>
      <c r="E439" s="10" t="s">
        <v>948</v>
      </c>
      <c r="F439" s="10" t="str">
        <f>TRIM(LEFT(OrdersRawTable9[[#This Row],[Customer_Info]],FIND(",",OrdersRawTable9[[#This Row],[Customer_Info]])-1))</f>
        <v>Adam Ali</v>
      </c>
      <c r="G43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439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439" s="10">
        <f>LEN(OrdersRawTable9[[#This Row],[Customer_Info]])-LEN(SUBSTITUTE(OrdersRawTable9[[#This Row],[Customer_Info]],",",""))</f>
        <v>2</v>
      </c>
      <c r="J439" s="10" t="s">
        <v>428</v>
      </c>
      <c r="K439" s="23">
        <v>2</v>
      </c>
      <c r="L439" s="26">
        <v>110.88</v>
      </c>
      <c r="M439" s="29">
        <v>0.1</v>
      </c>
      <c r="N439" s="10" t="s">
        <v>70</v>
      </c>
      <c r="O439" s="10" t="str">
        <f>IF(TRIM(OrdersRawTable9[[#This Row],[Sales_Channel_Raw]])="Market place","Marketplace",TRIM(OrdersRawTable9[[#This Row],[Sales_Channel_Raw]]))</f>
        <v>online</v>
      </c>
      <c r="P439" s="10" t="s">
        <v>41</v>
      </c>
      <c r="Q439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439" s="15" t="s">
        <v>52</v>
      </c>
      <c r="S439" t="str">
        <f>VLOOKUP(OrdersRawTable9[[#This Row],[Customer_ID_Raw]],CustomersTable11[],4,FALSE)</f>
        <v>Ontario</v>
      </c>
      <c r="T439" t="str">
        <f>VLOOKUP(OrdersRawTable9[[#This Row],[Customer_ID_Raw]],CustomersTable11[],5,FALSE)</f>
        <v>Corporate</v>
      </c>
      <c r="U439" s="45">
        <f>VLOOKUP(OrdersRawTable9[[#This Row],[Product_ID]],ProductsTable10[],4,FALSE)</f>
        <v>57.09</v>
      </c>
      <c r="V439" t="str">
        <f>VLOOKUP(OrdersRawTable9[[#This Row],[Product_ID]],ProductsTable10[],3,FALSE)</f>
        <v>Electronics</v>
      </c>
      <c r="W439" s="45">
        <f>OrdersRawTable9[[#This Row],[Unit_Price]]*OrdersRawTable9[[#This Row],[Quantity]]</f>
        <v>221.76</v>
      </c>
      <c r="X439" s="47">
        <f>OrdersRawTable9[[#This Row],[Gross_Sales]]*OrdersRawTable9[[#This Row],[Discount_Pct]]</f>
        <v>22.176000000000002</v>
      </c>
      <c r="Y439" s="45">
        <f>OrdersRawTable9[[#This Row],[Gross_Sales]]-OrdersRawTable9[[#This Row],[Discount_Amount]]</f>
        <v>199.584</v>
      </c>
      <c r="Z439" s="45">
        <f>OrdersRawTable9[[#This Row],[Unit_Cost]]*OrdersRawTable9[[#This Row],[Quantity]]</f>
        <v>114.18</v>
      </c>
      <c r="AA439" s="45">
        <f>OrdersRawTable9[[#This Row],[Net_Sales]]-OrdersRawTable9[[#This Row],[Total_Cost]]</f>
        <v>85.403999999999996</v>
      </c>
      <c r="AB439" s="48">
        <f>IF(OrdersRawTable9[[#This Row],[Net_Sales]]=0,0,OrdersRawTable9[[#This Row],[Profit]]/OrdersRawTable9[[#This Row],[Net_Sales]])</f>
        <v>0.42791005291005291</v>
      </c>
      <c r="AC439" s="45" t="str">
        <f>IF(COUNTIF(ReturnsRawTable[Order_Line_ID],OrdersRawTable9[[#This Row],[Order_Line_ID]])&gt;0,"Yes","No")</f>
        <v>No</v>
      </c>
      <c r="AD439" s="45" t="str">
        <f>IFERROR(VLOOKUP(OrdersRawTable9[[#This Row],[Order_Line_ID]],ReturnsRawTable[[#All],[Order_Line_ID]:[Return_Reason_Raw]],3,FALSE),"")</f>
        <v/>
      </c>
      <c r="AE439" s="49" t="str">
        <f>IFERROR(VLOOKUP(OrdersRawTable9[[#This Row],[Order_Line_ID]],ReturnsRawTable[[#All],[Order_Line_ID]:[Return_Date]],2,FALSE),"")</f>
        <v/>
      </c>
      <c r="AF439" s="45" t="str">
        <f>IFERROR(VLOOKUP(OrdersRawTable9[[#This Row],[Order_Line_ID]],ReturnsRawTable[[Order_Line_ID]:[Refund_Status]],4,FALSE),"")</f>
        <v/>
      </c>
      <c r="AG439" s="45" t="str">
        <f>VLOOKUP(OrdersRawTable9[[#This Row],[Order_ID]],ShipmentsTable[],6,FALSE)</f>
        <v>Late</v>
      </c>
      <c r="AH439" s="49">
        <f>VLOOKUP(OrdersRawTable9[[#This Row],[Order_ID]],ShipmentsTable[],3,FALSE)</f>
        <v>45711</v>
      </c>
    </row>
    <row r="440" spans="1:34" ht="15" customHeight="1">
      <c r="A440" s="14" t="s">
        <v>951</v>
      </c>
      <c r="B440" s="10" t="s">
        <v>946</v>
      </c>
      <c r="C440" s="20">
        <v>45706</v>
      </c>
      <c r="D440" s="10" t="s">
        <v>947</v>
      </c>
      <c r="E440" s="10" t="s">
        <v>948</v>
      </c>
      <c r="F440" s="10" t="str">
        <f>TRIM(LEFT(OrdersRawTable9[[#This Row],[Customer_Info]],FIND(",",OrdersRawTable9[[#This Row],[Customer_Info]])-1))</f>
        <v>Adam Ali</v>
      </c>
      <c r="G44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440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440" s="10">
        <f>LEN(OrdersRawTable9[[#This Row],[Customer_Info]])-LEN(SUBSTITUTE(OrdersRawTable9[[#This Row],[Customer_Info]],",",""))</f>
        <v>2</v>
      </c>
      <c r="J440" s="10" t="s">
        <v>110</v>
      </c>
      <c r="K440" s="23">
        <v>3</v>
      </c>
      <c r="L440" s="26">
        <v>133.24</v>
      </c>
      <c r="M440" s="29">
        <v>0.15</v>
      </c>
      <c r="N440" s="10" t="s">
        <v>64</v>
      </c>
      <c r="O440" s="10" t="str">
        <f>IF(TRIM(OrdersRawTable9[[#This Row],[Sales_Channel_Raw]])="Market place","Marketplace",TRIM(OrdersRawTable9[[#This Row],[Sales_Channel_Raw]]))</f>
        <v>Retail Store</v>
      </c>
      <c r="P440" s="10" t="s">
        <v>98</v>
      </c>
      <c r="Q440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440" s="15" t="s">
        <v>101</v>
      </c>
      <c r="S440" t="str">
        <f>VLOOKUP(OrdersRawTable9[[#This Row],[Customer_ID_Raw]],CustomersTable11[],4,FALSE)</f>
        <v>Ontario</v>
      </c>
      <c r="T440" t="str">
        <f>VLOOKUP(OrdersRawTable9[[#This Row],[Customer_ID_Raw]],CustomersTable11[],5,FALSE)</f>
        <v>Corporate</v>
      </c>
      <c r="U440" s="45">
        <f>VLOOKUP(OrdersRawTable9[[#This Row],[Product_ID]],ProductsTable10[],4,FALSE)</f>
        <v>77.540000000000006</v>
      </c>
      <c r="V440" t="str">
        <f>VLOOKUP(OrdersRawTable9[[#This Row],[Product_ID]],ProductsTable10[],3,FALSE)</f>
        <v>Electronics</v>
      </c>
      <c r="W440" s="45">
        <f>OrdersRawTable9[[#This Row],[Unit_Price]]*OrdersRawTable9[[#This Row],[Quantity]]</f>
        <v>399.72</v>
      </c>
      <c r="X440" s="47">
        <f>OrdersRawTable9[[#This Row],[Gross_Sales]]*OrdersRawTable9[[#This Row],[Discount_Pct]]</f>
        <v>59.957999999999998</v>
      </c>
      <c r="Y440" s="45">
        <f>OrdersRawTable9[[#This Row],[Gross_Sales]]-OrdersRawTable9[[#This Row],[Discount_Amount]]</f>
        <v>339.76200000000006</v>
      </c>
      <c r="Z440" s="45">
        <f>OrdersRawTable9[[#This Row],[Unit_Cost]]*OrdersRawTable9[[#This Row],[Quantity]]</f>
        <v>232.62</v>
      </c>
      <c r="AA440" s="45">
        <f>OrdersRawTable9[[#This Row],[Net_Sales]]-OrdersRawTable9[[#This Row],[Total_Cost]]</f>
        <v>107.14200000000005</v>
      </c>
      <c r="AB440" s="48">
        <f>IF(OrdersRawTable9[[#This Row],[Net_Sales]]=0,0,OrdersRawTable9[[#This Row],[Profit]]/OrdersRawTable9[[#This Row],[Net_Sales]])</f>
        <v>0.31534427040104551</v>
      </c>
      <c r="AC440" s="45" t="str">
        <f>IF(COUNTIF(ReturnsRawTable[Order_Line_ID],OrdersRawTable9[[#This Row],[Order_Line_ID]])&gt;0,"Yes","No")</f>
        <v>No</v>
      </c>
      <c r="AD440" s="45" t="str">
        <f>IFERROR(VLOOKUP(OrdersRawTable9[[#This Row],[Order_Line_ID]],ReturnsRawTable[[#All],[Order_Line_ID]:[Return_Reason_Raw]],3,FALSE),"")</f>
        <v/>
      </c>
      <c r="AE440" s="49" t="str">
        <f>IFERROR(VLOOKUP(OrdersRawTable9[[#This Row],[Order_Line_ID]],ReturnsRawTable[[#All],[Order_Line_ID]:[Return_Date]],2,FALSE),"")</f>
        <v/>
      </c>
      <c r="AF440" s="45" t="str">
        <f>IFERROR(VLOOKUP(OrdersRawTable9[[#This Row],[Order_Line_ID]],ReturnsRawTable[[Order_Line_ID]:[Refund_Status]],4,FALSE),"")</f>
        <v/>
      </c>
      <c r="AG440" s="45" t="str">
        <f>VLOOKUP(OrdersRawTable9[[#This Row],[Order_ID]],ShipmentsTable[],6,FALSE)</f>
        <v>Late</v>
      </c>
      <c r="AH440" s="49">
        <f>VLOOKUP(OrdersRawTable9[[#This Row],[Order_ID]],ShipmentsTable[],3,FALSE)</f>
        <v>45711</v>
      </c>
    </row>
    <row r="441" spans="1:34" ht="15" customHeight="1">
      <c r="A441" s="14" t="s">
        <v>952</v>
      </c>
      <c r="B441" s="10" t="s">
        <v>953</v>
      </c>
      <c r="C441" s="20">
        <v>45956</v>
      </c>
      <c r="D441" s="10" t="s">
        <v>954</v>
      </c>
      <c r="E441" s="10" t="s">
        <v>955</v>
      </c>
      <c r="F441" s="10" t="str">
        <f>TRIM(LEFT(OrdersRawTable9[[#This Row],[Customer_Info]],FIND(",",OrdersRawTable9[[#This Row],[Customer_Info]])-1))</f>
        <v>Omar Singh</v>
      </c>
      <c r="G44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441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441" s="10">
        <f>LEN(OrdersRawTable9[[#This Row],[Customer_Info]])-LEN(SUBSTITUTE(OrdersRawTable9[[#This Row],[Customer_Info]],",",""))</f>
        <v>2</v>
      </c>
      <c r="J441" s="10" t="s">
        <v>276</v>
      </c>
      <c r="K441" s="23">
        <v>4</v>
      </c>
      <c r="L441" s="26">
        <v>182.94</v>
      </c>
      <c r="M441" s="29">
        <v>0.05</v>
      </c>
      <c r="N441" s="10" t="s">
        <v>64</v>
      </c>
      <c r="O441" s="10" t="str">
        <f>IF(TRIM(OrdersRawTable9[[#This Row],[Sales_Channel_Raw]])="Market place","Marketplace",TRIM(OrdersRawTable9[[#This Row],[Sales_Channel_Raw]]))</f>
        <v>Retail Store</v>
      </c>
      <c r="P441" s="10" t="s">
        <v>98</v>
      </c>
      <c r="Q441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441" s="15" t="s">
        <v>42</v>
      </c>
      <c r="S441" t="str">
        <f>VLOOKUP(OrdersRawTable9[[#This Row],[Customer_ID_Raw]],CustomersTable11[],4,FALSE)</f>
        <v>Alberta</v>
      </c>
      <c r="T441" t="str">
        <f>VLOOKUP(OrdersRawTable9[[#This Row],[Customer_ID_Raw]],CustomersTable11[],5,FALSE)</f>
        <v>Small Business</v>
      </c>
      <c r="U441" s="45">
        <f>VLOOKUP(OrdersRawTable9[[#This Row],[Product_ID]],ProductsTable10[],4,FALSE)</f>
        <v>118.95</v>
      </c>
      <c r="V441" t="str">
        <f>VLOOKUP(OrdersRawTable9[[#This Row],[Product_ID]],ProductsTable10[],3,FALSE)</f>
        <v>Fitness</v>
      </c>
      <c r="W441" s="45">
        <f>OrdersRawTable9[[#This Row],[Unit_Price]]*OrdersRawTable9[[#This Row],[Quantity]]</f>
        <v>731.76</v>
      </c>
      <c r="X441" s="47">
        <f>OrdersRawTable9[[#This Row],[Gross_Sales]]*OrdersRawTable9[[#This Row],[Discount_Pct]]</f>
        <v>36.588000000000001</v>
      </c>
      <c r="Y441" s="45">
        <f>OrdersRawTable9[[#This Row],[Gross_Sales]]-OrdersRawTable9[[#This Row],[Discount_Amount]]</f>
        <v>695.17200000000003</v>
      </c>
      <c r="Z441" s="45">
        <f>OrdersRawTable9[[#This Row],[Unit_Cost]]*OrdersRawTable9[[#This Row],[Quantity]]</f>
        <v>475.8</v>
      </c>
      <c r="AA441" s="45">
        <f>OrdersRawTable9[[#This Row],[Net_Sales]]-OrdersRawTable9[[#This Row],[Total_Cost]]</f>
        <v>219.37200000000001</v>
      </c>
      <c r="AB441" s="48">
        <f>IF(OrdersRawTable9[[#This Row],[Net_Sales]]=0,0,OrdersRawTable9[[#This Row],[Profit]]/OrdersRawTable9[[#This Row],[Net_Sales]])</f>
        <v>0.31556506878873142</v>
      </c>
      <c r="AC441" s="45" t="str">
        <f>IF(COUNTIF(ReturnsRawTable[Order_Line_ID],OrdersRawTable9[[#This Row],[Order_Line_ID]])&gt;0,"Yes","No")</f>
        <v>No</v>
      </c>
      <c r="AD441" s="45" t="str">
        <f>IFERROR(VLOOKUP(OrdersRawTable9[[#This Row],[Order_Line_ID]],ReturnsRawTable[[#All],[Order_Line_ID]:[Return_Reason_Raw]],3,FALSE),"")</f>
        <v/>
      </c>
      <c r="AE441" s="49" t="str">
        <f>IFERROR(VLOOKUP(OrdersRawTable9[[#This Row],[Order_Line_ID]],ReturnsRawTable[[#All],[Order_Line_ID]:[Return_Date]],2,FALSE),"")</f>
        <v/>
      </c>
      <c r="AF441" s="45" t="str">
        <f>IFERROR(VLOOKUP(OrdersRawTable9[[#This Row],[Order_Line_ID]],ReturnsRawTable[[Order_Line_ID]:[Refund_Status]],4,FALSE),"")</f>
        <v/>
      </c>
      <c r="AG441" s="45" t="str">
        <f>VLOOKUP(OrdersRawTable9[[#This Row],[Order_ID]],ShipmentsTable[],6,FALSE)</f>
        <v>Late</v>
      </c>
      <c r="AH441" s="49">
        <f>VLOOKUP(OrdersRawTable9[[#This Row],[Order_ID]],ShipmentsTable[],3,FALSE)</f>
        <v>45963</v>
      </c>
    </row>
    <row r="442" spans="1:34" ht="15" customHeight="1">
      <c r="A442" s="14" t="s">
        <v>956</v>
      </c>
      <c r="B442" s="10" t="s">
        <v>953</v>
      </c>
      <c r="C442" s="20">
        <v>45956</v>
      </c>
      <c r="D442" s="10" t="s">
        <v>954</v>
      </c>
      <c r="E442" s="10" t="s">
        <v>955</v>
      </c>
      <c r="F442" s="10" t="str">
        <f>TRIM(LEFT(OrdersRawTable9[[#This Row],[Customer_Info]],FIND(",",OrdersRawTable9[[#This Row],[Customer_Info]])-1))</f>
        <v>Omar Singh</v>
      </c>
      <c r="G44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442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442" s="10">
        <f>LEN(OrdersRawTable9[[#This Row],[Customer_Info]])-LEN(SUBSTITUTE(OrdersRawTable9[[#This Row],[Customer_Info]],",",""))</f>
        <v>2</v>
      </c>
      <c r="J442" s="10" t="s">
        <v>93</v>
      </c>
      <c r="K442" s="23">
        <v>2</v>
      </c>
      <c r="L442" s="26">
        <v>208.89</v>
      </c>
      <c r="M442" s="29">
        <v>0.05</v>
      </c>
      <c r="N442" s="10" t="s">
        <v>40</v>
      </c>
      <c r="O442" s="10" t="str">
        <f>IF(TRIM(OrdersRawTable9[[#This Row],[Sales_Channel_Raw]])="Market place","Marketplace",TRIM(OrdersRawTable9[[#This Row],[Sales_Channel_Raw]]))</f>
        <v>Online</v>
      </c>
      <c r="P442" s="10" t="s">
        <v>51</v>
      </c>
      <c r="Q442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442" s="15" t="s">
        <v>47</v>
      </c>
      <c r="S442" t="str">
        <f>VLOOKUP(OrdersRawTable9[[#This Row],[Customer_ID_Raw]],CustomersTable11[],4,FALSE)</f>
        <v>Alberta</v>
      </c>
      <c r="T442" t="str">
        <f>VLOOKUP(OrdersRawTable9[[#This Row],[Customer_ID_Raw]],CustomersTable11[],5,FALSE)</f>
        <v>Small Business</v>
      </c>
      <c r="U442" s="45">
        <f>VLOOKUP(OrdersRawTable9[[#This Row],[Product_ID]],ProductsTable10[],4,FALSE)</f>
        <v>133.05000000000001</v>
      </c>
      <c r="V442" t="str">
        <f>VLOOKUP(OrdersRawTable9[[#This Row],[Product_ID]],ProductsTable10[],3,FALSE)</f>
        <v>Accessories</v>
      </c>
      <c r="W442" s="45">
        <f>OrdersRawTable9[[#This Row],[Unit_Price]]*OrdersRawTable9[[#This Row],[Quantity]]</f>
        <v>417.78</v>
      </c>
      <c r="X442" s="47">
        <f>OrdersRawTable9[[#This Row],[Gross_Sales]]*OrdersRawTable9[[#This Row],[Discount_Pct]]</f>
        <v>20.888999999999999</v>
      </c>
      <c r="Y442" s="45">
        <f>OrdersRawTable9[[#This Row],[Gross_Sales]]-OrdersRawTable9[[#This Row],[Discount_Amount]]</f>
        <v>396.89099999999996</v>
      </c>
      <c r="Z442" s="45">
        <f>OrdersRawTable9[[#This Row],[Unit_Cost]]*OrdersRawTable9[[#This Row],[Quantity]]</f>
        <v>266.10000000000002</v>
      </c>
      <c r="AA442" s="45">
        <f>OrdersRawTable9[[#This Row],[Net_Sales]]-OrdersRawTable9[[#This Row],[Total_Cost]]</f>
        <v>130.79099999999994</v>
      </c>
      <c r="AB442" s="48">
        <f>IF(OrdersRawTable9[[#This Row],[Net_Sales]]=0,0,OrdersRawTable9[[#This Row],[Profit]]/OrdersRawTable9[[#This Row],[Net_Sales]])</f>
        <v>0.32953884063886546</v>
      </c>
      <c r="AC442" s="45" t="str">
        <f>IF(COUNTIF(ReturnsRawTable[Order_Line_ID],OrdersRawTable9[[#This Row],[Order_Line_ID]])&gt;0,"Yes","No")</f>
        <v>No</v>
      </c>
      <c r="AD442" s="45" t="str">
        <f>IFERROR(VLOOKUP(OrdersRawTable9[[#This Row],[Order_Line_ID]],ReturnsRawTable[[#All],[Order_Line_ID]:[Return_Reason_Raw]],3,FALSE),"")</f>
        <v/>
      </c>
      <c r="AE442" s="49" t="str">
        <f>IFERROR(VLOOKUP(OrdersRawTable9[[#This Row],[Order_Line_ID]],ReturnsRawTable[[#All],[Order_Line_ID]:[Return_Date]],2,FALSE),"")</f>
        <v/>
      </c>
      <c r="AF442" s="45" t="str">
        <f>IFERROR(VLOOKUP(OrdersRawTable9[[#This Row],[Order_Line_ID]],ReturnsRawTable[[Order_Line_ID]:[Refund_Status]],4,FALSE),"")</f>
        <v/>
      </c>
      <c r="AG442" s="45" t="str">
        <f>VLOOKUP(OrdersRawTable9[[#This Row],[Order_ID]],ShipmentsTable[],6,FALSE)</f>
        <v>Late</v>
      </c>
      <c r="AH442" s="49">
        <f>VLOOKUP(OrdersRawTable9[[#This Row],[Order_ID]],ShipmentsTable[],3,FALSE)</f>
        <v>45963</v>
      </c>
    </row>
    <row r="443" spans="1:34" ht="15" customHeight="1">
      <c r="A443" s="14" t="s">
        <v>957</v>
      </c>
      <c r="B443" s="10" t="s">
        <v>958</v>
      </c>
      <c r="C443" s="20">
        <v>45922</v>
      </c>
      <c r="D443" s="10" t="s">
        <v>207</v>
      </c>
      <c r="E443" s="10" t="s">
        <v>208</v>
      </c>
      <c r="F443" s="10" t="str">
        <f>TRIM(LEFT(OrdersRawTable9[[#This Row],[Customer_Info]],FIND(",",OrdersRawTable9[[#This Row],[Customer_Info]])-1))</f>
        <v>Sofia Gagnon</v>
      </c>
      <c r="G44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443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443" s="10">
        <f>LEN(OrdersRawTable9[[#This Row],[Customer_Info]])-LEN(SUBSTITUTE(OrdersRawTable9[[#This Row],[Customer_Info]],",",""))</f>
        <v>2</v>
      </c>
      <c r="J443" s="10" t="s">
        <v>147</v>
      </c>
      <c r="K443" s="23">
        <v>1</v>
      </c>
      <c r="L443" s="26">
        <v>102.78</v>
      </c>
      <c r="M443" s="29">
        <v>0</v>
      </c>
      <c r="N443" s="10" t="s">
        <v>45</v>
      </c>
      <c r="O443" s="10" t="str">
        <f>IF(TRIM(OrdersRawTable9[[#This Row],[Sales_Channel_Raw]])="Market place","Marketplace",TRIM(OrdersRawTable9[[#This Row],[Sales_Channel_Raw]]))</f>
        <v>Retail Store</v>
      </c>
      <c r="P443" s="10"/>
      <c r="Q443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443" s="15" t="s">
        <v>101</v>
      </c>
      <c r="S443" t="str">
        <f>VLOOKUP(OrdersRawTable9[[#This Row],[Customer_ID_Raw]],CustomersTable11[],4,FALSE)</f>
        <v>Quebec</v>
      </c>
      <c r="T443" t="str">
        <f>VLOOKUP(OrdersRawTable9[[#This Row],[Customer_ID_Raw]],CustomersTable11[],5,FALSE)</f>
        <v>Corporate</v>
      </c>
      <c r="U443" s="45">
        <f>VLOOKUP(OrdersRawTable9[[#This Row],[Product_ID]],ProductsTable10[],4,FALSE)</f>
        <v>62.65</v>
      </c>
      <c r="V443" t="str">
        <f>VLOOKUP(OrdersRawTable9[[#This Row],[Product_ID]],ProductsTable10[],3,FALSE)</f>
        <v>Accessories</v>
      </c>
      <c r="W443" s="45">
        <f>OrdersRawTable9[[#This Row],[Unit_Price]]*OrdersRawTable9[[#This Row],[Quantity]]</f>
        <v>102.78</v>
      </c>
      <c r="X443" s="47">
        <f>OrdersRawTable9[[#This Row],[Gross_Sales]]*OrdersRawTable9[[#This Row],[Discount_Pct]]</f>
        <v>0</v>
      </c>
      <c r="Y443" s="45">
        <f>OrdersRawTable9[[#This Row],[Gross_Sales]]-OrdersRawTable9[[#This Row],[Discount_Amount]]</f>
        <v>102.78</v>
      </c>
      <c r="Z443" s="45">
        <f>OrdersRawTable9[[#This Row],[Unit_Cost]]*OrdersRawTable9[[#This Row],[Quantity]]</f>
        <v>62.65</v>
      </c>
      <c r="AA443" s="45">
        <f>OrdersRawTable9[[#This Row],[Net_Sales]]-OrdersRawTable9[[#This Row],[Total_Cost]]</f>
        <v>40.130000000000003</v>
      </c>
      <c r="AB443" s="48">
        <f>IF(OrdersRawTable9[[#This Row],[Net_Sales]]=0,0,OrdersRawTable9[[#This Row],[Profit]]/OrdersRawTable9[[#This Row],[Net_Sales]])</f>
        <v>0.39044561198676786</v>
      </c>
      <c r="AC443" s="45" t="str">
        <f>IF(COUNTIF(ReturnsRawTable[Order_Line_ID],OrdersRawTable9[[#This Row],[Order_Line_ID]])&gt;0,"Yes","No")</f>
        <v>No</v>
      </c>
      <c r="AD443" s="45" t="str">
        <f>IFERROR(VLOOKUP(OrdersRawTable9[[#This Row],[Order_Line_ID]],ReturnsRawTable[[#All],[Order_Line_ID]:[Return_Reason_Raw]],3,FALSE),"")</f>
        <v/>
      </c>
      <c r="AE443" s="49" t="str">
        <f>IFERROR(VLOOKUP(OrdersRawTable9[[#This Row],[Order_Line_ID]],ReturnsRawTable[[#All],[Order_Line_ID]:[Return_Date]],2,FALSE),"")</f>
        <v/>
      </c>
      <c r="AF443" s="45" t="str">
        <f>IFERROR(VLOOKUP(OrdersRawTable9[[#This Row],[Order_Line_ID]],ReturnsRawTable[[Order_Line_ID]:[Refund_Status]],4,FALSE),"")</f>
        <v/>
      </c>
      <c r="AG443" s="45" t="str">
        <f>VLOOKUP(OrdersRawTable9[[#This Row],[Order_ID]],ShipmentsTable[],6,FALSE)</f>
        <v>Late</v>
      </c>
      <c r="AH443" s="49">
        <f>VLOOKUP(OrdersRawTable9[[#This Row],[Order_ID]],ShipmentsTable[],3,FALSE)</f>
        <v>45929</v>
      </c>
    </row>
    <row r="444" spans="1:34" ht="15" customHeight="1">
      <c r="A444" s="14" t="s">
        <v>959</v>
      </c>
      <c r="B444" s="10" t="s">
        <v>960</v>
      </c>
      <c r="C444" s="20">
        <v>45766</v>
      </c>
      <c r="D444" s="10" t="s">
        <v>199</v>
      </c>
      <c r="E444" s="10" t="s">
        <v>200</v>
      </c>
      <c r="F444" s="10" t="str">
        <f>TRIM(LEFT(OrdersRawTable9[[#This Row],[Customer_Info]],FIND(",",OrdersRawTable9[[#This Row],[Customer_Info]])-1))</f>
        <v>Noah Singh</v>
      </c>
      <c r="G44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444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444" s="10">
        <f>LEN(OrdersRawTable9[[#This Row],[Customer_Info]])-LEN(SUBSTITUTE(OrdersRawTable9[[#This Row],[Customer_Info]],",",""))</f>
        <v>2</v>
      </c>
      <c r="J444" s="10" t="s">
        <v>456</v>
      </c>
      <c r="K444" s="23">
        <v>4</v>
      </c>
      <c r="L444" s="26">
        <v>275.76</v>
      </c>
      <c r="M444" s="29">
        <v>0</v>
      </c>
      <c r="N444" s="10" t="s">
        <v>50</v>
      </c>
      <c r="O444" s="10" t="str">
        <f>IF(TRIM(OrdersRawTable9[[#This Row],[Sales_Channel_Raw]])="Market place","Marketplace",TRIM(OrdersRawTable9[[#This Row],[Sales_Channel_Raw]]))</f>
        <v>Marketplace</v>
      </c>
      <c r="P444" s="10" t="s">
        <v>51</v>
      </c>
      <c r="Q444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444" s="15" t="s">
        <v>47</v>
      </c>
      <c r="S444" t="str">
        <f>VLOOKUP(OrdersRawTable9[[#This Row],[Customer_ID_Raw]],CustomersTable11[],4,FALSE)</f>
        <v>Ontario</v>
      </c>
      <c r="T444" t="str">
        <f>VLOOKUP(OrdersRawTable9[[#This Row],[Customer_ID_Raw]],CustomersTable11[],5,FALSE)</f>
        <v>Small Business</v>
      </c>
      <c r="U444" s="45">
        <f>VLOOKUP(OrdersRawTable9[[#This Row],[Product_ID]],ProductsTable10[],4,FALSE)</f>
        <v>156.97</v>
      </c>
      <c r="V444" t="str">
        <f>VLOOKUP(OrdersRawTable9[[#This Row],[Product_ID]],ProductsTable10[],3,FALSE)</f>
        <v>Home</v>
      </c>
      <c r="W444" s="45">
        <f>OrdersRawTable9[[#This Row],[Unit_Price]]*OrdersRawTable9[[#This Row],[Quantity]]</f>
        <v>1103.04</v>
      </c>
      <c r="X444" s="47">
        <f>OrdersRawTable9[[#This Row],[Gross_Sales]]*OrdersRawTable9[[#This Row],[Discount_Pct]]</f>
        <v>0</v>
      </c>
      <c r="Y444" s="45">
        <f>OrdersRawTable9[[#This Row],[Gross_Sales]]-OrdersRawTable9[[#This Row],[Discount_Amount]]</f>
        <v>1103.04</v>
      </c>
      <c r="Z444" s="45">
        <f>OrdersRawTable9[[#This Row],[Unit_Cost]]*OrdersRawTable9[[#This Row],[Quantity]]</f>
        <v>627.88</v>
      </c>
      <c r="AA444" s="45">
        <f>OrdersRawTable9[[#This Row],[Net_Sales]]-OrdersRawTable9[[#This Row],[Total_Cost]]</f>
        <v>475.15999999999997</v>
      </c>
      <c r="AB444" s="48">
        <f>IF(OrdersRawTable9[[#This Row],[Net_Sales]]=0,0,OrdersRawTable9[[#This Row],[Profit]]/OrdersRawTable9[[#This Row],[Net_Sales]])</f>
        <v>0.43077313606034229</v>
      </c>
      <c r="AC444" s="45" t="str">
        <f>IF(COUNTIF(ReturnsRawTable[Order_Line_ID],OrdersRawTable9[[#This Row],[Order_Line_ID]])&gt;0,"Yes","No")</f>
        <v>No</v>
      </c>
      <c r="AD444" s="45" t="str">
        <f>IFERROR(VLOOKUP(OrdersRawTable9[[#This Row],[Order_Line_ID]],ReturnsRawTable[[#All],[Order_Line_ID]:[Return_Reason_Raw]],3,FALSE),"")</f>
        <v/>
      </c>
      <c r="AE444" s="49" t="str">
        <f>IFERROR(VLOOKUP(OrdersRawTable9[[#This Row],[Order_Line_ID]],ReturnsRawTable[[#All],[Order_Line_ID]:[Return_Date]],2,FALSE),"")</f>
        <v/>
      </c>
      <c r="AF444" s="45" t="str">
        <f>IFERROR(VLOOKUP(OrdersRawTable9[[#This Row],[Order_Line_ID]],ReturnsRawTable[[Order_Line_ID]:[Refund_Status]],4,FALSE),"")</f>
        <v/>
      </c>
      <c r="AG444" s="45" t="str">
        <f>VLOOKUP(OrdersRawTable9[[#This Row],[Order_ID]],ShipmentsTable[],6,FALSE)</f>
        <v>Late</v>
      </c>
      <c r="AH444" s="49">
        <f>VLOOKUP(OrdersRawTable9[[#This Row],[Order_ID]],ShipmentsTable[],3,FALSE)</f>
        <v>45775</v>
      </c>
    </row>
    <row r="445" spans="1:34" ht="15" customHeight="1">
      <c r="A445" s="14" t="s">
        <v>961</v>
      </c>
      <c r="B445" s="10" t="s">
        <v>962</v>
      </c>
      <c r="C445" s="20">
        <v>45670</v>
      </c>
      <c r="D445" s="10" t="s">
        <v>536</v>
      </c>
      <c r="E445" s="10" t="s">
        <v>537</v>
      </c>
      <c r="F445" s="10" t="str">
        <f>TRIM(LEFT(OrdersRawTable9[[#This Row],[Customer_Info]],FIND(",",OrdersRawTable9[[#This Row],[Customer_Info]])-1))</f>
        <v>Sofia Martin</v>
      </c>
      <c r="G44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445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445" s="10">
        <f>LEN(OrdersRawTable9[[#This Row],[Customer_Info]])-LEN(SUBSTITUTE(OrdersRawTable9[[#This Row],[Customer_Info]],",",""))</f>
        <v>2</v>
      </c>
      <c r="J445" s="10" t="s">
        <v>332</v>
      </c>
      <c r="K445" s="23">
        <v>2</v>
      </c>
      <c r="L445" s="26">
        <v>273.89</v>
      </c>
      <c r="M445" s="29">
        <v>0</v>
      </c>
      <c r="N445" s="10" t="s">
        <v>45</v>
      </c>
      <c r="O445" s="10" t="str">
        <f>IF(TRIM(OrdersRawTable9[[#This Row],[Sales_Channel_Raw]])="Market place","Marketplace",TRIM(OrdersRawTable9[[#This Row],[Sales_Channel_Raw]]))</f>
        <v>Retail Store</v>
      </c>
      <c r="P445" s="10" t="s">
        <v>58</v>
      </c>
      <c r="Q445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445" s="15" t="s">
        <v>47</v>
      </c>
      <c r="S445" t="str">
        <f>VLOOKUP(OrdersRawTable9[[#This Row],[Customer_ID_Raw]],CustomersTable11[],4,FALSE)</f>
        <v>Quebec</v>
      </c>
      <c r="T445" t="str">
        <f>VLOOKUP(OrdersRawTable9[[#This Row],[Customer_ID_Raw]],CustomersTable11[],5,FALSE)</f>
        <v>Consumer</v>
      </c>
      <c r="U445" s="45">
        <f>VLOOKUP(OrdersRawTable9[[#This Row],[Product_ID]],ProductsTable10[],4,FALSE)</f>
        <v>140.66999999999999</v>
      </c>
      <c r="V445" t="str">
        <f>VLOOKUP(OrdersRawTable9[[#This Row],[Product_ID]],ProductsTable10[],3,FALSE)</f>
        <v>Home</v>
      </c>
      <c r="W445" s="45">
        <f>OrdersRawTable9[[#This Row],[Unit_Price]]*OrdersRawTable9[[#This Row],[Quantity]]</f>
        <v>547.78</v>
      </c>
      <c r="X445" s="47">
        <f>OrdersRawTable9[[#This Row],[Gross_Sales]]*OrdersRawTable9[[#This Row],[Discount_Pct]]</f>
        <v>0</v>
      </c>
      <c r="Y445" s="45">
        <f>OrdersRawTable9[[#This Row],[Gross_Sales]]-OrdersRawTable9[[#This Row],[Discount_Amount]]</f>
        <v>547.78</v>
      </c>
      <c r="Z445" s="45">
        <f>OrdersRawTable9[[#This Row],[Unit_Cost]]*OrdersRawTable9[[#This Row],[Quantity]]</f>
        <v>281.33999999999997</v>
      </c>
      <c r="AA445" s="45">
        <f>OrdersRawTable9[[#This Row],[Net_Sales]]-OrdersRawTable9[[#This Row],[Total_Cost]]</f>
        <v>266.44</v>
      </c>
      <c r="AB445" s="48">
        <f>IF(OrdersRawTable9[[#This Row],[Net_Sales]]=0,0,OrdersRawTable9[[#This Row],[Profit]]/OrdersRawTable9[[#This Row],[Net_Sales]])</f>
        <v>0.48639964949432257</v>
      </c>
      <c r="AC445" s="45" t="str">
        <f>IF(COUNTIF(ReturnsRawTable[Order_Line_ID],OrdersRawTable9[[#This Row],[Order_Line_ID]])&gt;0,"Yes","No")</f>
        <v>No</v>
      </c>
      <c r="AD445" s="45" t="str">
        <f>IFERROR(VLOOKUP(OrdersRawTable9[[#This Row],[Order_Line_ID]],ReturnsRawTable[[#All],[Order_Line_ID]:[Return_Reason_Raw]],3,FALSE),"")</f>
        <v/>
      </c>
      <c r="AE445" s="49" t="str">
        <f>IFERROR(VLOOKUP(OrdersRawTable9[[#This Row],[Order_Line_ID]],ReturnsRawTable[[#All],[Order_Line_ID]:[Return_Date]],2,FALSE),"")</f>
        <v/>
      </c>
      <c r="AF445" s="45" t="str">
        <f>IFERROR(VLOOKUP(OrdersRawTable9[[#This Row],[Order_Line_ID]],ReturnsRawTable[[Order_Line_ID]:[Refund_Status]],4,FALSE),"")</f>
        <v/>
      </c>
      <c r="AG445" s="45" t="str">
        <f>VLOOKUP(OrdersRawTable9[[#This Row],[Order_ID]],ShipmentsTable[],6,FALSE)</f>
        <v>On time</v>
      </c>
      <c r="AH445" s="49">
        <f>VLOOKUP(OrdersRawTable9[[#This Row],[Order_ID]],ShipmentsTable[],3,FALSE)</f>
        <v>45673</v>
      </c>
    </row>
    <row r="446" spans="1:34" ht="15" customHeight="1">
      <c r="A446" s="14" t="s">
        <v>963</v>
      </c>
      <c r="B446" s="10" t="s">
        <v>962</v>
      </c>
      <c r="C446" s="20">
        <v>45670</v>
      </c>
      <c r="D446" s="10" t="s">
        <v>536</v>
      </c>
      <c r="E446" s="10" t="s">
        <v>537</v>
      </c>
      <c r="F446" s="10" t="str">
        <f>TRIM(LEFT(OrdersRawTable9[[#This Row],[Customer_Info]],FIND(",",OrdersRawTable9[[#This Row],[Customer_Info]])-1))</f>
        <v>Sofia Martin</v>
      </c>
      <c r="G44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446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446" s="10">
        <f>LEN(OrdersRawTable9[[#This Row],[Customer_Info]])-LEN(SUBSTITUTE(OrdersRawTable9[[#This Row],[Customer_Info]],",",""))</f>
        <v>2</v>
      </c>
      <c r="J446" s="10" t="s">
        <v>44</v>
      </c>
      <c r="K446" s="23">
        <v>1</v>
      </c>
      <c r="L446" s="26">
        <v>238.47</v>
      </c>
      <c r="M446" s="29">
        <v>0.15</v>
      </c>
      <c r="N446" s="10" t="s">
        <v>64</v>
      </c>
      <c r="O446" s="10" t="str">
        <f>IF(TRIM(OrdersRawTable9[[#This Row],[Sales_Channel_Raw]])="Market place","Marketplace",TRIM(OrdersRawTable9[[#This Row],[Sales_Channel_Raw]]))</f>
        <v>Retail Store</v>
      </c>
      <c r="P446" s="10"/>
      <c r="Q446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446" s="15" t="s">
        <v>47</v>
      </c>
      <c r="S446" t="str">
        <f>VLOOKUP(OrdersRawTable9[[#This Row],[Customer_ID_Raw]],CustomersTable11[],4,FALSE)</f>
        <v>Quebec</v>
      </c>
      <c r="T446" t="str">
        <f>VLOOKUP(OrdersRawTable9[[#This Row],[Customer_ID_Raw]],CustomersTable11[],5,FALSE)</f>
        <v>Consumer</v>
      </c>
      <c r="U446" s="45">
        <f>VLOOKUP(OrdersRawTable9[[#This Row],[Product_ID]],ProductsTable10[],4,FALSE)</f>
        <v>127.65</v>
      </c>
      <c r="V446" t="str">
        <f>VLOOKUP(OrdersRawTable9[[#This Row],[Product_ID]],ProductsTable10[],3,FALSE)</f>
        <v>Accessories</v>
      </c>
      <c r="W446" s="45">
        <f>OrdersRawTable9[[#This Row],[Unit_Price]]*OrdersRawTable9[[#This Row],[Quantity]]</f>
        <v>238.47</v>
      </c>
      <c r="X446" s="47">
        <f>OrdersRawTable9[[#This Row],[Gross_Sales]]*OrdersRawTable9[[#This Row],[Discount_Pct]]</f>
        <v>35.770499999999998</v>
      </c>
      <c r="Y446" s="45">
        <f>OrdersRawTable9[[#This Row],[Gross_Sales]]-OrdersRawTable9[[#This Row],[Discount_Amount]]</f>
        <v>202.6995</v>
      </c>
      <c r="Z446" s="45">
        <f>OrdersRawTable9[[#This Row],[Unit_Cost]]*OrdersRawTable9[[#This Row],[Quantity]]</f>
        <v>127.65</v>
      </c>
      <c r="AA446" s="45">
        <f>OrdersRawTable9[[#This Row],[Net_Sales]]-OrdersRawTable9[[#This Row],[Total_Cost]]</f>
        <v>75.049499999999995</v>
      </c>
      <c r="AB446" s="48">
        <f>IF(OrdersRawTable9[[#This Row],[Net_Sales]]=0,0,OrdersRawTable9[[#This Row],[Profit]]/OrdersRawTable9[[#This Row],[Net_Sales]])</f>
        <v>0.3702500499507892</v>
      </c>
      <c r="AC446" s="45" t="str">
        <f>IF(COUNTIF(ReturnsRawTable[Order_Line_ID],OrdersRawTable9[[#This Row],[Order_Line_ID]])&gt;0,"Yes","No")</f>
        <v>No</v>
      </c>
      <c r="AD446" s="45" t="str">
        <f>IFERROR(VLOOKUP(OrdersRawTable9[[#This Row],[Order_Line_ID]],ReturnsRawTable[[#All],[Order_Line_ID]:[Return_Reason_Raw]],3,FALSE),"")</f>
        <v/>
      </c>
      <c r="AE446" s="49" t="str">
        <f>IFERROR(VLOOKUP(OrdersRawTable9[[#This Row],[Order_Line_ID]],ReturnsRawTable[[#All],[Order_Line_ID]:[Return_Date]],2,FALSE),"")</f>
        <v/>
      </c>
      <c r="AF446" s="45" t="str">
        <f>IFERROR(VLOOKUP(OrdersRawTable9[[#This Row],[Order_Line_ID]],ReturnsRawTable[[Order_Line_ID]:[Refund_Status]],4,FALSE),"")</f>
        <v/>
      </c>
      <c r="AG446" s="45" t="str">
        <f>VLOOKUP(OrdersRawTable9[[#This Row],[Order_ID]],ShipmentsTable[],6,FALSE)</f>
        <v>On time</v>
      </c>
      <c r="AH446" s="49">
        <f>VLOOKUP(OrdersRawTable9[[#This Row],[Order_ID]],ShipmentsTable[],3,FALSE)</f>
        <v>45673</v>
      </c>
    </row>
    <row r="447" spans="1:34" ht="15" customHeight="1">
      <c r="A447" s="14" t="s">
        <v>964</v>
      </c>
      <c r="B447" s="10" t="s">
        <v>962</v>
      </c>
      <c r="C447" s="20">
        <v>45670</v>
      </c>
      <c r="D447" s="10" t="s">
        <v>536</v>
      </c>
      <c r="E447" s="10" t="s">
        <v>537</v>
      </c>
      <c r="F447" s="10" t="str">
        <f>TRIM(LEFT(OrdersRawTable9[[#This Row],[Customer_Info]],FIND(",",OrdersRawTable9[[#This Row],[Customer_Info]])-1))</f>
        <v>Sofia Martin</v>
      </c>
      <c r="G44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447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447" s="10">
        <f>LEN(OrdersRawTable9[[#This Row],[Customer_Info]])-LEN(SUBSTITUTE(OrdersRawTable9[[#This Row],[Customer_Info]],",",""))</f>
        <v>2</v>
      </c>
      <c r="J447" s="10" t="s">
        <v>178</v>
      </c>
      <c r="K447" s="23">
        <v>4</v>
      </c>
      <c r="L447" s="26">
        <v>61.81</v>
      </c>
      <c r="M447" s="29">
        <v>0.1</v>
      </c>
      <c r="N447" s="10" t="s">
        <v>70</v>
      </c>
      <c r="O447" s="10" t="str">
        <f>IF(TRIM(OrdersRawTable9[[#This Row],[Sales_Channel_Raw]])="Market place","Marketplace",TRIM(OrdersRawTable9[[#This Row],[Sales_Channel_Raw]]))</f>
        <v>online</v>
      </c>
      <c r="P447" s="10"/>
      <c r="Q447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447" s="15" t="s">
        <v>47</v>
      </c>
      <c r="S447" t="str">
        <f>VLOOKUP(OrdersRawTable9[[#This Row],[Customer_ID_Raw]],CustomersTable11[],4,FALSE)</f>
        <v>Quebec</v>
      </c>
      <c r="T447" t="str">
        <f>VLOOKUP(OrdersRawTable9[[#This Row],[Customer_ID_Raw]],CustomersTable11[],5,FALSE)</f>
        <v>Consumer</v>
      </c>
      <c r="U447" s="45">
        <f>VLOOKUP(OrdersRawTable9[[#This Row],[Product_ID]],ProductsTable10[],4,FALSE)</f>
        <v>33.19</v>
      </c>
      <c r="V447" t="str">
        <f>VLOOKUP(OrdersRawTable9[[#This Row],[Product_ID]],ProductsTable10[],3,FALSE)</f>
        <v>Office</v>
      </c>
      <c r="W447" s="45">
        <f>OrdersRawTable9[[#This Row],[Unit_Price]]*OrdersRawTable9[[#This Row],[Quantity]]</f>
        <v>247.24</v>
      </c>
      <c r="X447" s="47">
        <f>OrdersRawTable9[[#This Row],[Gross_Sales]]*OrdersRawTable9[[#This Row],[Discount_Pct]]</f>
        <v>24.724000000000004</v>
      </c>
      <c r="Y447" s="45">
        <f>OrdersRawTable9[[#This Row],[Gross_Sales]]-OrdersRawTable9[[#This Row],[Discount_Amount]]</f>
        <v>222.51600000000002</v>
      </c>
      <c r="Z447" s="45">
        <f>OrdersRawTable9[[#This Row],[Unit_Cost]]*OrdersRawTable9[[#This Row],[Quantity]]</f>
        <v>132.76</v>
      </c>
      <c r="AA447" s="45">
        <f>OrdersRawTable9[[#This Row],[Net_Sales]]-OrdersRawTable9[[#This Row],[Total_Cost]]</f>
        <v>89.756000000000029</v>
      </c>
      <c r="AB447" s="48">
        <f>IF(OrdersRawTable9[[#This Row],[Net_Sales]]=0,0,OrdersRawTable9[[#This Row],[Profit]]/OrdersRawTable9[[#This Row],[Net_Sales]])</f>
        <v>0.40336874651710447</v>
      </c>
      <c r="AC447" s="45" t="str">
        <f>IF(COUNTIF(ReturnsRawTable[Order_Line_ID],OrdersRawTable9[[#This Row],[Order_Line_ID]])&gt;0,"Yes","No")</f>
        <v>No</v>
      </c>
      <c r="AD447" s="45" t="str">
        <f>IFERROR(VLOOKUP(OrdersRawTable9[[#This Row],[Order_Line_ID]],ReturnsRawTable[[#All],[Order_Line_ID]:[Return_Reason_Raw]],3,FALSE),"")</f>
        <v/>
      </c>
      <c r="AE447" s="49" t="str">
        <f>IFERROR(VLOOKUP(OrdersRawTable9[[#This Row],[Order_Line_ID]],ReturnsRawTable[[#All],[Order_Line_ID]:[Return_Date]],2,FALSE),"")</f>
        <v/>
      </c>
      <c r="AF447" s="45" t="str">
        <f>IFERROR(VLOOKUP(OrdersRawTable9[[#This Row],[Order_Line_ID]],ReturnsRawTable[[Order_Line_ID]:[Refund_Status]],4,FALSE),"")</f>
        <v/>
      </c>
      <c r="AG447" s="45" t="str">
        <f>VLOOKUP(OrdersRawTable9[[#This Row],[Order_ID]],ShipmentsTable[],6,FALSE)</f>
        <v>On time</v>
      </c>
      <c r="AH447" s="49">
        <f>VLOOKUP(OrdersRawTable9[[#This Row],[Order_ID]],ShipmentsTable[],3,FALSE)</f>
        <v>45673</v>
      </c>
    </row>
    <row r="448" spans="1:34" ht="15" customHeight="1">
      <c r="A448" s="14" t="s">
        <v>965</v>
      </c>
      <c r="B448" s="10" t="s">
        <v>962</v>
      </c>
      <c r="C448" s="20">
        <v>45670</v>
      </c>
      <c r="D448" s="10" t="s">
        <v>536</v>
      </c>
      <c r="E448" s="10" t="s">
        <v>537</v>
      </c>
      <c r="F448" s="10" t="str">
        <f>TRIM(LEFT(OrdersRawTable9[[#This Row],[Customer_Info]],FIND(",",OrdersRawTable9[[#This Row],[Customer_Info]])-1))</f>
        <v>Sofia Martin</v>
      </c>
      <c r="G44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448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448" s="10">
        <f>LEN(OrdersRawTable9[[#This Row],[Customer_Info]])-LEN(SUBSTITUTE(OrdersRawTable9[[#This Row],[Customer_Info]],",",""))</f>
        <v>2</v>
      </c>
      <c r="J448" s="10" t="s">
        <v>112</v>
      </c>
      <c r="K448" s="23">
        <v>3</v>
      </c>
      <c r="L448" s="26">
        <v>88.61</v>
      </c>
      <c r="M448" s="29">
        <v>0.15</v>
      </c>
      <c r="N448" s="10" t="s">
        <v>45</v>
      </c>
      <c r="O448" s="10" t="str">
        <f>IF(TRIM(OrdersRawTable9[[#This Row],[Sales_Channel_Raw]])="Market place","Marketplace",TRIM(OrdersRawTable9[[#This Row],[Sales_Channel_Raw]]))</f>
        <v>Retail Store</v>
      </c>
      <c r="P448" s="10" t="s">
        <v>46</v>
      </c>
      <c r="Q448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448" s="15" t="s">
        <v>52</v>
      </c>
      <c r="S448" t="str">
        <f>VLOOKUP(OrdersRawTable9[[#This Row],[Customer_ID_Raw]],CustomersTable11[],4,FALSE)</f>
        <v>Quebec</v>
      </c>
      <c r="T448" t="str">
        <f>VLOOKUP(OrdersRawTable9[[#This Row],[Customer_ID_Raw]],CustomersTable11[],5,FALSE)</f>
        <v>Consumer</v>
      </c>
      <c r="U448" s="45">
        <f>VLOOKUP(OrdersRawTable9[[#This Row],[Product_ID]],ProductsTable10[],4,FALSE)</f>
        <v>49.75</v>
      </c>
      <c r="V448" t="str">
        <f>VLOOKUP(OrdersRawTable9[[#This Row],[Product_ID]],ProductsTable10[],3,FALSE)</f>
        <v>Electronics</v>
      </c>
      <c r="W448" s="45">
        <f>OrdersRawTable9[[#This Row],[Unit_Price]]*OrdersRawTable9[[#This Row],[Quantity]]</f>
        <v>265.83</v>
      </c>
      <c r="X448" s="47">
        <f>OrdersRawTable9[[#This Row],[Gross_Sales]]*OrdersRawTable9[[#This Row],[Discount_Pct]]</f>
        <v>39.874499999999998</v>
      </c>
      <c r="Y448" s="45">
        <f>OrdersRawTable9[[#This Row],[Gross_Sales]]-OrdersRawTable9[[#This Row],[Discount_Amount]]</f>
        <v>225.95549999999997</v>
      </c>
      <c r="Z448" s="45">
        <f>OrdersRawTable9[[#This Row],[Unit_Cost]]*OrdersRawTable9[[#This Row],[Quantity]]</f>
        <v>149.25</v>
      </c>
      <c r="AA448" s="45">
        <f>OrdersRawTable9[[#This Row],[Net_Sales]]-OrdersRawTable9[[#This Row],[Total_Cost]]</f>
        <v>76.705499999999972</v>
      </c>
      <c r="AB448" s="48">
        <f>IF(OrdersRawTable9[[#This Row],[Net_Sales]]=0,0,OrdersRawTable9[[#This Row],[Profit]]/OrdersRawTable9[[#This Row],[Net_Sales]])</f>
        <v>0.33947171013761551</v>
      </c>
      <c r="AC448" s="45" t="str">
        <f>IF(COUNTIF(ReturnsRawTable[Order_Line_ID],OrdersRawTable9[[#This Row],[Order_Line_ID]])&gt;0,"Yes","No")</f>
        <v>No</v>
      </c>
      <c r="AD448" s="45" t="str">
        <f>IFERROR(VLOOKUP(OrdersRawTable9[[#This Row],[Order_Line_ID]],ReturnsRawTable[[#All],[Order_Line_ID]:[Return_Reason_Raw]],3,FALSE),"")</f>
        <v/>
      </c>
      <c r="AE448" s="49" t="str">
        <f>IFERROR(VLOOKUP(OrdersRawTable9[[#This Row],[Order_Line_ID]],ReturnsRawTable[[#All],[Order_Line_ID]:[Return_Date]],2,FALSE),"")</f>
        <v/>
      </c>
      <c r="AF448" s="45" t="str">
        <f>IFERROR(VLOOKUP(OrdersRawTable9[[#This Row],[Order_Line_ID]],ReturnsRawTable[[Order_Line_ID]:[Refund_Status]],4,FALSE),"")</f>
        <v/>
      </c>
      <c r="AG448" s="45" t="str">
        <f>VLOOKUP(OrdersRawTable9[[#This Row],[Order_ID]],ShipmentsTable[],6,FALSE)</f>
        <v>On time</v>
      </c>
      <c r="AH448" s="49">
        <f>VLOOKUP(OrdersRawTable9[[#This Row],[Order_ID]],ShipmentsTable[],3,FALSE)</f>
        <v>45673</v>
      </c>
    </row>
    <row r="449" spans="1:34" ht="15" customHeight="1">
      <c r="A449" s="14" t="s">
        <v>966</v>
      </c>
      <c r="B449" s="10" t="s">
        <v>967</v>
      </c>
      <c r="C449" s="20">
        <v>45840</v>
      </c>
      <c r="D449" s="10" t="s">
        <v>968</v>
      </c>
      <c r="E449" s="10" t="s">
        <v>969</v>
      </c>
      <c r="F449" s="10" t="str">
        <f>TRIM(LEFT(OrdersRawTable9[[#This Row],[Customer_Info]],FIND(",",OrdersRawTable9[[#This Row],[Customer_Info]])-1))</f>
        <v>Omar Tremblay</v>
      </c>
      <c r="G44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449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449" s="10">
        <f>LEN(OrdersRawTable9[[#This Row],[Customer_Info]])-LEN(SUBSTITUTE(OrdersRawTable9[[#This Row],[Customer_Info]],",",""))</f>
        <v>2</v>
      </c>
      <c r="J449" s="10" t="s">
        <v>784</v>
      </c>
      <c r="K449" s="23">
        <v>2</v>
      </c>
      <c r="L449" s="26">
        <v>96.33</v>
      </c>
      <c r="M449" s="29">
        <v>0</v>
      </c>
      <c r="N449" s="10" t="s">
        <v>66</v>
      </c>
      <c r="O449" s="10" t="str">
        <f>IF(TRIM(OrdersRawTable9[[#This Row],[Sales_Channel_Raw]])="Market place","Marketplace",TRIM(OrdersRawTable9[[#This Row],[Sales_Channel_Raw]]))</f>
        <v>Marketplace</v>
      </c>
      <c r="P449" s="10" t="s">
        <v>58</v>
      </c>
      <c r="Q449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449" s="15" t="s">
        <v>47</v>
      </c>
      <c r="S449" t="str">
        <f>VLOOKUP(OrdersRawTable9[[#This Row],[Customer_ID_Raw]],CustomersTable11[],4,FALSE)</f>
        <v>Ontario</v>
      </c>
      <c r="T449" t="str">
        <f>VLOOKUP(OrdersRawTable9[[#This Row],[Customer_ID_Raw]],CustomersTable11[],5,FALSE)</f>
        <v>Consumer</v>
      </c>
      <c r="U449" s="45">
        <f>VLOOKUP(OrdersRawTable9[[#This Row],[Product_ID]],ProductsTable10[],4,FALSE)</f>
        <v>57.85</v>
      </c>
      <c r="V449" t="str">
        <f>VLOOKUP(OrdersRawTable9[[#This Row],[Product_ID]],ProductsTable10[],3,FALSE)</f>
        <v>Accessories</v>
      </c>
      <c r="W449" s="45">
        <f>OrdersRawTable9[[#This Row],[Unit_Price]]*OrdersRawTable9[[#This Row],[Quantity]]</f>
        <v>192.66</v>
      </c>
      <c r="X449" s="47">
        <f>OrdersRawTable9[[#This Row],[Gross_Sales]]*OrdersRawTable9[[#This Row],[Discount_Pct]]</f>
        <v>0</v>
      </c>
      <c r="Y449" s="45">
        <f>OrdersRawTable9[[#This Row],[Gross_Sales]]-OrdersRawTable9[[#This Row],[Discount_Amount]]</f>
        <v>192.66</v>
      </c>
      <c r="Z449" s="45">
        <f>OrdersRawTable9[[#This Row],[Unit_Cost]]*OrdersRawTable9[[#This Row],[Quantity]]</f>
        <v>115.7</v>
      </c>
      <c r="AA449" s="45">
        <f>OrdersRawTable9[[#This Row],[Net_Sales]]-OrdersRawTable9[[#This Row],[Total_Cost]]</f>
        <v>76.959999999999994</v>
      </c>
      <c r="AB449" s="48">
        <f>IF(OrdersRawTable9[[#This Row],[Net_Sales]]=0,0,OrdersRawTable9[[#This Row],[Profit]]/OrdersRawTable9[[#This Row],[Net_Sales]])</f>
        <v>0.39946018893387314</v>
      </c>
      <c r="AC449" s="45" t="str">
        <f>IF(COUNTIF(ReturnsRawTable[Order_Line_ID],OrdersRawTable9[[#This Row],[Order_Line_ID]])&gt;0,"Yes","No")</f>
        <v>No</v>
      </c>
      <c r="AD449" s="45" t="str">
        <f>IFERROR(VLOOKUP(OrdersRawTable9[[#This Row],[Order_Line_ID]],ReturnsRawTable[[#All],[Order_Line_ID]:[Return_Reason_Raw]],3,FALSE),"")</f>
        <v/>
      </c>
      <c r="AE449" s="49" t="str">
        <f>IFERROR(VLOOKUP(OrdersRawTable9[[#This Row],[Order_Line_ID]],ReturnsRawTable[[#All],[Order_Line_ID]:[Return_Date]],2,FALSE),"")</f>
        <v/>
      </c>
      <c r="AF449" s="45" t="str">
        <f>IFERROR(VLOOKUP(OrdersRawTable9[[#This Row],[Order_Line_ID]],ReturnsRawTable[[Order_Line_ID]:[Refund_Status]],4,FALSE),"")</f>
        <v/>
      </c>
      <c r="AG449" s="45" t="str">
        <f>VLOOKUP(OrdersRawTable9[[#This Row],[Order_ID]],ShipmentsTable[],6,FALSE)</f>
        <v>On time</v>
      </c>
      <c r="AH449" s="49">
        <f>VLOOKUP(OrdersRawTable9[[#This Row],[Order_ID]],ShipmentsTable[],3,FALSE)</f>
        <v>45843</v>
      </c>
    </row>
    <row r="450" spans="1:34" ht="15" customHeight="1">
      <c r="A450" s="14" t="s">
        <v>970</v>
      </c>
      <c r="B450" s="10" t="s">
        <v>971</v>
      </c>
      <c r="C450" s="20">
        <v>45787</v>
      </c>
      <c r="D450" s="10" t="s">
        <v>394</v>
      </c>
      <c r="E450" s="10" t="s">
        <v>395</v>
      </c>
      <c r="F450" s="10" t="str">
        <f>TRIM(LEFT(OrdersRawTable9[[#This Row],[Customer_Info]],FIND(",",OrdersRawTable9[[#This Row],[Customer_Info]])-1))</f>
        <v>Maya Martin</v>
      </c>
      <c r="G45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450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450" s="10">
        <f>LEN(OrdersRawTable9[[#This Row],[Customer_Info]])-LEN(SUBSTITUTE(OrdersRawTable9[[#This Row],[Customer_Info]],",",""))</f>
        <v>2</v>
      </c>
      <c r="J450" s="10" t="s">
        <v>108</v>
      </c>
      <c r="K450" s="23">
        <v>2</v>
      </c>
      <c r="L450" s="26">
        <v>33.369999999999997</v>
      </c>
      <c r="M450" s="29">
        <v>0</v>
      </c>
      <c r="N450" s="10" t="s">
        <v>50</v>
      </c>
      <c r="O450" s="10" t="str">
        <f>IF(TRIM(OrdersRawTable9[[#This Row],[Sales_Channel_Raw]])="Market place","Marketplace",TRIM(OrdersRawTable9[[#This Row],[Sales_Channel_Raw]]))</f>
        <v>Marketplace</v>
      </c>
      <c r="P450" s="10" t="s">
        <v>46</v>
      </c>
      <c r="Q450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450" s="15" t="s">
        <v>42</v>
      </c>
      <c r="S450" t="str">
        <f>VLOOKUP(OrdersRawTable9[[#This Row],[Customer_ID_Raw]],CustomersTable11[],4,FALSE)</f>
        <v>British Columbia</v>
      </c>
      <c r="T450" t="str">
        <f>VLOOKUP(OrdersRawTable9[[#This Row],[Customer_ID_Raw]],CustomersTable11[],5,FALSE)</f>
        <v>Small Business</v>
      </c>
      <c r="U450" s="45">
        <f>VLOOKUP(OrdersRawTable9[[#This Row],[Product_ID]],ProductsTable10[],4,FALSE)</f>
        <v>18.670000000000002</v>
      </c>
      <c r="V450" t="str">
        <f>VLOOKUP(OrdersRawTable9[[#This Row],[Product_ID]],ProductsTable10[],3,FALSE)</f>
        <v>Fitness</v>
      </c>
      <c r="W450" s="45">
        <f>OrdersRawTable9[[#This Row],[Unit_Price]]*OrdersRawTable9[[#This Row],[Quantity]]</f>
        <v>66.739999999999995</v>
      </c>
      <c r="X450" s="47">
        <f>OrdersRawTable9[[#This Row],[Gross_Sales]]*OrdersRawTable9[[#This Row],[Discount_Pct]]</f>
        <v>0</v>
      </c>
      <c r="Y450" s="45">
        <f>OrdersRawTable9[[#This Row],[Gross_Sales]]-OrdersRawTable9[[#This Row],[Discount_Amount]]</f>
        <v>66.739999999999995</v>
      </c>
      <c r="Z450" s="45">
        <f>OrdersRawTable9[[#This Row],[Unit_Cost]]*OrdersRawTable9[[#This Row],[Quantity]]</f>
        <v>37.340000000000003</v>
      </c>
      <c r="AA450" s="45">
        <f>OrdersRawTable9[[#This Row],[Net_Sales]]-OrdersRawTable9[[#This Row],[Total_Cost]]</f>
        <v>29.399999999999991</v>
      </c>
      <c r="AB450" s="48">
        <f>IF(OrdersRawTable9[[#This Row],[Net_Sales]]=0,0,OrdersRawTable9[[#This Row],[Profit]]/OrdersRawTable9[[#This Row],[Net_Sales]])</f>
        <v>0.44051543302367385</v>
      </c>
      <c r="AC450" s="45" t="str">
        <f>IF(COUNTIF(ReturnsRawTable[Order_Line_ID],OrdersRawTable9[[#This Row],[Order_Line_ID]])&gt;0,"Yes","No")</f>
        <v>No</v>
      </c>
      <c r="AD450" s="45" t="str">
        <f>IFERROR(VLOOKUP(OrdersRawTable9[[#This Row],[Order_Line_ID]],ReturnsRawTable[[#All],[Order_Line_ID]:[Return_Reason_Raw]],3,FALSE),"")</f>
        <v/>
      </c>
      <c r="AE450" s="49" t="str">
        <f>IFERROR(VLOOKUP(OrdersRawTable9[[#This Row],[Order_Line_ID]],ReturnsRawTable[[#All],[Order_Line_ID]:[Return_Date]],2,FALSE),"")</f>
        <v/>
      </c>
      <c r="AF450" s="45" t="str">
        <f>IFERROR(VLOOKUP(OrdersRawTable9[[#This Row],[Order_Line_ID]],ReturnsRawTable[[Order_Line_ID]:[Refund_Status]],4,FALSE),"")</f>
        <v/>
      </c>
      <c r="AG450" s="45" t="str">
        <f>VLOOKUP(OrdersRawTable9[[#This Row],[Order_ID]],ShipmentsTable[],6,FALSE)</f>
        <v>Late</v>
      </c>
      <c r="AH450" s="49">
        <f>VLOOKUP(OrdersRawTable9[[#This Row],[Order_ID]],ShipmentsTable[],3,FALSE)</f>
        <v>45796</v>
      </c>
    </row>
    <row r="451" spans="1:34" ht="15" customHeight="1">
      <c r="A451" s="14" t="s">
        <v>972</v>
      </c>
      <c r="B451" s="10" t="s">
        <v>971</v>
      </c>
      <c r="C451" s="20">
        <v>45787</v>
      </c>
      <c r="D451" s="10" t="s">
        <v>394</v>
      </c>
      <c r="E451" s="10" t="s">
        <v>395</v>
      </c>
      <c r="F451" s="10" t="str">
        <f>TRIM(LEFT(OrdersRawTable9[[#This Row],[Customer_Info]],FIND(",",OrdersRawTable9[[#This Row],[Customer_Info]])-1))</f>
        <v>Maya Martin</v>
      </c>
      <c r="G45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451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451" s="10">
        <f>LEN(OrdersRawTable9[[#This Row],[Customer_Info]])-LEN(SUBSTITUTE(OrdersRawTable9[[#This Row],[Customer_Info]],",",""))</f>
        <v>2</v>
      </c>
      <c r="J451" s="10" t="s">
        <v>332</v>
      </c>
      <c r="K451" s="23">
        <v>3</v>
      </c>
      <c r="L451" s="26">
        <v>273.89</v>
      </c>
      <c r="M451" s="29">
        <v>0</v>
      </c>
      <c r="N451" s="10" t="s">
        <v>64</v>
      </c>
      <c r="O451" s="10" t="str">
        <f>IF(TRIM(OrdersRawTable9[[#This Row],[Sales_Channel_Raw]])="Market place","Marketplace",TRIM(OrdersRawTable9[[#This Row],[Sales_Channel_Raw]]))</f>
        <v>Retail Store</v>
      </c>
      <c r="P451" s="10" t="s">
        <v>51</v>
      </c>
      <c r="Q451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451" s="15" t="s">
        <v>47</v>
      </c>
      <c r="S451" t="str">
        <f>VLOOKUP(OrdersRawTable9[[#This Row],[Customer_ID_Raw]],CustomersTable11[],4,FALSE)</f>
        <v>British Columbia</v>
      </c>
      <c r="T451" t="str">
        <f>VLOOKUP(OrdersRawTable9[[#This Row],[Customer_ID_Raw]],CustomersTable11[],5,FALSE)</f>
        <v>Small Business</v>
      </c>
      <c r="U451" s="45">
        <f>VLOOKUP(OrdersRawTable9[[#This Row],[Product_ID]],ProductsTable10[],4,FALSE)</f>
        <v>140.66999999999999</v>
      </c>
      <c r="V451" t="str">
        <f>VLOOKUP(OrdersRawTable9[[#This Row],[Product_ID]],ProductsTable10[],3,FALSE)</f>
        <v>Home</v>
      </c>
      <c r="W451" s="45">
        <f>OrdersRawTable9[[#This Row],[Unit_Price]]*OrdersRawTable9[[#This Row],[Quantity]]</f>
        <v>821.67</v>
      </c>
      <c r="X451" s="47">
        <f>OrdersRawTable9[[#This Row],[Gross_Sales]]*OrdersRawTable9[[#This Row],[Discount_Pct]]</f>
        <v>0</v>
      </c>
      <c r="Y451" s="45">
        <f>OrdersRawTable9[[#This Row],[Gross_Sales]]-OrdersRawTable9[[#This Row],[Discount_Amount]]</f>
        <v>821.67</v>
      </c>
      <c r="Z451" s="45">
        <f>OrdersRawTable9[[#This Row],[Unit_Cost]]*OrdersRawTable9[[#This Row],[Quantity]]</f>
        <v>422.01</v>
      </c>
      <c r="AA451" s="45">
        <f>OrdersRawTable9[[#This Row],[Net_Sales]]-OrdersRawTable9[[#This Row],[Total_Cost]]</f>
        <v>399.65999999999997</v>
      </c>
      <c r="AB451" s="48">
        <f>IF(OrdersRawTable9[[#This Row],[Net_Sales]]=0,0,OrdersRawTable9[[#This Row],[Profit]]/OrdersRawTable9[[#This Row],[Net_Sales]])</f>
        <v>0.48639964949432252</v>
      </c>
      <c r="AC451" s="45" t="str">
        <f>IF(COUNTIF(ReturnsRawTable[Order_Line_ID],OrdersRawTable9[[#This Row],[Order_Line_ID]])&gt;0,"Yes","No")</f>
        <v>Yes</v>
      </c>
      <c r="AD451" s="45" t="str">
        <f>IFERROR(VLOOKUP(OrdersRawTable9[[#This Row],[Order_Line_ID]],ReturnsRawTable[[#All],[Order_Line_ID]:[Return_Reason_Raw]],3,FALSE),"")</f>
        <v>Late Delivery</v>
      </c>
      <c r="AE451" s="49">
        <f>IFERROR(VLOOKUP(OrdersRawTable9[[#This Row],[Order_Line_ID]],ReturnsRawTable[[#All],[Order_Line_ID]:[Return_Date]],2,FALSE),"")</f>
        <v>45816</v>
      </c>
      <c r="AF451" s="45" t="str">
        <f>IFERROR(VLOOKUP(OrdersRawTable9[[#This Row],[Order_Line_ID]],ReturnsRawTable[[Order_Line_ID]:[Refund_Status]],4,FALSE),"")</f>
        <v>Pending</v>
      </c>
      <c r="AG451" s="45" t="str">
        <f>VLOOKUP(OrdersRawTable9[[#This Row],[Order_ID]],ShipmentsTable[],6,FALSE)</f>
        <v>Late</v>
      </c>
      <c r="AH451" s="49">
        <f>VLOOKUP(OrdersRawTable9[[#This Row],[Order_ID]],ShipmentsTable[],3,FALSE)</f>
        <v>45796</v>
      </c>
    </row>
    <row r="452" spans="1:34" ht="15" customHeight="1">
      <c r="A452" s="14" t="s">
        <v>973</v>
      </c>
      <c r="B452" s="10" t="s">
        <v>971</v>
      </c>
      <c r="C452" s="20">
        <v>45787</v>
      </c>
      <c r="D452" s="10" t="s">
        <v>394</v>
      </c>
      <c r="E452" s="10" t="s">
        <v>395</v>
      </c>
      <c r="F452" s="10" t="str">
        <f>TRIM(LEFT(OrdersRawTable9[[#This Row],[Customer_Info]],FIND(",",OrdersRawTable9[[#This Row],[Customer_Info]])-1))</f>
        <v>Maya Martin</v>
      </c>
      <c r="G45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452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452" s="10">
        <f>LEN(OrdersRawTable9[[#This Row],[Customer_Info]])-LEN(SUBSTITUTE(OrdersRawTable9[[#This Row],[Customer_Info]],",",""))</f>
        <v>2</v>
      </c>
      <c r="J452" s="10" t="s">
        <v>93</v>
      </c>
      <c r="K452" s="23">
        <v>3</v>
      </c>
      <c r="L452" s="26">
        <v>208.89</v>
      </c>
      <c r="M452" s="29">
        <v>0</v>
      </c>
      <c r="N452" s="10" t="s">
        <v>66</v>
      </c>
      <c r="O452" s="10" t="str">
        <f>IF(TRIM(OrdersRawTable9[[#This Row],[Sales_Channel_Raw]])="Market place","Marketplace",TRIM(OrdersRawTable9[[#This Row],[Sales_Channel_Raw]]))</f>
        <v>Marketplace</v>
      </c>
      <c r="P452" s="10" t="s">
        <v>46</v>
      </c>
      <c r="Q452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452" s="15" t="s">
        <v>52</v>
      </c>
      <c r="S452" t="str">
        <f>VLOOKUP(OrdersRawTable9[[#This Row],[Customer_ID_Raw]],CustomersTable11[],4,FALSE)</f>
        <v>British Columbia</v>
      </c>
      <c r="T452" t="str">
        <f>VLOOKUP(OrdersRawTable9[[#This Row],[Customer_ID_Raw]],CustomersTable11[],5,FALSE)</f>
        <v>Small Business</v>
      </c>
      <c r="U452" s="45">
        <f>VLOOKUP(OrdersRawTable9[[#This Row],[Product_ID]],ProductsTable10[],4,FALSE)</f>
        <v>133.05000000000001</v>
      </c>
      <c r="V452" t="str">
        <f>VLOOKUP(OrdersRawTable9[[#This Row],[Product_ID]],ProductsTable10[],3,FALSE)</f>
        <v>Accessories</v>
      </c>
      <c r="W452" s="45">
        <f>OrdersRawTable9[[#This Row],[Unit_Price]]*OrdersRawTable9[[#This Row],[Quantity]]</f>
        <v>626.66999999999996</v>
      </c>
      <c r="X452" s="47">
        <f>OrdersRawTable9[[#This Row],[Gross_Sales]]*OrdersRawTable9[[#This Row],[Discount_Pct]]</f>
        <v>0</v>
      </c>
      <c r="Y452" s="45">
        <f>OrdersRawTable9[[#This Row],[Gross_Sales]]-OrdersRawTable9[[#This Row],[Discount_Amount]]</f>
        <v>626.66999999999996</v>
      </c>
      <c r="Z452" s="45">
        <f>OrdersRawTable9[[#This Row],[Unit_Cost]]*OrdersRawTable9[[#This Row],[Quantity]]</f>
        <v>399.15000000000003</v>
      </c>
      <c r="AA452" s="45">
        <f>OrdersRawTable9[[#This Row],[Net_Sales]]-OrdersRawTable9[[#This Row],[Total_Cost]]</f>
        <v>227.51999999999992</v>
      </c>
      <c r="AB452" s="48">
        <f>IF(OrdersRawTable9[[#This Row],[Net_Sales]]=0,0,OrdersRawTable9[[#This Row],[Profit]]/OrdersRawTable9[[#This Row],[Net_Sales]])</f>
        <v>0.36306189860692223</v>
      </c>
      <c r="AC452" s="45" t="str">
        <f>IF(COUNTIF(ReturnsRawTable[Order_Line_ID],OrdersRawTable9[[#This Row],[Order_Line_ID]])&gt;0,"Yes","No")</f>
        <v>No</v>
      </c>
      <c r="AD452" s="45" t="str">
        <f>IFERROR(VLOOKUP(OrdersRawTable9[[#This Row],[Order_Line_ID]],ReturnsRawTable[[#All],[Order_Line_ID]:[Return_Reason_Raw]],3,FALSE),"")</f>
        <v/>
      </c>
      <c r="AE452" s="49" t="str">
        <f>IFERROR(VLOOKUP(OrdersRawTable9[[#This Row],[Order_Line_ID]],ReturnsRawTable[[#All],[Order_Line_ID]:[Return_Date]],2,FALSE),"")</f>
        <v/>
      </c>
      <c r="AF452" s="45" t="str">
        <f>IFERROR(VLOOKUP(OrdersRawTable9[[#This Row],[Order_Line_ID]],ReturnsRawTable[[Order_Line_ID]:[Refund_Status]],4,FALSE),"")</f>
        <v/>
      </c>
      <c r="AG452" s="45" t="str">
        <f>VLOOKUP(OrdersRawTable9[[#This Row],[Order_ID]],ShipmentsTable[],6,FALSE)</f>
        <v>Late</v>
      </c>
      <c r="AH452" s="49">
        <f>VLOOKUP(OrdersRawTable9[[#This Row],[Order_ID]],ShipmentsTable[],3,FALSE)</f>
        <v>45796</v>
      </c>
    </row>
    <row r="453" spans="1:34" ht="15" customHeight="1">
      <c r="A453" s="14" t="s">
        <v>974</v>
      </c>
      <c r="B453" s="10" t="s">
        <v>971</v>
      </c>
      <c r="C453" s="20">
        <v>45787</v>
      </c>
      <c r="D453" s="10" t="s">
        <v>394</v>
      </c>
      <c r="E453" s="10" t="s">
        <v>395</v>
      </c>
      <c r="F453" s="10" t="str">
        <f>TRIM(LEFT(OrdersRawTable9[[#This Row],[Customer_Info]],FIND(",",OrdersRawTable9[[#This Row],[Customer_Info]])-1))</f>
        <v>Maya Martin</v>
      </c>
      <c r="G45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453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453" s="10">
        <f>LEN(OrdersRawTable9[[#This Row],[Customer_Info]])-LEN(SUBSTITUTE(OrdersRawTable9[[#This Row],[Customer_Info]],",",""))</f>
        <v>2</v>
      </c>
      <c r="J453" s="10" t="s">
        <v>303</v>
      </c>
      <c r="K453" s="23">
        <v>3</v>
      </c>
      <c r="L453" s="26">
        <v>72.81</v>
      </c>
      <c r="M453" s="29">
        <v>0</v>
      </c>
      <c r="N453" s="10" t="s">
        <v>66</v>
      </c>
      <c r="O453" s="10" t="str">
        <f>IF(TRIM(OrdersRawTable9[[#This Row],[Sales_Channel_Raw]])="Market place","Marketplace",TRIM(OrdersRawTable9[[#This Row],[Sales_Channel_Raw]]))</f>
        <v>Marketplace</v>
      </c>
      <c r="P453" s="10" t="s">
        <v>46</v>
      </c>
      <c r="Q453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453" s="15" t="s">
        <v>42</v>
      </c>
      <c r="S453" t="str">
        <f>VLOOKUP(OrdersRawTable9[[#This Row],[Customer_ID_Raw]],CustomersTable11[],4,FALSE)</f>
        <v>British Columbia</v>
      </c>
      <c r="T453" t="str">
        <f>VLOOKUP(OrdersRawTable9[[#This Row],[Customer_ID_Raw]],CustomersTable11[],5,FALSE)</f>
        <v>Small Business</v>
      </c>
      <c r="U453" s="45">
        <f>VLOOKUP(OrdersRawTable9[[#This Row],[Product_ID]],ProductsTable10[],4,FALSE)</f>
        <v>37.99</v>
      </c>
      <c r="V453" t="str">
        <f>VLOOKUP(OrdersRawTable9[[#This Row],[Product_ID]],ProductsTable10[],3,FALSE)</f>
        <v>Accessories</v>
      </c>
      <c r="W453" s="45">
        <f>OrdersRawTable9[[#This Row],[Unit_Price]]*OrdersRawTable9[[#This Row],[Quantity]]</f>
        <v>218.43</v>
      </c>
      <c r="X453" s="47">
        <f>OrdersRawTable9[[#This Row],[Gross_Sales]]*OrdersRawTable9[[#This Row],[Discount_Pct]]</f>
        <v>0</v>
      </c>
      <c r="Y453" s="45">
        <f>OrdersRawTable9[[#This Row],[Gross_Sales]]-OrdersRawTable9[[#This Row],[Discount_Amount]]</f>
        <v>218.43</v>
      </c>
      <c r="Z453" s="45">
        <f>OrdersRawTable9[[#This Row],[Unit_Cost]]*OrdersRawTable9[[#This Row],[Quantity]]</f>
        <v>113.97</v>
      </c>
      <c r="AA453" s="45">
        <f>OrdersRawTable9[[#This Row],[Net_Sales]]-OrdersRawTable9[[#This Row],[Total_Cost]]</f>
        <v>104.46000000000001</v>
      </c>
      <c r="AB453" s="48">
        <f>IF(OrdersRawTable9[[#This Row],[Net_Sales]]=0,0,OrdersRawTable9[[#This Row],[Profit]]/OrdersRawTable9[[#This Row],[Net_Sales]])</f>
        <v>0.47823101222359571</v>
      </c>
      <c r="AC453" s="45" t="str">
        <f>IF(COUNTIF(ReturnsRawTable[Order_Line_ID],OrdersRawTable9[[#This Row],[Order_Line_ID]])&gt;0,"Yes","No")</f>
        <v>No</v>
      </c>
      <c r="AD453" s="45" t="str">
        <f>IFERROR(VLOOKUP(OrdersRawTable9[[#This Row],[Order_Line_ID]],ReturnsRawTable[[#All],[Order_Line_ID]:[Return_Reason_Raw]],3,FALSE),"")</f>
        <v/>
      </c>
      <c r="AE453" s="49" t="str">
        <f>IFERROR(VLOOKUP(OrdersRawTable9[[#This Row],[Order_Line_ID]],ReturnsRawTable[[#All],[Order_Line_ID]:[Return_Date]],2,FALSE),"")</f>
        <v/>
      </c>
      <c r="AF453" s="45" t="str">
        <f>IFERROR(VLOOKUP(OrdersRawTable9[[#This Row],[Order_Line_ID]],ReturnsRawTable[[Order_Line_ID]:[Refund_Status]],4,FALSE),"")</f>
        <v/>
      </c>
      <c r="AG453" s="45" t="str">
        <f>VLOOKUP(OrdersRawTable9[[#This Row],[Order_ID]],ShipmentsTable[],6,FALSE)</f>
        <v>Late</v>
      </c>
      <c r="AH453" s="49">
        <f>VLOOKUP(OrdersRawTable9[[#This Row],[Order_ID]],ShipmentsTable[],3,FALSE)</f>
        <v>45796</v>
      </c>
    </row>
    <row r="454" spans="1:34" ht="15" customHeight="1">
      <c r="A454" s="14" t="s">
        <v>975</v>
      </c>
      <c r="B454" s="10" t="s">
        <v>976</v>
      </c>
      <c r="C454" s="20">
        <v>45836</v>
      </c>
      <c r="D454" s="10" t="s">
        <v>977</v>
      </c>
      <c r="E454" s="10" t="s">
        <v>978</v>
      </c>
      <c r="F454" s="10" t="str">
        <f>TRIM(LEFT(OrdersRawTable9[[#This Row],[Customer_Info]],FIND(",",OrdersRawTable9[[#This Row],[Customer_Info]])-1))</f>
        <v>Adam Brown</v>
      </c>
      <c r="G45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454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454" s="10">
        <f>LEN(OrdersRawTable9[[#This Row],[Customer_Info]])-LEN(SUBSTITUTE(OrdersRawTable9[[#This Row],[Customer_Info]],",",""))</f>
        <v>2</v>
      </c>
      <c r="J454" s="10" t="s">
        <v>72</v>
      </c>
      <c r="K454" s="23">
        <v>2</v>
      </c>
      <c r="L454" s="26">
        <v>210.2</v>
      </c>
      <c r="M454" s="29">
        <v>0.1</v>
      </c>
      <c r="N454" s="10" t="s">
        <v>50</v>
      </c>
      <c r="O454" s="10" t="str">
        <f>IF(TRIM(OrdersRawTable9[[#This Row],[Sales_Channel_Raw]])="Market place","Marketplace",TRIM(OrdersRawTable9[[#This Row],[Sales_Channel_Raw]]))</f>
        <v>Marketplace</v>
      </c>
      <c r="P454" s="10" t="s">
        <v>51</v>
      </c>
      <c r="Q454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454" s="15" t="s">
        <v>42</v>
      </c>
      <c r="S454" t="str">
        <f>VLOOKUP(OrdersRawTable9[[#This Row],[Customer_ID_Raw]],CustomersTable11[],4,FALSE)</f>
        <v>Nova Scotia</v>
      </c>
      <c r="T454" t="str">
        <f>VLOOKUP(OrdersRawTable9[[#This Row],[Customer_ID_Raw]],CustomersTable11[],5,FALSE)</f>
        <v>Small Business</v>
      </c>
      <c r="U454" s="45">
        <f>VLOOKUP(OrdersRawTable9[[#This Row],[Product_ID]],ProductsTable10[],4,FALSE)</f>
        <v>136.25</v>
      </c>
      <c r="V454" t="str">
        <f>VLOOKUP(OrdersRawTable9[[#This Row],[Product_ID]],ProductsTable10[],3,FALSE)</f>
        <v>Fitness</v>
      </c>
      <c r="W454" s="45">
        <f>OrdersRawTable9[[#This Row],[Unit_Price]]*OrdersRawTable9[[#This Row],[Quantity]]</f>
        <v>420.4</v>
      </c>
      <c r="X454" s="47">
        <f>OrdersRawTable9[[#This Row],[Gross_Sales]]*OrdersRawTable9[[#This Row],[Discount_Pct]]</f>
        <v>42.04</v>
      </c>
      <c r="Y454" s="45">
        <f>OrdersRawTable9[[#This Row],[Gross_Sales]]-OrdersRawTable9[[#This Row],[Discount_Amount]]</f>
        <v>378.35999999999996</v>
      </c>
      <c r="Z454" s="45">
        <f>OrdersRawTable9[[#This Row],[Unit_Cost]]*OrdersRawTable9[[#This Row],[Quantity]]</f>
        <v>272.5</v>
      </c>
      <c r="AA454" s="45">
        <f>OrdersRawTable9[[#This Row],[Net_Sales]]-OrdersRawTable9[[#This Row],[Total_Cost]]</f>
        <v>105.85999999999996</v>
      </c>
      <c r="AB454" s="48">
        <f>IF(OrdersRawTable9[[#This Row],[Net_Sales]]=0,0,OrdersRawTable9[[#This Row],[Profit]]/OrdersRawTable9[[#This Row],[Net_Sales]])</f>
        <v>0.27978644677027159</v>
      </c>
      <c r="AC454" s="45" t="str">
        <f>IF(COUNTIF(ReturnsRawTable[Order_Line_ID],OrdersRawTable9[[#This Row],[Order_Line_ID]])&gt;0,"Yes","No")</f>
        <v>No</v>
      </c>
      <c r="AD454" s="45" t="str">
        <f>IFERROR(VLOOKUP(OrdersRawTable9[[#This Row],[Order_Line_ID]],ReturnsRawTable[[#All],[Order_Line_ID]:[Return_Reason_Raw]],3,FALSE),"")</f>
        <v/>
      </c>
      <c r="AE454" s="49" t="str">
        <f>IFERROR(VLOOKUP(OrdersRawTable9[[#This Row],[Order_Line_ID]],ReturnsRawTable[[#All],[Order_Line_ID]:[Return_Date]],2,FALSE),"")</f>
        <v/>
      </c>
      <c r="AF454" s="45" t="str">
        <f>IFERROR(VLOOKUP(OrdersRawTable9[[#This Row],[Order_Line_ID]],ReturnsRawTable[[Order_Line_ID]:[Refund_Status]],4,FALSE),"")</f>
        <v/>
      </c>
      <c r="AG454" s="45" t="str">
        <f>VLOOKUP(OrdersRawTable9[[#This Row],[Order_ID]],ShipmentsTable[],6,FALSE)</f>
        <v>Late</v>
      </c>
      <c r="AH454" s="49">
        <f>VLOOKUP(OrdersRawTable9[[#This Row],[Order_ID]],ShipmentsTable[],3,FALSE)</f>
        <v>45841</v>
      </c>
    </row>
    <row r="455" spans="1:34" ht="15" customHeight="1">
      <c r="A455" s="14" t="s">
        <v>979</v>
      </c>
      <c r="B455" s="10" t="s">
        <v>980</v>
      </c>
      <c r="C455" s="20">
        <v>45831</v>
      </c>
      <c r="D455" s="10" t="s">
        <v>680</v>
      </c>
      <c r="E455" s="10" t="s">
        <v>681</v>
      </c>
      <c r="F455" s="10" t="str">
        <f>TRIM(LEFT(OrdersRawTable9[[#This Row],[Customer_Info]],FIND(",",OrdersRawTable9[[#This Row],[Customer_Info]])-1))</f>
        <v>Amina Tremblay</v>
      </c>
      <c r="G45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455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455" s="10">
        <f>LEN(OrdersRawTable9[[#This Row],[Customer_Info]])-LEN(SUBSTITUTE(OrdersRawTable9[[#This Row],[Customer_Info]],",",""))</f>
        <v>2</v>
      </c>
      <c r="J455" s="10" t="s">
        <v>178</v>
      </c>
      <c r="K455" s="23">
        <v>2</v>
      </c>
      <c r="L455" s="26">
        <v>61.81</v>
      </c>
      <c r="M455" s="29">
        <v>0</v>
      </c>
      <c r="N455" s="10" t="s">
        <v>45</v>
      </c>
      <c r="O455" s="10" t="str">
        <f>IF(TRIM(OrdersRawTable9[[#This Row],[Sales_Channel_Raw]])="Market place","Marketplace",TRIM(OrdersRawTable9[[#This Row],[Sales_Channel_Raw]]))</f>
        <v>Retail Store</v>
      </c>
      <c r="P455" s="10" t="s">
        <v>98</v>
      </c>
      <c r="Q455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455" s="15" t="s">
        <v>42</v>
      </c>
      <c r="S455" t="str">
        <f>VLOOKUP(OrdersRawTable9[[#This Row],[Customer_ID_Raw]],CustomersTable11[],4,FALSE)</f>
        <v>British Columbia</v>
      </c>
      <c r="T455" t="str">
        <f>VLOOKUP(OrdersRawTable9[[#This Row],[Customer_ID_Raw]],CustomersTable11[],5,FALSE)</f>
        <v>Corporate</v>
      </c>
      <c r="U455" s="45">
        <f>VLOOKUP(OrdersRawTable9[[#This Row],[Product_ID]],ProductsTable10[],4,FALSE)</f>
        <v>33.19</v>
      </c>
      <c r="V455" t="str">
        <f>VLOOKUP(OrdersRawTable9[[#This Row],[Product_ID]],ProductsTable10[],3,FALSE)</f>
        <v>Office</v>
      </c>
      <c r="W455" s="45">
        <f>OrdersRawTable9[[#This Row],[Unit_Price]]*OrdersRawTable9[[#This Row],[Quantity]]</f>
        <v>123.62</v>
      </c>
      <c r="X455" s="47">
        <f>OrdersRawTable9[[#This Row],[Gross_Sales]]*OrdersRawTable9[[#This Row],[Discount_Pct]]</f>
        <v>0</v>
      </c>
      <c r="Y455" s="45">
        <f>OrdersRawTable9[[#This Row],[Gross_Sales]]-OrdersRawTable9[[#This Row],[Discount_Amount]]</f>
        <v>123.62</v>
      </c>
      <c r="Z455" s="45">
        <f>OrdersRawTable9[[#This Row],[Unit_Cost]]*OrdersRawTable9[[#This Row],[Quantity]]</f>
        <v>66.38</v>
      </c>
      <c r="AA455" s="45">
        <f>OrdersRawTable9[[#This Row],[Net_Sales]]-OrdersRawTable9[[#This Row],[Total_Cost]]</f>
        <v>57.240000000000009</v>
      </c>
      <c r="AB455" s="48">
        <f>IF(OrdersRawTable9[[#This Row],[Net_Sales]]=0,0,OrdersRawTable9[[#This Row],[Profit]]/OrdersRawTable9[[#This Row],[Net_Sales]])</f>
        <v>0.46303187186539402</v>
      </c>
      <c r="AC455" s="45" t="str">
        <f>IF(COUNTIF(ReturnsRawTable[Order_Line_ID],OrdersRawTable9[[#This Row],[Order_Line_ID]])&gt;0,"Yes","No")</f>
        <v>No</v>
      </c>
      <c r="AD455" s="45" t="str">
        <f>IFERROR(VLOOKUP(OrdersRawTable9[[#This Row],[Order_Line_ID]],ReturnsRawTable[[#All],[Order_Line_ID]:[Return_Reason_Raw]],3,FALSE),"")</f>
        <v/>
      </c>
      <c r="AE455" s="49" t="str">
        <f>IFERROR(VLOOKUP(OrdersRawTable9[[#This Row],[Order_Line_ID]],ReturnsRawTable[[#All],[Order_Line_ID]:[Return_Date]],2,FALSE),"")</f>
        <v/>
      </c>
      <c r="AF455" s="45" t="str">
        <f>IFERROR(VLOOKUP(OrdersRawTable9[[#This Row],[Order_Line_ID]],ReturnsRawTable[[Order_Line_ID]:[Refund_Status]],4,FALSE),"")</f>
        <v/>
      </c>
      <c r="AG455" s="45" t="str">
        <f>VLOOKUP(OrdersRawTable9[[#This Row],[Order_ID]],ShipmentsTable[],6,FALSE)</f>
        <v>On time</v>
      </c>
      <c r="AH455" s="49">
        <f>VLOOKUP(OrdersRawTable9[[#This Row],[Order_ID]],ShipmentsTable[],3,FALSE)</f>
        <v>45835</v>
      </c>
    </row>
    <row r="456" spans="1:34" ht="15" customHeight="1">
      <c r="A456" s="14" t="s">
        <v>981</v>
      </c>
      <c r="B456" s="10" t="s">
        <v>982</v>
      </c>
      <c r="C456" s="20">
        <v>45749.041666666664</v>
      </c>
      <c r="D456" s="10" t="s">
        <v>760</v>
      </c>
      <c r="E456" s="10" t="s">
        <v>761</v>
      </c>
      <c r="F456" s="10" t="str">
        <f>TRIM(LEFT(OrdersRawTable9[[#This Row],[Customer_Info]],FIND(",",OrdersRawTable9[[#This Row],[Customer_Info]])-1))</f>
        <v>Adam Johnson</v>
      </c>
      <c r="G45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456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456" s="10">
        <f>LEN(OrdersRawTable9[[#This Row],[Customer_Info]])-LEN(SUBSTITUTE(OrdersRawTable9[[#This Row],[Customer_Info]],",",""))</f>
        <v>2</v>
      </c>
      <c r="J456" s="10" t="s">
        <v>93</v>
      </c>
      <c r="K456" s="23">
        <v>3</v>
      </c>
      <c r="L456" s="26">
        <v>208.89</v>
      </c>
      <c r="M456" s="29">
        <v>0.15</v>
      </c>
      <c r="N456" s="10" t="s">
        <v>45</v>
      </c>
      <c r="O456" s="10" t="str">
        <f>IF(TRIM(OrdersRawTable9[[#This Row],[Sales_Channel_Raw]])="Market place","Marketplace",TRIM(OrdersRawTable9[[#This Row],[Sales_Channel_Raw]]))</f>
        <v>Retail Store</v>
      </c>
      <c r="P456" s="10" t="s">
        <v>98</v>
      </c>
      <c r="Q456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456" s="15" t="s">
        <v>47</v>
      </c>
      <c r="S456" t="str">
        <f>VLOOKUP(OrdersRawTable9[[#This Row],[Customer_ID_Raw]],CustomersTable11[],4,FALSE)</f>
        <v>Quebec</v>
      </c>
      <c r="T456" t="str">
        <f>VLOOKUP(OrdersRawTable9[[#This Row],[Customer_ID_Raw]],CustomersTable11[],5,FALSE)</f>
        <v>Consumer</v>
      </c>
      <c r="U456" s="45">
        <f>VLOOKUP(OrdersRawTable9[[#This Row],[Product_ID]],ProductsTable10[],4,FALSE)</f>
        <v>133.05000000000001</v>
      </c>
      <c r="V456" t="str">
        <f>VLOOKUP(OrdersRawTable9[[#This Row],[Product_ID]],ProductsTable10[],3,FALSE)</f>
        <v>Accessories</v>
      </c>
      <c r="W456" s="45">
        <f>OrdersRawTable9[[#This Row],[Unit_Price]]*OrdersRawTable9[[#This Row],[Quantity]]</f>
        <v>626.66999999999996</v>
      </c>
      <c r="X456" s="47">
        <f>OrdersRawTable9[[#This Row],[Gross_Sales]]*OrdersRawTable9[[#This Row],[Discount_Pct]]</f>
        <v>94.000499999999988</v>
      </c>
      <c r="Y456" s="45">
        <f>OrdersRawTable9[[#This Row],[Gross_Sales]]-OrdersRawTable9[[#This Row],[Discount_Amount]]</f>
        <v>532.66949999999997</v>
      </c>
      <c r="Z456" s="45">
        <f>OrdersRawTable9[[#This Row],[Unit_Cost]]*OrdersRawTable9[[#This Row],[Quantity]]</f>
        <v>399.15000000000003</v>
      </c>
      <c r="AA456" s="45">
        <f>OrdersRawTable9[[#This Row],[Net_Sales]]-OrdersRawTable9[[#This Row],[Total_Cost]]</f>
        <v>133.51949999999994</v>
      </c>
      <c r="AB456" s="48">
        <f>IF(OrdersRawTable9[[#This Row],[Net_Sales]]=0,0,OrdersRawTable9[[#This Row],[Profit]]/OrdersRawTable9[[#This Row],[Net_Sales]])</f>
        <v>0.25066105718461434</v>
      </c>
      <c r="AC456" s="45" t="str">
        <f>IF(COUNTIF(ReturnsRawTable[Order_Line_ID],OrdersRawTable9[[#This Row],[Order_Line_ID]])&gt;0,"Yes","No")</f>
        <v>No</v>
      </c>
      <c r="AD456" s="45" t="str">
        <f>IFERROR(VLOOKUP(OrdersRawTable9[[#This Row],[Order_Line_ID]],ReturnsRawTable[[#All],[Order_Line_ID]:[Return_Reason_Raw]],3,FALSE),"")</f>
        <v/>
      </c>
      <c r="AE456" s="49" t="str">
        <f>IFERROR(VLOOKUP(OrdersRawTable9[[#This Row],[Order_Line_ID]],ReturnsRawTable[[#All],[Order_Line_ID]:[Return_Date]],2,FALSE),"")</f>
        <v/>
      </c>
      <c r="AF456" s="45" t="str">
        <f>IFERROR(VLOOKUP(OrdersRawTable9[[#This Row],[Order_Line_ID]],ReturnsRawTable[[Order_Line_ID]:[Refund_Status]],4,FALSE),"")</f>
        <v/>
      </c>
      <c r="AG456" s="45" t="str">
        <f>VLOOKUP(OrdersRawTable9[[#This Row],[Order_ID]],ShipmentsTable[],6,FALSE)</f>
        <v>On time</v>
      </c>
      <c r="AH456" s="49">
        <f>VLOOKUP(OrdersRawTable9[[#This Row],[Order_ID]],ShipmentsTable[],3,FALSE)</f>
        <v>45752.041666666664</v>
      </c>
    </row>
    <row r="457" spans="1:34" ht="15" customHeight="1">
      <c r="A457" s="14" t="s">
        <v>983</v>
      </c>
      <c r="B457" s="10" t="s">
        <v>982</v>
      </c>
      <c r="C457" s="20">
        <v>45749.041666666664</v>
      </c>
      <c r="D457" s="10" t="s">
        <v>760</v>
      </c>
      <c r="E457" s="10" t="s">
        <v>761</v>
      </c>
      <c r="F457" s="10" t="str">
        <f>TRIM(LEFT(OrdersRawTable9[[#This Row],[Customer_Info]],FIND(",",OrdersRawTable9[[#This Row],[Customer_Info]])-1))</f>
        <v>Adam Johnson</v>
      </c>
      <c r="G45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457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457" s="10">
        <f>LEN(OrdersRawTable9[[#This Row],[Customer_Info]])-LEN(SUBSTITUTE(OrdersRawTable9[[#This Row],[Customer_Info]],",",""))</f>
        <v>2</v>
      </c>
      <c r="J457" s="10" t="s">
        <v>110</v>
      </c>
      <c r="K457" s="23">
        <v>2</v>
      </c>
      <c r="L457" s="26">
        <v>133.24</v>
      </c>
      <c r="M457" s="29">
        <v>0</v>
      </c>
      <c r="N457" s="10" t="s">
        <v>70</v>
      </c>
      <c r="O457" s="10" t="str">
        <f>IF(TRIM(OrdersRawTable9[[#This Row],[Sales_Channel_Raw]])="Market place","Marketplace",TRIM(OrdersRawTable9[[#This Row],[Sales_Channel_Raw]]))</f>
        <v>online</v>
      </c>
      <c r="P457" s="10" t="s">
        <v>46</v>
      </c>
      <c r="Q457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457" s="15" t="s">
        <v>101</v>
      </c>
      <c r="S457" t="str">
        <f>VLOOKUP(OrdersRawTable9[[#This Row],[Customer_ID_Raw]],CustomersTable11[],4,FALSE)</f>
        <v>Quebec</v>
      </c>
      <c r="T457" t="str">
        <f>VLOOKUP(OrdersRawTable9[[#This Row],[Customer_ID_Raw]],CustomersTable11[],5,FALSE)</f>
        <v>Consumer</v>
      </c>
      <c r="U457" s="45">
        <f>VLOOKUP(OrdersRawTable9[[#This Row],[Product_ID]],ProductsTable10[],4,FALSE)</f>
        <v>77.540000000000006</v>
      </c>
      <c r="V457" t="str">
        <f>VLOOKUP(OrdersRawTable9[[#This Row],[Product_ID]],ProductsTable10[],3,FALSE)</f>
        <v>Electronics</v>
      </c>
      <c r="W457" s="45">
        <f>OrdersRawTable9[[#This Row],[Unit_Price]]*OrdersRawTable9[[#This Row],[Quantity]]</f>
        <v>266.48</v>
      </c>
      <c r="X457" s="47">
        <f>OrdersRawTable9[[#This Row],[Gross_Sales]]*OrdersRawTable9[[#This Row],[Discount_Pct]]</f>
        <v>0</v>
      </c>
      <c r="Y457" s="45">
        <f>OrdersRawTable9[[#This Row],[Gross_Sales]]-OrdersRawTable9[[#This Row],[Discount_Amount]]</f>
        <v>266.48</v>
      </c>
      <c r="Z457" s="45">
        <f>OrdersRawTable9[[#This Row],[Unit_Cost]]*OrdersRawTable9[[#This Row],[Quantity]]</f>
        <v>155.08000000000001</v>
      </c>
      <c r="AA457" s="45">
        <f>OrdersRawTable9[[#This Row],[Net_Sales]]-OrdersRawTable9[[#This Row],[Total_Cost]]</f>
        <v>111.4</v>
      </c>
      <c r="AB457" s="48">
        <f>IF(OrdersRawTable9[[#This Row],[Net_Sales]]=0,0,OrdersRawTable9[[#This Row],[Profit]]/OrdersRawTable9[[#This Row],[Net_Sales]])</f>
        <v>0.41804262984088864</v>
      </c>
      <c r="AC457" s="45" t="str">
        <f>IF(COUNTIF(ReturnsRawTable[Order_Line_ID],OrdersRawTable9[[#This Row],[Order_Line_ID]])&gt;0,"Yes","No")</f>
        <v>No</v>
      </c>
      <c r="AD457" s="45" t="str">
        <f>IFERROR(VLOOKUP(OrdersRawTable9[[#This Row],[Order_Line_ID]],ReturnsRawTable[[#All],[Order_Line_ID]:[Return_Reason_Raw]],3,FALSE),"")</f>
        <v/>
      </c>
      <c r="AE457" s="49" t="str">
        <f>IFERROR(VLOOKUP(OrdersRawTable9[[#This Row],[Order_Line_ID]],ReturnsRawTable[[#All],[Order_Line_ID]:[Return_Date]],2,FALSE),"")</f>
        <v/>
      </c>
      <c r="AF457" s="45" t="str">
        <f>IFERROR(VLOOKUP(OrdersRawTable9[[#This Row],[Order_Line_ID]],ReturnsRawTable[[Order_Line_ID]:[Refund_Status]],4,FALSE),"")</f>
        <v/>
      </c>
      <c r="AG457" s="45" t="str">
        <f>VLOOKUP(OrdersRawTable9[[#This Row],[Order_ID]],ShipmentsTable[],6,FALSE)</f>
        <v>On time</v>
      </c>
      <c r="AH457" s="49">
        <f>VLOOKUP(OrdersRawTable9[[#This Row],[Order_ID]],ShipmentsTable[],3,FALSE)</f>
        <v>45752.041666666664</v>
      </c>
    </row>
    <row r="458" spans="1:34" ht="15" customHeight="1">
      <c r="A458" s="14" t="s">
        <v>984</v>
      </c>
      <c r="B458" s="10" t="s">
        <v>982</v>
      </c>
      <c r="C458" s="20">
        <v>45749.041666666664</v>
      </c>
      <c r="D458" s="10" t="s">
        <v>760</v>
      </c>
      <c r="E458" s="10" t="s">
        <v>761</v>
      </c>
      <c r="F458" s="10" t="str">
        <f>TRIM(LEFT(OrdersRawTable9[[#This Row],[Customer_Info]],FIND(",",OrdersRawTable9[[#This Row],[Customer_Info]])-1))</f>
        <v>Adam Johnson</v>
      </c>
      <c r="G45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458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458" s="10">
        <f>LEN(OrdersRawTable9[[#This Row],[Customer_Info]])-LEN(SUBSTITUTE(OrdersRawTable9[[#This Row],[Customer_Info]],",",""))</f>
        <v>2</v>
      </c>
      <c r="J458" s="10" t="s">
        <v>204</v>
      </c>
      <c r="K458" s="23">
        <v>2</v>
      </c>
      <c r="L458" s="26">
        <v>244.25</v>
      </c>
      <c r="M458" s="29">
        <v>0.15</v>
      </c>
      <c r="N458" s="10" t="s">
        <v>50</v>
      </c>
      <c r="O458" s="10" t="str">
        <f>IF(TRIM(OrdersRawTable9[[#This Row],[Sales_Channel_Raw]])="Market place","Marketplace",TRIM(OrdersRawTable9[[#This Row],[Sales_Channel_Raw]]))</f>
        <v>Marketplace</v>
      </c>
      <c r="P458" s="10" t="s">
        <v>51</v>
      </c>
      <c r="Q458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458" s="15" t="s">
        <v>101</v>
      </c>
      <c r="S458" t="str">
        <f>VLOOKUP(OrdersRawTable9[[#This Row],[Customer_ID_Raw]],CustomersTable11[],4,FALSE)</f>
        <v>Quebec</v>
      </c>
      <c r="T458" t="str">
        <f>VLOOKUP(OrdersRawTable9[[#This Row],[Customer_ID_Raw]],CustomersTable11[],5,FALSE)</f>
        <v>Consumer</v>
      </c>
      <c r="U458" s="45">
        <f>VLOOKUP(OrdersRawTable9[[#This Row],[Product_ID]],ProductsTable10[],4,FALSE)</f>
        <v>150.96</v>
      </c>
      <c r="V458" t="str">
        <f>VLOOKUP(OrdersRawTable9[[#This Row],[Product_ID]],ProductsTable10[],3,FALSE)</f>
        <v>Office</v>
      </c>
      <c r="W458" s="45">
        <f>OrdersRawTable9[[#This Row],[Unit_Price]]*OrdersRawTable9[[#This Row],[Quantity]]</f>
        <v>488.5</v>
      </c>
      <c r="X458" s="47">
        <f>OrdersRawTable9[[#This Row],[Gross_Sales]]*OrdersRawTable9[[#This Row],[Discount_Pct]]</f>
        <v>73.274999999999991</v>
      </c>
      <c r="Y458" s="45">
        <f>OrdersRawTable9[[#This Row],[Gross_Sales]]-OrdersRawTable9[[#This Row],[Discount_Amount]]</f>
        <v>415.22500000000002</v>
      </c>
      <c r="Z458" s="45">
        <f>OrdersRawTable9[[#This Row],[Unit_Cost]]*OrdersRawTable9[[#This Row],[Quantity]]</f>
        <v>301.92</v>
      </c>
      <c r="AA458" s="45">
        <f>OrdersRawTable9[[#This Row],[Net_Sales]]-OrdersRawTable9[[#This Row],[Total_Cost]]</f>
        <v>113.30500000000001</v>
      </c>
      <c r="AB458" s="48">
        <f>IF(OrdersRawTable9[[#This Row],[Net_Sales]]=0,0,OrdersRawTable9[[#This Row],[Profit]]/OrdersRawTable9[[#This Row],[Net_Sales]])</f>
        <v>0.27287615148413513</v>
      </c>
      <c r="AC458" s="45" t="str">
        <f>IF(COUNTIF(ReturnsRawTable[Order_Line_ID],OrdersRawTable9[[#This Row],[Order_Line_ID]])&gt;0,"Yes","No")</f>
        <v>No</v>
      </c>
      <c r="AD458" s="45" t="str">
        <f>IFERROR(VLOOKUP(OrdersRawTable9[[#This Row],[Order_Line_ID]],ReturnsRawTable[[#All],[Order_Line_ID]:[Return_Reason_Raw]],3,FALSE),"")</f>
        <v/>
      </c>
      <c r="AE458" s="49" t="str">
        <f>IFERROR(VLOOKUP(OrdersRawTable9[[#This Row],[Order_Line_ID]],ReturnsRawTable[[#All],[Order_Line_ID]:[Return_Date]],2,FALSE),"")</f>
        <v/>
      </c>
      <c r="AF458" s="45" t="str">
        <f>IFERROR(VLOOKUP(OrdersRawTable9[[#This Row],[Order_Line_ID]],ReturnsRawTable[[Order_Line_ID]:[Refund_Status]],4,FALSE),"")</f>
        <v/>
      </c>
      <c r="AG458" s="45" t="str">
        <f>VLOOKUP(OrdersRawTable9[[#This Row],[Order_ID]],ShipmentsTable[],6,FALSE)</f>
        <v>On time</v>
      </c>
      <c r="AH458" s="49">
        <f>VLOOKUP(OrdersRawTable9[[#This Row],[Order_ID]],ShipmentsTable[],3,FALSE)</f>
        <v>45752.041666666664</v>
      </c>
    </row>
    <row r="459" spans="1:34" ht="15" customHeight="1">
      <c r="A459" s="14" t="s">
        <v>985</v>
      </c>
      <c r="B459" s="10" t="s">
        <v>986</v>
      </c>
      <c r="C459" s="20">
        <v>45739.041666666664</v>
      </c>
      <c r="D459" s="10" t="s">
        <v>490</v>
      </c>
      <c r="E459" s="10" t="s">
        <v>491</v>
      </c>
      <c r="F459" s="10" t="str">
        <f>TRIM(LEFT(OrdersRawTable9[[#This Row],[Customer_Info]],FIND(",",OrdersRawTable9[[#This Row],[Customer_Info]])-1))</f>
        <v>Adam Gagnon</v>
      </c>
      <c r="G45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459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459" s="10">
        <f>LEN(OrdersRawTable9[[#This Row],[Customer_Info]])-LEN(SUBSTITUTE(OrdersRawTable9[[#This Row],[Customer_Info]],",",""))</f>
        <v>2</v>
      </c>
      <c r="J459" s="10" t="s">
        <v>112</v>
      </c>
      <c r="K459" s="23">
        <v>4</v>
      </c>
      <c r="L459" s="26">
        <v>88.61</v>
      </c>
      <c r="M459" s="29">
        <v>0</v>
      </c>
      <c r="N459" s="10" t="s">
        <v>64</v>
      </c>
      <c r="O459" s="10" t="str">
        <f>IF(TRIM(OrdersRawTable9[[#This Row],[Sales_Channel_Raw]])="Market place","Marketplace",TRIM(OrdersRawTable9[[#This Row],[Sales_Channel_Raw]]))</f>
        <v>Retail Store</v>
      </c>
      <c r="P459" s="10"/>
      <c r="Q459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459" s="15" t="s">
        <v>42</v>
      </c>
      <c r="S459" t="str">
        <f>VLOOKUP(OrdersRawTable9[[#This Row],[Customer_ID_Raw]],CustomersTable11[],4,FALSE)</f>
        <v>Alberta</v>
      </c>
      <c r="T459" t="str">
        <f>VLOOKUP(OrdersRawTable9[[#This Row],[Customer_ID_Raw]],CustomersTable11[],5,FALSE)</f>
        <v>Consumer</v>
      </c>
      <c r="U459" s="45">
        <f>VLOOKUP(OrdersRawTable9[[#This Row],[Product_ID]],ProductsTable10[],4,FALSE)</f>
        <v>49.75</v>
      </c>
      <c r="V459" t="str">
        <f>VLOOKUP(OrdersRawTable9[[#This Row],[Product_ID]],ProductsTable10[],3,FALSE)</f>
        <v>Electronics</v>
      </c>
      <c r="W459" s="45">
        <f>OrdersRawTable9[[#This Row],[Unit_Price]]*OrdersRawTable9[[#This Row],[Quantity]]</f>
        <v>354.44</v>
      </c>
      <c r="X459" s="47">
        <f>OrdersRawTable9[[#This Row],[Gross_Sales]]*OrdersRawTable9[[#This Row],[Discount_Pct]]</f>
        <v>0</v>
      </c>
      <c r="Y459" s="45">
        <f>OrdersRawTable9[[#This Row],[Gross_Sales]]-OrdersRawTable9[[#This Row],[Discount_Amount]]</f>
        <v>354.44</v>
      </c>
      <c r="Z459" s="45">
        <f>OrdersRawTable9[[#This Row],[Unit_Cost]]*OrdersRawTable9[[#This Row],[Quantity]]</f>
        <v>199</v>
      </c>
      <c r="AA459" s="45">
        <f>OrdersRawTable9[[#This Row],[Net_Sales]]-OrdersRawTable9[[#This Row],[Total_Cost]]</f>
        <v>155.44</v>
      </c>
      <c r="AB459" s="48">
        <f>IF(OrdersRawTable9[[#This Row],[Net_Sales]]=0,0,OrdersRawTable9[[#This Row],[Profit]]/OrdersRawTable9[[#This Row],[Net_Sales]])</f>
        <v>0.43855095361697327</v>
      </c>
      <c r="AC459" s="45" t="str">
        <f>IF(COUNTIF(ReturnsRawTable[Order_Line_ID],OrdersRawTable9[[#This Row],[Order_Line_ID]])&gt;0,"Yes","No")</f>
        <v>No</v>
      </c>
      <c r="AD459" s="45" t="str">
        <f>IFERROR(VLOOKUP(OrdersRawTable9[[#This Row],[Order_Line_ID]],ReturnsRawTable[[#All],[Order_Line_ID]:[Return_Reason_Raw]],3,FALSE),"")</f>
        <v/>
      </c>
      <c r="AE459" s="49" t="str">
        <f>IFERROR(VLOOKUP(OrdersRawTable9[[#This Row],[Order_Line_ID]],ReturnsRawTable[[#All],[Order_Line_ID]:[Return_Date]],2,FALSE),"")</f>
        <v/>
      </c>
      <c r="AF459" s="45" t="str">
        <f>IFERROR(VLOOKUP(OrdersRawTable9[[#This Row],[Order_Line_ID]],ReturnsRawTable[[Order_Line_ID]:[Refund_Status]],4,FALSE),"")</f>
        <v/>
      </c>
      <c r="AG459" s="45" t="str">
        <f>VLOOKUP(OrdersRawTable9[[#This Row],[Order_ID]],ShipmentsTable[],6,FALSE)</f>
        <v>Late</v>
      </c>
      <c r="AH459" s="49">
        <f>VLOOKUP(OrdersRawTable9[[#This Row],[Order_ID]],ShipmentsTable[],3,FALSE)</f>
        <v>45748.041666666664</v>
      </c>
    </row>
    <row r="460" spans="1:34" ht="15" customHeight="1">
      <c r="A460" s="14" t="s">
        <v>987</v>
      </c>
      <c r="B460" s="10" t="s">
        <v>986</v>
      </c>
      <c r="C460" s="20">
        <v>45739.041666666664</v>
      </c>
      <c r="D460" s="10" t="s">
        <v>490</v>
      </c>
      <c r="E460" s="10" t="s">
        <v>491</v>
      </c>
      <c r="F460" s="10" t="str">
        <f>TRIM(LEFT(OrdersRawTable9[[#This Row],[Customer_Info]],FIND(",",OrdersRawTable9[[#This Row],[Customer_Info]])-1))</f>
        <v>Adam Gagnon</v>
      </c>
      <c r="G46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460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460" s="10">
        <f>LEN(OrdersRawTable9[[#This Row],[Customer_Info]])-LEN(SUBSTITUTE(OrdersRawTable9[[#This Row],[Customer_Info]],",",""))</f>
        <v>2</v>
      </c>
      <c r="J460" s="10" t="s">
        <v>495</v>
      </c>
      <c r="K460" s="23">
        <v>2</v>
      </c>
      <c r="L460" s="26">
        <v>207.71</v>
      </c>
      <c r="M460" s="29">
        <v>0.15</v>
      </c>
      <c r="N460" s="10" t="s">
        <v>70</v>
      </c>
      <c r="O460" s="10" t="str">
        <f>IF(TRIM(OrdersRawTable9[[#This Row],[Sales_Channel_Raw]])="Market place","Marketplace",TRIM(OrdersRawTable9[[#This Row],[Sales_Channel_Raw]]))</f>
        <v>online</v>
      </c>
      <c r="P460" s="10" t="s">
        <v>98</v>
      </c>
      <c r="Q460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460" s="15" t="s">
        <v>101</v>
      </c>
      <c r="S460" t="str">
        <f>VLOOKUP(OrdersRawTable9[[#This Row],[Customer_ID_Raw]],CustomersTable11[],4,FALSE)</f>
        <v>Alberta</v>
      </c>
      <c r="T460" t="str">
        <f>VLOOKUP(OrdersRawTable9[[#This Row],[Customer_ID_Raw]],CustomersTable11[],5,FALSE)</f>
        <v>Consumer</v>
      </c>
      <c r="U460" s="45">
        <f>VLOOKUP(OrdersRawTable9[[#This Row],[Product_ID]],ProductsTable10[],4,FALSE)</f>
        <v>132.97</v>
      </c>
      <c r="V460" t="str">
        <f>VLOOKUP(OrdersRawTable9[[#This Row],[Product_ID]],ProductsTable10[],3,FALSE)</f>
        <v>Home</v>
      </c>
      <c r="W460" s="45">
        <f>OrdersRawTable9[[#This Row],[Unit_Price]]*OrdersRawTable9[[#This Row],[Quantity]]</f>
        <v>415.42</v>
      </c>
      <c r="X460" s="47">
        <f>OrdersRawTable9[[#This Row],[Gross_Sales]]*OrdersRawTable9[[#This Row],[Discount_Pct]]</f>
        <v>62.313000000000002</v>
      </c>
      <c r="Y460" s="45">
        <f>OrdersRawTable9[[#This Row],[Gross_Sales]]-OrdersRawTable9[[#This Row],[Discount_Amount]]</f>
        <v>353.10700000000003</v>
      </c>
      <c r="Z460" s="45">
        <f>OrdersRawTable9[[#This Row],[Unit_Cost]]*OrdersRawTable9[[#This Row],[Quantity]]</f>
        <v>265.94</v>
      </c>
      <c r="AA460" s="45">
        <f>OrdersRawTable9[[#This Row],[Net_Sales]]-OrdersRawTable9[[#This Row],[Total_Cost]]</f>
        <v>87.16700000000003</v>
      </c>
      <c r="AB460" s="48">
        <f>IF(OrdersRawTable9[[#This Row],[Net_Sales]]=0,0,OrdersRawTable9[[#This Row],[Profit]]/OrdersRawTable9[[#This Row],[Net_Sales]])</f>
        <v>0.24685718493261255</v>
      </c>
      <c r="AC460" s="45" t="str">
        <f>IF(COUNTIF(ReturnsRawTable[Order_Line_ID],OrdersRawTable9[[#This Row],[Order_Line_ID]])&gt;0,"Yes","No")</f>
        <v>No</v>
      </c>
      <c r="AD460" s="45" t="str">
        <f>IFERROR(VLOOKUP(OrdersRawTable9[[#This Row],[Order_Line_ID]],ReturnsRawTable[[#All],[Order_Line_ID]:[Return_Reason_Raw]],3,FALSE),"")</f>
        <v/>
      </c>
      <c r="AE460" s="49" t="str">
        <f>IFERROR(VLOOKUP(OrdersRawTable9[[#This Row],[Order_Line_ID]],ReturnsRawTable[[#All],[Order_Line_ID]:[Return_Date]],2,FALSE),"")</f>
        <v/>
      </c>
      <c r="AF460" s="45" t="str">
        <f>IFERROR(VLOOKUP(OrdersRawTable9[[#This Row],[Order_Line_ID]],ReturnsRawTable[[Order_Line_ID]:[Refund_Status]],4,FALSE),"")</f>
        <v/>
      </c>
      <c r="AG460" s="45" t="str">
        <f>VLOOKUP(OrdersRawTable9[[#This Row],[Order_ID]],ShipmentsTable[],6,FALSE)</f>
        <v>Late</v>
      </c>
      <c r="AH460" s="49">
        <f>VLOOKUP(OrdersRawTable9[[#This Row],[Order_ID]],ShipmentsTable[],3,FALSE)</f>
        <v>45748.041666666664</v>
      </c>
    </row>
    <row r="461" spans="1:34" ht="15" customHeight="1">
      <c r="A461" s="14" t="s">
        <v>988</v>
      </c>
      <c r="B461" s="10" t="s">
        <v>989</v>
      </c>
      <c r="C461" s="20">
        <v>45901</v>
      </c>
      <c r="D461" s="10" t="s">
        <v>572</v>
      </c>
      <c r="E461" s="10" t="s">
        <v>569</v>
      </c>
      <c r="F461" s="10" t="str">
        <f>TRIM(LEFT(OrdersRawTable9[[#This Row],[Customer_Info]],FIND(",",OrdersRawTable9[[#This Row],[Customer_Info]])-1))</f>
        <v>Sofia Dubois</v>
      </c>
      <c r="G46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461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461" s="10">
        <f>LEN(OrdersRawTable9[[#This Row],[Customer_Info]])-LEN(SUBSTITUTE(OrdersRawTable9[[#This Row],[Customer_Info]],",",""))</f>
        <v>2</v>
      </c>
      <c r="J461" s="10" t="s">
        <v>316</v>
      </c>
      <c r="K461" s="23">
        <v>1</v>
      </c>
      <c r="L461" s="26">
        <v>180.37</v>
      </c>
      <c r="M461" s="29">
        <v>0.15</v>
      </c>
      <c r="N461" s="10" t="s">
        <v>50</v>
      </c>
      <c r="O461" s="10" t="str">
        <f>IF(TRIM(OrdersRawTable9[[#This Row],[Sales_Channel_Raw]])="Market place","Marketplace",TRIM(OrdersRawTable9[[#This Row],[Sales_Channel_Raw]]))</f>
        <v>Marketplace</v>
      </c>
      <c r="P461" s="10" t="s">
        <v>58</v>
      </c>
      <c r="Q461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461" s="15" t="s">
        <v>47</v>
      </c>
      <c r="S461" t="str">
        <f>VLOOKUP(OrdersRawTable9[[#This Row],[Customer_ID_Raw]],CustomersTable11[],4,FALSE)</f>
        <v>Quebec</v>
      </c>
      <c r="T461" t="str">
        <f>VLOOKUP(OrdersRawTable9[[#This Row],[Customer_ID_Raw]],CustomersTable11[],5,FALSE)</f>
        <v>Corporate</v>
      </c>
      <c r="U461" s="45">
        <f>VLOOKUP(OrdersRawTable9[[#This Row],[Product_ID]],ProductsTable10[],4,FALSE)</f>
        <v>107.55</v>
      </c>
      <c r="V461" t="str">
        <f>VLOOKUP(OrdersRawTable9[[#This Row],[Product_ID]],ProductsTable10[],3,FALSE)</f>
        <v>Accessories</v>
      </c>
      <c r="W461" s="45">
        <f>OrdersRawTable9[[#This Row],[Unit_Price]]*OrdersRawTable9[[#This Row],[Quantity]]</f>
        <v>180.37</v>
      </c>
      <c r="X461" s="47">
        <f>OrdersRawTable9[[#This Row],[Gross_Sales]]*OrdersRawTable9[[#This Row],[Discount_Pct]]</f>
        <v>27.055499999999999</v>
      </c>
      <c r="Y461" s="45">
        <f>OrdersRawTable9[[#This Row],[Gross_Sales]]-OrdersRawTable9[[#This Row],[Discount_Amount]]</f>
        <v>153.31450000000001</v>
      </c>
      <c r="Z461" s="45">
        <f>OrdersRawTable9[[#This Row],[Unit_Cost]]*OrdersRawTable9[[#This Row],[Quantity]]</f>
        <v>107.55</v>
      </c>
      <c r="AA461" s="45">
        <f>OrdersRawTable9[[#This Row],[Net_Sales]]-OrdersRawTable9[[#This Row],[Total_Cost]]</f>
        <v>45.764500000000012</v>
      </c>
      <c r="AB461" s="48">
        <f>IF(OrdersRawTable9[[#This Row],[Net_Sales]]=0,0,OrdersRawTable9[[#This Row],[Profit]]/OrdersRawTable9[[#This Row],[Net_Sales]])</f>
        <v>0.29850079411927777</v>
      </c>
      <c r="AC461" s="45" t="str">
        <f>IF(COUNTIF(ReturnsRawTable[Order_Line_ID],OrdersRawTable9[[#This Row],[Order_Line_ID]])&gt;0,"Yes","No")</f>
        <v>Yes</v>
      </c>
      <c r="AD461" s="45" t="str">
        <f>IFERROR(VLOOKUP(OrdersRawTable9[[#This Row],[Order_Line_ID]],ReturnsRawTable[[#All],[Order_Line_ID]:[Return_Reason_Raw]],3,FALSE),"")</f>
        <v>Late Delivery</v>
      </c>
      <c r="AE461" s="49">
        <f>IFERROR(VLOOKUP(OrdersRawTable9[[#This Row],[Order_Line_ID]],ReturnsRawTable[[#All],[Order_Line_ID]:[Return_Date]],2,FALSE),"")</f>
        <v>45912</v>
      </c>
      <c r="AF461" s="45" t="str">
        <f>IFERROR(VLOOKUP(OrdersRawTable9[[#This Row],[Order_Line_ID]],ReturnsRawTable[[Order_Line_ID]:[Refund_Status]],4,FALSE),"")</f>
        <v>Refunded</v>
      </c>
      <c r="AG461" s="45" t="str">
        <f>VLOOKUP(OrdersRawTable9[[#This Row],[Order_ID]],ShipmentsTable[],6,FALSE)</f>
        <v>Late</v>
      </c>
      <c r="AH461" s="49">
        <f>VLOOKUP(OrdersRawTable9[[#This Row],[Order_ID]],ShipmentsTable[],3,FALSE)</f>
        <v>45906</v>
      </c>
    </row>
    <row r="462" spans="1:34" ht="15" customHeight="1">
      <c r="A462" s="14" t="s">
        <v>990</v>
      </c>
      <c r="B462" s="10" t="s">
        <v>991</v>
      </c>
      <c r="C462" s="20">
        <v>45873</v>
      </c>
      <c r="D462" s="10" t="s">
        <v>992</v>
      </c>
      <c r="E462" s="10" t="s">
        <v>993</v>
      </c>
      <c r="F462" s="10" t="str">
        <f>TRIM(LEFT(OrdersRawTable9[[#This Row],[Customer_Info]],FIND(",",OrdersRawTable9[[#This Row],[Customer_Info]])-1))</f>
        <v>Amina Wilson</v>
      </c>
      <c r="G46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Regina</v>
      </c>
      <c r="H462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462" s="10">
        <f>LEN(OrdersRawTable9[[#This Row],[Customer_Info]])-LEN(SUBSTITUTE(OrdersRawTable9[[#This Row],[Customer_Info]],",",""))</f>
        <v>2</v>
      </c>
      <c r="J462" s="10" t="s">
        <v>77</v>
      </c>
      <c r="K462" s="23">
        <v>1</v>
      </c>
      <c r="L462" s="26">
        <v>34.909999999999997</v>
      </c>
      <c r="M462" s="29">
        <v>0.1</v>
      </c>
      <c r="N462" s="10" t="s">
        <v>66</v>
      </c>
      <c r="O462" s="10" t="str">
        <f>IF(TRIM(OrdersRawTable9[[#This Row],[Sales_Channel_Raw]])="Market place","Marketplace",TRIM(OrdersRawTable9[[#This Row],[Sales_Channel_Raw]]))</f>
        <v>Marketplace</v>
      </c>
      <c r="P462" s="10" t="s">
        <v>46</v>
      </c>
      <c r="Q462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462" s="15" t="s">
        <v>47</v>
      </c>
      <c r="S462" t="str">
        <f>VLOOKUP(OrdersRawTable9[[#This Row],[Customer_ID_Raw]],CustomersTable11[],4,FALSE)</f>
        <v>Saskatchewan</v>
      </c>
      <c r="T462" t="str">
        <f>VLOOKUP(OrdersRawTable9[[#This Row],[Customer_ID_Raw]],CustomersTable11[],5,FALSE)</f>
        <v>Consumer</v>
      </c>
      <c r="U462" s="45">
        <f>VLOOKUP(OrdersRawTable9[[#This Row],[Product_ID]],ProductsTable10[],4,FALSE)</f>
        <v>19.670000000000002</v>
      </c>
      <c r="V462" t="str">
        <f>VLOOKUP(OrdersRawTable9[[#This Row],[Product_ID]],ProductsTable10[],3,FALSE)</f>
        <v>Accessories</v>
      </c>
      <c r="W462" s="45">
        <f>OrdersRawTable9[[#This Row],[Unit_Price]]*OrdersRawTable9[[#This Row],[Quantity]]</f>
        <v>34.909999999999997</v>
      </c>
      <c r="X462" s="47">
        <f>OrdersRawTable9[[#This Row],[Gross_Sales]]*OrdersRawTable9[[#This Row],[Discount_Pct]]</f>
        <v>3.4909999999999997</v>
      </c>
      <c r="Y462" s="45">
        <f>OrdersRawTable9[[#This Row],[Gross_Sales]]-OrdersRawTable9[[#This Row],[Discount_Amount]]</f>
        <v>31.418999999999997</v>
      </c>
      <c r="Z462" s="45">
        <f>OrdersRawTable9[[#This Row],[Unit_Cost]]*OrdersRawTable9[[#This Row],[Quantity]]</f>
        <v>19.670000000000002</v>
      </c>
      <c r="AA462" s="45">
        <f>OrdersRawTable9[[#This Row],[Net_Sales]]-OrdersRawTable9[[#This Row],[Total_Cost]]</f>
        <v>11.748999999999995</v>
      </c>
      <c r="AB462" s="48">
        <f>IF(OrdersRawTable9[[#This Row],[Net_Sales]]=0,0,OrdersRawTable9[[#This Row],[Profit]]/OrdersRawTable9[[#This Row],[Net_Sales]])</f>
        <v>0.37394570164550101</v>
      </c>
      <c r="AC462" s="45" t="str">
        <f>IF(COUNTIF(ReturnsRawTable[Order_Line_ID],OrdersRawTable9[[#This Row],[Order_Line_ID]])&gt;0,"Yes","No")</f>
        <v>Yes</v>
      </c>
      <c r="AD462" s="45" t="str">
        <f>IFERROR(VLOOKUP(OrdersRawTable9[[#This Row],[Order_Line_ID]],ReturnsRawTable[[#All],[Order_Line_ID]:[Return_Reason_Raw]],3,FALSE),"")</f>
        <v>Damaged</v>
      </c>
      <c r="AE462" s="49">
        <f>IFERROR(VLOOKUP(OrdersRawTable9[[#This Row],[Order_Line_ID]],ReturnsRawTable[[#All],[Order_Line_ID]:[Return_Date]],2,FALSE),"")</f>
        <v>45891</v>
      </c>
      <c r="AF462" s="45" t="str">
        <f>IFERROR(VLOOKUP(OrdersRawTable9[[#This Row],[Order_Line_ID]],ReturnsRawTable[[Order_Line_ID]:[Refund_Status]],4,FALSE),"")</f>
        <v>Refunded</v>
      </c>
      <c r="AG462" s="45" t="str">
        <f>VLOOKUP(OrdersRawTable9[[#This Row],[Order_ID]],ShipmentsTable[],6,FALSE)</f>
        <v>Late</v>
      </c>
      <c r="AH462" s="49">
        <f>VLOOKUP(OrdersRawTable9[[#This Row],[Order_ID]],ShipmentsTable[],3,FALSE)</f>
        <v>45883</v>
      </c>
    </row>
    <row r="463" spans="1:34" ht="15" customHeight="1">
      <c r="A463" s="14" t="s">
        <v>994</v>
      </c>
      <c r="B463" s="10" t="s">
        <v>991</v>
      </c>
      <c r="C463" s="20">
        <v>45873</v>
      </c>
      <c r="D463" s="10" t="s">
        <v>992</v>
      </c>
      <c r="E463" s="10" t="s">
        <v>993</v>
      </c>
      <c r="F463" s="10" t="str">
        <f>TRIM(LEFT(OrdersRawTable9[[#This Row],[Customer_Info]],FIND(",",OrdersRawTable9[[#This Row],[Customer_Info]])-1))</f>
        <v>Amina Wilson</v>
      </c>
      <c r="G46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Regina</v>
      </c>
      <c r="H463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463" s="10">
        <f>LEN(OrdersRawTable9[[#This Row],[Customer_Info]])-LEN(SUBSTITUTE(OrdersRawTable9[[#This Row],[Customer_Info]],",",""))</f>
        <v>2</v>
      </c>
      <c r="J463" s="10" t="s">
        <v>270</v>
      </c>
      <c r="K463" s="23">
        <v>3</v>
      </c>
      <c r="L463" s="26">
        <v>214.38</v>
      </c>
      <c r="M463" s="29">
        <v>0</v>
      </c>
      <c r="N463" s="10" t="s">
        <v>50</v>
      </c>
      <c r="O463" s="10" t="str">
        <f>IF(TRIM(OrdersRawTable9[[#This Row],[Sales_Channel_Raw]])="Market place","Marketplace",TRIM(OrdersRawTable9[[#This Row],[Sales_Channel_Raw]]))</f>
        <v>Marketplace</v>
      </c>
      <c r="P463" s="10" t="s">
        <v>51</v>
      </c>
      <c r="Q463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463" s="15" t="s">
        <v>42</v>
      </c>
      <c r="S463" t="str">
        <f>VLOOKUP(OrdersRawTable9[[#This Row],[Customer_ID_Raw]],CustomersTable11[],4,FALSE)</f>
        <v>Saskatchewan</v>
      </c>
      <c r="T463" t="str">
        <f>VLOOKUP(OrdersRawTable9[[#This Row],[Customer_ID_Raw]],CustomersTable11[],5,FALSE)</f>
        <v>Consumer</v>
      </c>
      <c r="U463" s="45">
        <f>VLOOKUP(OrdersRawTable9[[#This Row],[Product_ID]],ProductsTable10[],4,FALSE)</f>
        <v>131.51</v>
      </c>
      <c r="V463" t="str">
        <f>VLOOKUP(OrdersRawTable9[[#This Row],[Product_ID]],ProductsTable10[],3,FALSE)</f>
        <v>Fitness</v>
      </c>
      <c r="W463" s="45">
        <f>OrdersRawTable9[[#This Row],[Unit_Price]]*OrdersRawTable9[[#This Row],[Quantity]]</f>
        <v>643.14</v>
      </c>
      <c r="X463" s="47">
        <f>OrdersRawTable9[[#This Row],[Gross_Sales]]*OrdersRawTable9[[#This Row],[Discount_Pct]]</f>
        <v>0</v>
      </c>
      <c r="Y463" s="45">
        <f>OrdersRawTable9[[#This Row],[Gross_Sales]]-OrdersRawTable9[[#This Row],[Discount_Amount]]</f>
        <v>643.14</v>
      </c>
      <c r="Z463" s="45">
        <f>OrdersRawTable9[[#This Row],[Unit_Cost]]*OrdersRawTable9[[#This Row],[Quantity]]</f>
        <v>394.53</v>
      </c>
      <c r="AA463" s="45">
        <f>OrdersRawTable9[[#This Row],[Net_Sales]]-OrdersRawTable9[[#This Row],[Total_Cost]]</f>
        <v>248.61</v>
      </c>
      <c r="AB463" s="48">
        <f>IF(OrdersRawTable9[[#This Row],[Net_Sales]]=0,0,OrdersRawTable9[[#This Row],[Profit]]/OrdersRawTable9[[#This Row],[Net_Sales]])</f>
        <v>0.38655658177068758</v>
      </c>
      <c r="AC463" s="45" t="str">
        <f>IF(COUNTIF(ReturnsRawTable[Order_Line_ID],OrdersRawTable9[[#This Row],[Order_Line_ID]])&gt;0,"Yes","No")</f>
        <v>Yes</v>
      </c>
      <c r="AD463" s="45" t="str">
        <f>IFERROR(VLOOKUP(OrdersRawTable9[[#This Row],[Order_Line_ID]],ReturnsRawTable[[#All],[Order_Line_ID]:[Return_Reason_Raw]],3,FALSE),"")</f>
        <v>Changed Mind</v>
      </c>
      <c r="AE463" s="49">
        <f>IFERROR(VLOOKUP(OrdersRawTable9[[#This Row],[Order_Line_ID]],ReturnsRawTable[[#All],[Order_Line_ID]:[Return_Date]],2,FALSE),"")</f>
        <v>45885</v>
      </c>
      <c r="AF463" s="45" t="str">
        <f>IFERROR(VLOOKUP(OrdersRawTable9[[#This Row],[Order_Line_ID]],ReturnsRawTable[[Order_Line_ID]:[Refund_Status]],4,FALSE),"")</f>
        <v>Pending</v>
      </c>
      <c r="AG463" s="45" t="str">
        <f>VLOOKUP(OrdersRawTable9[[#This Row],[Order_ID]],ShipmentsTable[],6,FALSE)</f>
        <v>Late</v>
      </c>
      <c r="AH463" s="49">
        <f>VLOOKUP(OrdersRawTable9[[#This Row],[Order_ID]],ShipmentsTable[],3,FALSE)</f>
        <v>45883</v>
      </c>
    </row>
    <row r="464" spans="1:34" ht="15" customHeight="1">
      <c r="A464" s="14" t="s">
        <v>995</v>
      </c>
      <c r="B464" s="10" t="s">
        <v>996</v>
      </c>
      <c r="C464" s="20">
        <v>45920</v>
      </c>
      <c r="D464" s="10" t="s">
        <v>638</v>
      </c>
      <c r="E464" s="10" t="s">
        <v>639</v>
      </c>
      <c r="F464" s="10" t="str">
        <f>TRIM(LEFT(OrdersRawTable9[[#This Row],[Customer_Info]],FIND(",",OrdersRawTable9[[#This Row],[Customer_Info]])-1))</f>
        <v>Emma Brown</v>
      </c>
      <c r="G46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464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464" s="10">
        <f>LEN(OrdersRawTable9[[#This Row],[Customer_Info]])-LEN(SUBSTITUTE(OrdersRawTable9[[#This Row],[Customer_Info]],",",""))</f>
        <v>2</v>
      </c>
      <c r="J464" s="10" t="s">
        <v>44</v>
      </c>
      <c r="K464" s="23">
        <v>4</v>
      </c>
      <c r="L464" s="26">
        <v>238.47</v>
      </c>
      <c r="M464" s="29">
        <v>0.05</v>
      </c>
      <c r="N464" s="10" t="s">
        <v>64</v>
      </c>
      <c r="O464" s="10" t="str">
        <f>IF(TRIM(OrdersRawTable9[[#This Row],[Sales_Channel_Raw]])="Market place","Marketplace",TRIM(OrdersRawTable9[[#This Row],[Sales_Channel_Raw]]))</f>
        <v>Retail Store</v>
      </c>
      <c r="P464" s="10" t="s">
        <v>46</v>
      </c>
      <c r="Q464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464" s="15" t="s">
        <v>47</v>
      </c>
      <c r="S464" t="str">
        <f>VLOOKUP(OrdersRawTable9[[#This Row],[Customer_ID_Raw]],CustomersTable11[],4,FALSE)</f>
        <v>British Columbia</v>
      </c>
      <c r="T464" t="str">
        <f>VLOOKUP(OrdersRawTable9[[#This Row],[Customer_ID_Raw]],CustomersTable11[],5,FALSE)</f>
        <v>Corporate</v>
      </c>
      <c r="U464" s="45">
        <f>VLOOKUP(OrdersRawTable9[[#This Row],[Product_ID]],ProductsTable10[],4,FALSE)</f>
        <v>127.65</v>
      </c>
      <c r="V464" t="str">
        <f>VLOOKUP(OrdersRawTable9[[#This Row],[Product_ID]],ProductsTable10[],3,FALSE)</f>
        <v>Accessories</v>
      </c>
      <c r="W464" s="45">
        <f>OrdersRawTable9[[#This Row],[Unit_Price]]*OrdersRawTable9[[#This Row],[Quantity]]</f>
        <v>953.88</v>
      </c>
      <c r="X464" s="47">
        <f>OrdersRawTable9[[#This Row],[Gross_Sales]]*OrdersRawTable9[[#This Row],[Discount_Pct]]</f>
        <v>47.694000000000003</v>
      </c>
      <c r="Y464" s="45">
        <f>OrdersRawTable9[[#This Row],[Gross_Sales]]-OrdersRawTable9[[#This Row],[Discount_Amount]]</f>
        <v>906.18600000000004</v>
      </c>
      <c r="Z464" s="45">
        <f>OrdersRawTable9[[#This Row],[Unit_Cost]]*OrdersRawTable9[[#This Row],[Quantity]]</f>
        <v>510.6</v>
      </c>
      <c r="AA464" s="45">
        <f>OrdersRawTable9[[#This Row],[Net_Sales]]-OrdersRawTable9[[#This Row],[Total_Cost]]</f>
        <v>395.58600000000001</v>
      </c>
      <c r="AB464" s="48">
        <f>IF(OrdersRawTable9[[#This Row],[Net_Sales]]=0,0,OrdersRawTable9[[#This Row],[Profit]]/OrdersRawTable9[[#This Row],[Net_Sales]])</f>
        <v>0.43653951837702193</v>
      </c>
      <c r="AC464" s="45" t="str">
        <f>IF(COUNTIF(ReturnsRawTable[Order_Line_ID],OrdersRawTable9[[#This Row],[Order_Line_ID]])&gt;0,"Yes","No")</f>
        <v>No</v>
      </c>
      <c r="AD464" s="45" t="str">
        <f>IFERROR(VLOOKUP(OrdersRawTable9[[#This Row],[Order_Line_ID]],ReturnsRawTable[[#All],[Order_Line_ID]:[Return_Reason_Raw]],3,FALSE),"")</f>
        <v/>
      </c>
      <c r="AE464" s="49" t="str">
        <f>IFERROR(VLOOKUP(OrdersRawTable9[[#This Row],[Order_Line_ID]],ReturnsRawTable[[#All],[Order_Line_ID]:[Return_Date]],2,FALSE),"")</f>
        <v/>
      </c>
      <c r="AF464" s="45" t="str">
        <f>IFERROR(VLOOKUP(OrdersRawTable9[[#This Row],[Order_Line_ID]],ReturnsRawTable[[Order_Line_ID]:[Refund_Status]],4,FALSE),"")</f>
        <v/>
      </c>
      <c r="AG464" s="45" t="str">
        <f>VLOOKUP(OrdersRawTable9[[#This Row],[Order_ID]],ShipmentsTable[],6,FALSE)</f>
        <v>Late</v>
      </c>
      <c r="AH464" s="49">
        <f>VLOOKUP(OrdersRawTable9[[#This Row],[Order_ID]],ShipmentsTable[],3,FALSE)</f>
        <v>45926</v>
      </c>
    </row>
    <row r="465" spans="1:34" ht="15" customHeight="1">
      <c r="A465" s="14" t="s">
        <v>997</v>
      </c>
      <c r="B465" s="10" t="s">
        <v>996</v>
      </c>
      <c r="C465" s="20">
        <v>45920</v>
      </c>
      <c r="D465" s="10" t="s">
        <v>638</v>
      </c>
      <c r="E465" s="10" t="s">
        <v>639</v>
      </c>
      <c r="F465" s="10" t="str">
        <f>TRIM(LEFT(OrdersRawTable9[[#This Row],[Customer_Info]],FIND(",",OrdersRawTable9[[#This Row],[Customer_Info]])-1))</f>
        <v>Emma Brown</v>
      </c>
      <c r="G46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465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465" s="10">
        <f>LEN(OrdersRawTable9[[#This Row],[Customer_Info]])-LEN(SUBSTITUTE(OrdersRawTable9[[#This Row],[Customer_Info]],",",""))</f>
        <v>2</v>
      </c>
      <c r="J465" s="10" t="s">
        <v>112</v>
      </c>
      <c r="K465" s="23">
        <v>4</v>
      </c>
      <c r="L465" s="26">
        <v>88.61</v>
      </c>
      <c r="M465" s="29">
        <v>0</v>
      </c>
      <c r="N465" s="10" t="s">
        <v>66</v>
      </c>
      <c r="O465" s="10" t="str">
        <f>IF(TRIM(OrdersRawTable9[[#This Row],[Sales_Channel_Raw]])="Market place","Marketplace",TRIM(OrdersRawTable9[[#This Row],[Sales_Channel_Raw]]))</f>
        <v>Marketplace</v>
      </c>
      <c r="P465" s="10" t="s">
        <v>98</v>
      </c>
      <c r="Q465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465" s="15" t="s">
        <v>52</v>
      </c>
      <c r="S465" t="str">
        <f>VLOOKUP(OrdersRawTable9[[#This Row],[Customer_ID_Raw]],CustomersTable11[],4,FALSE)</f>
        <v>British Columbia</v>
      </c>
      <c r="T465" t="str">
        <f>VLOOKUP(OrdersRawTable9[[#This Row],[Customer_ID_Raw]],CustomersTable11[],5,FALSE)</f>
        <v>Corporate</v>
      </c>
      <c r="U465" s="45">
        <f>VLOOKUP(OrdersRawTable9[[#This Row],[Product_ID]],ProductsTable10[],4,FALSE)</f>
        <v>49.75</v>
      </c>
      <c r="V465" t="str">
        <f>VLOOKUP(OrdersRawTable9[[#This Row],[Product_ID]],ProductsTable10[],3,FALSE)</f>
        <v>Electronics</v>
      </c>
      <c r="W465" s="45">
        <f>OrdersRawTable9[[#This Row],[Unit_Price]]*OrdersRawTable9[[#This Row],[Quantity]]</f>
        <v>354.44</v>
      </c>
      <c r="X465" s="47">
        <f>OrdersRawTable9[[#This Row],[Gross_Sales]]*OrdersRawTable9[[#This Row],[Discount_Pct]]</f>
        <v>0</v>
      </c>
      <c r="Y465" s="45">
        <f>OrdersRawTable9[[#This Row],[Gross_Sales]]-OrdersRawTable9[[#This Row],[Discount_Amount]]</f>
        <v>354.44</v>
      </c>
      <c r="Z465" s="45">
        <f>OrdersRawTable9[[#This Row],[Unit_Cost]]*OrdersRawTable9[[#This Row],[Quantity]]</f>
        <v>199</v>
      </c>
      <c r="AA465" s="45">
        <f>OrdersRawTable9[[#This Row],[Net_Sales]]-OrdersRawTable9[[#This Row],[Total_Cost]]</f>
        <v>155.44</v>
      </c>
      <c r="AB465" s="48">
        <f>IF(OrdersRawTable9[[#This Row],[Net_Sales]]=0,0,OrdersRawTable9[[#This Row],[Profit]]/OrdersRawTable9[[#This Row],[Net_Sales]])</f>
        <v>0.43855095361697327</v>
      </c>
      <c r="AC465" s="45" t="str">
        <f>IF(COUNTIF(ReturnsRawTable[Order_Line_ID],OrdersRawTable9[[#This Row],[Order_Line_ID]])&gt;0,"Yes","No")</f>
        <v>No</v>
      </c>
      <c r="AD465" s="45" t="str">
        <f>IFERROR(VLOOKUP(OrdersRawTable9[[#This Row],[Order_Line_ID]],ReturnsRawTable[[#All],[Order_Line_ID]:[Return_Reason_Raw]],3,FALSE),"")</f>
        <v/>
      </c>
      <c r="AE465" s="49" t="str">
        <f>IFERROR(VLOOKUP(OrdersRawTable9[[#This Row],[Order_Line_ID]],ReturnsRawTable[[#All],[Order_Line_ID]:[Return_Date]],2,FALSE),"")</f>
        <v/>
      </c>
      <c r="AF465" s="45" t="str">
        <f>IFERROR(VLOOKUP(OrdersRawTable9[[#This Row],[Order_Line_ID]],ReturnsRawTable[[Order_Line_ID]:[Refund_Status]],4,FALSE),"")</f>
        <v/>
      </c>
      <c r="AG465" s="45" t="str">
        <f>VLOOKUP(OrdersRawTable9[[#This Row],[Order_ID]],ShipmentsTable[],6,FALSE)</f>
        <v>Late</v>
      </c>
      <c r="AH465" s="49">
        <f>VLOOKUP(OrdersRawTable9[[#This Row],[Order_ID]],ShipmentsTable[],3,FALSE)</f>
        <v>45926</v>
      </c>
    </row>
    <row r="466" spans="1:34" ht="15" customHeight="1">
      <c r="A466" s="14" t="s">
        <v>998</v>
      </c>
      <c r="B466" s="10" t="s">
        <v>999</v>
      </c>
      <c r="C466" s="20">
        <v>45693</v>
      </c>
      <c r="D466" s="10" t="s">
        <v>321</v>
      </c>
      <c r="E466" s="10" t="s">
        <v>322</v>
      </c>
      <c r="F466" s="10" t="str">
        <f>TRIM(LEFT(OrdersRawTable9[[#This Row],[Customer_Info]],FIND(",",OrdersRawTable9[[#This Row],[Customer_Info]])-1))</f>
        <v>Emma Brown</v>
      </c>
      <c r="G46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466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466" s="10">
        <f>LEN(OrdersRawTable9[[#This Row],[Customer_Info]])-LEN(SUBSTITUTE(OrdersRawTable9[[#This Row],[Customer_Info]],",",""))</f>
        <v>2</v>
      </c>
      <c r="J466" s="10" t="s">
        <v>316</v>
      </c>
      <c r="K466" s="23">
        <v>1</v>
      </c>
      <c r="L466" s="26">
        <v>180.37</v>
      </c>
      <c r="M466" s="29">
        <v>0.15</v>
      </c>
      <c r="N466" s="10" t="s">
        <v>50</v>
      </c>
      <c r="O466" s="10" t="str">
        <f>IF(TRIM(OrdersRawTable9[[#This Row],[Sales_Channel_Raw]])="Market place","Marketplace",TRIM(OrdersRawTable9[[#This Row],[Sales_Channel_Raw]]))</f>
        <v>Marketplace</v>
      </c>
      <c r="P466" s="10"/>
      <c r="Q466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466" s="15" t="s">
        <v>67</v>
      </c>
      <c r="S466" t="str">
        <f>VLOOKUP(OrdersRawTable9[[#This Row],[Customer_ID_Raw]],CustomersTable11[],4,FALSE)</f>
        <v>Ontario</v>
      </c>
      <c r="T466" t="str">
        <f>VLOOKUP(OrdersRawTable9[[#This Row],[Customer_ID_Raw]],CustomersTable11[],5,FALSE)</f>
        <v>Corporate</v>
      </c>
      <c r="U466" s="45">
        <f>VLOOKUP(OrdersRawTable9[[#This Row],[Product_ID]],ProductsTable10[],4,FALSE)</f>
        <v>107.55</v>
      </c>
      <c r="V466" t="str">
        <f>VLOOKUP(OrdersRawTable9[[#This Row],[Product_ID]],ProductsTable10[],3,FALSE)</f>
        <v>Accessories</v>
      </c>
      <c r="W466" s="45">
        <f>OrdersRawTable9[[#This Row],[Unit_Price]]*OrdersRawTable9[[#This Row],[Quantity]]</f>
        <v>180.37</v>
      </c>
      <c r="X466" s="47">
        <f>OrdersRawTable9[[#This Row],[Gross_Sales]]*OrdersRawTable9[[#This Row],[Discount_Pct]]</f>
        <v>27.055499999999999</v>
      </c>
      <c r="Y466" s="45">
        <f>OrdersRawTable9[[#This Row],[Gross_Sales]]-OrdersRawTable9[[#This Row],[Discount_Amount]]</f>
        <v>153.31450000000001</v>
      </c>
      <c r="Z466" s="45">
        <f>OrdersRawTable9[[#This Row],[Unit_Cost]]*OrdersRawTable9[[#This Row],[Quantity]]</f>
        <v>107.55</v>
      </c>
      <c r="AA466" s="45">
        <f>OrdersRawTable9[[#This Row],[Net_Sales]]-OrdersRawTable9[[#This Row],[Total_Cost]]</f>
        <v>45.764500000000012</v>
      </c>
      <c r="AB466" s="48">
        <f>IF(OrdersRawTable9[[#This Row],[Net_Sales]]=0,0,OrdersRawTable9[[#This Row],[Profit]]/OrdersRawTable9[[#This Row],[Net_Sales]])</f>
        <v>0.29850079411927777</v>
      </c>
      <c r="AC466" s="45" t="str">
        <f>IF(COUNTIF(ReturnsRawTable[Order_Line_ID],OrdersRawTable9[[#This Row],[Order_Line_ID]])&gt;0,"Yes","No")</f>
        <v>No</v>
      </c>
      <c r="AD466" s="45" t="str">
        <f>IFERROR(VLOOKUP(OrdersRawTable9[[#This Row],[Order_Line_ID]],ReturnsRawTable[[#All],[Order_Line_ID]:[Return_Reason_Raw]],3,FALSE),"")</f>
        <v/>
      </c>
      <c r="AE466" s="49" t="str">
        <f>IFERROR(VLOOKUP(OrdersRawTable9[[#This Row],[Order_Line_ID]],ReturnsRawTable[[#All],[Order_Line_ID]:[Return_Date]],2,FALSE),"")</f>
        <v/>
      </c>
      <c r="AF466" s="45" t="str">
        <f>IFERROR(VLOOKUP(OrdersRawTable9[[#This Row],[Order_Line_ID]],ReturnsRawTable[[Order_Line_ID]:[Refund_Status]],4,FALSE),"")</f>
        <v/>
      </c>
      <c r="AG466" s="45" t="str">
        <f>VLOOKUP(OrdersRawTable9[[#This Row],[Order_ID]],ShipmentsTable[],6,FALSE)</f>
        <v>On time</v>
      </c>
      <c r="AH466" s="49">
        <f>VLOOKUP(OrdersRawTable9[[#This Row],[Order_ID]],ShipmentsTable[],3,FALSE)</f>
        <v>45695</v>
      </c>
    </row>
    <row r="467" spans="1:34" ht="15" customHeight="1">
      <c r="A467" s="14" t="s">
        <v>1000</v>
      </c>
      <c r="B467" s="10" t="s">
        <v>1001</v>
      </c>
      <c r="C467" s="20">
        <v>45673</v>
      </c>
      <c r="D467" s="10" t="s">
        <v>568</v>
      </c>
      <c r="E467" s="10" t="s">
        <v>569</v>
      </c>
      <c r="F467" s="10" t="str">
        <f>TRIM(LEFT(OrdersRawTable9[[#This Row],[Customer_Info]],FIND(",",OrdersRawTable9[[#This Row],[Customer_Info]])-1))</f>
        <v>Sofia Dubois</v>
      </c>
      <c r="G46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467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467" s="10">
        <f>LEN(OrdersRawTable9[[#This Row],[Customer_Info]])-LEN(SUBSTITUTE(OrdersRawTable9[[#This Row],[Customer_Info]],",",""))</f>
        <v>2</v>
      </c>
      <c r="J467" s="10" t="s">
        <v>106</v>
      </c>
      <c r="K467" s="23">
        <v>4</v>
      </c>
      <c r="L467" s="26">
        <v>195.38</v>
      </c>
      <c r="M467" s="29">
        <v>0.1</v>
      </c>
      <c r="N467" s="10" t="s">
        <v>64</v>
      </c>
      <c r="O467" s="10" t="str">
        <f>IF(TRIM(OrdersRawTable9[[#This Row],[Sales_Channel_Raw]])="Market place","Marketplace",TRIM(OrdersRawTable9[[#This Row],[Sales_Channel_Raw]]))</f>
        <v>Retail Store</v>
      </c>
      <c r="P467" s="10" t="s">
        <v>41</v>
      </c>
      <c r="Q467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467" s="15" t="s">
        <v>42</v>
      </c>
      <c r="S467" t="str">
        <f>VLOOKUP(OrdersRawTable9[[#This Row],[Customer_ID_Raw]],CustomersTable11[],4,FALSE)</f>
        <v>Quebec</v>
      </c>
      <c r="T467" t="str">
        <f>VLOOKUP(OrdersRawTable9[[#This Row],[Customer_ID_Raw]],CustomersTable11[],5,FALSE)</f>
        <v>Corporate</v>
      </c>
      <c r="U467" s="45">
        <f>VLOOKUP(OrdersRawTable9[[#This Row],[Product_ID]],ProductsTable10[],4,FALSE)</f>
        <v>114.29</v>
      </c>
      <c r="V467" t="str">
        <f>VLOOKUP(OrdersRawTable9[[#This Row],[Product_ID]],ProductsTable10[],3,FALSE)</f>
        <v>Electronics</v>
      </c>
      <c r="W467" s="45">
        <f>OrdersRawTable9[[#This Row],[Unit_Price]]*OrdersRawTable9[[#This Row],[Quantity]]</f>
        <v>781.52</v>
      </c>
      <c r="X467" s="47">
        <f>OrdersRawTable9[[#This Row],[Gross_Sales]]*OrdersRawTable9[[#This Row],[Discount_Pct]]</f>
        <v>78.152000000000001</v>
      </c>
      <c r="Y467" s="45">
        <f>OrdersRawTable9[[#This Row],[Gross_Sales]]-OrdersRawTable9[[#This Row],[Discount_Amount]]</f>
        <v>703.36799999999994</v>
      </c>
      <c r="Z467" s="45">
        <f>OrdersRawTable9[[#This Row],[Unit_Cost]]*OrdersRawTable9[[#This Row],[Quantity]]</f>
        <v>457.16</v>
      </c>
      <c r="AA467" s="45">
        <f>OrdersRawTable9[[#This Row],[Net_Sales]]-OrdersRawTable9[[#This Row],[Total_Cost]]</f>
        <v>246.20799999999991</v>
      </c>
      <c r="AB467" s="48">
        <f>IF(OrdersRawTable9[[#This Row],[Net_Sales]]=0,0,OrdersRawTable9[[#This Row],[Profit]]/OrdersRawTable9[[#This Row],[Net_Sales]])</f>
        <v>0.35004151454146326</v>
      </c>
      <c r="AC467" s="45" t="str">
        <f>IF(COUNTIF(ReturnsRawTable[Order_Line_ID],OrdersRawTable9[[#This Row],[Order_Line_ID]])&gt;0,"Yes","No")</f>
        <v>Yes</v>
      </c>
      <c r="AD467" s="45" t="str">
        <f>IFERROR(VLOOKUP(OrdersRawTable9[[#This Row],[Order_Line_ID]],ReturnsRawTable[[#All],[Order_Line_ID]:[Return_Reason_Raw]],3,FALSE),"")</f>
        <v>Changed Mind</v>
      </c>
      <c r="AE467" s="49">
        <f>IFERROR(VLOOKUP(OrdersRawTable9[[#This Row],[Order_Line_ID]],ReturnsRawTable[[#All],[Order_Line_ID]:[Return_Date]],2,FALSE),"")</f>
        <v>45690</v>
      </c>
      <c r="AF467" s="45" t="str">
        <f>IFERROR(VLOOKUP(OrdersRawTable9[[#This Row],[Order_Line_ID]],ReturnsRawTable[[Order_Line_ID]:[Refund_Status]],4,FALSE),"")</f>
        <v>Refunded</v>
      </c>
      <c r="AG467" s="45" t="str">
        <f>VLOOKUP(OrdersRawTable9[[#This Row],[Order_ID]],ShipmentsTable[],6,FALSE)</f>
        <v>Late</v>
      </c>
      <c r="AH467" s="49">
        <f>VLOOKUP(OrdersRawTable9[[#This Row],[Order_ID]],ShipmentsTable[],3,FALSE)</f>
        <v>45679</v>
      </c>
    </row>
    <row r="468" spans="1:34" ht="15" customHeight="1">
      <c r="A468" s="14" t="s">
        <v>1002</v>
      </c>
      <c r="B468" s="10" t="s">
        <v>1003</v>
      </c>
      <c r="C468" s="20">
        <v>45911</v>
      </c>
      <c r="D468" s="10" t="s">
        <v>75</v>
      </c>
      <c r="E468" s="10" t="s">
        <v>76</v>
      </c>
      <c r="F468" s="10" t="str">
        <f>TRIM(LEFT(OrdersRawTable9[[#This Row],[Customer_Info]],FIND(",",OrdersRawTable9[[#This Row],[Customer_Info]])-1))</f>
        <v>Yara Tremblay</v>
      </c>
      <c r="G46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468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468" s="10">
        <f>LEN(OrdersRawTable9[[#This Row],[Customer_Info]])-LEN(SUBSTITUTE(OrdersRawTable9[[#This Row],[Customer_Info]],",",""))</f>
        <v>2</v>
      </c>
      <c r="J468" s="10" t="s">
        <v>110</v>
      </c>
      <c r="K468" s="23">
        <v>1</v>
      </c>
      <c r="L468" s="26">
        <v>133.24</v>
      </c>
      <c r="M468" s="29">
        <v>0.05</v>
      </c>
      <c r="N468" s="10" t="s">
        <v>45</v>
      </c>
      <c r="O468" s="10" t="str">
        <f>IF(TRIM(OrdersRawTable9[[#This Row],[Sales_Channel_Raw]])="Market place","Marketplace",TRIM(OrdersRawTable9[[#This Row],[Sales_Channel_Raw]]))</f>
        <v>Retail Store</v>
      </c>
      <c r="P468" s="10" t="s">
        <v>51</v>
      </c>
      <c r="Q468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468" s="15" t="s">
        <v>42</v>
      </c>
      <c r="S468" t="str">
        <f>VLOOKUP(OrdersRawTable9[[#This Row],[Customer_ID_Raw]],CustomersTable11[],4,FALSE)</f>
        <v>Alberta</v>
      </c>
      <c r="T468" t="str">
        <f>VLOOKUP(OrdersRawTable9[[#This Row],[Customer_ID_Raw]],CustomersTable11[],5,FALSE)</f>
        <v>Corporate</v>
      </c>
      <c r="U468" s="45">
        <f>VLOOKUP(OrdersRawTable9[[#This Row],[Product_ID]],ProductsTable10[],4,FALSE)</f>
        <v>77.540000000000006</v>
      </c>
      <c r="V468" t="str">
        <f>VLOOKUP(OrdersRawTable9[[#This Row],[Product_ID]],ProductsTable10[],3,FALSE)</f>
        <v>Electronics</v>
      </c>
      <c r="W468" s="45">
        <f>OrdersRawTable9[[#This Row],[Unit_Price]]*OrdersRawTable9[[#This Row],[Quantity]]</f>
        <v>133.24</v>
      </c>
      <c r="X468" s="47">
        <f>OrdersRawTable9[[#This Row],[Gross_Sales]]*OrdersRawTable9[[#This Row],[Discount_Pct]]</f>
        <v>6.6620000000000008</v>
      </c>
      <c r="Y468" s="45">
        <f>OrdersRawTable9[[#This Row],[Gross_Sales]]-OrdersRawTable9[[#This Row],[Discount_Amount]]</f>
        <v>126.578</v>
      </c>
      <c r="Z468" s="45">
        <f>OrdersRawTable9[[#This Row],[Unit_Cost]]*OrdersRawTable9[[#This Row],[Quantity]]</f>
        <v>77.540000000000006</v>
      </c>
      <c r="AA468" s="45">
        <f>OrdersRawTable9[[#This Row],[Net_Sales]]-OrdersRawTable9[[#This Row],[Total_Cost]]</f>
        <v>49.037999999999997</v>
      </c>
      <c r="AB468" s="48">
        <f>IF(OrdersRawTable9[[#This Row],[Net_Sales]]=0,0,OrdersRawTable9[[#This Row],[Profit]]/OrdersRawTable9[[#This Row],[Net_Sales]])</f>
        <v>0.38741329456935641</v>
      </c>
      <c r="AC468" s="45" t="str">
        <f>IF(COUNTIF(ReturnsRawTable[Order_Line_ID],OrdersRawTable9[[#This Row],[Order_Line_ID]])&gt;0,"Yes","No")</f>
        <v>No</v>
      </c>
      <c r="AD468" s="45" t="str">
        <f>IFERROR(VLOOKUP(OrdersRawTable9[[#This Row],[Order_Line_ID]],ReturnsRawTable[[#All],[Order_Line_ID]:[Return_Reason_Raw]],3,FALSE),"")</f>
        <v/>
      </c>
      <c r="AE468" s="49" t="str">
        <f>IFERROR(VLOOKUP(OrdersRawTable9[[#This Row],[Order_Line_ID]],ReturnsRawTable[[#All],[Order_Line_ID]:[Return_Date]],2,FALSE),"")</f>
        <v/>
      </c>
      <c r="AF468" s="45" t="str">
        <f>IFERROR(VLOOKUP(OrdersRawTable9[[#This Row],[Order_Line_ID]],ReturnsRawTable[[Order_Line_ID]:[Refund_Status]],4,FALSE),"")</f>
        <v/>
      </c>
      <c r="AG468" s="45" t="str">
        <f>VLOOKUP(OrdersRawTable9[[#This Row],[Order_ID]],ShipmentsTable[],6,FALSE)</f>
        <v>Late</v>
      </c>
      <c r="AH468" s="49">
        <f>VLOOKUP(OrdersRawTable9[[#This Row],[Order_ID]],ShipmentsTable[],3,FALSE)</f>
        <v>45916</v>
      </c>
    </row>
    <row r="469" spans="1:34" ht="15" customHeight="1">
      <c r="A469" s="14" t="s">
        <v>1004</v>
      </c>
      <c r="B469" s="10" t="s">
        <v>1005</v>
      </c>
      <c r="C469" s="20">
        <v>45793</v>
      </c>
      <c r="D469" s="10" t="s">
        <v>300</v>
      </c>
      <c r="E469" s="10" t="s">
        <v>301</v>
      </c>
      <c r="F469" s="10" t="str">
        <f>TRIM(LEFT(OrdersRawTable9[[#This Row],[Customer_Info]],FIND(",",OrdersRawTable9[[#This Row],[Customer_Info]])-1))</f>
        <v>Daniel Khan</v>
      </c>
      <c r="G46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469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469" s="10">
        <f>LEN(OrdersRawTable9[[#This Row],[Customer_Info]])-LEN(SUBSTITUTE(OrdersRawTable9[[#This Row],[Customer_Info]],",",""))</f>
        <v>2</v>
      </c>
      <c r="J469" s="10" t="s">
        <v>93</v>
      </c>
      <c r="K469" s="23">
        <v>2</v>
      </c>
      <c r="L469" s="26">
        <v>208.89</v>
      </c>
      <c r="M469" s="29">
        <v>0.05</v>
      </c>
      <c r="N469" s="10" t="s">
        <v>66</v>
      </c>
      <c r="O469" s="10" t="str">
        <f>IF(TRIM(OrdersRawTable9[[#This Row],[Sales_Channel_Raw]])="Market place","Marketplace",TRIM(OrdersRawTable9[[#This Row],[Sales_Channel_Raw]]))</f>
        <v>Marketplace</v>
      </c>
      <c r="P469" s="10" t="s">
        <v>58</v>
      </c>
      <c r="Q469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469" s="15" t="s">
        <v>101</v>
      </c>
      <c r="S469" t="str">
        <f>VLOOKUP(OrdersRawTable9[[#This Row],[Customer_ID_Raw]],CustomersTable11[],4,FALSE)</f>
        <v>Nova Scotia</v>
      </c>
      <c r="T469" t="str">
        <f>VLOOKUP(OrdersRawTable9[[#This Row],[Customer_ID_Raw]],CustomersTable11[],5,FALSE)</f>
        <v>Small Business</v>
      </c>
      <c r="U469" s="45">
        <f>VLOOKUP(OrdersRawTable9[[#This Row],[Product_ID]],ProductsTable10[],4,FALSE)</f>
        <v>133.05000000000001</v>
      </c>
      <c r="V469" t="str">
        <f>VLOOKUP(OrdersRawTable9[[#This Row],[Product_ID]],ProductsTable10[],3,FALSE)</f>
        <v>Accessories</v>
      </c>
      <c r="W469" s="45">
        <f>OrdersRawTable9[[#This Row],[Unit_Price]]*OrdersRawTable9[[#This Row],[Quantity]]</f>
        <v>417.78</v>
      </c>
      <c r="X469" s="47">
        <f>OrdersRawTable9[[#This Row],[Gross_Sales]]*OrdersRawTable9[[#This Row],[Discount_Pct]]</f>
        <v>20.888999999999999</v>
      </c>
      <c r="Y469" s="45">
        <f>OrdersRawTable9[[#This Row],[Gross_Sales]]-OrdersRawTable9[[#This Row],[Discount_Amount]]</f>
        <v>396.89099999999996</v>
      </c>
      <c r="Z469" s="45">
        <f>OrdersRawTable9[[#This Row],[Unit_Cost]]*OrdersRawTable9[[#This Row],[Quantity]]</f>
        <v>266.10000000000002</v>
      </c>
      <c r="AA469" s="45">
        <f>OrdersRawTable9[[#This Row],[Net_Sales]]-OrdersRawTable9[[#This Row],[Total_Cost]]</f>
        <v>130.79099999999994</v>
      </c>
      <c r="AB469" s="48">
        <f>IF(OrdersRawTable9[[#This Row],[Net_Sales]]=0,0,OrdersRawTable9[[#This Row],[Profit]]/OrdersRawTable9[[#This Row],[Net_Sales]])</f>
        <v>0.32953884063886546</v>
      </c>
      <c r="AC469" s="45" t="str">
        <f>IF(COUNTIF(ReturnsRawTable[Order_Line_ID],OrdersRawTable9[[#This Row],[Order_Line_ID]])&gt;0,"Yes","No")</f>
        <v>No</v>
      </c>
      <c r="AD469" s="45" t="str">
        <f>IFERROR(VLOOKUP(OrdersRawTable9[[#This Row],[Order_Line_ID]],ReturnsRawTable[[#All],[Order_Line_ID]:[Return_Reason_Raw]],3,FALSE),"")</f>
        <v/>
      </c>
      <c r="AE469" s="49" t="str">
        <f>IFERROR(VLOOKUP(OrdersRawTable9[[#This Row],[Order_Line_ID]],ReturnsRawTable[[#All],[Order_Line_ID]:[Return_Date]],2,FALSE),"")</f>
        <v/>
      </c>
      <c r="AF469" s="45" t="str">
        <f>IFERROR(VLOOKUP(OrdersRawTable9[[#This Row],[Order_Line_ID]],ReturnsRawTable[[Order_Line_ID]:[Refund_Status]],4,FALSE),"")</f>
        <v/>
      </c>
      <c r="AG469" s="45" t="str">
        <f>VLOOKUP(OrdersRawTable9[[#This Row],[Order_ID]],ShipmentsTable[],6,FALSE)</f>
        <v>On time</v>
      </c>
      <c r="AH469" s="49">
        <f>VLOOKUP(OrdersRawTable9[[#This Row],[Order_ID]],ShipmentsTable[],3,FALSE)</f>
        <v>45796</v>
      </c>
    </row>
    <row r="470" spans="1:34" ht="15" customHeight="1">
      <c r="A470" s="14" t="s">
        <v>1006</v>
      </c>
      <c r="B470" s="10" t="s">
        <v>1005</v>
      </c>
      <c r="C470" s="20">
        <v>45793</v>
      </c>
      <c r="D470" s="10" t="s">
        <v>300</v>
      </c>
      <c r="E470" s="10" t="s">
        <v>301</v>
      </c>
      <c r="F470" s="10" t="str">
        <f>TRIM(LEFT(OrdersRawTable9[[#This Row],[Customer_Info]],FIND(",",OrdersRawTable9[[#This Row],[Customer_Info]])-1))</f>
        <v>Daniel Khan</v>
      </c>
      <c r="G47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470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470" s="10">
        <f>LEN(OrdersRawTable9[[#This Row],[Customer_Info]])-LEN(SUBSTITUTE(OrdersRawTable9[[#This Row],[Customer_Info]],",",""))</f>
        <v>2</v>
      </c>
      <c r="J470" s="10" t="s">
        <v>72</v>
      </c>
      <c r="K470" s="23">
        <v>1</v>
      </c>
      <c r="L470" s="26">
        <v>210.2</v>
      </c>
      <c r="M470" s="29">
        <v>0.1</v>
      </c>
      <c r="N470" s="10" t="s">
        <v>50</v>
      </c>
      <c r="O470" s="10" t="str">
        <f>IF(TRIM(OrdersRawTable9[[#This Row],[Sales_Channel_Raw]])="Market place","Marketplace",TRIM(OrdersRawTable9[[#This Row],[Sales_Channel_Raw]]))</f>
        <v>Marketplace</v>
      </c>
      <c r="P470" s="10"/>
      <c r="Q470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470" s="15" t="s">
        <v>67</v>
      </c>
      <c r="S470" t="str">
        <f>VLOOKUP(OrdersRawTable9[[#This Row],[Customer_ID_Raw]],CustomersTable11[],4,FALSE)</f>
        <v>Nova Scotia</v>
      </c>
      <c r="T470" t="str">
        <f>VLOOKUP(OrdersRawTable9[[#This Row],[Customer_ID_Raw]],CustomersTable11[],5,FALSE)</f>
        <v>Small Business</v>
      </c>
      <c r="U470" s="45">
        <f>VLOOKUP(OrdersRawTable9[[#This Row],[Product_ID]],ProductsTable10[],4,FALSE)</f>
        <v>136.25</v>
      </c>
      <c r="V470" t="str">
        <f>VLOOKUP(OrdersRawTable9[[#This Row],[Product_ID]],ProductsTable10[],3,FALSE)</f>
        <v>Fitness</v>
      </c>
      <c r="W470" s="45">
        <f>OrdersRawTable9[[#This Row],[Unit_Price]]*OrdersRawTable9[[#This Row],[Quantity]]</f>
        <v>210.2</v>
      </c>
      <c r="X470" s="47">
        <f>OrdersRawTable9[[#This Row],[Gross_Sales]]*OrdersRawTable9[[#This Row],[Discount_Pct]]</f>
        <v>21.02</v>
      </c>
      <c r="Y470" s="45">
        <f>OrdersRawTable9[[#This Row],[Gross_Sales]]-OrdersRawTable9[[#This Row],[Discount_Amount]]</f>
        <v>189.17999999999998</v>
      </c>
      <c r="Z470" s="45">
        <f>OrdersRawTable9[[#This Row],[Unit_Cost]]*OrdersRawTable9[[#This Row],[Quantity]]</f>
        <v>136.25</v>
      </c>
      <c r="AA470" s="45">
        <f>OrdersRawTable9[[#This Row],[Net_Sales]]-OrdersRawTable9[[#This Row],[Total_Cost]]</f>
        <v>52.929999999999978</v>
      </c>
      <c r="AB470" s="48">
        <f>IF(OrdersRawTable9[[#This Row],[Net_Sales]]=0,0,OrdersRawTable9[[#This Row],[Profit]]/OrdersRawTable9[[#This Row],[Net_Sales]])</f>
        <v>0.27978644677027159</v>
      </c>
      <c r="AC470" s="45" t="str">
        <f>IF(COUNTIF(ReturnsRawTable[Order_Line_ID],OrdersRawTable9[[#This Row],[Order_Line_ID]])&gt;0,"Yes","No")</f>
        <v>No</v>
      </c>
      <c r="AD470" s="45" t="str">
        <f>IFERROR(VLOOKUP(OrdersRawTable9[[#This Row],[Order_Line_ID]],ReturnsRawTable[[#All],[Order_Line_ID]:[Return_Reason_Raw]],3,FALSE),"")</f>
        <v/>
      </c>
      <c r="AE470" s="49" t="str">
        <f>IFERROR(VLOOKUP(OrdersRawTable9[[#This Row],[Order_Line_ID]],ReturnsRawTable[[#All],[Order_Line_ID]:[Return_Date]],2,FALSE),"")</f>
        <v/>
      </c>
      <c r="AF470" s="45" t="str">
        <f>IFERROR(VLOOKUP(OrdersRawTable9[[#This Row],[Order_Line_ID]],ReturnsRawTable[[Order_Line_ID]:[Refund_Status]],4,FALSE),"")</f>
        <v/>
      </c>
      <c r="AG470" s="45" t="str">
        <f>VLOOKUP(OrdersRawTable9[[#This Row],[Order_ID]],ShipmentsTable[],6,FALSE)</f>
        <v>On time</v>
      </c>
      <c r="AH470" s="49">
        <f>VLOOKUP(OrdersRawTable9[[#This Row],[Order_ID]],ShipmentsTable[],3,FALSE)</f>
        <v>45796</v>
      </c>
    </row>
    <row r="471" spans="1:34" ht="15" customHeight="1">
      <c r="A471" s="14" t="s">
        <v>1007</v>
      </c>
      <c r="B471" s="10" t="s">
        <v>1005</v>
      </c>
      <c r="C471" s="20">
        <v>45793</v>
      </c>
      <c r="D471" s="10" t="s">
        <v>300</v>
      </c>
      <c r="E471" s="10" t="s">
        <v>301</v>
      </c>
      <c r="F471" s="10" t="str">
        <f>TRIM(LEFT(OrdersRawTable9[[#This Row],[Customer_Info]],FIND(",",OrdersRawTable9[[#This Row],[Customer_Info]])-1))</f>
        <v>Daniel Khan</v>
      </c>
      <c r="G47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471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471" s="10">
        <f>LEN(OrdersRawTable9[[#This Row],[Customer_Info]])-LEN(SUBSTITUTE(OrdersRawTable9[[#This Row],[Customer_Info]],",",""))</f>
        <v>2</v>
      </c>
      <c r="J471" s="10" t="s">
        <v>110</v>
      </c>
      <c r="K471" s="23">
        <v>1</v>
      </c>
      <c r="L471" s="26">
        <v>133.24</v>
      </c>
      <c r="M471" s="29">
        <v>0</v>
      </c>
      <c r="N471" s="10" t="s">
        <v>66</v>
      </c>
      <c r="O471" s="10" t="str">
        <f>IF(TRIM(OrdersRawTable9[[#This Row],[Sales_Channel_Raw]])="Market place","Marketplace",TRIM(OrdersRawTable9[[#This Row],[Sales_Channel_Raw]]))</f>
        <v>Marketplace</v>
      </c>
      <c r="P471" s="10" t="s">
        <v>58</v>
      </c>
      <c r="Q471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471" s="15" t="s">
        <v>67</v>
      </c>
      <c r="S471" t="str">
        <f>VLOOKUP(OrdersRawTable9[[#This Row],[Customer_ID_Raw]],CustomersTable11[],4,FALSE)</f>
        <v>Nova Scotia</v>
      </c>
      <c r="T471" t="str">
        <f>VLOOKUP(OrdersRawTable9[[#This Row],[Customer_ID_Raw]],CustomersTable11[],5,FALSE)</f>
        <v>Small Business</v>
      </c>
      <c r="U471" s="45">
        <f>VLOOKUP(OrdersRawTable9[[#This Row],[Product_ID]],ProductsTable10[],4,FALSE)</f>
        <v>77.540000000000006</v>
      </c>
      <c r="V471" t="str">
        <f>VLOOKUP(OrdersRawTable9[[#This Row],[Product_ID]],ProductsTable10[],3,FALSE)</f>
        <v>Electronics</v>
      </c>
      <c r="W471" s="45">
        <f>OrdersRawTable9[[#This Row],[Unit_Price]]*OrdersRawTable9[[#This Row],[Quantity]]</f>
        <v>133.24</v>
      </c>
      <c r="X471" s="47">
        <f>OrdersRawTable9[[#This Row],[Gross_Sales]]*OrdersRawTable9[[#This Row],[Discount_Pct]]</f>
        <v>0</v>
      </c>
      <c r="Y471" s="45">
        <f>OrdersRawTable9[[#This Row],[Gross_Sales]]-OrdersRawTable9[[#This Row],[Discount_Amount]]</f>
        <v>133.24</v>
      </c>
      <c r="Z471" s="45">
        <f>OrdersRawTable9[[#This Row],[Unit_Cost]]*OrdersRawTable9[[#This Row],[Quantity]]</f>
        <v>77.540000000000006</v>
      </c>
      <c r="AA471" s="45">
        <f>OrdersRawTable9[[#This Row],[Net_Sales]]-OrdersRawTable9[[#This Row],[Total_Cost]]</f>
        <v>55.7</v>
      </c>
      <c r="AB471" s="48">
        <f>IF(OrdersRawTable9[[#This Row],[Net_Sales]]=0,0,OrdersRawTable9[[#This Row],[Profit]]/OrdersRawTable9[[#This Row],[Net_Sales]])</f>
        <v>0.41804262984088864</v>
      </c>
      <c r="AC471" s="45" t="str">
        <f>IF(COUNTIF(ReturnsRawTable[Order_Line_ID],OrdersRawTable9[[#This Row],[Order_Line_ID]])&gt;0,"Yes","No")</f>
        <v>No</v>
      </c>
      <c r="AD471" s="45" t="str">
        <f>IFERROR(VLOOKUP(OrdersRawTable9[[#This Row],[Order_Line_ID]],ReturnsRawTable[[#All],[Order_Line_ID]:[Return_Reason_Raw]],3,FALSE),"")</f>
        <v/>
      </c>
      <c r="AE471" s="49" t="str">
        <f>IFERROR(VLOOKUP(OrdersRawTable9[[#This Row],[Order_Line_ID]],ReturnsRawTable[[#All],[Order_Line_ID]:[Return_Date]],2,FALSE),"")</f>
        <v/>
      </c>
      <c r="AF471" s="45" t="str">
        <f>IFERROR(VLOOKUP(OrdersRawTable9[[#This Row],[Order_Line_ID]],ReturnsRawTable[[Order_Line_ID]:[Refund_Status]],4,FALSE),"")</f>
        <v/>
      </c>
      <c r="AG471" s="45" t="str">
        <f>VLOOKUP(OrdersRawTable9[[#This Row],[Order_ID]],ShipmentsTable[],6,FALSE)</f>
        <v>On time</v>
      </c>
      <c r="AH471" s="49">
        <f>VLOOKUP(OrdersRawTable9[[#This Row],[Order_ID]],ShipmentsTable[],3,FALSE)</f>
        <v>45796</v>
      </c>
    </row>
    <row r="472" spans="1:34" ht="15" customHeight="1">
      <c r="A472" s="14" t="s">
        <v>1008</v>
      </c>
      <c r="B472" s="10" t="s">
        <v>1005</v>
      </c>
      <c r="C472" s="20">
        <v>45793</v>
      </c>
      <c r="D472" s="10" t="s">
        <v>300</v>
      </c>
      <c r="E472" s="10" t="s">
        <v>301</v>
      </c>
      <c r="F472" s="10" t="str">
        <f>TRIM(LEFT(OrdersRawTable9[[#This Row],[Customer_Info]],FIND(",",OrdersRawTable9[[#This Row],[Customer_Info]])-1))</f>
        <v>Daniel Khan</v>
      </c>
      <c r="G47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472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472" s="10">
        <f>LEN(OrdersRawTable9[[#This Row],[Customer_Info]])-LEN(SUBSTITUTE(OrdersRawTable9[[#This Row],[Customer_Info]],",",""))</f>
        <v>2</v>
      </c>
      <c r="J472" s="10" t="s">
        <v>108</v>
      </c>
      <c r="K472" s="23">
        <v>4</v>
      </c>
      <c r="L472" s="26">
        <v>33.369999999999997</v>
      </c>
      <c r="M472" s="29">
        <v>0</v>
      </c>
      <c r="N472" s="10" t="s">
        <v>66</v>
      </c>
      <c r="O472" s="10" t="str">
        <f>IF(TRIM(OrdersRawTable9[[#This Row],[Sales_Channel_Raw]])="Market place","Marketplace",TRIM(OrdersRawTable9[[#This Row],[Sales_Channel_Raw]]))</f>
        <v>Marketplace</v>
      </c>
      <c r="P472" s="10" t="s">
        <v>58</v>
      </c>
      <c r="Q472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472" s="15" t="s">
        <v>42</v>
      </c>
      <c r="S472" t="str">
        <f>VLOOKUP(OrdersRawTable9[[#This Row],[Customer_ID_Raw]],CustomersTable11[],4,FALSE)</f>
        <v>Nova Scotia</v>
      </c>
      <c r="T472" t="str">
        <f>VLOOKUP(OrdersRawTable9[[#This Row],[Customer_ID_Raw]],CustomersTable11[],5,FALSE)</f>
        <v>Small Business</v>
      </c>
      <c r="U472" s="45">
        <f>VLOOKUP(OrdersRawTable9[[#This Row],[Product_ID]],ProductsTable10[],4,FALSE)</f>
        <v>18.670000000000002</v>
      </c>
      <c r="V472" t="str">
        <f>VLOOKUP(OrdersRawTable9[[#This Row],[Product_ID]],ProductsTable10[],3,FALSE)</f>
        <v>Fitness</v>
      </c>
      <c r="W472" s="45">
        <f>OrdersRawTable9[[#This Row],[Unit_Price]]*OrdersRawTable9[[#This Row],[Quantity]]</f>
        <v>133.47999999999999</v>
      </c>
      <c r="X472" s="47">
        <f>OrdersRawTable9[[#This Row],[Gross_Sales]]*OrdersRawTable9[[#This Row],[Discount_Pct]]</f>
        <v>0</v>
      </c>
      <c r="Y472" s="45">
        <f>OrdersRawTable9[[#This Row],[Gross_Sales]]-OrdersRawTable9[[#This Row],[Discount_Amount]]</f>
        <v>133.47999999999999</v>
      </c>
      <c r="Z472" s="45">
        <f>OrdersRawTable9[[#This Row],[Unit_Cost]]*OrdersRawTable9[[#This Row],[Quantity]]</f>
        <v>74.680000000000007</v>
      </c>
      <c r="AA472" s="45">
        <f>OrdersRawTable9[[#This Row],[Net_Sales]]-OrdersRawTable9[[#This Row],[Total_Cost]]</f>
        <v>58.799999999999983</v>
      </c>
      <c r="AB472" s="48">
        <f>IF(OrdersRawTable9[[#This Row],[Net_Sales]]=0,0,OrdersRawTable9[[#This Row],[Profit]]/OrdersRawTable9[[#This Row],[Net_Sales]])</f>
        <v>0.44051543302367385</v>
      </c>
      <c r="AC472" s="45" t="str">
        <f>IF(COUNTIF(ReturnsRawTable[Order_Line_ID],OrdersRawTable9[[#This Row],[Order_Line_ID]])&gt;0,"Yes","No")</f>
        <v>No</v>
      </c>
      <c r="AD472" s="45" t="str">
        <f>IFERROR(VLOOKUP(OrdersRawTable9[[#This Row],[Order_Line_ID]],ReturnsRawTable[[#All],[Order_Line_ID]:[Return_Reason_Raw]],3,FALSE),"")</f>
        <v/>
      </c>
      <c r="AE472" s="49" t="str">
        <f>IFERROR(VLOOKUP(OrdersRawTable9[[#This Row],[Order_Line_ID]],ReturnsRawTable[[#All],[Order_Line_ID]:[Return_Date]],2,FALSE),"")</f>
        <v/>
      </c>
      <c r="AF472" s="45" t="str">
        <f>IFERROR(VLOOKUP(OrdersRawTable9[[#This Row],[Order_Line_ID]],ReturnsRawTable[[Order_Line_ID]:[Refund_Status]],4,FALSE),"")</f>
        <v/>
      </c>
      <c r="AG472" s="45" t="str">
        <f>VLOOKUP(OrdersRawTable9[[#This Row],[Order_ID]],ShipmentsTable[],6,FALSE)</f>
        <v>On time</v>
      </c>
      <c r="AH472" s="49">
        <f>VLOOKUP(OrdersRawTable9[[#This Row],[Order_ID]],ShipmentsTable[],3,FALSE)</f>
        <v>45796</v>
      </c>
    </row>
    <row r="473" spans="1:34" ht="15" customHeight="1">
      <c r="A473" s="14" t="s">
        <v>1009</v>
      </c>
      <c r="B473" s="10" t="s">
        <v>1010</v>
      </c>
      <c r="C473" s="20">
        <v>45698</v>
      </c>
      <c r="D473" s="10" t="s">
        <v>582</v>
      </c>
      <c r="E473" s="10" t="s">
        <v>583</v>
      </c>
      <c r="F473" s="10" t="str">
        <f>TRIM(LEFT(OrdersRawTable9[[#This Row],[Customer_Info]],FIND(",",OrdersRawTable9[[#This Row],[Customer_Info]])-1))</f>
        <v>Daniel Ali</v>
      </c>
      <c r="G47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473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473" s="10">
        <f>LEN(OrdersRawTable9[[#This Row],[Customer_Info]])-LEN(SUBSTITUTE(OrdersRawTable9[[#This Row],[Customer_Info]],",",""))</f>
        <v>2</v>
      </c>
      <c r="J473" s="10" t="s">
        <v>128</v>
      </c>
      <c r="K473" s="23">
        <v>2</v>
      </c>
      <c r="L473" s="26">
        <v>25.15</v>
      </c>
      <c r="M473" s="29">
        <v>0</v>
      </c>
      <c r="N473" s="10" t="s">
        <v>66</v>
      </c>
      <c r="O473" s="10" t="str">
        <f>IF(TRIM(OrdersRawTable9[[#This Row],[Sales_Channel_Raw]])="Market place","Marketplace",TRIM(OrdersRawTable9[[#This Row],[Sales_Channel_Raw]]))</f>
        <v>Marketplace</v>
      </c>
      <c r="P473" s="10" t="s">
        <v>58</v>
      </c>
      <c r="Q473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473" s="15" t="s">
        <v>42</v>
      </c>
      <c r="S473" t="str">
        <f>VLOOKUP(OrdersRawTable9[[#This Row],[Customer_ID_Raw]],CustomersTable11[],4,FALSE)</f>
        <v>British Columbia</v>
      </c>
      <c r="T473" t="str">
        <f>VLOOKUP(OrdersRawTable9[[#This Row],[Customer_ID_Raw]],CustomersTable11[],5,FALSE)</f>
        <v>Consumer</v>
      </c>
      <c r="U473" s="45">
        <f>VLOOKUP(OrdersRawTable9[[#This Row],[Product_ID]],ProductsTable10[],4,FALSE)</f>
        <v>14.24</v>
      </c>
      <c r="V473" t="str">
        <f>VLOOKUP(OrdersRawTable9[[#This Row],[Product_ID]],ProductsTable10[],3,FALSE)</f>
        <v>Electronics</v>
      </c>
      <c r="W473" s="45">
        <f>OrdersRawTable9[[#This Row],[Unit_Price]]*OrdersRawTable9[[#This Row],[Quantity]]</f>
        <v>50.3</v>
      </c>
      <c r="X473" s="47">
        <f>OrdersRawTable9[[#This Row],[Gross_Sales]]*OrdersRawTable9[[#This Row],[Discount_Pct]]</f>
        <v>0</v>
      </c>
      <c r="Y473" s="45">
        <f>OrdersRawTable9[[#This Row],[Gross_Sales]]-OrdersRawTable9[[#This Row],[Discount_Amount]]</f>
        <v>50.3</v>
      </c>
      <c r="Z473" s="45">
        <f>OrdersRawTable9[[#This Row],[Unit_Cost]]*OrdersRawTable9[[#This Row],[Quantity]]</f>
        <v>28.48</v>
      </c>
      <c r="AA473" s="45">
        <f>OrdersRawTable9[[#This Row],[Net_Sales]]-OrdersRawTable9[[#This Row],[Total_Cost]]</f>
        <v>21.819999999999997</v>
      </c>
      <c r="AB473" s="48">
        <f>IF(OrdersRawTable9[[#This Row],[Net_Sales]]=0,0,OrdersRawTable9[[#This Row],[Profit]]/OrdersRawTable9[[#This Row],[Net_Sales]])</f>
        <v>0.43379721669980115</v>
      </c>
      <c r="AC473" s="45" t="str">
        <f>IF(COUNTIF(ReturnsRawTable[Order_Line_ID],OrdersRawTable9[[#This Row],[Order_Line_ID]])&gt;0,"Yes","No")</f>
        <v>No</v>
      </c>
      <c r="AD473" s="45" t="str">
        <f>IFERROR(VLOOKUP(OrdersRawTable9[[#This Row],[Order_Line_ID]],ReturnsRawTable[[#All],[Order_Line_ID]:[Return_Reason_Raw]],3,FALSE),"")</f>
        <v/>
      </c>
      <c r="AE473" s="49" t="str">
        <f>IFERROR(VLOOKUP(OrdersRawTable9[[#This Row],[Order_Line_ID]],ReturnsRawTable[[#All],[Order_Line_ID]:[Return_Date]],2,FALSE),"")</f>
        <v/>
      </c>
      <c r="AF473" s="45" t="str">
        <f>IFERROR(VLOOKUP(OrdersRawTable9[[#This Row],[Order_Line_ID]],ReturnsRawTable[[Order_Line_ID]:[Refund_Status]],4,FALSE),"")</f>
        <v/>
      </c>
      <c r="AG473" s="45" t="str">
        <f>VLOOKUP(OrdersRawTable9[[#This Row],[Order_ID]],ShipmentsTable[],6,FALSE)</f>
        <v>Late</v>
      </c>
      <c r="AH473" s="49">
        <f>VLOOKUP(OrdersRawTable9[[#This Row],[Order_ID]],ShipmentsTable[],3,FALSE)</f>
        <v>45708</v>
      </c>
    </row>
    <row r="474" spans="1:34" ht="15" customHeight="1">
      <c r="A474" s="14" t="s">
        <v>1011</v>
      </c>
      <c r="B474" s="10" t="s">
        <v>1010</v>
      </c>
      <c r="C474" s="20">
        <v>45698</v>
      </c>
      <c r="D474" s="10" t="s">
        <v>582</v>
      </c>
      <c r="E474" s="10" t="s">
        <v>583</v>
      </c>
      <c r="F474" s="10" t="str">
        <f>TRIM(LEFT(OrdersRawTable9[[#This Row],[Customer_Info]],FIND(",",OrdersRawTable9[[#This Row],[Customer_Info]])-1))</f>
        <v>Daniel Ali</v>
      </c>
      <c r="G47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474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474" s="10">
        <f>LEN(OrdersRawTable9[[#This Row],[Customer_Info]])-LEN(SUBSTITUTE(OrdersRawTable9[[#This Row],[Customer_Info]],",",""))</f>
        <v>2</v>
      </c>
      <c r="J474" s="10" t="s">
        <v>521</v>
      </c>
      <c r="K474" s="23">
        <v>3</v>
      </c>
      <c r="L474" s="26">
        <v>37.82</v>
      </c>
      <c r="M474" s="29">
        <v>0.1</v>
      </c>
      <c r="N474" s="10" t="s">
        <v>66</v>
      </c>
      <c r="O474" s="10" t="str">
        <f>IF(TRIM(OrdersRawTable9[[#This Row],[Sales_Channel_Raw]])="Market place","Marketplace",TRIM(OrdersRawTable9[[#This Row],[Sales_Channel_Raw]]))</f>
        <v>Marketplace</v>
      </c>
      <c r="P474" s="10" t="s">
        <v>46</v>
      </c>
      <c r="Q474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474" s="15" t="s">
        <v>47</v>
      </c>
      <c r="S474" t="str">
        <f>VLOOKUP(OrdersRawTable9[[#This Row],[Customer_ID_Raw]],CustomersTable11[],4,FALSE)</f>
        <v>British Columbia</v>
      </c>
      <c r="T474" t="str">
        <f>VLOOKUP(OrdersRawTable9[[#This Row],[Customer_ID_Raw]],CustomersTable11[],5,FALSE)</f>
        <v>Consumer</v>
      </c>
      <c r="U474" s="45">
        <f>VLOOKUP(OrdersRawTable9[[#This Row],[Product_ID]],ProductsTable10[],4,FALSE)</f>
        <v>24.76</v>
      </c>
      <c r="V474" t="str">
        <f>VLOOKUP(OrdersRawTable9[[#This Row],[Product_ID]],ProductsTable10[],3,FALSE)</f>
        <v>Electronics</v>
      </c>
      <c r="W474" s="45">
        <f>OrdersRawTable9[[#This Row],[Unit_Price]]*OrdersRawTable9[[#This Row],[Quantity]]</f>
        <v>113.46000000000001</v>
      </c>
      <c r="X474" s="47">
        <f>OrdersRawTable9[[#This Row],[Gross_Sales]]*OrdersRawTable9[[#This Row],[Discount_Pct]]</f>
        <v>11.346000000000002</v>
      </c>
      <c r="Y474" s="45">
        <f>OrdersRawTable9[[#This Row],[Gross_Sales]]-OrdersRawTable9[[#This Row],[Discount_Amount]]</f>
        <v>102.114</v>
      </c>
      <c r="Z474" s="45">
        <f>OrdersRawTable9[[#This Row],[Unit_Cost]]*OrdersRawTable9[[#This Row],[Quantity]]</f>
        <v>74.28</v>
      </c>
      <c r="AA474" s="45">
        <f>OrdersRawTable9[[#This Row],[Net_Sales]]-OrdersRawTable9[[#This Row],[Total_Cost]]</f>
        <v>27.834000000000003</v>
      </c>
      <c r="AB474" s="48">
        <f>IF(OrdersRawTable9[[#This Row],[Net_Sales]]=0,0,OrdersRawTable9[[#This Row],[Profit]]/OrdersRawTable9[[#This Row],[Net_Sales]])</f>
        <v>0.27257770726834718</v>
      </c>
      <c r="AC474" s="45" t="str">
        <f>IF(COUNTIF(ReturnsRawTable[Order_Line_ID],OrdersRawTable9[[#This Row],[Order_Line_ID]])&gt;0,"Yes","No")</f>
        <v>Yes</v>
      </c>
      <c r="AD474" s="45" t="str">
        <f>IFERROR(VLOOKUP(OrdersRawTable9[[#This Row],[Order_Line_ID]],ReturnsRawTable[[#All],[Order_Line_ID]:[Return_Reason_Raw]],3,FALSE),"")</f>
        <v>Not as Described</v>
      </c>
      <c r="AE474" s="49">
        <f>IFERROR(VLOOKUP(OrdersRawTable9[[#This Row],[Order_Line_ID]],ReturnsRawTable[[#All],[Order_Line_ID]:[Return_Date]],2,FALSE),"")</f>
        <v>45709</v>
      </c>
      <c r="AF474" s="45" t="str">
        <f>IFERROR(VLOOKUP(OrdersRawTable9[[#This Row],[Order_Line_ID]],ReturnsRawTable[[Order_Line_ID]:[Refund_Status]],4,FALSE),"")</f>
        <v>Refunded</v>
      </c>
      <c r="AG474" s="45" t="str">
        <f>VLOOKUP(OrdersRawTable9[[#This Row],[Order_ID]],ShipmentsTable[],6,FALSE)</f>
        <v>Late</v>
      </c>
      <c r="AH474" s="49">
        <f>VLOOKUP(OrdersRawTable9[[#This Row],[Order_ID]],ShipmentsTable[],3,FALSE)</f>
        <v>45708</v>
      </c>
    </row>
    <row r="475" spans="1:34" ht="15" customHeight="1">
      <c r="A475" s="14" t="s">
        <v>1012</v>
      </c>
      <c r="B475" s="10" t="s">
        <v>1013</v>
      </c>
      <c r="C475" s="20">
        <v>45911</v>
      </c>
      <c r="D475" s="10" t="s">
        <v>1014</v>
      </c>
      <c r="E475" s="10" t="s">
        <v>1015</v>
      </c>
      <c r="F475" s="10" t="str">
        <f>TRIM(LEFT(OrdersRawTable9[[#This Row],[Customer_Info]],FIND(",",OrdersRawTable9[[#This Row],[Customer_Info]])-1))</f>
        <v>Ethan Martin</v>
      </c>
      <c r="G47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475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475" s="10">
        <f>LEN(OrdersRawTable9[[#This Row],[Customer_Info]])-LEN(SUBSTITUTE(OrdersRawTable9[[#This Row],[Customer_Info]],",",""))</f>
        <v>2</v>
      </c>
      <c r="J475" s="10" t="s">
        <v>241</v>
      </c>
      <c r="K475" s="23">
        <v>2</v>
      </c>
      <c r="L475" s="26">
        <v>300.56</v>
      </c>
      <c r="M475" s="29">
        <v>0</v>
      </c>
      <c r="N475" s="10" t="s">
        <v>70</v>
      </c>
      <c r="O475" s="10" t="str">
        <f>IF(TRIM(OrdersRawTable9[[#This Row],[Sales_Channel_Raw]])="Market place","Marketplace",TRIM(OrdersRawTable9[[#This Row],[Sales_Channel_Raw]]))</f>
        <v>online</v>
      </c>
      <c r="P475" s="10" t="s">
        <v>58</v>
      </c>
      <c r="Q475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475" s="15" t="s">
        <v>67</v>
      </c>
      <c r="S475" t="str">
        <f>VLOOKUP(OrdersRawTable9[[#This Row],[Customer_ID_Raw]],CustomersTable11[],4,FALSE)</f>
        <v>Alberta</v>
      </c>
      <c r="T475" t="str">
        <f>VLOOKUP(OrdersRawTable9[[#This Row],[Customer_ID_Raw]],CustomersTable11[],5,FALSE)</f>
        <v>Corporate</v>
      </c>
      <c r="U475" s="45">
        <f>VLOOKUP(OrdersRawTable9[[#This Row],[Product_ID]],ProductsTable10[],4,FALSE)</f>
        <v>158.86000000000001</v>
      </c>
      <c r="V475" t="str">
        <f>VLOOKUP(OrdersRawTable9[[#This Row],[Product_ID]],ProductsTable10[],3,FALSE)</f>
        <v>Accessories</v>
      </c>
      <c r="W475" s="45">
        <f>OrdersRawTable9[[#This Row],[Unit_Price]]*OrdersRawTable9[[#This Row],[Quantity]]</f>
        <v>601.12</v>
      </c>
      <c r="X475" s="47">
        <f>OrdersRawTable9[[#This Row],[Gross_Sales]]*OrdersRawTable9[[#This Row],[Discount_Pct]]</f>
        <v>0</v>
      </c>
      <c r="Y475" s="45">
        <f>OrdersRawTable9[[#This Row],[Gross_Sales]]-OrdersRawTable9[[#This Row],[Discount_Amount]]</f>
        <v>601.12</v>
      </c>
      <c r="Z475" s="45">
        <f>OrdersRawTable9[[#This Row],[Unit_Cost]]*OrdersRawTable9[[#This Row],[Quantity]]</f>
        <v>317.72000000000003</v>
      </c>
      <c r="AA475" s="45">
        <f>OrdersRawTable9[[#This Row],[Net_Sales]]-OrdersRawTable9[[#This Row],[Total_Cost]]</f>
        <v>283.39999999999998</v>
      </c>
      <c r="AB475" s="48">
        <f>IF(OrdersRawTable9[[#This Row],[Net_Sales]]=0,0,OrdersRawTable9[[#This Row],[Profit]]/OrdersRawTable9[[#This Row],[Net_Sales]])</f>
        <v>0.47145328719723179</v>
      </c>
      <c r="AC475" s="45" t="str">
        <f>IF(COUNTIF(ReturnsRawTable[Order_Line_ID],OrdersRawTable9[[#This Row],[Order_Line_ID]])&gt;0,"Yes","No")</f>
        <v>No</v>
      </c>
      <c r="AD475" s="45" t="str">
        <f>IFERROR(VLOOKUP(OrdersRawTable9[[#This Row],[Order_Line_ID]],ReturnsRawTable[[#All],[Order_Line_ID]:[Return_Reason_Raw]],3,FALSE),"")</f>
        <v/>
      </c>
      <c r="AE475" s="49" t="str">
        <f>IFERROR(VLOOKUP(OrdersRawTable9[[#This Row],[Order_Line_ID]],ReturnsRawTable[[#All],[Order_Line_ID]:[Return_Date]],2,FALSE),"")</f>
        <v/>
      </c>
      <c r="AF475" s="45" t="str">
        <f>IFERROR(VLOOKUP(OrdersRawTable9[[#This Row],[Order_Line_ID]],ReturnsRawTable[[Order_Line_ID]:[Refund_Status]],4,FALSE),"")</f>
        <v/>
      </c>
      <c r="AG475" s="45" t="str">
        <f>VLOOKUP(OrdersRawTable9[[#This Row],[Order_ID]],ShipmentsTable[],6,FALSE)</f>
        <v>On time</v>
      </c>
      <c r="AH475" s="49">
        <f>VLOOKUP(OrdersRawTable9[[#This Row],[Order_ID]],ShipmentsTable[],3,FALSE)</f>
        <v>45915</v>
      </c>
    </row>
    <row r="476" spans="1:34" ht="15" customHeight="1">
      <c r="A476" s="14" t="s">
        <v>1016</v>
      </c>
      <c r="B476" s="10" t="s">
        <v>1013</v>
      </c>
      <c r="C476" s="20">
        <v>45911</v>
      </c>
      <c r="D476" s="10" t="s">
        <v>1014</v>
      </c>
      <c r="E476" s="10" t="s">
        <v>1015</v>
      </c>
      <c r="F476" s="10" t="str">
        <f>TRIM(LEFT(OrdersRawTable9[[#This Row],[Customer_Info]],FIND(",",OrdersRawTable9[[#This Row],[Customer_Info]])-1))</f>
        <v>Ethan Martin</v>
      </c>
      <c r="G47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476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476" s="10">
        <f>LEN(OrdersRawTable9[[#This Row],[Customer_Info]])-LEN(SUBSTITUTE(OrdersRawTable9[[#This Row],[Customer_Info]],",",""))</f>
        <v>2</v>
      </c>
      <c r="J476" s="10" t="s">
        <v>238</v>
      </c>
      <c r="K476" s="23">
        <v>1</v>
      </c>
      <c r="L476" s="26">
        <v>82.77</v>
      </c>
      <c r="M476" s="29">
        <v>0</v>
      </c>
      <c r="N476" s="10" t="s">
        <v>70</v>
      </c>
      <c r="O476" s="10" t="str">
        <f>IF(TRIM(OrdersRawTable9[[#This Row],[Sales_Channel_Raw]])="Market place","Marketplace",TRIM(OrdersRawTable9[[#This Row],[Sales_Channel_Raw]]))</f>
        <v>online</v>
      </c>
      <c r="P476" s="10" t="s">
        <v>98</v>
      </c>
      <c r="Q476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476" s="15" t="s">
        <v>67</v>
      </c>
      <c r="S476" t="str">
        <f>VLOOKUP(OrdersRawTable9[[#This Row],[Customer_ID_Raw]],CustomersTable11[],4,FALSE)</f>
        <v>Alberta</v>
      </c>
      <c r="T476" t="str">
        <f>VLOOKUP(OrdersRawTable9[[#This Row],[Customer_ID_Raw]],CustomersTable11[],5,FALSE)</f>
        <v>Corporate</v>
      </c>
      <c r="U476" s="45">
        <f>VLOOKUP(OrdersRawTable9[[#This Row],[Product_ID]],ProductsTable10[],4,FALSE)</f>
        <v>46.51</v>
      </c>
      <c r="V476" t="str">
        <f>VLOOKUP(OrdersRawTable9[[#This Row],[Product_ID]],ProductsTable10[],3,FALSE)</f>
        <v>Office</v>
      </c>
      <c r="W476" s="45">
        <f>OrdersRawTable9[[#This Row],[Unit_Price]]*OrdersRawTable9[[#This Row],[Quantity]]</f>
        <v>82.77</v>
      </c>
      <c r="X476" s="47">
        <f>OrdersRawTable9[[#This Row],[Gross_Sales]]*OrdersRawTable9[[#This Row],[Discount_Pct]]</f>
        <v>0</v>
      </c>
      <c r="Y476" s="45">
        <f>OrdersRawTable9[[#This Row],[Gross_Sales]]-OrdersRawTable9[[#This Row],[Discount_Amount]]</f>
        <v>82.77</v>
      </c>
      <c r="Z476" s="45">
        <f>OrdersRawTable9[[#This Row],[Unit_Cost]]*OrdersRawTable9[[#This Row],[Quantity]]</f>
        <v>46.51</v>
      </c>
      <c r="AA476" s="45">
        <f>OrdersRawTable9[[#This Row],[Net_Sales]]-OrdersRawTable9[[#This Row],[Total_Cost]]</f>
        <v>36.26</v>
      </c>
      <c r="AB476" s="48">
        <f>IF(OrdersRawTable9[[#This Row],[Net_Sales]]=0,0,OrdersRawTable9[[#This Row],[Profit]]/OrdersRawTable9[[#This Row],[Net_Sales]])</f>
        <v>0.43808143046997705</v>
      </c>
      <c r="AC476" s="45" t="str">
        <f>IF(COUNTIF(ReturnsRawTable[Order_Line_ID],OrdersRawTable9[[#This Row],[Order_Line_ID]])&gt;0,"Yes","No")</f>
        <v>No</v>
      </c>
      <c r="AD476" s="45" t="str">
        <f>IFERROR(VLOOKUP(OrdersRawTable9[[#This Row],[Order_Line_ID]],ReturnsRawTable[[#All],[Order_Line_ID]:[Return_Reason_Raw]],3,FALSE),"")</f>
        <v/>
      </c>
      <c r="AE476" s="49" t="str">
        <f>IFERROR(VLOOKUP(OrdersRawTable9[[#This Row],[Order_Line_ID]],ReturnsRawTable[[#All],[Order_Line_ID]:[Return_Date]],2,FALSE),"")</f>
        <v/>
      </c>
      <c r="AF476" s="45" t="str">
        <f>IFERROR(VLOOKUP(OrdersRawTable9[[#This Row],[Order_Line_ID]],ReturnsRawTable[[Order_Line_ID]:[Refund_Status]],4,FALSE),"")</f>
        <v/>
      </c>
      <c r="AG476" s="45" t="str">
        <f>VLOOKUP(OrdersRawTable9[[#This Row],[Order_ID]],ShipmentsTable[],6,FALSE)</f>
        <v>On time</v>
      </c>
      <c r="AH476" s="49">
        <f>VLOOKUP(OrdersRawTable9[[#This Row],[Order_ID]],ShipmentsTable[],3,FALSE)</f>
        <v>45915</v>
      </c>
    </row>
    <row r="477" spans="1:34" ht="15" customHeight="1">
      <c r="A477" s="14" t="s">
        <v>1017</v>
      </c>
      <c r="B477" s="10" t="s">
        <v>1018</v>
      </c>
      <c r="C477" s="20">
        <v>45886</v>
      </c>
      <c r="D477" s="10" t="s">
        <v>1019</v>
      </c>
      <c r="E477" s="10" t="s">
        <v>1020</v>
      </c>
      <c r="F477" s="10" t="str">
        <f>TRIM(LEFT(OrdersRawTable9[[#This Row],[Customer_Info]],FIND(",",OrdersRawTable9[[#This Row],[Customer_Info]])-1))</f>
        <v>Liam Wilson</v>
      </c>
      <c r="G47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477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477" s="10">
        <f>LEN(OrdersRawTable9[[#This Row],[Customer_Info]])-LEN(SUBSTITUTE(OrdersRawTable9[[#This Row],[Customer_Info]],",",""))</f>
        <v>2</v>
      </c>
      <c r="J477" s="10" t="s">
        <v>214</v>
      </c>
      <c r="K477" s="23">
        <v>2</v>
      </c>
      <c r="L477" s="26">
        <v>186.92</v>
      </c>
      <c r="M477" s="29">
        <v>0.1</v>
      </c>
      <c r="N477" s="10" t="s">
        <v>50</v>
      </c>
      <c r="O477" s="10" t="str">
        <f>IF(TRIM(OrdersRawTable9[[#This Row],[Sales_Channel_Raw]])="Market place","Marketplace",TRIM(OrdersRawTable9[[#This Row],[Sales_Channel_Raw]]))</f>
        <v>Marketplace</v>
      </c>
      <c r="P477" s="10" t="s">
        <v>98</v>
      </c>
      <c r="Q477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477" s="15" t="s">
        <v>52</v>
      </c>
      <c r="S477" t="str">
        <f>VLOOKUP(OrdersRawTable9[[#This Row],[Customer_ID_Raw]],CustomersTable11[],4,FALSE)</f>
        <v>Nova Scotia</v>
      </c>
      <c r="T477" t="str">
        <f>VLOOKUP(OrdersRawTable9[[#This Row],[Customer_ID_Raw]],CustomersTable11[],5,FALSE)</f>
        <v>Consumer</v>
      </c>
      <c r="U477" s="45">
        <f>VLOOKUP(OrdersRawTable9[[#This Row],[Product_ID]],ProductsTable10[],4,FALSE)</f>
        <v>114.11</v>
      </c>
      <c r="V477" t="str">
        <f>VLOOKUP(OrdersRawTable9[[#This Row],[Product_ID]],ProductsTable10[],3,FALSE)</f>
        <v>Home</v>
      </c>
      <c r="W477" s="45">
        <f>OrdersRawTable9[[#This Row],[Unit_Price]]*OrdersRawTable9[[#This Row],[Quantity]]</f>
        <v>373.84</v>
      </c>
      <c r="X477" s="47">
        <f>OrdersRawTable9[[#This Row],[Gross_Sales]]*OrdersRawTable9[[#This Row],[Discount_Pct]]</f>
        <v>37.384</v>
      </c>
      <c r="Y477" s="45">
        <f>OrdersRawTable9[[#This Row],[Gross_Sales]]-OrdersRawTable9[[#This Row],[Discount_Amount]]</f>
        <v>336.45599999999996</v>
      </c>
      <c r="Z477" s="45">
        <f>OrdersRawTable9[[#This Row],[Unit_Cost]]*OrdersRawTable9[[#This Row],[Quantity]]</f>
        <v>228.22</v>
      </c>
      <c r="AA477" s="45">
        <f>OrdersRawTable9[[#This Row],[Net_Sales]]-OrdersRawTable9[[#This Row],[Total_Cost]]</f>
        <v>108.23599999999996</v>
      </c>
      <c r="AB477" s="48">
        <f>IF(OrdersRawTable9[[#This Row],[Net_Sales]]=0,0,OrdersRawTable9[[#This Row],[Profit]]/OrdersRawTable9[[#This Row],[Net_Sales]])</f>
        <v>0.32169436716836669</v>
      </c>
      <c r="AC477" s="45" t="str">
        <f>IF(COUNTIF(ReturnsRawTable[Order_Line_ID],OrdersRawTable9[[#This Row],[Order_Line_ID]])&gt;0,"Yes","No")</f>
        <v>No</v>
      </c>
      <c r="AD477" s="45" t="str">
        <f>IFERROR(VLOOKUP(OrdersRawTable9[[#This Row],[Order_Line_ID]],ReturnsRawTable[[#All],[Order_Line_ID]:[Return_Reason_Raw]],3,FALSE),"")</f>
        <v/>
      </c>
      <c r="AE477" s="49" t="str">
        <f>IFERROR(VLOOKUP(OrdersRawTable9[[#This Row],[Order_Line_ID]],ReturnsRawTable[[#All],[Order_Line_ID]:[Return_Date]],2,FALSE),"")</f>
        <v/>
      </c>
      <c r="AF477" s="45" t="str">
        <f>IFERROR(VLOOKUP(OrdersRawTable9[[#This Row],[Order_Line_ID]],ReturnsRawTable[[Order_Line_ID]:[Refund_Status]],4,FALSE),"")</f>
        <v/>
      </c>
      <c r="AG477" s="45" t="str">
        <f>VLOOKUP(OrdersRawTable9[[#This Row],[Order_ID]],ShipmentsTable[],6,FALSE)</f>
        <v>On time</v>
      </c>
      <c r="AH477" s="49">
        <f>VLOOKUP(OrdersRawTable9[[#This Row],[Order_ID]],ShipmentsTable[],3,FALSE)</f>
        <v>45888</v>
      </c>
    </row>
    <row r="478" spans="1:34" ht="15" customHeight="1">
      <c r="A478" s="14" t="s">
        <v>1021</v>
      </c>
      <c r="B478" s="10" t="s">
        <v>1018</v>
      </c>
      <c r="C478" s="20">
        <v>45886</v>
      </c>
      <c r="D478" s="10" t="s">
        <v>1019</v>
      </c>
      <c r="E478" s="10" t="s">
        <v>1020</v>
      </c>
      <c r="F478" s="10" t="str">
        <f>TRIM(LEFT(OrdersRawTable9[[#This Row],[Customer_Info]],FIND(",",OrdersRawTable9[[#This Row],[Customer_Info]])-1))</f>
        <v>Liam Wilson</v>
      </c>
      <c r="G47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478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478" s="10">
        <f>LEN(OrdersRawTable9[[#This Row],[Customer_Info]])-LEN(SUBSTITUTE(OrdersRawTable9[[#This Row],[Customer_Info]],",",""))</f>
        <v>2</v>
      </c>
      <c r="J478" s="10" t="s">
        <v>220</v>
      </c>
      <c r="K478" s="23">
        <v>4</v>
      </c>
      <c r="L478" s="26">
        <v>25.01</v>
      </c>
      <c r="M478" s="29">
        <v>0</v>
      </c>
      <c r="N478" s="10" t="s">
        <v>70</v>
      </c>
      <c r="O478" s="10" t="str">
        <f>IF(TRIM(OrdersRawTable9[[#This Row],[Sales_Channel_Raw]])="Market place","Marketplace",TRIM(OrdersRawTable9[[#This Row],[Sales_Channel_Raw]]))</f>
        <v>online</v>
      </c>
      <c r="P478" s="10" t="s">
        <v>51</v>
      </c>
      <c r="Q478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478" s="15" t="s">
        <v>52</v>
      </c>
      <c r="S478" t="str">
        <f>VLOOKUP(OrdersRawTable9[[#This Row],[Customer_ID_Raw]],CustomersTable11[],4,FALSE)</f>
        <v>Nova Scotia</v>
      </c>
      <c r="T478" t="str">
        <f>VLOOKUP(OrdersRawTable9[[#This Row],[Customer_ID_Raw]],CustomersTable11[],5,FALSE)</f>
        <v>Consumer</v>
      </c>
      <c r="U478" s="45">
        <f>VLOOKUP(OrdersRawTable9[[#This Row],[Product_ID]],ProductsTable10[],4,FALSE)</f>
        <v>16.86</v>
      </c>
      <c r="V478" t="str">
        <f>VLOOKUP(OrdersRawTable9[[#This Row],[Product_ID]],ProductsTable10[],3,FALSE)</f>
        <v>Office</v>
      </c>
      <c r="W478" s="45">
        <f>OrdersRawTable9[[#This Row],[Unit_Price]]*OrdersRawTable9[[#This Row],[Quantity]]</f>
        <v>100.04</v>
      </c>
      <c r="X478" s="47">
        <f>OrdersRawTable9[[#This Row],[Gross_Sales]]*OrdersRawTable9[[#This Row],[Discount_Pct]]</f>
        <v>0</v>
      </c>
      <c r="Y478" s="45">
        <f>OrdersRawTable9[[#This Row],[Gross_Sales]]-OrdersRawTable9[[#This Row],[Discount_Amount]]</f>
        <v>100.04</v>
      </c>
      <c r="Z478" s="45">
        <f>OrdersRawTable9[[#This Row],[Unit_Cost]]*OrdersRawTable9[[#This Row],[Quantity]]</f>
        <v>67.44</v>
      </c>
      <c r="AA478" s="45">
        <f>OrdersRawTable9[[#This Row],[Net_Sales]]-OrdersRawTable9[[#This Row],[Total_Cost]]</f>
        <v>32.600000000000009</v>
      </c>
      <c r="AB478" s="48">
        <f>IF(OrdersRawTable9[[#This Row],[Net_Sales]]=0,0,OrdersRawTable9[[#This Row],[Profit]]/OrdersRawTable9[[#This Row],[Net_Sales]])</f>
        <v>0.32586965213914443</v>
      </c>
      <c r="AC478" s="45" t="str">
        <f>IF(COUNTIF(ReturnsRawTable[Order_Line_ID],OrdersRawTable9[[#This Row],[Order_Line_ID]])&gt;0,"Yes","No")</f>
        <v>Yes</v>
      </c>
      <c r="AD478" s="45" t="str">
        <f>IFERROR(VLOOKUP(OrdersRawTable9[[#This Row],[Order_Line_ID]],ReturnsRawTable[[#All],[Order_Line_ID]:[Return_Reason_Raw]],3,FALSE),"")</f>
        <v>Wrong Item</v>
      </c>
      <c r="AE478" s="49">
        <f>IFERROR(VLOOKUP(OrdersRawTable9[[#This Row],[Order_Line_ID]],ReturnsRawTable[[#All],[Order_Line_ID]:[Return_Date]],2,FALSE),"")</f>
        <v>45889</v>
      </c>
      <c r="AF478" s="45" t="str">
        <f>IFERROR(VLOOKUP(OrdersRawTable9[[#This Row],[Order_Line_ID]],ReturnsRawTable[[Order_Line_ID]:[Refund_Status]],4,FALSE),"")</f>
        <v>Pending</v>
      </c>
      <c r="AG478" s="45" t="str">
        <f>VLOOKUP(OrdersRawTable9[[#This Row],[Order_ID]],ShipmentsTable[],6,FALSE)</f>
        <v>On time</v>
      </c>
      <c r="AH478" s="49">
        <f>VLOOKUP(OrdersRawTable9[[#This Row],[Order_ID]],ShipmentsTable[],3,FALSE)</f>
        <v>45888</v>
      </c>
    </row>
    <row r="479" spans="1:34" ht="15" customHeight="1">
      <c r="A479" s="14" t="s">
        <v>1022</v>
      </c>
      <c r="B479" s="10" t="s">
        <v>1023</v>
      </c>
      <c r="C479" s="20">
        <v>45938</v>
      </c>
      <c r="D479" s="10" t="s">
        <v>1024</v>
      </c>
      <c r="E479" s="10" t="s">
        <v>1025</v>
      </c>
      <c r="F479" s="10" t="str">
        <f>TRIM(LEFT(OrdersRawTable9[[#This Row],[Customer_Info]],FIND(",",OrdersRawTable9[[#This Row],[Customer_Info]])-1))</f>
        <v>Noah Brown</v>
      </c>
      <c r="G47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479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479" s="10">
        <f>LEN(OrdersRawTable9[[#This Row],[Customer_Info]])-LEN(SUBSTITUTE(OrdersRawTable9[[#This Row],[Customer_Info]],",",""))</f>
        <v>2</v>
      </c>
      <c r="J479" s="10" t="s">
        <v>495</v>
      </c>
      <c r="K479" s="23">
        <v>1</v>
      </c>
      <c r="L479" s="26">
        <v>207.71</v>
      </c>
      <c r="M479" s="29">
        <v>0</v>
      </c>
      <c r="N479" s="10" t="s">
        <v>66</v>
      </c>
      <c r="O479" s="10" t="str">
        <f>IF(TRIM(OrdersRawTable9[[#This Row],[Sales_Channel_Raw]])="Market place","Marketplace",TRIM(OrdersRawTable9[[#This Row],[Sales_Channel_Raw]]))</f>
        <v>Marketplace</v>
      </c>
      <c r="P479" s="10" t="s">
        <v>98</v>
      </c>
      <c r="Q479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479" s="15" t="s">
        <v>67</v>
      </c>
      <c r="S479" t="str">
        <f>VLOOKUP(OrdersRawTable9[[#This Row],[Customer_ID_Raw]],CustomersTable11[],4,FALSE)</f>
        <v>British Columbia</v>
      </c>
      <c r="T479" t="str">
        <f>VLOOKUP(OrdersRawTable9[[#This Row],[Customer_ID_Raw]],CustomersTable11[],5,FALSE)</f>
        <v>Small Business</v>
      </c>
      <c r="U479" s="45">
        <f>VLOOKUP(OrdersRawTable9[[#This Row],[Product_ID]],ProductsTable10[],4,FALSE)</f>
        <v>132.97</v>
      </c>
      <c r="V479" t="str">
        <f>VLOOKUP(OrdersRawTable9[[#This Row],[Product_ID]],ProductsTable10[],3,FALSE)</f>
        <v>Home</v>
      </c>
      <c r="W479" s="45">
        <f>OrdersRawTable9[[#This Row],[Unit_Price]]*OrdersRawTable9[[#This Row],[Quantity]]</f>
        <v>207.71</v>
      </c>
      <c r="X479" s="47">
        <f>OrdersRawTable9[[#This Row],[Gross_Sales]]*OrdersRawTable9[[#This Row],[Discount_Pct]]</f>
        <v>0</v>
      </c>
      <c r="Y479" s="45">
        <f>OrdersRawTable9[[#This Row],[Gross_Sales]]-OrdersRawTable9[[#This Row],[Discount_Amount]]</f>
        <v>207.71</v>
      </c>
      <c r="Z479" s="45">
        <f>OrdersRawTable9[[#This Row],[Unit_Cost]]*OrdersRawTable9[[#This Row],[Quantity]]</f>
        <v>132.97</v>
      </c>
      <c r="AA479" s="45">
        <f>OrdersRawTable9[[#This Row],[Net_Sales]]-OrdersRawTable9[[#This Row],[Total_Cost]]</f>
        <v>74.740000000000009</v>
      </c>
      <c r="AB479" s="48">
        <f>IF(OrdersRawTable9[[#This Row],[Net_Sales]]=0,0,OrdersRawTable9[[#This Row],[Profit]]/OrdersRawTable9[[#This Row],[Net_Sales]])</f>
        <v>0.35982860719272064</v>
      </c>
      <c r="AC479" s="45" t="str">
        <f>IF(COUNTIF(ReturnsRawTable[Order_Line_ID],OrdersRawTable9[[#This Row],[Order_Line_ID]])&gt;0,"Yes","No")</f>
        <v>Yes</v>
      </c>
      <c r="AD479" s="45" t="str">
        <f>IFERROR(VLOOKUP(OrdersRawTable9[[#This Row],[Order_Line_ID]],ReturnsRawTable[[#All],[Order_Line_ID]:[Return_Reason_Raw]],3,FALSE),"")</f>
        <v>Not as Described</v>
      </c>
      <c r="AE479" s="49">
        <f>IFERROR(VLOOKUP(OrdersRawTable9[[#This Row],[Order_Line_ID]],ReturnsRawTable[[#All],[Order_Line_ID]:[Return_Date]],2,FALSE),"")</f>
        <v>45961</v>
      </c>
      <c r="AF479" s="45" t="str">
        <f>IFERROR(VLOOKUP(OrdersRawTable9[[#This Row],[Order_Line_ID]],ReturnsRawTable[[Order_Line_ID]:[Refund_Status]],4,FALSE),"")</f>
        <v>Refunded</v>
      </c>
      <c r="AG479" s="45" t="str">
        <f>VLOOKUP(OrdersRawTable9[[#This Row],[Order_ID]],ShipmentsTable[],6,FALSE)</f>
        <v>Late</v>
      </c>
      <c r="AH479" s="49">
        <f>VLOOKUP(OrdersRawTable9[[#This Row],[Order_ID]],ShipmentsTable[],3,FALSE)</f>
        <v>45943</v>
      </c>
    </row>
    <row r="480" spans="1:34" ht="15" customHeight="1">
      <c r="A480" s="14" t="s">
        <v>1026</v>
      </c>
      <c r="B480" s="10" t="s">
        <v>1023</v>
      </c>
      <c r="C480" s="20">
        <v>45938</v>
      </c>
      <c r="D480" s="10" t="s">
        <v>1024</v>
      </c>
      <c r="E480" s="10" t="s">
        <v>1025</v>
      </c>
      <c r="F480" s="10" t="str">
        <f>TRIM(LEFT(OrdersRawTable9[[#This Row],[Customer_Info]],FIND(",",OrdersRawTable9[[#This Row],[Customer_Info]])-1))</f>
        <v>Noah Brown</v>
      </c>
      <c r="G48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480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480" s="10">
        <f>LEN(OrdersRawTable9[[#This Row],[Customer_Info]])-LEN(SUBSTITUTE(OrdersRawTable9[[#This Row],[Customer_Info]],",",""))</f>
        <v>2</v>
      </c>
      <c r="J480" s="10" t="s">
        <v>178</v>
      </c>
      <c r="K480" s="23">
        <v>2</v>
      </c>
      <c r="L480" s="26">
        <v>61.81</v>
      </c>
      <c r="M480" s="29">
        <v>0</v>
      </c>
      <c r="N480" s="10" t="s">
        <v>70</v>
      </c>
      <c r="O480" s="10" t="str">
        <f>IF(TRIM(OrdersRawTable9[[#This Row],[Sales_Channel_Raw]])="Market place","Marketplace",TRIM(OrdersRawTable9[[#This Row],[Sales_Channel_Raw]]))</f>
        <v>online</v>
      </c>
      <c r="P480" s="10" t="s">
        <v>58</v>
      </c>
      <c r="Q480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480" s="15" t="s">
        <v>42</v>
      </c>
      <c r="S480" t="str">
        <f>VLOOKUP(OrdersRawTable9[[#This Row],[Customer_ID_Raw]],CustomersTable11[],4,FALSE)</f>
        <v>British Columbia</v>
      </c>
      <c r="T480" t="str">
        <f>VLOOKUP(OrdersRawTable9[[#This Row],[Customer_ID_Raw]],CustomersTable11[],5,FALSE)</f>
        <v>Small Business</v>
      </c>
      <c r="U480" s="45">
        <f>VLOOKUP(OrdersRawTable9[[#This Row],[Product_ID]],ProductsTable10[],4,FALSE)</f>
        <v>33.19</v>
      </c>
      <c r="V480" t="str">
        <f>VLOOKUP(OrdersRawTable9[[#This Row],[Product_ID]],ProductsTable10[],3,FALSE)</f>
        <v>Office</v>
      </c>
      <c r="W480" s="45">
        <f>OrdersRawTable9[[#This Row],[Unit_Price]]*OrdersRawTable9[[#This Row],[Quantity]]</f>
        <v>123.62</v>
      </c>
      <c r="X480" s="47">
        <f>OrdersRawTable9[[#This Row],[Gross_Sales]]*OrdersRawTable9[[#This Row],[Discount_Pct]]</f>
        <v>0</v>
      </c>
      <c r="Y480" s="45">
        <f>OrdersRawTable9[[#This Row],[Gross_Sales]]-OrdersRawTable9[[#This Row],[Discount_Amount]]</f>
        <v>123.62</v>
      </c>
      <c r="Z480" s="45">
        <f>OrdersRawTable9[[#This Row],[Unit_Cost]]*OrdersRawTable9[[#This Row],[Quantity]]</f>
        <v>66.38</v>
      </c>
      <c r="AA480" s="45">
        <f>OrdersRawTable9[[#This Row],[Net_Sales]]-OrdersRawTable9[[#This Row],[Total_Cost]]</f>
        <v>57.240000000000009</v>
      </c>
      <c r="AB480" s="48">
        <f>IF(OrdersRawTable9[[#This Row],[Net_Sales]]=0,0,OrdersRawTable9[[#This Row],[Profit]]/OrdersRawTable9[[#This Row],[Net_Sales]])</f>
        <v>0.46303187186539402</v>
      </c>
      <c r="AC480" s="45" t="str">
        <f>IF(COUNTIF(ReturnsRawTable[Order_Line_ID],OrdersRawTable9[[#This Row],[Order_Line_ID]])&gt;0,"Yes","No")</f>
        <v>No</v>
      </c>
      <c r="AD480" s="45" t="str">
        <f>IFERROR(VLOOKUP(OrdersRawTable9[[#This Row],[Order_Line_ID]],ReturnsRawTable[[#All],[Order_Line_ID]:[Return_Reason_Raw]],3,FALSE),"")</f>
        <v/>
      </c>
      <c r="AE480" s="49" t="str">
        <f>IFERROR(VLOOKUP(OrdersRawTable9[[#This Row],[Order_Line_ID]],ReturnsRawTable[[#All],[Order_Line_ID]:[Return_Date]],2,FALSE),"")</f>
        <v/>
      </c>
      <c r="AF480" s="45" t="str">
        <f>IFERROR(VLOOKUP(OrdersRawTable9[[#This Row],[Order_Line_ID]],ReturnsRawTable[[Order_Line_ID]:[Refund_Status]],4,FALSE),"")</f>
        <v/>
      </c>
      <c r="AG480" s="45" t="str">
        <f>VLOOKUP(OrdersRawTable9[[#This Row],[Order_ID]],ShipmentsTable[],6,FALSE)</f>
        <v>Late</v>
      </c>
      <c r="AH480" s="49">
        <f>VLOOKUP(OrdersRawTable9[[#This Row],[Order_ID]],ShipmentsTable[],3,FALSE)</f>
        <v>45943</v>
      </c>
    </row>
    <row r="481" spans="1:34" ht="15" customHeight="1">
      <c r="A481" s="14" t="s">
        <v>1027</v>
      </c>
      <c r="B481" s="10" t="s">
        <v>1028</v>
      </c>
      <c r="C481" s="20">
        <v>46004</v>
      </c>
      <c r="D481" s="10" t="s">
        <v>1029</v>
      </c>
      <c r="E481" s="10" t="s">
        <v>1030</v>
      </c>
      <c r="F481" s="10" t="str">
        <f>TRIM(LEFT(OrdersRawTable9[[#This Row],[Customer_Info]],FIND(",",OrdersRawTable9[[#This Row],[Customer_Info]])-1))</f>
        <v>Sara Brown</v>
      </c>
      <c r="G48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481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481" s="10">
        <f>LEN(OrdersRawTable9[[#This Row],[Customer_Info]])-LEN(SUBSTITUTE(OrdersRawTable9[[#This Row],[Customer_Info]],",",""))</f>
        <v>2</v>
      </c>
      <c r="J481" s="10" t="s">
        <v>72</v>
      </c>
      <c r="K481" s="23">
        <v>2</v>
      </c>
      <c r="L481" s="26">
        <v>210.2</v>
      </c>
      <c r="M481" s="29">
        <v>0.1</v>
      </c>
      <c r="N481" s="10" t="s">
        <v>70</v>
      </c>
      <c r="O481" s="10" t="str">
        <f>IF(TRIM(OrdersRawTable9[[#This Row],[Sales_Channel_Raw]])="Market place","Marketplace",TRIM(OrdersRawTable9[[#This Row],[Sales_Channel_Raw]]))</f>
        <v>online</v>
      </c>
      <c r="P481" s="10" t="s">
        <v>58</v>
      </c>
      <c r="Q481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481" s="15" t="s">
        <v>52</v>
      </c>
      <c r="S481" t="str">
        <f>VLOOKUP(OrdersRawTable9[[#This Row],[Customer_ID_Raw]],CustomersTable11[],4,FALSE)</f>
        <v>Ontario</v>
      </c>
      <c r="T481" t="str">
        <f>VLOOKUP(OrdersRawTable9[[#This Row],[Customer_ID_Raw]],CustomersTable11[],5,FALSE)</f>
        <v>Corporate</v>
      </c>
      <c r="U481" s="45">
        <f>VLOOKUP(OrdersRawTable9[[#This Row],[Product_ID]],ProductsTable10[],4,FALSE)</f>
        <v>136.25</v>
      </c>
      <c r="V481" t="str">
        <f>VLOOKUP(OrdersRawTable9[[#This Row],[Product_ID]],ProductsTable10[],3,FALSE)</f>
        <v>Fitness</v>
      </c>
      <c r="W481" s="45">
        <f>OrdersRawTable9[[#This Row],[Unit_Price]]*OrdersRawTable9[[#This Row],[Quantity]]</f>
        <v>420.4</v>
      </c>
      <c r="X481" s="47">
        <f>OrdersRawTable9[[#This Row],[Gross_Sales]]*OrdersRawTable9[[#This Row],[Discount_Pct]]</f>
        <v>42.04</v>
      </c>
      <c r="Y481" s="45">
        <f>OrdersRawTable9[[#This Row],[Gross_Sales]]-OrdersRawTable9[[#This Row],[Discount_Amount]]</f>
        <v>378.35999999999996</v>
      </c>
      <c r="Z481" s="45">
        <f>OrdersRawTable9[[#This Row],[Unit_Cost]]*OrdersRawTable9[[#This Row],[Quantity]]</f>
        <v>272.5</v>
      </c>
      <c r="AA481" s="45">
        <f>OrdersRawTable9[[#This Row],[Net_Sales]]-OrdersRawTable9[[#This Row],[Total_Cost]]</f>
        <v>105.85999999999996</v>
      </c>
      <c r="AB481" s="48">
        <f>IF(OrdersRawTable9[[#This Row],[Net_Sales]]=0,0,OrdersRawTable9[[#This Row],[Profit]]/OrdersRawTable9[[#This Row],[Net_Sales]])</f>
        <v>0.27978644677027159</v>
      </c>
      <c r="AC481" s="45" t="str">
        <f>IF(COUNTIF(ReturnsRawTable[Order_Line_ID],OrdersRawTable9[[#This Row],[Order_Line_ID]])&gt;0,"Yes","No")</f>
        <v>No</v>
      </c>
      <c r="AD481" s="45" t="str">
        <f>IFERROR(VLOOKUP(OrdersRawTable9[[#This Row],[Order_Line_ID]],ReturnsRawTable[[#All],[Order_Line_ID]:[Return_Reason_Raw]],3,FALSE),"")</f>
        <v/>
      </c>
      <c r="AE481" s="49" t="str">
        <f>IFERROR(VLOOKUP(OrdersRawTable9[[#This Row],[Order_Line_ID]],ReturnsRawTable[[#All],[Order_Line_ID]:[Return_Date]],2,FALSE),"")</f>
        <v/>
      </c>
      <c r="AF481" s="45" t="str">
        <f>IFERROR(VLOOKUP(OrdersRawTable9[[#This Row],[Order_Line_ID]],ReturnsRawTable[[Order_Line_ID]:[Refund_Status]],4,FALSE),"")</f>
        <v/>
      </c>
      <c r="AG481" s="45" t="str">
        <f>VLOOKUP(OrdersRawTable9[[#This Row],[Order_ID]],ShipmentsTable[],6,FALSE)</f>
        <v>Late</v>
      </c>
      <c r="AH481" s="49">
        <f>VLOOKUP(OrdersRawTable9[[#This Row],[Order_ID]],ShipmentsTable[],3,FALSE)</f>
        <v>46011</v>
      </c>
    </row>
    <row r="482" spans="1:34" ht="15" customHeight="1">
      <c r="A482" s="14" t="s">
        <v>1031</v>
      </c>
      <c r="B482" s="10" t="s">
        <v>1032</v>
      </c>
      <c r="C482" s="20">
        <v>45767</v>
      </c>
      <c r="D482" s="10" t="s">
        <v>557</v>
      </c>
      <c r="E482" s="10" t="s">
        <v>558</v>
      </c>
      <c r="F482" s="10" t="str">
        <f>TRIM(LEFT(OrdersRawTable9[[#This Row],[Customer_Info]],FIND(",",OrdersRawTable9[[#This Row],[Customer_Info]])-1))</f>
        <v>Adam Singh</v>
      </c>
      <c r="G48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482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482" s="10">
        <f>LEN(OrdersRawTable9[[#This Row],[Customer_Info]])-LEN(SUBSTITUTE(OrdersRawTable9[[#This Row],[Customer_Info]],",",""))</f>
        <v>2</v>
      </c>
      <c r="J482" s="10" t="s">
        <v>150</v>
      </c>
      <c r="K482" s="23">
        <v>4</v>
      </c>
      <c r="L482" s="26">
        <v>263.04000000000002</v>
      </c>
      <c r="M482" s="29">
        <v>0.15</v>
      </c>
      <c r="N482" s="10" t="s">
        <v>66</v>
      </c>
      <c r="O482" s="10" t="str">
        <f>IF(TRIM(OrdersRawTable9[[#This Row],[Sales_Channel_Raw]])="Market place","Marketplace",TRIM(OrdersRawTable9[[#This Row],[Sales_Channel_Raw]]))</f>
        <v>Marketplace</v>
      </c>
      <c r="P482" s="10" t="s">
        <v>98</v>
      </c>
      <c r="Q482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482" s="15" t="s">
        <v>47</v>
      </c>
      <c r="S482" t="str">
        <f>VLOOKUP(OrdersRawTable9[[#This Row],[Customer_ID_Raw]],CustomersTable11[],4,FALSE)</f>
        <v>British Columbia</v>
      </c>
      <c r="T482" t="str">
        <f>VLOOKUP(OrdersRawTable9[[#This Row],[Customer_ID_Raw]],CustomersTable11[],5,FALSE)</f>
        <v>Consumer</v>
      </c>
      <c r="U482" s="45">
        <f>VLOOKUP(OrdersRawTable9[[#This Row],[Product_ID]],ProductsTable10[],4,FALSE)</f>
        <v>161.84</v>
      </c>
      <c r="V482" t="str">
        <f>VLOOKUP(OrdersRawTable9[[#This Row],[Product_ID]],ProductsTable10[],3,FALSE)</f>
        <v>Office</v>
      </c>
      <c r="W482" s="45">
        <f>OrdersRawTable9[[#This Row],[Unit_Price]]*OrdersRawTable9[[#This Row],[Quantity]]</f>
        <v>1052.1600000000001</v>
      </c>
      <c r="X482" s="47">
        <f>OrdersRawTable9[[#This Row],[Gross_Sales]]*OrdersRawTable9[[#This Row],[Discount_Pct]]</f>
        <v>157.82400000000001</v>
      </c>
      <c r="Y482" s="45">
        <f>OrdersRawTable9[[#This Row],[Gross_Sales]]-OrdersRawTable9[[#This Row],[Discount_Amount]]</f>
        <v>894.33600000000001</v>
      </c>
      <c r="Z482" s="45">
        <f>OrdersRawTable9[[#This Row],[Unit_Cost]]*OrdersRawTable9[[#This Row],[Quantity]]</f>
        <v>647.36</v>
      </c>
      <c r="AA482" s="45">
        <f>OrdersRawTable9[[#This Row],[Net_Sales]]-OrdersRawTable9[[#This Row],[Total_Cost]]</f>
        <v>246.976</v>
      </c>
      <c r="AB482" s="48">
        <f>IF(OrdersRawTable9[[#This Row],[Net_Sales]]=0,0,OrdersRawTable9[[#This Row],[Profit]]/OrdersRawTable9[[#This Row],[Net_Sales]])</f>
        <v>0.27615571776155717</v>
      </c>
      <c r="AC482" s="45" t="str">
        <f>IF(COUNTIF(ReturnsRawTable[Order_Line_ID],OrdersRawTable9[[#This Row],[Order_Line_ID]])&gt;0,"Yes","No")</f>
        <v>Yes</v>
      </c>
      <c r="AD482" s="45" t="str">
        <f>IFERROR(VLOOKUP(OrdersRawTable9[[#This Row],[Order_Line_ID]],ReturnsRawTable[[#All],[Order_Line_ID]:[Return_Reason_Raw]],3,FALSE),"")</f>
        <v>Wrong item</v>
      </c>
      <c r="AE482" s="49">
        <f>IFERROR(VLOOKUP(OrdersRawTable9[[#This Row],[Order_Line_ID]],ReturnsRawTable[[#All],[Order_Line_ID]:[Return_Date]],2,FALSE),"")</f>
        <v>45777</v>
      </c>
      <c r="AF482" s="45" t="str">
        <f>IFERROR(VLOOKUP(OrdersRawTable9[[#This Row],[Order_Line_ID]],ReturnsRawTable[[Order_Line_ID]:[Refund_Status]],4,FALSE),"")</f>
        <v>Refunded</v>
      </c>
      <c r="AG482" s="45" t="str">
        <f>VLOOKUP(OrdersRawTable9[[#This Row],[Order_ID]],ShipmentsTable[],6,FALSE)</f>
        <v>Late</v>
      </c>
      <c r="AH482" s="49">
        <f>VLOOKUP(OrdersRawTable9[[#This Row],[Order_ID]],ShipmentsTable[],3,FALSE)</f>
        <v>45776</v>
      </c>
    </row>
    <row r="483" spans="1:34" ht="15" customHeight="1">
      <c r="A483" s="14" t="s">
        <v>1033</v>
      </c>
      <c r="B483" s="10" t="s">
        <v>1032</v>
      </c>
      <c r="C483" s="20">
        <v>45767</v>
      </c>
      <c r="D483" s="10" t="s">
        <v>557</v>
      </c>
      <c r="E483" s="10" t="s">
        <v>558</v>
      </c>
      <c r="F483" s="10" t="str">
        <f>TRIM(LEFT(OrdersRawTable9[[#This Row],[Customer_Info]],FIND(",",OrdersRawTable9[[#This Row],[Customer_Info]])-1))</f>
        <v>Adam Singh</v>
      </c>
      <c r="G48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483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483" s="10">
        <f>LEN(OrdersRawTable9[[#This Row],[Customer_Info]])-LEN(SUBSTITUTE(OrdersRawTable9[[#This Row],[Customer_Info]],",",""))</f>
        <v>2</v>
      </c>
      <c r="J483" s="10" t="s">
        <v>121</v>
      </c>
      <c r="K483" s="23">
        <v>1</v>
      </c>
      <c r="L483" s="26">
        <v>287.16000000000003</v>
      </c>
      <c r="M483" s="29">
        <v>0</v>
      </c>
      <c r="N483" s="10" t="s">
        <v>64</v>
      </c>
      <c r="O483" s="10" t="str">
        <f>IF(TRIM(OrdersRawTable9[[#This Row],[Sales_Channel_Raw]])="Market place","Marketplace",TRIM(OrdersRawTable9[[#This Row],[Sales_Channel_Raw]]))</f>
        <v>Retail Store</v>
      </c>
      <c r="P483" s="10" t="s">
        <v>58</v>
      </c>
      <c r="Q483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483" s="15" t="s">
        <v>67</v>
      </c>
      <c r="S483" t="str">
        <f>VLOOKUP(OrdersRawTable9[[#This Row],[Customer_ID_Raw]],CustomersTable11[],4,FALSE)</f>
        <v>British Columbia</v>
      </c>
      <c r="T483" t="str">
        <f>VLOOKUP(OrdersRawTable9[[#This Row],[Customer_ID_Raw]],CustomersTable11[],5,FALSE)</f>
        <v>Consumer</v>
      </c>
      <c r="U483" s="45">
        <f>VLOOKUP(OrdersRawTable9[[#This Row],[Product_ID]],ProductsTable10[],4,FALSE)</f>
        <v>148.21</v>
      </c>
      <c r="V483" t="str">
        <f>VLOOKUP(OrdersRawTable9[[#This Row],[Product_ID]],ProductsTable10[],3,FALSE)</f>
        <v>Accessories</v>
      </c>
      <c r="W483" s="45">
        <f>OrdersRawTable9[[#This Row],[Unit_Price]]*OrdersRawTable9[[#This Row],[Quantity]]</f>
        <v>287.16000000000003</v>
      </c>
      <c r="X483" s="47">
        <f>OrdersRawTable9[[#This Row],[Gross_Sales]]*OrdersRawTable9[[#This Row],[Discount_Pct]]</f>
        <v>0</v>
      </c>
      <c r="Y483" s="45">
        <f>OrdersRawTable9[[#This Row],[Gross_Sales]]-OrdersRawTable9[[#This Row],[Discount_Amount]]</f>
        <v>287.16000000000003</v>
      </c>
      <c r="Z483" s="45">
        <f>OrdersRawTable9[[#This Row],[Unit_Cost]]*OrdersRawTable9[[#This Row],[Quantity]]</f>
        <v>148.21</v>
      </c>
      <c r="AA483" s="45">
        <f>OrdersRawTable9[[#This Row],[Net_Sales]]-OrdersRawTable9[[#This Row],[Total_Cost]]</f>
        <v>138.95000000000002</v>
      </c>
      <c r="AB483" s="48">
        <f>IF(OrdersRawTable9[[#This Row],[Net_Sales]]=0,0,OrdersRawTable9[[#This Row],[Profit]]/OrdersRawTable9[[#This Row],[Net_Sales]])</f>
        <v>0.48387658448251847</v>
      </c>
      <c r="AC483" s="45" t="str">
        <f>IF(COUNTIF(ReturnsRawTable[Order_Line_ID],OrdersRawTable9[[#This Row],[Order_Line_ID]])&gt;0,"Yes","No")</f>
        <v>No</v>
      </c>
      <c r="AD483" s="45" t="str">
        <f>IFERROR(VLOOKUP(OrdersRawTable9[[#This Row],[Order_Line_ID]],ReturnsRawTable[[#All],[Order_Line_ID]:[Return_Reason_Raw]],3,FALSE),"")</f>
        <v/>
      </c>
      <c r="AE483" s="49" t="str">
        <f>IFERROR(VLOOKUP(OrdersRawTable9[[#This Row],[Order_Line_ID]],ReturnsRawTable[[#All],[Order_Line_ID]:[Return_Date]],2,FALSE),"")</f>
        <v/>
      </c>
      <c r="AF483" s="45" t="str">
        <f>IFERROR(VLOOKUP(OrdersRawTable9[[#This Row],[Order_Line_ID]],ReturnsRawTable[[Order_Line_ID]:[Refund_Status]],4,FALSE),"")</f>
        <v/>
      </c>
      <c r="AG483" s="45" t="str">
        <f>VLOOKUP(OrdersRawTable9[[#This Row],[Order_ID]],ShipmentsTable[],6,FALSE)</f>
        <v>Late</v>
      </c>
      <c r="AH483" s="49">
        <f>VLOOKUP(OrdersRawTable9[[#This Row],[Order_ID]],ShipmentsTable[],3,FALSE)</f>
        <v>45776</v>
      </c>
    </row>
    <row r="484" spans="1:34" ht="15" customHeight="1">
      <c r="A484" s="14" t="s">
        <v>1034</v>
      </c>
      <c r="B484" s="10" t="s">
        <v>1035</v>
      </c>
      <c r="C484" s="20">
        <v>45996</v>
      </c>
      <c r="D484" s="10" t="s">
        <v>557</v>
      </c>
      <c r="E484" s="10" t="s">
        <v>558</v>
      </c>
      <c r="F484" s="10" t="str">
        <f>TRIM(LEFT(OrdersRawTable9[[#This Row],[Customer_Info]],FIND(",",OrdersRawTable9[[#This Row],[Customer_Info]])-1))</f>
        <v>Adam Singh</v>
      </c>
      <c r="G48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484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484" s="10">
        <f>LEN(OrdersRawTable9[[#This Row],[Customer_Info]])-LEN(SUBSTITUTE(OrdersRawTable9[[#This Row],[Customer_Info]],",",""))</f>
        <v>2</v>
      </c>
      <c r="J484" s="10" t="s">
        <v>44</v>
      </c>
      <c r="K484" s="23">
        <v>2</v>
      </c>
      <c r="L484" s="26">
        <v>238.47</v>
      </c>
      <c r="M484" s="29">
        <v>0.05</v>
      </c>
      <c r="N484" s="10" t="s">
        <v>64</v>
      </c>
      <c r="O484" s="10" t="str">
        <f>IF(TRIM(OrdersRawTable9[[#This Row],[Sales_Channel_Raw]])="Market place","Marketplace",TRIM(OrdersRawTable9[[#This Row],[Sales_Channel_Raw]]))</f>
        <v>Retail Store</v>
      </c>
      <c r="P484" s="10" t="s">
        <v>41</v>
      </c>
      <c r="Q484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484" s="15" t="s">
        <v>67</v>
      </c>
      <c r="S484" t="str">
        <f>VLOOKUP(OrdersRawTable9[[#This Row],[Customer_ID_Raw]],CustomersTable11[],4,FALSE)</f>
        <v>British Columbia</v>
      </c>
      <c r="T484" t="str">
        <f>VLOOKUP(OrdersRawTable9[[#This Row],[Customer_ID_Raw]],CustomersTable11[],5,FALSE)</f>
        <v>Consumer</v>
      </c>
      <c r="U484" s="45">
        <f>VLOOKUP(OrdersRawTable9[[#This Row],[Product_ID]],ProductsTable10[],4,FALSE)</f>
        <v>127.65</v>
      </c>
      <c r="V484" t="str">
        <f>VLOOKUP(OrdersRawTable9[[#This Row],[Product_ID]],ProductsTable10[],3,FALSE)</f>
        <v>Accessories</v>
      </c>
      <c r="W484" s="45">
        <f>OrdersRawTable9[[#This Row],[Unit_Price]]*OrdersRawTable9[[#This Row],[Quantity]]</f>
        <v>476.94</v>
      </c>
      <c r="X484" s="47">
        <f>OrdersRawTable9[[#This Row],[Gross_Sales]]*OrdersRawTable9[[#This Row],[Discount_Pct]]</f>
        <v>23.847000000000001</v>
      </c>
      <c r="Y484" s="45">
        <f>OrdersRawTable9[[#This Row],[Gross_Sales]]-OrdersRawTable9[[#This Row],[Discount_Amount]]</f>
        <v>453.09300000000002</v>
      </c>
      <c r="Z484" s="45">
        <f>OrdersRawTable9[[#This Row],[Unit_Cost]]*OrdersRawTable9[[#This Row],[Quantity]]</f>
        <v>255.3</v>
      </c>
      <c r="AA484" s="45">
        <f>OrdersRawTable9[[#This Row],[Net_Sales]]-OrdersRawTable9[[#This Row],[Total_Cost]]</f>
        <v>197.79300000000001</v>
      </c>
      <c r="AB484" s="48">
        <f>IF(OrdersRawTable9[[#This Row],[Net_Sales]]=0,0,OrdersRawTable9[[#This Row],[Profit]]/OrdersRawTable9[[#This Row],[Net_Sales]])</f>
        <v>0.43653951837702193</v>
      </c>
      <c r="AC484" s="45" t="str">
        <f>IF(COUNTIF(ReturnsRawTable[Order_Line_ID],OrdersRawTable9[[#This Row],[Order_Line_ID]])&gt;0,"Yes","No")</f>
        <v>No</v>
      </c>
      <c r="AD484" s="45" t="str">
        <f>IFERROR(VLOOKUP(OrdersRawTable9[[#This Row],[Order_Line_ID]],ReturnsRawTable[[#All],[Order_Line_ID]:[Return_Reason_Raw]],3,FALSE),"")</f>
        <v/>
      </c>
      <c r="AE484" s="49" t="str">
        <f>IFERROR(VLOOKUP(OrdersRawTable9[[#This Row],[Order_Line_ID]],ReturnsRawTable[[#All],[Order_Line_ID]:[Return_Date]],2,FALSE),"")</f>
        <v/>
      </c>
      <c r="AF484" s="45" t="str">
        <f>IFERROR(VLOOKUP(OrdersRawTable9[[#This Row],[Order_Line_ID]],ReturnsRawTable[[Order_Line_ID]:[Refund_Status]],4,FALSE),"")</f>
        <v/>
      </c>
      <c r="AG484" s="45" t="str">
        <f>VLOOKUP(OrdersRawTable9[[#This Row],[Order_ID]],ShipmentsTable[],6,FALSE)</f>
        <v>On time</v>
      </c>
      <c r="AH484" s="49">
        <f>VLOOKUP(OrdersRawTable9[[#This Row],[Order_ID]],ShipmentsTable[],3,FALSE)</f>
        <v>46000</v>
      </c>
    </row>
    <row r="485" spans="1:34" ht="15" customHeight="1">
      <c r="A485" s="14" t="s">
        <v>1036</v>
      </c>
      <c r="B485" s="10" t="s">
        <v>1035</v>
      </c>
      <c r="C485" s="20">
        <v>45996</v>
      </c>
      <c r="D485" s="10" t="s">
        <v>557</v>
      </c>
      <c r="E485" s="10" t="s">
        <v>558</v>
      </c>
      <c r="F485" s="10" t="str">
        <f>TRIM(LEFT(OrdersRawTable9[[#This Row],[Customer_Info]],FIND(",",OrdersRawTable9[[#This Row],[Customer_Info]])-1))</f>
        <v>Adam Singh</v>
      </c>
      <c r="G48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485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485" s="10">
        <f>LEN(OrdersRawTable9[[#This Row],[Customer_Info]])-LEN(SUBSTITUTE(OrdersRawTable9[[#This Row],[Customer_Info]],",",""))</f>
        <v>2</v>
      </c>
      <c r="J485" s="10" t="s">
        <v>100</v>
      </c>
      <c r="K485" s="23">
        <v>1</v>
      </c>
      <c r="L485" s="26">
        <v>42.72</v>
      </c>
      <c r="M485" s="29">
        <v>0.15</v>
      </c>
      <c r="N485" s="10" t="s">
        <v>66</v>
      </c>
      <c r="O485" s="10" t="str">
        <f>IF(TRIM(OrdersRawTable9[[#This Row],[Sales_Channel_Raw]])="Market place","Marketplace",TRIM(OrdersRawTable9[[#This Row],[Sales_Channel_Raw]]))</f>
        <v>Marketplace</v>
      </c>
      <c r="P485" s="10" t="s">
        <v>41</v>
      </c>
      <c r="Q485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485" s="15" t="s">
        <v>42</v>
      </c>
      <c r="S485" t="str">
        <f>VLOOKUP(OrdersRawTable9[[#This Row],[Customer_ID_Raw]],CustomersTable11[],4,FALSE)</f>
        <v>British Columbia</v>
      </c>
      <c r="T485" t="str">
        <f>VLOOKUP(OrdersRawTable9[[#This Row],[Customer_ID_Raw]],CustomersTable11[],5,FALSE)</f>
        <v>Consumer</v>
      </c>
      <c r="U485" s="45">
        <f>VLOOKUP(OrdersRawTable9[[#This Row],[Product_ID]],ProductsTable10[],4,FALSE)</f>
        <v>24.46</v>
      </c>
      <c r="V485" t="str">
        <f>VLOOKUP(OrdersRawTable9[[#This Row],[Product_ID]],ProductsTable10[],3,FALSE)</f>
        <v>Electronics</v>
      </c>
      <c r="W485" s="45">
        <f>OrdersRawTable9[[#This Row],[Unit_Price]]*OrdersRawTable9[[#This Row],[Quantity]]</f>
        <v>42.72</v>
      </c>
      <c r="X485" s="47">
        <f>OrdersRawTable9[[#This Row],[Gross_Sales]]*OrdersRawTable9[[#This Row],[Discount_Pct]]</f>
        <v>6.4079999999999995</v>
      </c>
      <c r="Y485" s="45">
        <f>OrdersRawTable9[[#This Row],[Gross_Sales]]-OrdersRawTable9[[#This Row],[Discount_Amount]]</f>
        <v>36.311999999999998</v>
      </c>
      <c r="Z485" s="45">
        <f>OrdersRawTable9[[#This Row],[Unit_Cost]]*OrdersRawTable9[[#This Row],[Quantity]]</f>
        <v>24.46</v>
      </c>
      <c r="AA485" s="45">
        <f>OrdersRawTable9[[#This Row],[Net_Sales]]-OrdersRawTable9[[#This Row],[Total_Cost]]</f>
        <v>11.851999999999997</v>
      </c>
      <c r="AB485" s="48">
        <f>IF(OrdersRawTable9[[#This Row],[Net_Sales]]=0,0,OrdersRawTable9[[#This Row],[Profit]]/OrdersRawTable9[[#This Row],[Net_Sales]])</f>
        <v>0.32639347873981045</v>
      </c>
      <c r="AC485" s="45" t="str">
        <f>IF(COUNTIF(ReturnsRawTable[Order_Line_ID],OrdersRawTable9[[#This Row],[Order_Line_ID]])&gt;0,"Yes","No")</f>
        <v>No</v>
      </c>
      <c r="AD485" s="45" t="str">
        <f>IFERROR(VLOOKUP(OrdersRawTable9[[#This Row],[Order_Line_ID]],ReturnsRawTable[[#All],[Order_Line_ID]:[Return_Reason_Raw]],3,FALSE),"")</f>
        <v/>
      </c>
      <c r="AE485" s="49" t="str">
        <f>IFERROR(VLOOKUP(OrdersRawTable9[[#This Row],[Order_Line_ID]],ReturnsRawTable[[#All],[Order_Line_ID]:[Return_Date]],2,FALSE),"")</f>
        <v/>
      </c>
      <c r="AF485" s="45" t="str">
        <f>IFERROR(VLOOKUP(OrdersRawTable9[[#This Row],[Order_Line_ID]],ReturnsRawTable[[Order_Line_ID]:[Refund_Status]],4,FALSE),"")</f>
        <v/>
      </c>
      <c r="AG485" s="45" t="str">
        <f>VLOOKUP(OrdersRawTable9[[#This Row],[Order_ID]],ShipmentsTable[],6,FALSE)</f>
        <v>On time</v>
      </c>
      <c r="AH485" s="49">
        <f>VLOOKUP(OrdersRawTable9[[#This Row],[Order_ID]],ShipmentsTable[],3,FALSE)</f>
        <v>46000</v>
      </c>
    </row>
    <row r="486" spans="1:34" ht="15" customHeight="1">
      <c r="A486" s="14" t="s">
        <v>1037</v>
      </c>
      <c r="B486" s="10" t="s">
        <v>1035</v>
      </c>
      <c r="C486" s="20">
        <v>45996</v>
      </c>
      <c r="D486" s="10" t="s">
        <v>557</v>
      </c>
      <c r="E486" s="10" t="s">
        <v>558</v>
      </c>
      <c r="F486" s="10" t="str">
        <f>TRIM(LEFT(OrdersRawTable9[[#This Row],[Customer_Info]],FIND(",",OrdersRawTable9[[#This Row],[Customer_Info]])-1))</f>
        <v>Adam Singh</v>
      </c>
      <c r="G48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486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486" s="10">
        <f>LEN(OrdersRawTable9[[#This Row],[Customer_Info]])-LEN(SUBSTITUTE(OrdersRawTable9[[#This Row],[Customer_Info]],",",""))</f>
        <v>2</v>
      </c>
      <c r="J486" s="10" t="s">
        <v>44</v>
      </c>
      <c r="K486" s="23">
        <v>2</v>
      </c>
      <c r="L486" s="26">
        <v>238.47</v>
      </c>
      <c r="M486" s="29">
        <v>0.05</v>
      </c>
      <c r="N486" s="10" t="s">
        <v>66</v>
      </c>
      <c r="O486" s="10" t="str">
        <f>IF(TRIM(OrdersRawTable9[[#This Row],[Sales_Channel_Raw]])="Market place","Marketplace",TRIM(OrdersRawTable9[[#This Row],[Sales_Channel_Raw]]))</f>
        <v>Marketplace</v>
      </c>
      <c r="P486" s="10" t="s">
        <v>41</v>
      </c>
      <c r="Q486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486" s="15" t="s">
        <v>67</v>
      </c>
      <c r="S486" t="str">
        <f>VLOOKUP(OrdersRawTable9[[#This Row],[Customer_ID_Raw]],CustomersTable11[],4,FALSE)</f>
        <v>British Columbia</v>
      </c>
      <c r="T486" t="str">
        <f>VLOOKUP(OrdersRawTable9[[#This Row],[Customer_ID_Raw]],CustomersTable11[],5,FALSE)</f>
        <v>Consumer</v>
      </c>
      <c r="U486" s="45">
        <f>VLOOKUP(OrdersRawTable9[[#This Row],[Product_ID]],ProductsTable10[],4,FALSE)</f>
        <v>127.65</v>
      </c>
      <c r="V486" t="str">
        <f>VLOOKUP(OrdersRawTable9[[#This Row],[Product_ID]],ProductsTable10[],3,FALSE)</f>
        <v>Accessories</v>
      </c>
      <c r="W486" s="45">
        <f>OrdersRawTable9[[#This Row],[Unit_Price]]*OrdersRawTable9[[#This Row],[Quantity]]</f>
        <v>476.94</v>
      </c>
      <c r="X486" s="47">
        <f>OrdersRawTable9[[#This Row],[Gross_Sales]]*OrdersRawTable9[[#This Row],[Discount_Pct]]</f>
        <v>23.847000000000001</v>
      </c>
      <c r="Y486" s="45">
        <f>OrdersRawTable9[[#This Row],[Gross_Sales]]-OrdersRawTable9[[#This Row],[Discount_Amount]]</f>
        <v>453.09300000000002</v>
      </c>
      <c r="Z486" s="45">
        <f>OrdersRawTable9[[#This Row],[Unit_Cost]]*OrdersRawTable9[[#This Row],[Quantity]]</f>
        <v>255.3</v>
      </c>
      <c r="AA486" s="45">
        <f>OrdersRawTable9[[#This Row],[Net_Sales]]-OrdersRawTable9[[#This Row],[Total_Cost]]</f>
        <v>197.79300000000001</v>
      </c>
      <c r="AB486" s="48">
        <f>IF(OrdersRawTable9[[#This Row],[Net_Sales]]=0,0,OrdersRawTable9[[#This Row],[Profit]]/OrdersRawTable9[[#This Row],[Net_Sales]])</f>
        <v>0.43653951837702193</v>
      </c>
      <c r="AC486" s="45" t="str">
        <f>IF(COUNTIF(ReturnsRawTable[Order_Line_ID],OrdersRawTable9[[#This Row],[Order_Line_ID]])&gt;0,"Yes","No")</f>
        <v>No</v>
      </c>
      <c r="AD486" s="45" t="str">
        <f>IFERROR(VLOOKUP(OrdersRawTable9[[#This Row],[Order_Line_ID]],ReturnsRawTable[[#All],[Order_Line_ID]:[Return_Reason_Raw]],3,FALSE),"")</f>
        <v/>
      </c>
      <c r="AE486" s="49" t="str">
        <f>IFERROR(VLOOKUP(OrdersRawTable9[[#This Row],[Order_Line_ID]],ReturnsRawTable[[#All],[Order_Line_ID]:[Return_Date]],2,FALSE),"")</f>
        <v/>
      </c>
      <c r="AF486" s="45" t="str">
        <f>IFERROR(VLOOKUP(OrdersRawTable9[[#This Row],[Order_Line_ID]],ReturnsRawTable[[Order_Line_ID]:[Refund_Status]],4,FALSE),"")</f>
        <v/>
      </c>
      <c r="AG486" s="45" t="str">
        <f>VLOOKUP(OrdersRawTable9[[#This Row],[Order_ID]],ShipmentsTable[],6,FALSE)</f>
        <v>On time</v>
      </c>
      <c r="AH486" s="49">
        <f>VLOOKUP(OrdersRawTable9[[#This Row],[Order_ID]],ShipmentsTable[],3,FALSE)</f>
        <v>46000</v>
      </c>
    </row>
    <row r="487" spans="1:34" ht="15" customHeight="1">
      <c r="A487" s="14" t="s">
        <v>1038</v>
      </c>
      <c r="B487" s="10" t="s">
        <v>1039</v>
      </c>
      <c r="C487" s="20">
        <v>45741.041666666664</v>
      </c>
      <c r="D487" s="10" t="s">
        <v>61</v>
      </c>
      <c r="E487" s="10" t="s">
        <v>62</v>
      </c>
      <c r="F487" s="10" t="str">
        <f>TRIM(LEFT(OrdersRawTable9[[#This Row],[Customer_Info]],FIND(",",OrdersRawTable9[[#This Row],[Customer_Info]])-1))</f>
        <v>Liam Brown</v>
      </c>
      <c r="G48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487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487" s="10">
        <f>LEN(OrdersRawTable9[[#This Row],[Customer_Info]])-LEN(SUBSTITUTE(OrdersRawTable9[[#This Row],[Customer_Info]],",",""))</f>
        <v>2</v>
      </c>
      <c r="J487" s="10" t="s">
        <v>521</v>
      </c>
      <c r="K487" s="23">
        <v>2</v>
      </c>
      <c r="L487" s="26">
        <v>37.82</v>
      </c>
      <c r="M487" s="29">
        <v>0.15</v>
      </c>
      <c r="N487" s="10" t="s">
        <v>66</v>
      </c>
      <c r="O487" s="10" t="str">
        <f>IF(TRIM(OrdersRawTable9[[#This Row],[Sales_Channel_Raw]])="Market place","Marketplace",TRIM(OrdersRawTable9[[#This Row],[Sales_Channel_Raw]]))</f>
        <v>Marketplace</v>
      </c>
      <c r="P487" s="10" t="s">
        <v>51</v>
      </c>
      <c r="Q487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487" s="15" t="s">
        <v>52</v>
      </c>
      <c r="S487" t="str">
        <f>VLOOKUP(OrdersRawTable9[[#This Row],[Customer_ID_Raw]],CustomersTable11[],4,FALSE)</f>
        <v>Alberta</v>
      </c>
      <c r="T487" t="str">
        <f>VLOOKUP(OrdersRawTable9[[#This Row],[Customer_ID_Raw]],CustomersTable11[],5,FALSE)</f>
        <v>Small Business</v>
      </c>
      <c r="U487" s="45">
        <f>VLOOKUP(OrdersRawTable9[[#This Row],[Product_ID]],ProductsTable10[],4,FALSE)</f>
        <v>24.76</v>
      </c>
      <c r="V487" t="str">
        <f>VLOOKUP(OrdersRawTable9[[#This Row],[Product_ID]],ProductsTable10[],3,FALSE)</f>
        <v>Electronics</v>
      </c>
      <c r="W487" s="45">
        <f>OrdersRawTable9[[#This Row],[Unit_Price]]*OrdersRawTable9[[#This Row],[Quantity]]</f>
        <v>75.64</v>
      </c>
      <c r="X487" s="47">
        <f>OrdersRawTable9[[#This Row],[Gross_Sales]]*OrdersRawTable9[[#This Row],[Discount_Pct]]</f>
        <v>11.346</v>
      </c>
      <c r="Y487" s="45">
        <f>OrdersRawTable9[[#This Row],[Gross_Sales]]-OrdersRawTable9[[#This Row],[Discount_Amount]]</f>
        <v>64.293999999999997</v>
      </c>
      <c r="Z487" s="45">
        <f>OrdersRawTable9[[#This Row],[Unit_Cost]]*OrdersRawTable9[[#This Row],[Quantity]]</f>
        <v>49.52</v>
      </c>
      <c r="AA487" s="45">
        <f>OrdersRawTable9[[#This Row],[Net_Sales]]-OrdersRawTable9[[#This Row],[Total_Cost]]</f>
        <v>14.773999999999994</v>
      </c>
      <c r="AB487" s="48">
        <f>IF(OrdersRawTable9[[#This Row],[Net_Sales]]=0,0,OrdersRawTable9[[#This Row],[Profit]]/OrdersRawTable9[[#This Row],[Net_Sales]])</f>
        <v>0.22978816063707336</v>
      </c>
      <c r="AC487" s="45" t="str">
        <f>IF(COUNTIF(ReturnsRawTable[Order_Line_ID],OrdersRawTable9[[#This Row],[Order_Line_ID]])&gt;0,"Yes","No")</f>
        <v>No</v>
      </c>
      <c r="AD487" s="45" t="str">
        <f>IFERROR(VLOOKUP(OrdersRawTable9[[#This Row],[Order_Line_ID]],ReturnsRawTable[[#All],[Order_Line_ID]:[Return_Reason_Raw]],3,FALSE),"")</f>
        <v/>
      </c>
      <c r="AE487" s="49" t="str">
        <f>IFERROR(VLOOKUP(OrdersRawTable9[[#This Row],[Order_Line_ID]],ReturnsRawTable[[#All],[Order_Line_ID]:[Return_Date]],2,FALSE),"")</f>
        <v/>
      </c>
      <c r="AF487" s="45" t="str">
        <f>IFERROR(VLOOKUP(OrdersRawTable9[[#This Row],[Order_Line_ID]],ReturnsRawTable[[Order_Line_ID]:[Refund_Status]],4,FALSE),"")</f>
        <v/>
      </c>
      <c r="AG487" s="45" t="str">
        <f>VLOOKUP(OrdersRawTable9[[#This Row],[Order_ID]],ShipmentsTable[],6,FALSE)</f>
        <v>Late</v>
      </c>
      <c r="AH487" s="49">
        <f>VLOOKUP(OrdersRawTable9[[#This Row],[Order_ID]],ShipmentsTable[],3,FALSE)</f>
        <v>45749.041666666664</v>
      </c>
    </row>
    <row r="488" spans="1:34" ht="15" customHeight="1">
      <c r="A488" s="14" t="s">
        <v>1040</v>
      </c>
      <c r="B488" s="10" t="s">
        <v>1039</v>
      </c>
      <c r="C488" s="20">
        <v>45741.041666666664</v>
      </c>
      <c r="D488" s="10" t="s">
        <v>61</v>
      </c>
      <c r="E488" s="10" t="s">
        <v>62</v>
      </c>
      <c r="F488" s="10" t="str">
        <f>TRIM(LEFT(OrdersRawTable9[[#This Row],[Customer_Info]],FIND(",",OrdersRawTable9[[#This Row],[Customer_Info]])-1))</f>
        <v>Liam Brown</v>
      </c>
      <c r="G48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488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488" s="10">
        <f>LEN(OrdersRawTable9[[#This Row],[Customer_Info]])-LEN(SUBSTITUTE(OrdersRawTable9[[#This Row],[Customer_Info]],",",""))</f>
        <v>2</v>
      </c>
      <c r="J488" s="10" t="s">
        <v>316</v>
      </c>
      <c r="K488" s="23">
        <v>3</v>
      </c>
      <c r="L488" s="26">
        <v>180.37</v>
      </c>
      <c r="M488" s="29">
        <v>0.05</v>
      </c>
      <c r="N488" s="10" t="s">
        <v>70</v>
      </c>
      <c r="O488" s="10" t="str">
        <f>IF(TRIM(OrdersRawTable9[[#This Row],[Sales_Channel_Raw]])="Market place","Marketplace",TRIM(OrdersRawTable9[[#This Row],[Sales_Channel_Raw]]))</f>
        <v>online</v>
      </c>
      <c r="P488" s="10" t="s">
        <v>58</v>
      </c>
      <c r="Q488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488" s="15" t="s">
        <v>47</v>
      </c>
      <c r="S488" t="str">
        <f>VLOOKUP(OrdersRawTable9[[#This Row],[Customer_ID_Raw]],CustomersTable11[],4,FALSE)</f>
        <v>Alberta</v>
      </c>
      <c r="T488" t="str">
        <f>VLOOKUP(OrdersRawTable9[[#This Row],[Customer_ID_Raw]],CustomersTable11[],5,FALSE)</f>
        <v>Small Business</v>
      </c>
      <c r="U488" s="45">
        <f>VLOOKUP(OrdersRawTable9[[#This Row],[Product_ID]],ProductsTable10[],4,FALSE)</f>
        <v>107.55</v>
      </c>
      <c r="V488" t="str">
        <f>VLOOKUP(OrdersRawTable9[[#This Row],[Product_ID]],ProductsTable10[],3,FALSE)</f>
        <v>Accessories</v>
      </c>
      <c r="W488" s="45">
        <f>OrdersRawTable9[[#This Row],[Unit_Price]]*OrdersRawTable9[[#This Row],[Quantity]]</f>
        <v>541.11</v>
      </c>
      <c r="X488" s="47">
        <f>OrdersRawTable9[[#This Row],[Gross_Sales]]*OrdersRawTable9[[#This Row],[Discount_Pct]]</f>
        <v>27.055500000000002</v>
      </c>
      <c r="Y488" s="45">
        <f>OrdersRawTable9[[#This Row],[Gross_Sales]]-OrdersRawTable9[[#This Row],[Discount_Amount]]</f>
        <v>514.05449999999996</v>
      </c>
      <c r="Z488" s="45">
        <f>OrdersRawTable9[[#This Row],[Unit_Cost]]*OrdersRawTable9[[#This Row],[Quantity]]</f>
        <v>322.64999999999998</v>
      </c>
      <c r="AA488" s="45">
        <f>OrdersRawTable9[[#This Row],[Net_Sales]]-OrdersRawTable9[[#This Row],[Total_Cost]]</f>
        <v>191.40449999999998</v>
      </c>
      <c r="AB488" s="48">
        <f>IF(OrdersRawTable9[[#This Row],[Net_Sales]]=0,0,OrdersRawTable9[[#This Row],[Profit]]/OrdersRawTable9[[#This Row],[Net_Sales]])</f>
        <v>0.37234281579093265</v>
      </c>
      <c r="AC488" s="45" t="str">
        <f>IF(COUNTIF(ReturnsRawTable[Order_Line_ID],OrdersRawTable9[[#This Row],[Order_Line_ID]])&gt;0,"Yes","No")</f>
        <v>No</v>
      </c>
      <c r="AD488" s="45" t="str">
        <f>IFERROR(VLOOKUP(OrdersRawTable9[[#This Row],[Order_Line_ID]],ReturnsRawTable[[#All],[Order_Line_ID]:[Return_Reason_Raw]],3,FALSE),"")</f>
        <v/>
      </c>
      <c r="AE488" s="49" t="str">
        <f>IFERROR(VLOOKUP(OrdersRawTable9[[#This Row],[Order_Line_ID]],ReturnsRawTable[[#All],[Order_Line_ID]:[Return_Date]],2,FALSE),"")</f>
        <v/>
      </c>
      <c r="AF488" s="45" t="str">
        <f>IFERROR(VLOOKUP(OrdersRawTable9[[#This Row],[Order_Line_ID]],ReturnsRawTable[[Order_Line_ID]:[Refund_Status]],4,FALSE),"")</f>
        <v/>
      </c>
      <c r="AG488" s="45" t="str">
        <f>VLOOKUP(OrdersRawTable9[[#This Row],[Order_ID]],ShipmentsTable[],6,FALSE)</f>
        <v>Late</v>
      </c>
      <c r="AH488" s="49">
        <f>VLOOKUP(OrdersRawTable9[[#This Row],[Order_ID]],ShipmentsTable[],3,FALSE)</f>
        <v>45749.041666666664</v>
      </c>
    </row>
    <row r="489" spans="1:34" ht="15" customHeight="1">
      <c r="A489" s="14" t="s">
        <v>1041</v>
      </c>
      <c r="B489" s="10" t="s">
        <v>1039</v>
      </c>
      <c r="C489" s="20">
        <v>45741.041666666664</v>
      </c>
      <c r="D489" s="10" t="s">
        <v>61</v>
      </c>
      <c r="E489" s="10" t="s">
        <v>62</v>
      </c>
      <c r="F489" s="10" t="str">
        <f>TRIM(LEFT(OrdersRawTable9[[#This Row],[Customer_Info]],FIND(",",OrdersRawTable9[[#This Row],[Customer_Info]])-1))</f>
        <v>Liam Brown</v>
      </c>
      <c r="G48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489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489" s="10">
        <f>LEN(OrdersRawTable9[[#This Row],[Customer_Info]])-LEN(SUBSTITUTE(OrdersRawTable9[[#This Row],[Customer_Info]],",",""))</f>
        <v>2</v>
      </c>
      <c r="J489" s="10" t="s">
        <v>130</v>
      </c>
      <c r="K489" s="23">
        <v>2</v>
      </c>
      <c r="L489" s="26">
        <v>265.73</v>
      </c>
      <c r="M489" s="29">
        <v>0.05</v>
      </c>
      <c r="N489" s="10" t="s">
        <v>45</v>
      </c>
      <c r="O489" s="10" t="str">
        <f>IF(TRIM(OrdersRawTable9[[#This Row],[Sales_Channel_Raw]])="Market place","Marketplace",TRIM(OrdersRawTable9[[#This Row],[Sales_Channel_Raw]]))</f>
        <v>Retail Store</v>
      </c>
      <c r="P489" s="10" t="s">
        <v>46</v>
      </c>
      <c r="Q489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489" s="15" t="s">
        <v>52</v>
      </c>
      <c r="S489" t="str">
        <f>VLOOKUP(OrdersRawTable9[[#This Row],[Customer_ID_Raw]],CustomersTable11[],4,FALSE)</f>
        <v>Alberta</v>
      </c>
      <c r="T489" t="str">
        <f>VLOOKUP(OrdersRawTable9[[#This Row],[Customer_ID_Raw]],CustomersTable11[],5,FALSE)</f>
        <v>Small Business</v>
      </c>
      <c r="U489" s="45">
        <f>VLOOKUP(OrdersRawTable9[[#This Row],[Product_ID]],ProductsTable10[],4,FALSE)</f>
        <v>154.16999999999999</v>
      </c>
      <c r="V489" t="str">
        <f>VLOOKUP(OrdersRawTable9[[#This Row],[Product_ID]],ProductsTable10[],3,FALSE)</f>
        <v>Electronics</v>
      </c>
      <c r="W489" s="45">
        <f>OrdersRawTable9[[#This Row],[Unit_Price]]*OrdersRawTable9[[#This Row],[Quantity]]</f>
        <v>531.46</v>
      </c>
      <c r="X489" s="47">
        <f>OrdersRawTable9[[#This Row],[Gross_Sales]]*OrdersRawTable9[[#This Row],[Discount_Pct]]</f>
        <v>26.573000000000004</v>
      </c>
      <c r="Y489" s="45">
        <f>OrdersRawTable9[[#This Row],[Gross_Sales]]-OrdersRawTable9[[#This Row],[Discount_Amount]]</f>
        <v>504.88700000000006</v>
      </c>
      <c r="Z489" s="45">
        <f>OrdersRawTable9[[#This Row],[Unit_Cost]]*OrdersRawTable9[[#This Row],[Quantity]]</f>
        <v>308.33999999999997</v>
      </c>
      <c r="AA489" s="45">
        <f>OrdersRawTable9[[#This Row],[Net_Sales]]-OrdersRawTable9[[#This Row],[Total_Cost]]</f>
        <v>196.54700000000008</v>
      </c>
      <c r="AB489" s="48">
        <f>IF(OrdersRawTable9[[#This Row],[Net_Sales]]=0,0,OrdersRawTable9[[#This Row],[Profit]]/OrdersRawTable9[[#This Row],[Net_Sales]])</f>
        <v>0.38928908844949478</v>
      </c>
      <c r="AC489" s="45" t="str">
        <f>IF(COUNTIF(ReturnsRawTable[Order_Line_ID],OrdersRawTable9[[#This Row],[Order_Line_ID]])&gt;0,"Yes","No")</f>
        <v>No</v>
      </c>
      <c r="AD489" s="45" t="str">
        <f>IFERROR(VLOOKUP(OrdersRawTable9[[#This Row],[Order_Line_ID]],ReturnsRawTable[[#All],[Order_Line_ID]:[Return_Reason_Raw]],3,FALSE),"")</f>
        <v/>
      </c>
      <c r="AE489" s="49" t="str">
        <f>IFERROR(VLOOKUP(OrdersRawTable9[[#This Row],[Order_Line_ID]],ReturnsRawTable[[#All],[Order_Line_ID]:[Return_Date]],2,FALSE),"")</f>
        <v/>
      </c>
      <c r="AF489" s="45" t="str">
        <f>IFERROR(VLOOKUP(OrdersRawTable9[[#This Row],[Order_Line_ID]],ReturnsRawTable[[Order_Line_ID]:[Refund_Status]],4,FALSE),"")</f>
        <v/>
      </c>
      <c r="AG489" s="45" t="str">
        <f>VLOOKUP(OrdersRawTable9[[#This Row],[Order_ID]],ShipmentsTable[],6,FALSE)</f>
        <v>Late</v>
      </c>
      <c r="AH489" s="49">
        <f>VLOOKUP(OrdersRawTable9[[#This Row],[Order_ID]],ShipmentsTable[],3,FALSE)</f>
        <v>45749.041666666664</v>
      </c>
    </row>
    <row r="490" spans="1:34" ht="15" customHeight="1">
      <c r="A490" s="14" t="s">
        <v>1042</v>
      </c>
      <c r="B490" s="10" t="s">
        <v>1043</v>
      </c>
      <c r="C490" s="20">
        <v>45848</v>
      </c>
      <c r="D490" s="10" t="s">
        <v>977</v>
      </c>
      <c r="E490" s="10" t="s">
        <v>978</v>
      </c>
      <c r="F490" s="10" t="str">
        <f>TRIM(LEFT(OrdersRawTable9[[#This Row],[Customer_Info]],FIND(",",OrdersRawTable9[[#This Row],[Customer_Info]])-1))</f>
        <v>Adam Brown</v>
      </c>
      <c r="G49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490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490" s="10">
        <f>LEN(OrdersRawTable9[[#This Row],[Customer_Info]])-LEN(SUBSTITUTE(OrdersRawTable9[[#This Row],[Customer_Info]],",",""))</f>
        <v>2</v>
      </c>
      <c r="J490" s="10" t="s">
        <v>251</v>
      </c>
      <c r="K490" s="23">
        <v>3</v>
      </c>
      <c r="L490" s="26">
        <v>228.91</v>
      </c>
      <c r="M490" s="29">
        <v>0.15</v>
      </c>
      <c r="N490" s="10" t="s">
        <v>45</v>
      </c>
      <c r="O490" s="10" t="str">
        <f>IF(TRIM(OrdersRawTable9[[#This Row],[Sales_Channel_Raw]])="Market place","Marketplace",TRIM(OrdersRawTable9[[#This Row],[Sales_Channel_Raw]]))</f>
        <v>Retail Store</v>
      </c>
      <c r="P490" s="10"/>
      <c r="Q490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490" s="15" t="s">
        <v>52</v>
      </c>
      <c r="S490" t="str">
        <f>VLOOKUP(OrdersRawTable9[[#This Row],[Customer_ID_Raw]],CustomersTable11[],4,FALSE)</f>
        <v>Nova Scotia</v>
      </c>
      <c r="T490" t="str">
        <f>VLOOKUP(OrdersRawTable9[[#This Row],[Customer_ID_Raw]],CustomersTable11[],5,FALSE)</f>
        <v>Small Business</v>
      </c>
      <c r="U490" s="45">
        <f>VLOOKUP(OrdersRawTable9[[#This Row],[Product_ID]],ProductsTable10[],4,FALSE)</f>
        <v>149.4</v>
      </c>
      <c r="V490" t="str">
        <f>VLOOKUP(OrdersRawTable9[[#This Row],[Product_ID]],ProductsTable10[],3,FALSE)</f>
        <v>Office</v>
      </c>
      <c r="W490" s="45">
        <f>OrdersRawTable9[[#This Row],[Unit_Price]]*OrdersRawTable9[[#This Row],[Quantity]]</f>
        <v>686.73</v>
      </c>
      <c r="X490" s="47">
        <f>OrdersRawTable9[[#This Row],[Gross_Sales]]*OrdersRawTable9[[#This Row],[Discount_Pct]]</f>
        <v>103.0095</v>
      </c>
      <c r="Y490" s="45">
        <f>OrdersRawTable9[[#This Row],[Gross_Sales]]-OrdersRawTable9[[#This Row],[Discount_Amount]]</f>
        <v>583.72050000000002</v>
      </c>
      <c r="Z490" s="45">
        <f>OrdersRawTable9[[#This Row],[Unit_Cost]]*OrdersRawTable9[[#This Row],[Quantity]]</f>
        <v>448.20000000000005</v>
      </c>
      <c r="AA490" s="45">
        <f>OrdersRawTable9[[#This Row],[Net_Sales]]-OrdersRawTable9[[#This Row],[Total_Cost]]</f>
        <v>135.52049999999997</v>
      </c>
      <c r="AB490" s="48">
        <f>IF(OrdersRawTable9[[#This Row],[Net_Sales]]=0,0,OrdersRawTable9[[#This Row],[Profit]]/OrdersRawTable9[[#This Row],[Net_Sales]])</f>
        <v>0.23216676474442813</v>
      </c>
      <c r="AC490" s="45" t="str">
        <f>IF(COUNTIF(ReturnsRawTable[Order_Line_ID],OrdersRawTable9[[#This Row],[Order_Line_ID]])&gt;0,"Yes","No")</f>
        <v>No</v>
      </c>
      <c r="AD490" s="45" t="str">
        <f>IFERROR(VLOOKUP(OrdersRawTable9[[#This Row],[Order_Line_ID]],ReturnsRawTable[[#All],[Order_Line_ID]:[Return_Reason_Raw]],3,FALSE),"")</f>
        <v/>
      </c>
      <c r="AE490" s="49" t="str">
        <f>IFERROR(VLOOKUP(OrdersRawTable9[[#This Row],[Order_Line_ID]],ReturnsRawTable[[#All],[Order_Line_ID]:[Return_Date]],2,FALSE),"")</f>
        <v/>
      </c>
      <c r="AF490" s="45" t="str">
        <f>IFERROR(VLOOKUP(OrdersRawTable9[[#This Row],[Order_Line_ID]],ReturnsRawTable[[Order_Line_ID]:[Refund_Status]],4,FALSE),"")</f>
        <v/>
      </c>
      <c r="AG490" s="45" t="str">
        <f>VLOOKUP(OrdersRawTable9[[#This Row],[Order_ID]],ShipmentsTable[],6,FALSE)</f>
        <v>On time</v>
      </c>
      <c r="AH490" s="49">
        <f>VLOOKUP(OrdersRawTable9[[#This Row],[Order_ID]],ShipmentsTable[],3,FALSE)</f>
        <v>45851</v>
      </c>
    </row>
    <row r="491" spans="1:34" ht="15" customHeight="1">
      <c r="A491" s="14" t="s">
        <v>1044</v>
      </c>
      <c r="B491" s="10" t="s">
        <v>1043</v>
      </c>
      <c r="C491" s="20">
        <v>45848</v>
      </c>
      <c r="D491" s="10" t="s">
        <v>977</v>
      </c>
      <c r="E491" s="10" t="s">
        <v>978</v>
      </c>
      <c r="F491" s="10" t="str">
        <f>TRIM(LEFT(OrdersRawTable9[[#This Row],[Customer_Info]],FIND(",",OrdersRawTable9[[#This Row],[Customer_Info]])-1))</f>
        <v>Adam Brown</v>
      </c>
      <c r="G49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491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491" s="10">
        <f>LEN(OrdersRawTable9[[#This Row],[Customer_Info]])-LEN(SUBSTITUTE(OrdersRawTable9[[#This Row],[Customer_Info]],",",""))</f>
        <v>2</v>
      </c>
      <c r="J491" s="10" t="s">
        <v>69</v>
      </c>
      <c r="K491" s="23">
        <v>2</v>
      </c>
      <c r="L491" s="26">
        <v>75.75</v>
      </c>
      <c r="M491" s="29">
        <v>0.1</v>
      </c>
      <c r="N491" s="10" t="s">
        <v>50</v>
      </c>
      <c r="O491" s="10" t="str">
        <f>IF(TRIM(OrdersRawTable9[[#This Row],[Sales_Channel_Raw]])="Market place","Marketplace",TRIM(OrdersRawTable9[[#This Row],[Sales_Channel_Raw]]))</f>
        <v>Marketplace</v>
      </c>
      <c r="P491" s="10" t="s">
        <v>58</v>
      </c>
      <c r="Q491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491" s="15" t="s">
        <v>42</v>
      </c>
      <c r="S491" t="str">
        <f>VLOOKUP(OrdersRawTable9[[#This Row],[Customer_ID_Raw]],CustomersTable11[],4,FALSE)</f>
        <v>Nova Scotia</v>
      </c>
      <c r="T491" t="str">
        <f>VLOOKUP(OrdersRawTable9[[#This Row],[Customer_ID_Raw]],CustomersTable11[],5,FALSE)</f>
        <v>Small Business</v>
      </c>
      <c r="U491" s="45">
        <f>VLOOKUP(OrdersRawTable9[[#This Row],[Product_ID]],ProductsTable10[],4,FALSE)</f>
        <v>42.37</v>
      </c>
      <c r="V491" t="str">
        <f>VLOOKUP(OrdersRawTable9[[#This Row],[Product_ID]],ProductsTable10[],3,FALSE)</f>
        <v>Office</v>
      </c>
      <c r="W491" s="45">
        <f>OrdersRawTable9[[#This Row],[Unit_Price]]*OrdersRawTable9[[#This Row],[Quantity]]</f>
        <v>151.5</v>
      </c>
      <c r="X491" s="47">
        <f>OrdersRawTable9[[#This Row],[Gross_Sales]]*OrdersRawTable9[[#This Row],[Discount_Pct]]</f>
        <v>15.15</v>
      </c>
      <c r="Y491" s="45">
        <f>OrdersRawTable9[[#This Row],[Gross_Sales]]-OrdersRawTable9[[#This Row],[Discount_Amount]]</f>
        <v>136.35</v>
      </c>
      <c r="Z491" s="45">
        <f>OrdersRawTable9[[#This Row],[Unit_Cost]]*OrdersRawTable9[[#This Row],[Quantity]]</f>
        <v>84.74</v>
      </c>
      <c r="AA491" s="45">
        <f>OrdersRawTable9[[#This Row],[Net_Sales]]-OrdersRawTable9[[#This Row],[Total_Cost]]</f>
        <v>51.61</v>
      </c>
      <c r="AB491" s="48">
        <f>IF(OrdersRawTable9[[#This Row],[Net_Sales]]=0,0,OrdersRawTable9[[#This Row],[Profit]]/OrdersRawTable9[[#This Row],[Net_Sales]])</f>
        <v>0.3785111844517785</v>
      </c>
      <c r="AC491" s="45" t="str">
        <f>IF(COUNTIF(ReturnsRawTable[Order_Line_ID],OrdersRawTable9[[#This Row],[Order_Line_ID]])&gt;0,"Yes","No")</f>
        <v>No</v>
      </c>
      <c r="AD491" s="45" t="str">
        <f>IFERROR(VLOOKUP(OrdersRawTable9[[#This Row],[Order_Line_ID]],ReturnsRawTable[[#All],[Order_Line_ID]:[Return_Reason_Raw]],3,FALSE),"")</f>
        <v/>
      </c>
      <c r="AE491" s="49" t="str">
        <f>IFERROR(VLOOKUP(OrdersRawTable9[[#This Row],[Order_Line_ID]],ReturnsRawTable[[#All],[Order_Line_ID]:[Return_Date]],2,FALSE),"")</f>
        <v/>
      </c>
      <c r="AF491" s="45" t="str">
        <f>IFERROR(VLOOKUP(OrdersRawTable9[[#This Row],[Order_Line_ID]],ReturnsRawTable[[Order_Line_ID]:[Refund_Status]],4,FALSE),"")</f>
        <v/>
      </c>
      <c r="AG491" s="45" t="str">
        <f>VLOOKUP(OrdersRawTable9[[#This Row],[Order_ID]],ShipmentsTable[],6,FALSE)</f>
        <v>On time</v>
      </c>
      <c r="AH491" s="49">
        <f>VLOOKUP(OrdersRawTable9[[#This Row],[Order_ID]],ShipmentsTable[],3,FALSE)</f>
        <v>45851</v>
      </c>
    </row>
    <row r="492" spans="1:34" ht="15" customHeight="1">
      <c r="A492" s="14" t="s">
        <v>1045</v>
      </c>
      <c r="B492" s="10" t="s">
        <v>1043</v>
      </c>
      <c r="C492" s="20">
        <v>45848</v>
      </c>
      <c r="D492" s="10" t="s">
        <v>977</v>
      </c>
      <c r="E492" s="10" t="s">
        <v>978</v>
      </c>
      <c r="F492" s="10" t="str">
        <f>TRIM(LEFT(OrdersRawTable9[[#This Row],[Customer_Info]],FIND(",",OrdersRawTable9[[#This Row],[Customer_Info]])-1))</f>
        <v>Adam Brown</v>
      </c>
      <c r="G49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492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492" s="10">
        <f>LEN(OrdersRawTable9[[#This Row],[Customer_Info]])-LEN(SUBSTITUTE(OrdersRawTable9[[#This Row],[Customer_Info]],",",""))</f>
        <v>2</v>
      </c>
      <c r="J492" s="10" t="s">
        <v>238</v>
      </c>
      <c r="K492" s="23">
        <v>3</v>
      </c>
      <c r="L492" s="26">
        <v>82.77</v>
      </c>
      <c r="M492" s="29">
        <v>0</v>
      </c>
      <c r="N492" s="10" t="s">
        <v>45</v>
      </c>
      <c r="O492" s="10" t="str">
        <f>IF(TRIM(OrdersRawTable9[[#This Row],[Sales_Channel_Raw]])="Market place","Marketplace",TRIM(OrdersRawTable9[[#This Row],[Sales_Channel_Raw]]))</f>
        <v>Retail Store</v>
      </c>
      <c r="P492" s="10" t="s">
        <v>41</v>
      </c>
      <c r="Q492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492" s="15" t="s">
        <v>52</v>
      </c>
      <c r="S492" t="str">
        <f>VLOOKUP(OrdersRawTable9[[#This Row],[Customer_ID_Raw]],CustomersTable11[],4,FALSE)</f>
        <v>Nova Scotia</v>
      </c>
      <c r="T492" t="str">
        <f>VLOOKUP(OrdersRawTable9[[#This Row],[Customer_ID_Raw]],CustomersTable11[],5,FALSE)</f>
        <v>Small Business</v>
      </c>
      <c r="U492" s="45">
        <f>VLOOKUP(OrdersRawTable9[[#This Row],[Product_ID]],ProductsTable10[],4,FALSE)</f>
        <v>46.51</v>
      </c>
      <c r="V492" t="str">
        <f>VLOOKUP(OrdersRawTable9[[#This Row],[Product_ID]],ProductsTable10[],3,FALSE)</f>
        <v>Office</v>
      </c>
      <c r="W492" s="45">
        <f>OrdersRawTable9[[#This Row],[Unit_Price]]*OrdersRawTable9[[#This Row],[Quantity]]</f>
        <v>248.31</v>
      </c>
      <c r="X492" s="47">
        <f>OrdersRawTable9[[#This Row],[Gross_Sales]]*OrdersRawTable9[[#This Row],[Discount_Pct]]</f>
        <v>0</v>
      </c>
      <c r="Y492" s="45">
        <f>OrdersRawTable9[[#This Row],[Gross_Sales]]-OrdersRawTable9[[#This Row],[Discount_Amount]]</f>
        <v>248.31</v>
      </c>
      <c r="Z492" s="45">
        <f>OrdersRawTable9[[#This Row],[Unit_Cost]]*OrdersRawTable9[[#This Row],[Quantity]]</f>
        <v>139.53</v>
      </c>
      <c r="AA492" s="45">
        <f>OrdersRawTable9[[#This Row],[Net_Sales]]-OrdersRawTable9[[#This Row],[Total_Cost]]</f>
        <v>108.78</v>
      </c>
      <c r="AB492" s="48">
        <f>IF(OrdersRawTable9[[#This Row],[Net_Sales]]=0,0,OrdersRawTable9[[#This Row],[Profit]]/OrdersRawTable9[[#This Row],[Net_Sales]])</f>
        <v>0.43808143046997705</v>
      </c>
      <c r="AC492" s="45" t="str">
        <f>IF(COUNTIF(ReturnsRawTable[Order_Line_ID],OrdersRawTable9[[#This Row],[Order_Line_ID]])&gt;0,"Yes","No")</f>
        <v>No</v>
      </c>
      <c r="AD492" s="45" t="str">
        <f>IFERROR(VLOOKUP(OrdersRawTable9[[#This Row],[Order_Line_ID]],ReturnsRawTable[[#All],[Order_Line_ID]:[Return_Reason_Raw]],3,FALSE),"")</f>
        <v/>
      </c>
      <c r="AE492" s="49" t="str">
        <f>IFERROR(VLOOKUP(OrdersRawTable9[[#This Row],[Order_Line_ID]],ReturnsRawTable[[#All],[Order_Line_ID]:[Return_Date]],2,FALSE),"")</f>
        <v/>
      </c>
      <c r="AF492" s="45" t="str">
        <f>IFERROR(VLOOKUP(OrdersRawTable9[[#This Row],[Order_Line_ID]],ReturnsRawTable[[Order_Line_ID]:[Refund_Status]],4,FALSE),"")</f>
        <v/>
      </c>
      <c r="AG492" s="45" t="str">
        <f>VLOOKUP(OrdersRawTable9[[#This Row],[Order_ID]],ShipmentsTable[],6,FALSE)</f>
        <v>On time</v>
      </c>
      <c r="AH492" s="49">
        <f>VLOOKUP(OrdersRawTable9[[#This Row],[Order_ID]],ShipmentsTable[],3,FALSE)</f>
        <v>45851</v>
      </c>
    </row>
    <row r="493" spans="1:34" ht="15" customHeight="1">
      <c r="A493" s="14" t="s">
        <v>1046</v>
      </c>
      <c r="B493" s="10" t="s">
        <v>1043</v>
      </c>
      <c r="C493" s="20">
        <v>45848</v>
      </c>
      <c r="D493" s="10" t="s">
        <v>977</v>
      </c>
      <c r="E493" s="10" t="s">
        <v>978</v>
      </c>
      <c r="F493" s="10" t="str">
        <f>TRIM(LEFT(OrdersRawTable9[[#This Row],[Customer_Info]],FIND(",",OrdersRawTable9[[#This Row],[Customer_Info]])-1))</f>
        <v>Adam Brown</v>
      </c>
      <c r="G49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493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493" s="10">
        <f>LEN(OrdersRawTable9[[#This Row],[Customer_Info]])-LEN(SUBSTITUTE(OrdersRawTable9[[#This Row],[Customer_Info]],",",""))</f>
        <v>2</v>
      </c>
      <c r="J493" s="10" t="s">
        <v>136</v>
      </c>
      <c r="K493" s="23">
        <v>4</v>
      </c>
      <c r="L493" s="26">
        <v>141.46</v>
      </c>
      <c r="M493" s="29">
        <v>0.15</v>
      </c>
      <c r="N493" s="10" t="s">
        <v>50</v>
      </c>
      <c r="O493" s="10" t="str">
        <f>IF(TRIM(OrdersRawTable9[[#This Row],[Sales_Channel_Raw]])="Market place","Marketplace",TRIM(OrdersRawTable9[[#This Row],[Sales_Channel_Raw]]))</f>
        <v>Marketplace</v>
      </c>
      <c r="P493" s="10"/>
      <c r="Q493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493" s="15" t="s">
        <v>52</v>
      </c>
      <c r="S493" t="str">
        <f>VLOOKUP(OrdersRawTable9[[#This Row],[Customer_ID_Raw]],CustomersTable11[],4,FALSE)</f>
        <v>Nova Scotia</v>
      </c>
      <c r="T493" t="str">
        <f>VLOOKUP(OrdersRawTable9[[#This Row],[Customer_ID_Raw]],CustomersTable11[],5,FALSE)</f>
        <v>Small Business</v>
      </c>
      <c r="U493" s="45">
        <f>VLOOKUP(OrdersRawTable9[[#This Row],[Product_ID]],ProductsTable10[],4,FALSE)</f>
        <v>78.650000000000006</v>
      </c>
      <c r="V493" t="str">
        <f>VLOOKUP(OrdersRawTable9[[#This Row],[Product_ID]],ProductsTable10[],3,FALSE)</f>
        <v>Fitness</v>
      </c>
      <c r="W493" s="45">
        <f>OrdersRawTable9[[#This Row],[Unit_Price]]*OrdersRawTable9[[#This Row],[Quantity]]</f>
        <v>565.84</v>
      </c>
      <c r="X493" s="47">
        <f>OrdersRawTable9[[#This Row],[Gross_Sales]]*OrdersRawTable9[[#This Row],[Discount_Pct]]</f>
        <v>84.876000000000005</v>
      </c>
      <c r="Y493" s="45">
        <f>OrdersRawTable9[[#This Row],[Gross_Sales]]-OrdersRawTable9[[#This Row],[Discount_Amount]]</f>
        <v>480.96400000000006</v>
      </c>
      <c r="Z493" s="45">
        <f>OrdersRawTable9[[#This Row],[Unit_Cost]]*OrdersRawTable9[[#This Row],[Quantity]]</f>
        <v>314.60000000000002</v>
      </c>
      <c r="AA493" s="45">
        <f>OrdersRawTable9[[#This Row],[Net_Sales]]-OrdersRawTable9[[#This Row],[Total_Cost]]</f>
        <v>166.36400000000003</v>
      </c>
      <c r="AB493" s="48">
        <f>IF(OrdersRawTable9[[#This Row],[Net_Sales]]=0,0,OrdersRawTable9[[#This Row],[Profit]]/OrdersRawTable9[[#This Row],[Net_Sales]])</f>
        <v>0.34589699021132564</v>
      </c>
      <c r="AC493" s="45" t="str">
        <f>IF(COUNTIF(ReturnsRawTable[Order_Line_ID],OrdersRawTable9[[#This Row],[Order_Line_ID]])&gt;0,"Yes","No")</f>
        <v>No</v>
      </c>
      <c r="AD493" s="45" t="str">
        <f>IFERROR(VLOOKUP(OrdersRawTable9[[#This Row],[Order_Line_ID]],ReturnsRawTable[[#All],[Order_Line_ID]:[Return_Reason_Raw]],3,FALSE),"")</f>
        <v/>
      </c>
      <c r="AE493" s="49" t="str">
        <f>IFERROR(VLOOKUP(OrdersRawTable9[[#This Row],[Order_Line_ID]],ReturnsRawTable[[#All],[Order_Line_ID]:[Return_Date]],2,FALSE),"")</f>
        <v/>
      </c>
      <c r="AF493" s="45" t="str">
        <f>IFERROR(VLOOKUP(OrdersRawTable9[[#This Row],[Order_Line_ID]],ReturnsRawTable[[Order_Line_ID]:[Refund_Status]],4,FALSE),"")</f>
        <v/>
      </c>
      <c r="AG493" s="45" t="str">
        <f>VLOOKUP(OrdersRawTable9[[#This Row],[Order_ID]],ShipmentsTable[],6,FALSE)</f>
        <v>On time</v>
      </c>
      <c r="AH493" s="49">
        <f>VLOOKUP(OrdersRawTable9[[#This Row],[Order_ID]],ShipmentsTable[],3,FALSE)</f>
        <v>45851</v>
      </c>
    </row>
    <row r="494" spans="1:34" ht="15" customHeight="1">
      <c r="A494" s="14" t="s">
        <v>1047</v>
      </c>
      <c r="B494" s="10" t="s">
        <v>1048</v>
      </c>
      <c r="C494" s="20">
        <v>45840</v>
      </c>
      <c r="D494" s="10" t="s">
        <v>328</v>
      </c>
      <c r="E494" s="10" t="s">
        <v>329</v>
      </c>
      <c r="F494" s="10" t="str">
        <f>TRIM(LEFT(OrdersRawTable9[[#This Row],[Customer_Info]],FIND(",",OrdersRawTable9[[#This Row],[Customer_Info]])-1))</f>
        <v>Noah Gagnon</v>
      </c>
      <c r="G49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Regina</v>
      </c>
      <c r="H494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494" s="10">
        <f>LEN(OrdersRawTable9[[#This Row],[Customer_Info]])-LEN(SUBSTITUTE(OrdersRawTable9[[#This Row],[Customer_Info]],",",""))</f>
        <v>2</v>
      </c>
      <c r="J494" s="10" t="s">
        <v>784</v>
      </c>
      <c r="K494" s="23">
        <v>1</v>
      </c>
      <c r="L494" s="26">
        <v>96.33</v>
      </c>
      <c r="M494" s="29">
        <v>0</v>
      </c>
      <c r="N494" s="10" t="s">
        <v>45</v>
      </c>
      <c r="O494" s="10" t="str">
        <f>IF(TRIM(OrdersRawTable9[[#This Row],[Sales_Channel_Raw]])="Market place","Marketplace",TRIM(OrdersRawTable9[[#This Row],[Sales_Channel_Raw]]))</f>
        <v>Retail Store</v>
      </c>
      <c r="P494" s="10" t="s">
        <v>58</v>
      </c>
      <c r="Q494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494" s="15" t="s">
        <v>67</v>
      </c>
      <c r="S494" t="str">
        <f>VLOOKUP(OrdersRawTable9[[#This Row],[Customer_ID_Raw]],CustomersTable11[],4,FALSE)</f>
        <v>Saskatchewan</v>
      </c>
      <c r="T494" t="str">
        <f>VLOOKUP(OrdersRawTable9[[#This Row],[Customer_ID_Raw]],CustomersTable11[],5,FALSE)</f>
        <v>Corporate</v>
      </c>
      <c r="U494" s="45">
        <f>VLOOKUP(OrdersRawTable9[[#This Row],[Product_ID]],ProductsTable10[],4,FALSE)</f>
        <v>57.85</v>
      </c>
      <c r="V494" t="str">
        <f>VLOOKUP(OrdersRawTable9[[#This Row],[Product_ID]],ProductsTable10[],3,FALSE)</f>
        <v>Accessories</v>
      </c>
      <c r="W494" s="45">
        <f>OrdersRawTable9[[#This Row],[Unit_Price]]*OrdersRawTable9[[#This Row],[Quantity]]</f>
        <v>96.33</v>
      </c>
      <c r="X494" s="47">
        <f>OrdersRawTable9[[#This Row],[Gross_Sales]]*OrdersRawTable9[[#This Row],[Discount_Pct]]</f>
        <v>0</v>
      </c>
      <c r="Y494" s="45">
        <f>OrdersRawTable9[[#This Row],[Gross_Sales]]-OrdersRawTable9[[#This Row],[Discount_Amount]]</f>
        <v>96.33</v>
      </c>
      <c r="Z494" s="45">
        <f>OrdersRawTable9[[#This Row],[Unit_Cost]]*OrdersRawTable9[[#This Row],[Quantity]]</f>
        <v>57.85</v>
      </c>
      <c r="AA494" s="45">
        <f>OrdersRawTable9[[#This Row],[Net_Sales]]-OrdersRawTable9[[#This Row],[Total_Cost]]</f>
        <v>38.479999999999997</v>
      </c>
      <c r="AB494" s="48">
        <f>IF(OrdersRawTable9[[#This Row],[Net_Sales]]=0,0,OrdersRawTable9[[#This Row],[Profit]]/OrdersRawTable9[[#This Row],[Net_Sales]])</f>
        <v>0.39946018893387314</v>
      </c>
      <c r="AC494" s="45" t="str">
        <f>IF(COUNTIF(ReturnsRawTable[Order_Line_ID],OrdersRawTable9[[#This Row],[Order_Line_ID]])&gt;0,"Yes","No")</f>
        <v>No</v>
      </c>
      <c r="AD494" s="45" t="str">
        <f>IFERROR(VLOOKUP(OrdersRawTable9[[#This Row],[Order_Line_ID]],ReturnsRawTable[[#All],[Order_Line_ID]:[Return_Reason_Raw]],3,FALSE),"")</f>
        <v/>
      </c>
      <c r="AE494" s="49" t="str">
        <f>IFERROR(VLOOKUP(OrdersRawTable9[[#This Row],[Order_Line_ID]],ReturnsRawTable[[#All],[Order_Line_ID]:[Return_Date]],2,FALSE),"")</f>
        <v/>
      </c>
      <c r="AF494" s="45" t="str">
        <f>IFERROR(VLOOKUP(OrdersRawTable9[[#This Row],[Order_Line_ID]],ReturnsRawTable[[Order_Line_ID]:[Refund_Status]],4,FALSE),"")</f>
        <v/>
      </c>
      <c r="AG494" s="45" t="str">
        <f>VLOOKUP(OrdersRawTable9[[#This Row],[Order_ID]],ShipmentsTable[],6,FALSE)</f>
        <v>On time</v>
      </c>
      <c r="AH494" s="49">
        <f>VLOOKUP(OrdersRawTable9[[#This Row],[Order_ID]],ShipmentsTable[],3,FALSE)</f>
        <v>45844</v>
      </c>
    </row>
    <row r="495" spans="1:34" ht="15" customHeight="1">
      <c r="A495" s="14" t="s">
        <v>1049</v>
      </c>
      <c r="B495" s="10" t="s">
        <v>1048</v>
      </c>
      <c r="C495" s="20">
        <v>45840</v>
      </c>
      <c r="D495" s="10" t="s">
        <v>328</v>
      </c>
      <c r="E495" s="10" t="s">
        <v>329</v>
      </c>
      <c r="F495" s="10" t="str">
        <f>TRIM(LEFT(OrdersRawTable9[[#This Row],[Customer_Info]],FIND(",",OrdersRawTable9[[#This Row],[Customer_Info]])-1))</f>
        <v>Noah Gagnon</v>
      </c>
      <c r="G49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Regina</v>
      </c>
      <c r="H495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495" s="10">
        <f>LEN(OrdersRawTable9[[#This Row],[Customer_Info]])-LEN(SUBSTITUTE(OrdersRawTable9[[#This Row],[Customer_Info]],",",""))</f>
        <v>2</v>
      </c>
      <c r="J495" s="10" t="s">
        <v>251</v>
      </c>
      <c r="K495" s="23">
        <v>4</v>
      </c>
      <c r="L495" s="26">
        <v>228.91</v>
      </c>
      <c r="M495" s="29">
        <v>0.15</v>
      </c>
      <c r="N495" s="10" t="s">
        <v>40</v>
      </c>
      <c r="O495" s="10" t="str">
        <f>IF(TRIM(OrdersRawTable9[[#This Row],[Sales_Channel_Raw]])="Market place","Marketplace",TRIM(OrdersRawTable9[[#This Row],[Sales_Channel_Raw]]))</f>
        <v>Online</v>
      </c>
      <c r="P495" s="10" t="s">
        <v>98</v>
      </c>
      <c r="Q495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495" s="15" t="s">
        <v>47</v>
      </c>
      <c r="S495" t="str">
        <f>VLOOKUP(OrdersRawTable9[[#This Row],[Customer_ID_Raw]],CustomersTable11[],4,FALSE)</f>
        <v>Saskatchewan</v>
      </c>
      <c r="T495" t="str">
        <f>VLOOKUP(OrdersRawTable9[[#This Row],[Customer_ID_Raw]],CustomersTable11[],5,FALSE)</f>
        <v>Corporate</v>
      </c>
      <c r="U495" s="45">
        <f>VLOOKUP(OrdersRawTable9[[#This Row],[Product_ID]],ProductsTable10[],4,FALSE)</f>
        <v>149.4</v>
      </c>
      <c r="V495" t="str">
        <f>VLOOKUP(OrdersRawTable9[[#This Row],[Product_ID]],ProductsTable10[],3,FALSE)</f>
        <v>Office</v>
      </c>
      <c r="W495" s="45">
        <f>OrdersRawTable9[[#This Row],[Unit_Price]]*OrdersRawTable9[[#This Row],[Quantity]]</f>
        <v>915.64</v>
      </c>
      <c r="X495" s="47">
        <f>OrdersRawTable9[[#This Row],[Gross_Sales]]*OrdersRawTable9[[#This Row],[Discount_Pct]]</f>
        <v>137.346</v>
      </c>
      <c r="Y495" s="45">
        <f>OrdersRawTable9[[#This Row],[Gross_Sales]]-OrdersRawTable9[[#This Row],[Discount_Amount]]</f>
        <v>778.29399999999998</v>
      </c>
      <c r="Z495" s="45">
        <f>OrdersRawTable9[[#This Row],[Unit_Cost]]*OrdersRawTable9[[#This Row],[Quantity]]</f>
        <v>597.6</v>
      </c>
      <c r="AA495" s="45">
        <f>OrdersRawTable9[[#This Row],[Net_Sales]]-OrdersRawTable9[[#This Row],[Total_Cost]]</f>
        <v>180.69399999999996</v>
      </c>
      <c r="AB495" s="48">
        <f>IF(OrdersRawTable9[[#This Row],[Net_Sales]]=0,0,OrdersRawTable9[[#This Row],[Profit]]/OrdersRawTable9[[#This Row],[Net_Sales]])</f>
        <v>0.23216676474442816</v>
      </c>
      <c r="AC495" s="45" t="str">
        <f>IF(COUNTIF(ReturnsRawTable[Order_Line_ID],OrdersRawTable9[[#This Row],[Order_Line_ID]])&gt;0,"Yes","No")</f>
        <v>No</v>
      </c>
      <c r="AD495" s="45" t="str">
        <f>IFERROR(VLOOKUP(OrdersRawTable9[[#This Row],[Order_Line_ID]],ReturnsRawTable[[#All],[Order_Line_ID]:[Return_Reason_Raw]],3,FALSE),"")</f>
        <v/>
      </c>
      <c r="AE495" s="49" t="str">
        <f>IFERROR(VLOOKUP(OrdersRawTable9[[#This Row],[Order_Line_ID]],ReturnsRawTable[[#All],[Order_Line_ID]:[Return_Date]],2,FALSE),"")</f>
        <v/>
      </c>
      <c r="AF495" s="45" t="str">
        <f>IFERROR(VLOOKUP(OrdersRawTable9[[#This Row],[Order_Line_ID]],ReturnsRawTable[[Order_Line_ID]:[Refund_Status]],4,FALSE),"")</f>
        <v/>
      </c>
      <c r="AG495" s="45" t="str">
        <f>VLOOKUP(OrdersRawTable9[[#This Row],[Order_ID]],ShipmentsTable[],6,FALSE)</f>
        <v>On time</v>
      </c>
      <c r="AH495" s="49">
        <f>VLOOKUP(OrdersRawTable9[[#This Row],[Order_ID]],ShipmentsTable[],3,FALSE)</f>
        <v>45844</v>
      </c>
    </row>
    <row r="496" spans="1:34" ht="15" customHeight="1">
      <c r="A496" s="14" t="s">
        <v>1050</v>
      </c>
      <c r="B496" s="10" t="s">
        <v>1048</v>
      </c>
      <c r="C496" s="20">
        <v>45840</v>
      </c>
      <c r="D496" s="10" t="s">
        <v>328</v>
      </c>
      <c r="E496" s="10" t="s">
        <v>329</v>
      </c>
      <c r="F496" s="10" t="str">
        <f>TRIM(LEFT(OrdersRawTable9[[#This Row],[Customer_Info]],FIND(",",OrdersRawTable9[[#This Row],[Customer_Info]])-1))</f>
        <v>Noah Gagnon</v>
      </c>
      <c r="G49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Regina</v>
      </c>
      <c r="H496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496" s="10">
        <f>LEN(OrdersRawTable9[[#This Row],[Customer_Info]])-LEN(SUBSTITUTE(OrdersRawTable9[[#This Row],[Customer_Info]],",",""))</f>
        <v>2</v>
      </c>
      <c r="J496" s="10" t="s">
        <v>784</v>
      </c>
      <c r="K496" s="23">
        <v>3</v>
      </c>
      <c r="L496" s="26">
        <v>96.33</v>
      </c>
      <c r="M496" s="29">
        <v>0.1</v>
      </c>
      <c r="N496" s="10" t="s">
        <v>70</v>
      </c>
      <c r="O496" s="10" t="str">
        <f>IF(TRIM(OrdersRawTable9[[#This Row],[Sales_Channel_Raw]])="Market place","Marketplace",TRIM(OrdersRawTable9[[#This Row],[Sales_Channel_Raw]]))</f>
        <v>online</v>
      </c>
      <c r="P496" s="10"/>
      <c r="Q496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496" s="15" t="s">
        <v>42</v>
      </c>
      <c r="S496" t="str">
        <f>VLOOKUP(OrdersRawTable9[[#This Row],[Customer_ID_Raw]],CustomersTable11[],4,FALSE)</f>
        <v>Saskatchewan</v>
      </c>
      <c r="T496" t="str">
        <f>VLOOKUP(OrdersRawTable9[[#This Row],[Customer_ID_Raw]],CustomersTable11[],5,FALSE)</f>
        <v>Corporate</v>
      </c>
      <c r="U496" s="45">
        <f>VLOOKUP(OrdersRawTable9[[#This Row],[Product_ID]],ProductsTable10[],4,FALSE)</f>
        <v>57.85</v>
      </c>
      <c r="V496" t="str">
        <f>VLOOKUP(OrdersRawTable9[[#This Row],[Product_ID]],ProductsTable10[],3,FALSE)</f>
        <v>Accessories</v>
      </c>
      <c r="W496" s="45">
        <f>OrdersRawTable9[[#This Row],[Unit_Price]]*OrdersRawTable9[[#This Row],[Quantity]]</f>
        <v>288.99</v>
      </c>
      <c r="X496" s="47">
        <f>OrdersRawTable9[[#This Row],[Gross_Sales]]*OrdersRawTable9[[#This Row],[Discount_Pct]]</f>
        <v>28.899000000000001</v>
      </c>
      <c r="Y496" s="45">
        <f>OrdersRawTable9[[#This Row],[Gross_Sales]]-OrdersRawTable9[[#This Row],[Discount_Amount]]</f>
        <v>260.09100000000001</v>
      </c>
      <c r="Z496" s="45">
        <f>OrdersRawTable9[[#This Row],[Unit_Cost]]*OrdersRawTable9[[#This Row],[Quantity]]</f>
        <v>173.55</v>
      </c>
      <c r="AA496" s="45">
        <f>OrdersRawTable9[[#This Row],[Net_Sales]]-OrdersRawTable9[[#This Row],[Total_Cost]]</f>
        <v>86.540999999999997</v>
      </c>
      <c r="AB496" s="48">
        <f>IF(OrdersRawTable9[[#This Row],[Net_Sales]]=0,0,OrdersRawTable9[[#This Row],[Profit]]/OrdersRawTable9[[#This Row],[Net_Sales]])</f>
        <v>0.33273354325985904</v>
      </c>
      <c r="AC496" s="45" t="str">
        <f>IF(COUNTIF(ReturnsRawTable[Order_Line_ID],OrdersRawTable9[[#This Row],[Order_Line_ID]])&gt;0,"Yes","No")</f>
        <v>No</v>
      </c>
      <c r="AD496" s="45" t="str">
        <f>IFERROR(VLOOKUP(OrdersRawTable9[[#This Row],[Order_Line_ID]],ReturnsRawTable[[#All],[Order_Line_ID]:[Return_Reason_Raw]],3,FALSE),"")</f>
        <v/>
      </c>
      <c r="AE496" s="49" t="str">
        <f>IFERROR(VLOOKUP(OrdersRawTable9[[#This Row],[Order_Line_ID]],ReturnsRawTable[[#All],[Order_Line_ID]:[Return_Date]],2,FALSE),"")</f>
        <v/>
      </c>
      <c r="AF496" s="45" t="str">
        <f>IFERROR(VLOOKUP(OrdersRawTable9[[#This Row],[Order_Line_ID]],ReturnsRawTable[[Order_Line_ID]:[Refund_Status]],4,FALSE),"")</f>
        <v/>
      </c>
      <c r="AG496" s="45" t="str">
        <f>VLOOKUP(OrdersRawTable9[[#This Row],[Order_ID]],ShipmentsTable[],6,FALSE)</f>
        <v>On time</v>
      </c>
      <c r="AH496" s="49">
        <f>VLOOKUP(OrdersRawTable9[[#This Row],[Order_ID]],ShipmentsTable[],3,FALSE)</f>
        <v>45844</v>
      </c>
    </row>
    <row r="497" spans="1:34" ht="15" customHeight="1">
      <c r="A497" s="14" t="s">
        <v>1051</v>
      </c>
      <c r="B497" s="10" t="s">
        <v>1048</v>
      </c>
      <c r="C497" s="20">
        <v>45840</v>
      </c>
      <c r="D497" s="10" t="s">
        <v>328</v>
      </c>
      <c r="E497" s="10" t="s">
        <v>329</v>
      </c>
      <c r="F497" s="10" t="str">
        <f>TRIM(LEFT(OrdersRawTable9[[#This Row],[Customer_Info]],FIND(",",OrdersRawTable9[[#This Row],[Customer_Info]])-1))</f>
        <v>Noah Gagnon</v>
      </c>
      <c r="G49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Regina</v>
      </c>
      <c r="H497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497" s="10">
        <f>LEN(OrdersRawTable9[[#This Row],[Customer_Info]])-LEN(SUBSTITUTE(OrdersRawTable9[[#This Row],[Customer_Info]],",",""))</f>
        <v>2</v>
      </c>
      <c r="J497" s="10" t="s">
        <v>214</v>
      </c>
      <c r="K497" s="23">
        <v>4</v>
      </c>
      <c r="L497" s="26">
        <v>186.92</v>
      </c>
      <c r="M497" s="29">
        <v>0</v>
      </c>
      <c r="N497" s="10" t="s">
        <v>45</v>
      </c>
      <c r="O497" s="10" t="str">
        <f>IF(TRIM(OrdersRawTable9[[#This Row],[Sales_Channel_Raw]])="Market place","Marketplace",TRIM(OrdersRawTable9[[#This Row],[Sales_Channel_Raw]]))</f>
        <v>Retail Store</v>
      </c>
      <c r="P497" s="10" t="s">
        <v>51</v>
      </c>
      <c r="Q497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497" s="15" t="s">
        <v>52</v>
      </c>
      <c r="S497" t="str">
        <f>VLOOKUP(OrdersRawTable9[[#This Row],[Customer_ID_Raw]],CustomersTable11[],4,FALSE)</f>
        <v>Saskatchewan</v>
      </c>
      <c r="T497" t="str">
        <f>VLOOKUP(OrdersRawTable9[[#This Row],[Customer_ID_Raw]],CustomersTable11[],5,FALSE)</f>
        <v>Corporate</v>
      </c>
      <c r="U497" s="45">
        <f>VLOOKUP(OrdersRawTable9[[#This Row],[Product_ID]],ProductsTable10[],4,FALSE)</f>
        <v>114.11</v>
      </c>
      <c r="V497" t="str">
        <f>VLOOKUP(OrdersRawTable9[[#This Row],[Product_ID]],ProductsTable10[],3,FALSE)</f>
        <v>Home</v>
      </c>
      <c r="W497" s="45">
        <f>OrdersRawTable9[[#This Row],[Unit_Price]]*OrdersRawTable9[[#This Row],[Quantity]]</f>
        <v>747.68</v>
      </c>
      <c r="X497" s="47">
        <f>OrdersRawTable9[[#This Row],[Gross_Sales]]*OrdersRawTable9[[#This Row],[Discount_Pct]]</f>
        <v>0</v>
      </c>
      <c r="Y497" s="45">
        <f>OrdersRawTable9[[#This Row],[Gross_Sales]]-OrdersRawTable9[[#This Row],[Discount_Amount]]</f>
        <v>747.68</v>
      </c>
      <c r="Z497" s="45">
        <f>OrdersRawTable9[[#This Row],[Unit_Cost]]*OrdersRawTable9[[#This Row],[Quantity]]</f>
        <v>456.44</v>
      </c>
      <c r="AA497" s="45">
        <f>OrdersRawTable9[[#This Row],[Net_Sales]]-OrdersRawTable9[[#This Row],[Total_Cost]]</f>
        <v>291.23999999999995</v>
      </c>
      <c r="AB497" s="48">
        <f>IF(OrdersRawTable9[[#This Row],[Net_Sales]]=0,0,OrdersRawTable9[[#This Row],[Profit]]/OrdersRawTable9[[#This Row],[Net_Sales]])</f>
        <v>0.38952493045153003</v>
      </c>
      <c r="AC497" s="45" t="str">
        <f>IF(COUNTIF(ReturnsRawTable[Order_Line_ID],OrdersRawTable9[[#This Row],[Order_Line_ID]])&gt;0,"Yes","No")</f>
        <v>No</v>
      </c>
      <c r="AD497" s="45" t="str">
        <f>IFERROR(VLOOKUP(OrdersRawTable9[[#This Row],[Order_Line_ID]],ReturnsRawTable[[#All],[Order_Line_ID]:[Return_Reason_Raw]],3,FALSE),"")</f>
        <v/>
      </c>
      <c r="AE497" s="49" t="str">
        <f>IFERROR(VLOOKUP(OrdersRawTable9[[#This Row],[Order_Line_ID]],ReturnsRawTable[[#All],[Order_Line_ID]:[Return_Date]],2,FALSE),"")</f>
        <v/>
      </c>
      <c r="AF497" s="45" t="str">
        <f>IFERROR(VLOOKUP(OrdersRawTable9[[#This Row],[Order_Line_ID]],ReturnsRawTable[[Order_Line_ID]:[Refund_Status]],4,FALSE),"")</f>
        <v/>
      </c>
      <c r="AG497" s="45" t="str">
        <f>VLOOKUP(OrdersRawTable9[[#This Row],[Order_ID]],ShipmentsTable[],6,FALSE)</f>
        <v>On time</v>
      </c>
      <c r="AH497" s="49">
        <f>VLOOKUP(OrdersRawTable9[[#This Row],[Order_ID]],ShipmentsTable[],3,FALSE)</f>
        <v>45844</v>
      </c>
    </row>
    <row r="498" spans="1:34" ht="15" customHeight="1">
      <c r="A498" s="14" t="s">
        <v>1052</v>
      </c>
      <c r="B498" s="10" t="s">
        <v>1053</v>
      </c>
      <c r="C498" s="20">
        <v>45780</v>
      </c>
      <c r="D498" s="10" t="s">
        <v>1054</v>
      </c>
      <c r="E498" s="10" t="s">
        <v>1055</v>
      </c>
      <c r="F498" s="10" t="str">
        <f>TRIM(LEFT(OrdersRawTable9[[#This Row],[Customer_Info]],FIND(",",OrdersRawTable9[[#This Row],[Customer_Info]])-1))</f>
        <v>Sofia Wilson</v>
      </c>
      <c r="G49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498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498" s="10">
        <f>LEN(OrdersRawTable9[[#This Row],[Customer_Info]])-LEN(SUBSTITUTE(OrdersRawTable9[[#This Row],[Customer_Info]],",",""))</f>
        <v>2</v>
      </c>
      <c r="J498" s="10" t="s">
        <v>112</v>
      </c>
      <c r="K498" s="23">
        <v>2</v>
      </c>
      <c r="L498" s="26">
        <v>88.61</v>
      </c>
      <c r="M498" s="29">
        <v>0.15</v>
      </c>
      <c r="N498" s="10" t="s">
        <v>66</v>
      </c>
      <c r="O498" s="10" t="str">
        <f>IF(TRIM(OrdersRawTable9[[#This Row],[Sales_Channel_Raw]])="Market place","Marketplace",TRIM(OrdersRawTable9[[#This Row],[Sales_Channel_Raw]]))</f>
        <v>Marketplace</v>
      </c>
      <c r="P498" s="10" t="s">
        <v>46</v>
      </c>
      <c r="Q498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498" s="15" t="s">
        <v>42</v>
      </c>
      <c r="S498" t="str">
        <f>VLOOKUP(OrdersRawTable9[[#This Row],[Customer_ID_Raw]],CustomersTable11[],4,FALSE)</f>
        <v>Alberta</v>
      </c>
      <c r="T498" t="str">
        <f>VLOOKUP(OrdersRawTable9[[#This Row],[Customer_ID_Raw]],CustomersTable11[],5,FALSE)</f>
        <v>Small Business</v>
      </c>
      <c r="U498" s="45">
        <f>VLOOKUP(OrdersRawTable9[[#This Row],[Product_ID]],ProductsTable10[],4,FALSE)</f>
        <v>49.75</v>
      </c>
      <c r="V498" t="str">
        <f>VLOOKUP(OrdersRawTable9[[#This Row],[Product_ID]],ProductsTable10[],3,FALSE)</f>
        <v>Electronics</v>
      </c>
      <c r="W498" s="45">
        <f>OrdersRawTable9[[#This Row],[Unit_Price]]*OrdersRawTable9[[#This Row],[Quantity]]</f>
        <v>177.22</v>
      </c>
      <c r="X498" s="47">
        <f>OrdersRawTable9[[#This Row],[Gross_Sales]]*OrdersRawTable9[[#This Row],[Discount_Pct]]</f>
        <v>26.582999999999998</v>
      </c>
      <c r="Y498" s="45">
        <f>OrdersRawTable9[[#This Row],[Gross_Sales]]-OrdersRawTable9[[#This Row],[Discount_Amount]]</f>
        <v>150.637</v>
      </c>
      <c r="Z498" s="45">
        <f>OrdersRawTable9[[#This Row],[Unit_Cost]]*OrdersRawTable9[[#This Row],[Quantity]]</f>
        <v>99.5</v>
      </c>
      <c r="AA498" s="45">
        <f>OrdersRawTable9[[#This Row],[Net_Sales]]-OrdersRawTable9[[#This Row],[Total_Cost]]</f>
        <v>51.137</v>
      </c>
      <c r="AB498" s="48">
        <f>IF(OrdersRawTable9[[#This Row],[Net_Sales]]=0,0,OrdersRawTable9[[#This Row],[Profit]]/OrdersRawTable9[[#This Row],[Net_Sales]])</f>
        <v>0.33947171013761557</v>
      </c>
      <c r="AC498" s="45" t="str">
        <f>IF(COUNTIF(ReturnsRawTable[Order_Line_ID],OrdersRawTable9[[#This Row],[Order_Line_ID]])&gt;0,"Yes","No")</f>
        <v>Yes</v>
      </c>
      <c r="AD498" s="45" t="str">
        <f>IFERROR(VLOOKUP(OrdersRawTable9[[#This Row],[Order_Line_ID]],ReturnsRawTable[[#All],[Order_Line_ID]:[Return_Reason_Raw]],3,FALSE),"")</f>
        <v>Wrong item</v>
      </c>
      <c r="AE498" s="49">
        <f>IFERROR(VLOOKUP(OrdersRawTable9[[#This Row],[Order_Line_ID]],ReturnsRawTable[[#All],[Order_Line_ID]:[Return_Date]],2,FALSE),"")</f>
        <v>45800</v>
      </c>
      <c r="AF498" s="45" t="str">
        <f>IFERROR(VLOOKUP(OrdersRawTable9[[#This Row],[Order_Line_ID]],ReturnsRawTable[[Order_Line_ID]:[Refund_Status]],4,FALSE),"")</f>
        <v>Refunded</v>
      </c>
      <c r="AG498" s="45" t="str">
        <f>VLOOKUP(OrdersRawTable9[[#This Row],[Order_ID]],ShipmentsTable[],6,FALSE)</f>
        <v>Late</v>
      </c>
      <c r="AH498" s="49">
        <f>VLOOKUP(OrdersRawTable9[[#This Row],[Order_ID]],ShipmentsTable[],3,FALSE)</f>
        <v>45787</v>
      </c>
    </row>
    <row r="499" spans="1:34" ht="15" customHeight="1">
      <c r="A499" s="14" t="s">
        <v>1056</v>
      </c>
      <c r="B499" s="10" t="s">
        <v>1053</v>
      </c>
      <c r="C499" s="20">
        <v>45780</v>
      </c>
      <c r="D499" s="10" t="s">
        <v>1054</v>
      </c>
      <c r="E499" s="10" t="s">
        <v>1055</v>
      </c>
      <c r="F499" s="10" t="str">
        <f>TRIM(LEFT(OrdersRawTable9[[#This Row],[Customer_Info]],FIND(",",OrdersRawTable9[[#This Row],[Customer_Info]])-1))</f>
        <v>Sofia Wilson</v>
      </c>
      <c r="G49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499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499" s="10">
        <f>LEN(OrdersRawTable9[[#This Row],[Customer_Info]])-LEN(SUBSTITUTE(OrdersRawTable9[[#This Row],[Customer_Info]],",",""))</f>
        <v>2</v>
      </c>
      <c r="J499" s="10" t="s">
        <v>204</v>
      </c>
      <c r="K499" s="23">
        <v>2</v>
      </c>
      <c r="L499" s="26">
        <v>244.25</v>
      </c>
      <c r="M499" s="29">
        <v>0.05</v>
      </c>
      <c r="N499" s="10" t="s">
        <v>45</v>
      </c>
      <c r="O499" s="10" t="str">
        <f>IF(TRIM(OrdersRawTable9[[#This Row],[Sales_Channel_Raw]])="Market place","Marketplace",TRIM(OrdersRawTable9[[#This Row],[Sales_Channel_Raw]]))</f>
        <v>Retail Store</v>
      </c>
      <c r="P499" s="10" t="s">
        <v>41</v>
      </c>
      <c r="Q499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499" s="15" t="s">
        <v>67</v>
      </c>
      <c r="S499" t="str">
        <f>VLOOKUP(OrdersRawTable9[[#This Row],[Customer_ID_Raw]],CustomersTable11[],4,FALSE)</f>
        <v>Alberta</v>
      </c>
      <c r="T499" t="str">
        <f>VLOOKUP(OrdersRawTable9[[#This Row],[Customer_ID_Raw]],CustomersTable11[],5,FALSE)</f>
        <v>Small Business</v>
      </c>
      <c r="U499" s="45">
        <f>VLOOKUP(OrdersRawTable9[[#This Row],[Product_ID]],ProductsTable10[],4,FALSE)</f>
        <v>150.96</v>
      </c>
      <c r="V499" t="str">
        <f>VLOOKUP(OrdersRawTable9[[#This Row],[Product_ID]],ProductsTable10[],3,FALSE)</f>
        <v>Office</v>
      </c>
      <c r="W499" s="45">
        <f>OrdersRawTable9[[#This Row],[Unit_Price]]*OrdersRawTable9[[#This Row],[Quantity]]</f>
        <v>488.5</v>
      </c>
      <c r="X499" s="47">
        <f>OrdersRawTable9[[#This Row],[Gross_Sales]]*OrdersRawTable9[[#This Row],[Discount_Pct]]</f>
        <v>24.425000000000001</v>
      </c>
      <c r="Y499" s="45">
        <f>OrdersRawTable9[[#This Row],[Gross_Sales]]-OrdersRawTable9[[#This Row],[Discount_Amount]]</f>
        <v>464.07499999999999</v>
      </c>
      <c r="Z499" s="45">
        <f>OrdersRawTable9[[#This Row],[Unit_Cost]]*OrdersRawTable9[[#This Row],[Quantity]]</f>
        <v>301.92</v>
      </c>
      <c r="AA499" s="45">
        <f>OrdersRawTable9[[#This Row],[Net_Sales]]-OrdersRawTable9[[#This Row],[Total_Cost]]</f>
        <v>162.15499999999997</v>
      </c>
      <c r="AB499" s="48">
        <f>IF(OrdersRawTable9[[#This Row],[Net_Sales]]=0,0,OrdersRawTable9[[#This Row],[Profit]]/OrdersRawTable9[[#This Row],[Net_Sales]])</f>
        <v>0.34941550395948928</v>
      </c>
      <c r="AC499" s="45" t="str">
        <f>IF(COUNTIF(ReturnsRawTable[Order_Line_ID],OrdersRawTable9[[#This Row],[Order_Line_ID]])&gt;0,"Yes","No")</f>
        <v>No</v>
      </c>
      <c r="AD499" s="45" t="str">
        <f>IFERROR(VLOOKUP(OrdersRawTable9[[#This Row],[Order_Line_ID]],ReturnsRawTable[[#All],[Order_Line_ID]:[Return_Reason_Raw]],3,FALSE),"")</f>
        <v/>
      </c>
      <c r="AE499" s="49" t="str">
        <f>IFERROR(VLOOKUP(OrdersRawTable9[[#This Row],[Order_Line_ID]],ReturnsRawTable[[#All],[Order_Line_ID]:[Return_Date]],2,FALSE),"")</f>
        <v/>
      </c>
      <c r="AF499" s="45" t="str">
        <f>IFERROR(VLOOKUP(OrdersRawTable9[[#This Row],[Order_Line_ID]],ReturnsRawTable[[Order_Line_ID]:[Refund_Status]],4,FALSE),"")</f>
        <v/>
      </c>
      <c r="AG499" s="45" t="str">
        <f>VLOOKUP(OrdersRawTable9[[#This Row],[Order_ID]],ShipmentsTable[],6,FALSE)</f>
        <v>Late</v>
      </c>
      <c r="AH499" s="49">
        <f>VLOOKUP(OrdersRawTable9[[#This Row],[Order_ID]],ShipmentsTable[],3,FALSE)</f>
        <v>45787</v>
      </c>
    </row>
    <row r="500" spans="1:34" ht="15" customHeight="1">
      <c r="A500" s="14" t="s">
        <v>1057</v>
      </c>
      <c r="B500" s="10" t="s">
        <v>1053</v>
      </c>
      <c r="C500" s="20">
        <v>45780</v>
      </c>
      <c r="D500" s="10" t="s">
        <v>1054</v>
      </c>
      <c r="E500" s="10" t="s">
        <v>1055</v>
      </c>
      <c r="F500" s="10" t="str">
        <f>TRIM(LEFT(OrdersRawTable9[[#This Row],[Customer_Info]],FIND(",",OrdersRawTable9[[#This Row],[Customer_Info]])-1))</f>
        <v>Sofia Wilson</v>
      </c>
      <c r="G50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500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00" s="10">
        <f>LEN(OrdersRawTable9[[#This Row],[Customer_Info]])-LEN(SUBSTITUTE(OrdersRawTable9[[#This Row],[Customer_Info]],",",""))</f>
        <v>2</v>
      </c>
      <c r="J500" s="10" t="s">
        <v>303</v>
      </c>
      <c r="K500" s="23">
        <v>3</v>
      </c>
      <c r="L500" s="26">
        <v>72.81</v>
      </c>
      <c r="M500" s="29">
        <v>0.15</v>
      </c>
      <c r="N500" s="10" t="s">
        <v>50</v>
      </c>
      <c r="O500" s="10" t="str">
        <f>IF(TRIM(OrdersRawTable9[[#This Row],[Sales_Channel_Raw]])="Market place","Marketplace",TRIM(OrdersRawTable9[[#This Row],[Sales_Channel_Raw]]))</f>
        <v>Marketplace</v>
      </c>
      <c r="P500" s="10" t="s">
        <v>41</v>
      </c>
      <c r="Q500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00" s="15" t="s">
        <v>47</v>
      </c>
      <c r="S500" t="str">
        <f>VLOOKUP(OrdersRawTable9[[#This Row],[Customer_ID_Raw]],CustomersTable11[],4,FALSE)</f>
        <v>Alberta</v>
      </c>
      <c r="T500" t="str">
        <f>VLOOKUP(OrdersRawTable9[[#This Row],[Customer_ID_Raw]],CustomersTable11[],5,FALSE)</f>
        <v>Small Business</v>
      </c>
      <c r="U500" s="45">
        <f>VLOOKUP(OrdersRawTable9[[#This Row],[Product_ID]],ProductsTable10[],4,FALSE)</f>
        <v>37.99</v>
      </c>
      <c r="V500" t="str">
        <f>VLOOKUP(OrdersRawTable9[[#This Row],[Product_ID]],ProductsTable10[],3,FALSE)</f>
        <v>Accessories</v>
      </c>
      <c r="W500" s="45">
        <f>OrdersRawTable9[[#This Row],[Unit_Price]]*OrdersRawTable9[[#This Row],[Quantity]]</f>
        <v>218.43</v>
      </c>
      <c r="X500" s="47">
        <f>OrdersRawTable9[[#This Row],[Gross_Sales]]*OrdersRawTable9[[#This Row],[Discount_Pct]]</f>
        <v>32.764499999999998</v>
      </c>
      <c r="Y500" s="45">
        <f>OrdersRawTable9[[#This Row],[Gross_Sales]]-OrdersRawTable9[[#This Row],[Discount_Amount]]</f>
        <v>185.66550000000001</v>
      </c>
      <c r="Z500" s="45">
        <f>OrdersRawTable9[[#This Row],[Unit_Cost]]*OrdersRawTable9[[#This Row],[Quantity]]</f>
        <v>113.97</v>
      </c>
      <c r="AA500" s="45">
        <f>OrdersRawTable9[[#This Row],[Net_Sales]]-OrdersRawTable9[[#This Row],[Total_Cost]]</f>
        <v>71.69550000000001</v>
      </c>
      <c r="AB500" s="48">
        <f>IF(OrdersRawTable9[[#This Row],[Net_Sales]]=0,0,OrdersRawTable9[[#This Row],[Profit]]/OrdersRawTable9[[#This Row],[Net_Sales]])</f>
        <v>0.38615413202775961</v>
      </c>
      <c r="AC500" s="45" t="str">
        <f>IF(COUNTIF(ReturnsRawTable[Order_Line_ID],OrdersRawTable9[[#This Row],[Order_Line_ID]])&gt;0,"Yes","No")</f>
        <v>No</v>
      </c>
      <c r="AD500" s="45" t="str">
        <f>IFERROR(VLOOKUP(OrdersRawTable9[[#This Row],[Order_Line_ID]],ReturnsRawTable[[#All],[Order_Line_ID]:[Return_Reason_Raw]],3,FALSE),"")</f>
        <v/>
      </c>
      <c r="AE500" s="49" t="str">
        <f>IFERROR(VLOOKUP(OrdersRawTable9[[#This Row],[Order_Line_ID]],ReturnsRawTable[[#All],[Order_Line_ID]:[Return_Date]],2,FALSE),"")</f>
        <v/>
      </c>
      <c r="AF500" s="45" t="str">
        <f>IFERROR(VLOOKUP(OrdersRawTable9[[#This Row],[Order_Line_ID]],ReturnsRawTable[[Order_Line_ID]:[Refund_Status]],4,FALSE),"")</f>
        <v/>
      </c>
      <c r="AG500" s="45" t="str">
        <f>VLOOKUP(OrdersRawTable9[[#This Row],[Order_ID]],ShipmentsTable[],6,FALSE)</f>
        <v>Late</v>
      </c>
      <c r="AH500" s="49">
        <f>VLOOKUP(OrdersRawTable9[[#This Row],[Order_ID]],ShipmentsTable[],3,FALSE)</f>
        <v>45787</v>
      </c>
    </row>
    <row r="501" spans="1:34" ht="15" customHeight="1">
      <c r="A501" s="14" t="s">
        <v>1058</v>
      </c>
      <c r="B501" s="10" t="s">
        <v>1059</v>
      </c>
      <c r="C501" s="20">
        <v>45691</v>
      </c>
      <c r="D501" s="10" t="s">
        <v>660</v>
      </c>
      <c r="E501" s="10" t="s">
        <v>661</v>
      </c>
      <c r="F501" s="10" t="str">
        <f>TRIM(LEFT(OrdersRawTable9[[#This Row],[Customer_Info]],FIND(",",OrdersRawTable9[[#This Row],[Customer_Info]])-1))</f>
        <v>Sara Wilson</v>
      </c>
      <c r="G50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501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01" s="10">
        <f>LEN(OrdersRawTable9[[#This Row],[Customer_Info]])-LEN(SUBSTITUTE(OrdersRawTable9[[#This Row],[Customer_Info]],",",""))</f>
        <v>2</v>
      </c>
      <c r="J501" s="10" t="s">
        <v>77</v>
      </c>
      <c r="K501" s="23">
        <v>1</v>
      </c>
      <c r="L501" s="26">
        <v>34.909999999999997</v>
      </c>
      <c r="M501" s="29">
        <v>0.1</v>
      </c>
      <c r="N501" s="10" t="s">
        <v>40</v>
      </c>
      <c r="O501" s="10" t="str">
        <f>IF(TRIM(OrdersRawTable9[[#This Row],[Sales_Channel_Raw]])="Market place","Marketplace",TRIM(OrdersRawTable9[[#This Row],[Sales_Channel_Raw]]))</f>
        <v>Online</v>
      </c>
      <c r="P501" s="10" t="s">
        <v>41</v>
      </c>
      <c r="Q501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01" s="15" t="s">
        <v>101</v>
      </c>
      <c r="S501" t="str">
        <f>VLOOKUP(OrdersRawTable9[[#This Row],[Customer_ID_Raw]],CustomersTable11[],4,FALSE)</f>
        <v>Quebec</v>
      </c>
      <c r="T501" t="str">
        <f>VLOOKUP(OrdersRawTable9[[#This Row],[Customer_ID_Raw]],CustomersTable11[],5,FALSE)</f>
        <v>Small Business</v>
      </c>
      <c r="U501" s="45">
        <f>VLOOKUP(OrdersRawTable9[[#This Row],[Product_ID]],ProductsTable10[],4,FALSE)</f>
        <v>19.670000000000002</v>
      </c>
      <c r="V501" t="str">
        <f>VLOOKUP(OrdersRawTable9[[#This Row],[Product_ID]],ProductsTable10[],3,FALSE)</f>
        <v>Accessories</v>
      </c>
      <c r="W501" s="45">
        <f>OrdersRawTable9[[#This Row],[Unit_Price]]*OrdersRawTable9[[#This Row],[Quantity]]</f>
        <v>34.909999999999997</v>
      </c>
      <c r="X501" s="47">
        <f>OrdersRawTable9[[#This Row],[Gross_Sales]]*OrdersRawTable9[[#This Row],[Discount_Pct]]</f>
        <v>3.4909999999999997</v>
      </c>
      <c r="Y501" s="45">
        <f>OrdersRawTable9[[#This Row],[Gross_Sales]]-OrdersRawTable9[[#This Row],[Discount_Amount]]</f>
        <v>31.418999999999997</v>
      </c>
      <c r="Z501" s="45">
        <f>OrdersRawTable9[[#This Row],[Unit_Cost]]*OrdersRawTable9[[#This Row],[Quantity]]</f>
        <v>19.670000000000002</v>
      </c>
      <c r="AA501" s="45">
        <f>OrdersRawTable9[[#This Row],[Net_Sales]]-OrdersRawTable9[[#This Row],[Total_Cost]]</f>
        <v>11.748999999999995</v>
      </c>
      <c r="AB501" s="48">
        <f>IF(OrdersRawTable9[[#This Row],[Net_Sales]]=0,0,OrdersRawTable9[[#This Row],[Profit]]/OrdersRawTable9[[#This Row],[Net_Sales]])</f>
        <v>0.37394570164550101</v>
      </c>
      <c r="AC501" s="45" t="str">
        <f>IF(COUNTIF(ReturnsRawTable[Order_Line_ID],OrdersRawTable9[[#This Row],[Order_Line_ID]])&gt;0,"Yes","No")</f>
        <v>No</v>
      </c>
      <c r="AD501" s="45" t="str">
        <f>IFERROR(VLOOKUP(OrdersRawTable9[[#This Row],[Order_Line_ID]],ReturnsRawTable[[#All],[Order_Line_ID]:[Return_Reason_Raw]],3,FALSE),"")</f>
        <v/>
      </c>
      <c r="AE501" s="49" t="str">
        <f>IFERROR(VLOOKUP(OrdersRawTable9[[#This Row],[Order_Line_ID]],ReturnsRawTable[[#All],[Order_Line_ID]:[Return_Date]],2,FALSE),"")</f>
        <v/>
      </c>
      <c r="AF501" s="45" t="str">
        <f>IFERROR(VLOOKUP(OrdersRawTable9[[#This Row],[Order_Line_ID]],ReturnsRawTable[[Order_Line_ID]:[Refund_Status]],4,FALSE),"")</f>
        <v/>
      </c>
      <c r="AG501" s="45" t="str">
        <f>VLOOKUP(OrdersRawTable9[[#This Row],[Order_ID]],ShipmentsTable[],6,FALSE)</f>
        <v>On time</v>
      </c>
      <c r="AH501" s="49">
        <f>VLOOKUP(OrdersRawTable9[[#This Row],[Order_ID]],ShipmentsTable[],3,FALSE)</f>
        <v>45693</v>
      </c>
    </row>
    <row r="502" spans="1:34" ht="15" customHeight="1">
      <c r="A502" s="14" t="s">
        <v>1060</v>
      </c>
      <c r="B502" s="10" t="s">
        <v>1059</v>
      </c>
      <c r="C502" s="20">
        <v>45691</v>
      </c>
      <c r="D502" s="10" t="s">
        <v>660</v>
      </c>
      <c r="E502" s="10" t="s">
        <v>661</v>
      </c>
      <c r="F502" s="10" t="str">
        <f>TRIM(LEFT(OrdersRawTable9[[#This Row],[Customer_Info]],FIND(",",OrdersRawTable9[[#This Row],[Customer_Info]])-1))</f>
        <v>Sara Wilson</v>
      </c>
      <c r="G50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502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02" s="10">
        <f>LEN(OrdersRawTable9[[#This Row],[Customer_Info]])-LEN(SUBSTITUTE(OrdersRawTable9[[#This Row],[Customer_Info]],",",""))</f>
        <v>2</v>
      </c>
      <c r="J502" s="10" t="s">
        <v>147</v>
      </c>
      <c r="K502" s="23">
        <v>2</v>
      </c>
      <c r="L502" s="26">
        <v>102.78</v>
      </c>
      <c r="M502" s="29">
        <v>0.05</v>
      </c>
      <c r="N502" s="10" t="s">
        <v>64</v>
      </c>
      <c r="O502" s="10" t="str">
        <f>IF(TRIM(OrdersRawTable9[[#This Row],[Sales_Channel_Raw]])="Market place","Marketplace",TRIM(OrdersRawTable9[[#This Row],[Sales_Channel_Raw]]))</f>
        <v>Retail Store</v>
      </c>
      <c r="P502" s="10" t="s">
        <v>41</v>
      </c>
      <c r="Q502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02" s="15" t="s">
        <v>67</v>
      </c>
      <c r="S502" t="str">
        <f>VLOOKUP(OrdersRawTable9[[#This Row],[Customer_ID_Raw]],CustomersTable11[],4,FALSE)</f>
        <v>Quebec</v>
      </c>
      <c r="T502" t="str">
        <f>VLOOKUP(OrdersRawTable9[[#This Row],[Customer_ID_Raw]],CustomersTable11[],5,FALSE)</f>
        <v>Small Business</v>
      </c>
      <c r="U502" s="45">
        <f>VLOOKUP(OrdersRawTable9[[#This Row],[Product_ID]],ProductsTable10[],4,FALSE)</f>
        <v>62.65</v>
      </c>
      <c r="V502" t="str">
        <f>VLOOKUP(OrdersRawTable9[[#This Row],[Product_ID]],ProductsTable10[],3,FALSE)</f>
        <v>Accessories</v>
      </c>
      <c r="W502" s="45">
        <f>OrdersRawTable9[[#This Row],[Unit_Price]]*OrdersRawTable9[[#This Row],[Quantity]]</f>
        <v>205.56</v>
      </c>
      <c r="X502" s="47">
        <f>OrdersRawTable9[[#This Row],[Gross_Sales]]*OrdersRawTable9[[#This Row],[Discount_Pct]]</f>
        <v>10.278</v>
      </c>
      <c r="Y502" s="45">
        <f>OrdersRawTable9[[#This Row],[Gross_Sales]]-OrdersRawTable9[[#This Row],[Discount_Amount]]</f>
        <v>195.28200000000001</v>
      </c>
      <c r="Z502" s="45">
        <f>OrdersRawTable9[[#This Row],[Unit_Cost]]*OrdersRawTable9[[#This Row],[Quantity]]</f>
        <v>125.3</v>
      </c>
      <c r="AA502" s="45">
        <f>OrdersRawTable9[[#This Row],[Net_Sales]]-OrdersRawTable9[[#This Row],[Total_Cost]]</f>
        <v>69.982000000000014</v>
      </c>
      <c r="AB502" s="48">
        <f>IF(OrdersRawTable9[[#This Row],[Net_Sales]]=0,0,OrdersRawTable9[[#This Row],[Profit]]/OrdersRawTable9[[#This Row],[Net_Sales]])</f>
        <v>0.35836380209133462</v>
      </c>
      <c r="AC502" s="45" t="str">
        <f>IF(COUNTIF(ReturnsRawTable[Order_Line_ID],OrdersRawTable9[[#This Row],[Order_Line_ID]])&gt;0,"Yes","No")</f>
        <v>No</v>
      </c>
      <c r="AD502" s="45" t="str">
        <f>IFERROR(VLOOKUP(OrdersRawTable9[[#This Row],[Order_Line_ID]],ReturnsRawTable[[#All],[Order_Line_ID]:[Return_Reason_Raw]],3,FALSE),"")</f>
        <v/>
      </c>
      <c r="AE502" s="49" t="str">
        <f>IFERROR(VLOOKUP(OrdersRawTable9[[#This Row],[Order_Line_ID]],ReturnsRawTable[[#All],[Order_Line_ID]:[Return_Date]],2,FALSE),"")</f>
        <v/>
      </c>
      <c r="AF502" s="45" t="str">
        <f>IFERROR(VLOOKUP(OrdersRawTable9[[#This Row],[Order_Line_ID]],ReturnsRawTable[[Order_Line_ID]:[Refund_Status]],4,FALSE),"")</f>
        <v/>
      </c>
      <c r="AG502" s="45" t="str">
        <f>VLOOKUP(OrdersRawTable9[[#This Row],[Order_ID]],ShipmentsTable[],6,FALSE)</f>
        <v>On time</v>
      </c>
      <c r="AH502" s="49">
        <f>VLOOKUP(OrdersRawTable9[[#This Row],[Order_ID]],ShipmentsTable[],3,FALSE)</f>
        <v>45693</v>
      </c>
    </row>
    <row r="503" spans="1:34" ht="15" customHeight="1">
      <c r="A503" s="14" t="s">
        <v>1061</v>
      </c>
      <c r="B503" s="10" t="s">
        <v>1059</v>
      </c>
      <c r="C503" s="20">
        <v>45691</v>
      </c>
      <c r="D503" s="10" t="s">
        <v>660</v>
      </c>
      <c r="E503" s="10" t="s">
        <v>661</v>
      </c>
      <c r="F503" s="10" t="str">
        <f>TRIM(LEFT(OrdersRawTable9[[#This Row],[Customer_Info]],FIND(",",OrdersRawTable9[[#This Row],[Customer_Info]])-1))</f>
        <v>Sara Wilson</v>
      </c>
      <c r="G50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503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03" s="10">
        <f>LEN(OrdersRawTable9[[#This Row],[Customer_Info]])-LEN(SUBSTITUTE(OrdersRawTable9[[#This Row],[Customer_Info]],",",""))</f>
        <v>2</v>
      </c>
      <c r="J503" s="10" t="s">
        <v>83</v>
      </c>
      <c r="K503" s="23">
        <v>2</v>
      </c>
      <c r="L503" s="26">
        <v>115.28</v>
      </c>
      <c r="M503" s="29">
        <v>0.15</v>
      </c>
      <c r="N503" s="10" t="s">
        <v>40</v>
      </c>
      <c r="O503" s="10" t="str">
        <f>IF(TRIM(OrdersRawTable9[[#This Row],[Sales_Channel_Raw]])="Market place","Marketplace",TRIM(OrdersRawTable9[[#This Row],[Sales_Channel_Raw]]))</f>
        <v>Online</v>
      </c>
      <c r="P503" s="10"/>
      <c r="Q503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503" s="15" t="s">
        <v>52</v>
      </c>
      <c r="S503" t="str">
        <f>VLOOKUP(OrdersRawTable9[[#This Row],[Customer_ID_Raw]],CustomersTable11[],4,FALSE)</f>
        <v>Quebec</v>
      </c>
      <c r="T503" t="str">
        <f>VLOOKUP(OrdersRawTable9[[#This Row],[Customer_ID_Raw]],CustomersTable11[],5,FALSE)</f>
        <v>Small Business</v>
      </c>
      <c r="U503" s="45">
        <f>VLOOKUP(OrdersRawTable9[[#This Row],[Product_ID]],ProductsTable10[],4,FALSE)</f>
        <v>61.65</v>
      </c>
      <c r="V503" t="str">
        <f>VLOOKUP(OrdersRawTable9[[#This Row],[Product_ID]],ProductsTable10[],3,FALSE)</f>
        <v>Office</v>
      </c>
      <c r="W503" s="45">
        <f>OrdersRawTable9[[#This Row],[Unit_Price]]*OrdersRawTable9[[#This Row],[Quantity]]</f>
        <v>230.56</v>
      </c>
      <c r="X503" s="47">
        <f>OrdersRawTable9[[#This Row],[Gross_Sales]]*OrdersRawTable9[[#This Row],[Discount_Pct]]</f>
        <v>34.583999999999996</v>
      </c>
      <c r="Y503" s="45">
        <f>OrdersRawTable9[[#This Row],[Gross_Sales]]-OrdersRawTable9[[#This Row],[Discount_Amount]]</f>
        <v>195.976</v>
      </c>
      <c r="Z503" s="45">
        <f>OrdersRawTable9[[#This Row],[Unit_Cost]]*OrdersRawTable9[[#This Row],[Quantity]]</f>
        <v>123.3</v>
      </c>
      <c r="AA503" s="45">
        <f>OrdersRawTable9[[#This Row],[Net_Sales]]-OrdersRawTable9[[#This Row],[Total_Cost]]</f>
        <v>72.676000000000002</v>
      </c>
      <c r="AB503" s="48">
        <f>IF(OrdersRawTable9[[#This Row],[Net_Sales]]=0,0,OrdersRawTable9[[#This Row],[Profit]]/OrdersRawTable9[[#This Row],[Net_Sales]])</f>
        <v>0.37084132750949095</v>
      </c>
      <c r="AC503" s="45" t="str">
        <f>IF(COUNTIF(ReturnsRawTable[Order_Line_ID],OrdersRawTable9[[#This Row],[Order_Line_ID]])&gt;0,"Yes","No")</f>
        <v>Yes</v>
      </c>
      <c r="AD503" s="45" t="str">
        <f>IFERROR(VLOOKUP(OrdersRawTable9[[#This Row],[Order_Line_ID]],ReturnsRawTable[[#All],[Order_Line_ID]:[Return_Reason_Raw]],3,FALSE),"")</f>
        <v>Not as Described</v>
      </c>
      <c r="AE503" s="49">
        <f>IFERROR(VLOOKUP(OrdersRawTable9[[#This Row],[Order_Line_ID]],ReturnsRawTable[[#All],[Order_Line_ID]:[Return_Date]],2,FALSE),"")</f>
        <v>45705</v>
      </c>
      <c r="AF503" s="45" t="str">
        <f>IFERROR(VLOOKUP(OrdersRawTable9[[#This Row],[Order_Line_ID]],ReturnsRawTable[[Order_Line_ID]:[Refund_Status]],4,FALSE),"")</f>
        <v>Pending</v>
      </c>
      <c r="AG503" s="45" t="str">
        <f>VLOOKUP(OrdersRawTable9[[#This Row],[Order_ID]],ShipmentsTable[],6,FALSE)</f>
        <v>On time</v>
      </c>
      <c r="AH503" s="49">
        <f>VLOOKUP(OrdersRawTable9[[#This Row],[Order_ID]],ShipmentsTable[],3,FALSE)</f>
        <v>45693</v>
      </c>
    </row>
    <row r="504" spans="1:34" ht="15" customHeight="1">
      <c r="A504" s="14" t="s">
        <v>1062</v>
      </c>
      <c r="B504" s="10" t="s">
        <v>1063</v>
      </c>
      <c r="C504" s="20">
        <v>45841</v>
      </c>
      <c r="D504" s="10" t="s">
        <v>738</v>
      </c>
      <c r="E504" s="10" t="s">
        <v>739</v>
      </c>
      <c r="F504" s="10" t="str">
        <f>TRIM(LEFT(OrdersRawTable9[[#This Row],[Customer_Info]],FIND(",",OrdersRawTable9[[#This Row],[Customer_Info]])-1))</f>
        <v>Yara Dubois</v>
      </c>
      <c r="G50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504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504" s="10">
        <f>LEN(OrdersRawTable9[[#This Row],[Customer_Info]])-LEN(SUBSTITUTE(OrdersRawTable9[[#This Row],[Customer_Info]],",",""))</f>
        <v>2</v>
      </c>
      <c r="J504" s="10" t="s">
        <v>201</v>
      </c>
      <c r="K504" s="23">
        <v>1</v>
      </c>
      <c r="L504" s="26">
        <v>154.47</v>
      </c>
      <c r="M504" s="29">
        <v>0</v>
      </c>
      <c r="N504" s="10" t="s">
        <v>66</v>
      </c>
      <c r="O504" s="10" t="str">
        <f>IF(TRIM(OrdersRawTable9[[#This Row],[Sales_Channel_Raw]])="Market place","Marketplace",TRIM(OrdersRawTable9[[#This Row],[Sales_Channel_Raw]]))</f>
        <v>Marketplace</v>
      </c>
      <c r="P504" s="10" t="s">
        <v>41</v>
      </c>
      <c r="Q504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04" s="15" t="s">
        <v>42</v>
      </c>
      <c r="S504" t="str">
        <f>VLOOKUP(OrdersRawTable9[[#This Row],[Customer_ID_Raw]],CustomersTable11[],4,FALSE)</f>
        <v>Alberta</v>
      </c>
      <c r="T504" t="str">
        <f>VLOOKUP(OrdersRawTable9[[#This Row],[Customer_ID_Raw]],CustomersTable11[],5,FALSE)</f>
        <v>Consumer</v>
      </c>
      <c r="U504" s="45">
        <f>VLOOKUP(OrdersRawTable9[[#This Row],[Product_ID]],ProductsTable10[],4,FALSE)</f>
        <v>102.57</v>
      </c>
      <c r="V504" t="str">
        <f>VLOOKUP(OrdersRawTable9[[#This Row],[Product_ID]],ProductsTable10[],3,FALSE)</f>
        <v>Fitness</v>
      </c>
      <c r="W504" s="45">
        <f>OrdersRawTable9[[#This Row],[Unit_Price]]*OrdersRawTable9[[#This Row],[Quantity]]</f>
        <v>154.47</v>
      </c>
      <c r="X504" s="47">
        <f>OrdersRawTable9[[#This Row],[Gross_Sales]]*OrdersRawTable9[[#This Row],[Discount_Pct]]</f>
        <v>0</v>
      </c>
      <c r="Y504" s="45">
        <f>OrdersRawTable9[[#This Row],[Gross_Sales]]-OrdersRawTable9[[#This Row],[Discount_Amount]]</f>
        <v>154.47</v>
      </c>
      <c r="Z504" s="45">
        <f>OrdersRawTable9[[#This Row],[Unit_Cost]]*OrdersRawTable9[[#This Row],[Quantity]]</f>
        <v>102.57</v>
      </c>
      <c r="AA504" s="45">
        <f>OrdersRawTable9[[#This Row],[Net_Sales]]-OrdersRawTable9[[#This Row],[Total_Cost]]</f>
        <v>51.900000000000006</v>
      </c>
      <c r="AB504" s="48">
        <f>IF(OrdersRawTable9[[#This Row],[Net_Sales]]=0,0,OrdersRawTable9[[#This Row],[Profit]]/OrdersRawTable9[[#This Row],[Net_Sales]])</f>
        <v>0.33598757040201988</v>
      </c>
      <c r="AC504" s="45" t="str">
        <f>IF(COUNTIF(ReturnsRawTable[Order_Line_ID],OrdersRawTable9[[#This Row],[Order_Line_ID]])&gt;0,"Yes","No")</f>
        <v>No</v>
      </c>
      <c r="AD504" s="45" t="str">
        <f>IFERROR(VLOOKUP(OrdersRawTable9[[#This Row],[Order_Line_ID]],ReturnsRawTable[[#All],[Order_Line_ID]:[Return_Reason_Raw]],3,FALSE),"")</f>
        <v/>
      </c>
      <c r="AE504" s="49" t="str">
        <f>IFERROR(VLOOKUP(OrdersRawTable9[[#This Row],[Order_Line_ID]],ReturnsRawTable[[#All],[Order_Line_ID]:[Return_Date]],2,FALSE),"")</f>
        <v/>
      </c>
      <c r="AF504" s="45" t="str">
        <f>IFERROR(VLOOKUP(OrdersRawTable9[[#This Row],[Order_Line_ID]],ReturnsRawTable[[Order_Line_ID]:[Refund_Status]],4,FALSE),"")</f>
        <v/>
      </c>
      <c r="AG504" s="45" t="str">
        <f>VLOOKUP(OrdersRawTable9[[#This Row],[Order_ID]],ShipmentsTable[],6,FALSE)</f>
        <v>Late</v>
      </c>
      <c r="AH504" s="49">
        <f>VLOOKUP(OrdersRawTable9[[#This Row],[Order_ID]],ShipmentsTable[],3,FALSE)</f>
        <v>45846</v>
      </c>
    </row>
    <row r="505" spans="1:34" ht="15" customHeight="1">
      <c r="A505" s="14" t="s">
        <v>1064</v>
      </c>
      <c r="B505" s="10" t="s">
        <v>1063</v>
      </c>
      <c r="C505" s="20">
        <v>45841</v>
      </c>
      <c r="D505" s="10" t="s">
        <v>738</v>
      </c>
      <c r="E505" s="10" t="s">
        <v>739</v>
      </c>
      <c r="F505" s="10" t="str">
        <f>TRIM(LEFT(OrdersRawTable9[[#This Row],[Customer_Info]],FIND(",",OrdersRawTable9[[#This Row],[Customer_Info]])-1))</f>
        <v>Yara Dubois</v>
      </c>
      <c r="G50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505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505" s="10">
        <f>LEN(OrdersRawTable9[[#This Row],[Customer_Info]])-LEN(SUBSTITUTE(OrdersRawTable9[[#This Row],[Customer_Info]],",",""))</f>
        <v>2</v>
      </c>
      <c r="J505" s="10" t="s">
        <v>136</v>
      </c>
      <c r="K505" s="23">
        <v>4</v>
      </c>
      <c r="L505" s="26">
        <v>141.46</v>
      </c>
      <c r="M505" s="29">
        <v>0</v>
      </c>
      <c r="N505" s="10" t="s">
        <v>66</v>
      </c>
      <c r="O505" s="10" t="str">
        <f>IF(TRIM(OrdersRawTable9[[#This Row],[Sales_Channel_Raw]])="Market place","Marketplace",TRIM(OrdersRawTable9[[#This Row],[Sales_Channel_Raw]]))</f>
        <v>Marketplace</v>
      </c>
      <c r="P505" s="10" t="s">
        <v>51</v>
      </c>
      <c r="Q505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505" s="15" t="s">
        <v>67</v>
      </c>
      <c r="S505" t="str">
        <f>VLOOKUP(OrdersRawTable9[[#This Row],[Customer_ID_Raw]],CustomersTable11[],4,FALSE)</f>
        <v>Alberta</v>
      </c>
      <c r="T505" t="str">
        <f>VLOOKUP(OrdersRawTable9[[#This Row],[Customer_ID_Raw]],CustomersTable11[],5,FALSE)</f>
        <v>Consumer</v>
      </c>
      <c r="U505" s="45">
        <f>VLOOKUP(OrdersRawTable9[[#This Row],[Product_ID]],ProductsTable10[],4,FALSE)</f>
        <v>78.650000000000006</v>
      </c>
      <c r="V505" t="str">
        <f>VLOOKUP(OrdersRawTable9[[#This Row],[Product_ID]],ProductsTable10[],3,FALSE)</f>
        <v>Fitness</v>
      </c>
      <c r="W505" s="45">
        <f>OrdersRawTable9[[#This Row],[Unit_Price]]*OrdersRawTable9[[#This Row],[Quantity]]</f>
        <v>565.84</v>
      </c>
      <c r="X505" s="47">
        <f>OrdersRawTable9[[#This Row],[Gross_Sales]]*OrdersRawTable9[[#This Row],[Discount_Pct]]</f>
        <v>0</v>
      </c>
      <c r="Y505" s="45">
        <f>OrdersRawTable9[[#This Row],[Gross_Sales]]-OrdersRawTable9[[#This Row],[Discount_Amount]]</f>
        <v>565.84</v>
      </c>
      <c r="Z505" s="45">
        <f>OrdersRawTable9[[#This Row],[Unit_Cost]]*OrdersRawTable9[[#This Row],[Quantity]]</f>
        <v>314.60000000000002</v>
      </c>
      <c r="AA505" s="45">
        <f>OrdersRawTable9[[#This Row],[Net_Sales]]-OrdersRawTable9[[#This Row],[Total_Cost]]</f>
        <v>251.24</v>
      </c>
      <c r="AB505" s="48">
        <f>IF(OrdersRawTable9[[#This Row],[Net_Sales]]=0,0,OrdersRawTable9[[#This Row],[Profit]]/OrdersRawTable9[[#This Row],[Net_Sales]])</f>
        <v>0.44401244167962672</v>
      </c>
      <c r="AC505" s="45" t="str">
        <f>IF(COUNTIF(ReturnsRawTable[Order_Line_ID],OrdersRawTable9[[#This Row],[Order_Line_ID]])&gt;0,"Yes","No")</f>
        <v>No</v>
      </c>
      <c r="AD505" s="45" t="str">
        <f>IFERROR(VLOOKUP(OrdersRawTable9[[#This Row],[Order_Line_ID]],ReturnsRawTable[[#All],[Order_Line_ID]:[Return_Reason_Raw]],3,FALSE),"")</f>
        <v/>
      </c>
      <c r="AE505" s="49" t="str">
        <f>IFERROR(VLOOKUP(OrdersRawTable9[[#This Row],[Order_Line_ID]],ReturnsRawTable[[#All],[Order_Line_ID]:[Return_Date]],2,FALSE),"")</f>
        <v/>
      </c>
      <c r="AF505" s="45" t="str">
        <f>IFERROR(VLOOKUP(OrdersRawTable9[[#This Row],[Order_Line_ID]],ReturnsRawTable[[Order_Line_ID]:[Refund_Status]],4,FALSE),"")</f>
        <v/>
      </c>
      <c r="AG505" s="45" t="str">
        <f>VLOOKUP(OrdersRawTable9[[#This Row],[Order_ID]],ShipmentsTable[],6,FALSE)</f>
        <v>Late</v>
      </c>
      <c r="AH505" s="49">
        <f>VLOOKUP(OrdersRawTable9[[#This Row],[Order_ID]],ShipmentsTable[],3,FALSE)</f>
        <v>45846</v>
      </c>
    </row>
    <row r="506" spans="1:34" ht="15" customHeight="1">
      <c r="A506" s="14" t="s">
        <v>1065</v>
      </c>
      <c r="B506" s="10" t="s">
        <v>1063</v>
      </c>
      <c r="C506" s="20">
        <v>45841</v>
      </c>
      <c r="D506" s="10" t="s">
        <v>738</v>
      </c>
      <c r="E506" s="10" t="s">
        <v>739</v>
      </c>
      <c r="F506" s="10" t="str">
        <f>TRIM(LEFT(OrdersRawTable9[[#This Row],[Customer_Info]],FIND(",",OrdersRawTable9[[#This Row],[Customer_Info]])-1))</f>
        <v>Yara Dubois</v>
      </c>
      <c r="G50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506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506" s="10">
        <f>LEN(OrdersRawTable9[[#This Row],[Customer_Info]])-LEN(SUBSTITUTE(OrdersRawTable9[[#This Row],[Customer_Info]],",",""))</f>
        <v>2</v>
      </c>
      <c r="J506" s="10" t="s">
        <v>112</v>
      </c>
      <c r="K506" s="23">
        <v>4</v>
      </c>
      <c r="L506" s="26">
        <v>88.61</v>
      </c>
      <c r="M506" s="29">
        <v>0.05</v>
      </c>
      <c r="N506" s="10" t="s">
        <v>70</v>
      </c>
      <c r="O506" s="10" t="str">
        <f>IF(TRIM(OrdersRawTable9[[#This Row],[Sales_Channel_Raw]])="Market place","Marketplace",TRIM(OrdersRawTable9[[#This Row],[Sales_Channel_Raw]]))</f>
        <v>online</v>
      </c>
      <c r="P506" s="10" t="s">
        <v>46</v>
      </c>
      <c r="Q506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06" s="15" t="s">
        <v>101</v>
      </c>
      <c r="S506" t="str">
        <f>VLOOKUP(OrdersRawTable9[[#This Row],[Customer_ID_Raw]],CustomersTable11[],4,FALSE)</f>
        <v>Alberta</v>
      </c>
      <c r="T506" t="str">
        <f>VLOOKUP(OrdersRawTable9[[#This Row],[Customer_ID_Raw]],CustomersTable11[],5,FALSE)</f>
        <v>Consumer</v>
      </c>
      <c r="U506" s="45">
        <f>VLOOKUP(OrdersRawTable9[[#This Row],[Product_ID]],ProductsTable10[],4,FALSE)</f>
        <v>49.75</v>
      </c>
      <c r="V506" t="str">
        <f>VLOOKUP(OrdersRawTable9[[#This Row],[Product_ID]],ProductsTable10[],3,FALSE)</f>
        <v>Electronics</v>
      </c>
      <c r="W506" s="45">
        <f>OrdersRawTable9[[#This Row],[Unit_Price]]*OrdersRawTable9[[#This Row],[Quantity]]</f>
        <v>354.44</v>
      </c>
      <c r="X506" s="47">
        <f>OrdersRawTable9[[#This Row],[Gross_Sales]]*OrdersRawTable9[[#This Row],[Discount_Pct]]</f>
        <v>17.722000000000001</v>
      </c>
      <c r="Y506" s="45">
        <f>OrdersRawTable9[[#This Row],[Gross_Sales]]-OrdersRawTable9[[#This Row],[Discount_Amount]]</f>
        <v>336.71800000000002</v>
      </c>
      <c r="Z506" s="45">
        <f>OrdersRawTable9[[#This Row],[Unit_Cost]]*OrdersRawTable9[[#This Row],[Quantity]]</f>
        <v>199</v>
      </c>
      <c r="AA506" s="45">
        <f>OrdersRawTable9[[#This Row],[Net_Sales]]-OrdersRawTable9[[#This Row],[Total_Cost]]</f>
        <v>137.71800000000002</v>
      </c>
      <c r="AB506" s="48">
        <f>IF(OrdersRawTable9[[#This Row],[Net_Sales]]=0,0,OrdersRawTable9[[#This Row],[Profit]]/OrdersRawTable9[[#This Row],[Net_Sales]])</f>
        <v>0.40900100380734028</v>
      </c>
      <c r="AC506" s="45" t="str">
        <f>IF(COUNTIF(ReturnsRawTable[Order_Line_ID],OrdersRawTable9[[#This Row],[Order_Line_ID]])&gt;0,"Yes","No")</f>
        <v>No</v>
      </c>
      <c r="AD506" s="45" t="str">
        <f>IFERROR(VLOOKUP(OrdersRawTable9[[#This Row],[Order_Line_ID]],ReturnsRawTable[[#All],[Order_Line_ID]:[Return_Reason_Raw]],3,FALSE),"")</f>
        <v/>
      </c>
      <c r="AE506" s="49" t="str">
        <f>IFERROR(VLOOKUP(OrdersRawTable9[[#This Row],[Order_Line_ID]],ReturnsRawTable[[#All],[Order_Line_ID]:[Return_Date]],2,FALSE),"")</f>
        <v/>
      </c>
      <c r="AF506" s="45" t="str">
        <f>IFERROR(VLOOKUP(OrdersRawTable9[[#This Row],[Order_Line_ID]],ReturnsRawTable[[Order_Line_ID]:[Refund_Status]],4,FALSE),"")</f>
        <v/>
      </c>
      <c r="AG506" s="45" t="str">
        <f>VLOOKUP(OrdersRawTable9[[#This Row],[Order_ID]],ShipmentsTable[],6,FALSE)</f>
        <v>Late</v>
      </c>
      <c r="AH506" s="49">
        <f>VLOOKUP(OrdersRawTable9[[#This Row],[Order_ID]],ShipmentsTable[],3,FALSE)</f>
        <v>45846</v>
      </c>
    </row>
    <row r="507" spans="1:34" ht="15" customHeight="1">
      <c r="A507" s="14" t="s">
        <v>1066</v>
      </c>
      <c r="B507" s="10" t="s">
        <v>1067</v>
      </c>
      <c r="C507" s="20">
        <v>45747.041666666664</v>
      </c>
      <c r="D507" s="10" t="s">
        <v>621</v>
      </c>
      <c r="E507" s="10" t="s">
        <v>622</v>
      </c>
      <c r="F507" s="10" t="str">
        <f>TRIM(LEFT(OrdersRawTable9[[#This Row],[Customer_Info]],FIND(",",OrdersRawTable9[[#This Row],[Customer_Info]])-1))</f>
        <v>Sofia Gagnon</v>
      </c>
      <c r="G50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507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507" s="10">
        <f>LEN(OrdersRawTable9[[#This Row],[Customer_Info]])-LEN(SUBSTITUTE(OrdersRawTable9[[#This Row],[Customer_Info]],",",""))</f>
        <v>2</v>
      </c>
      <c r="J507" s="10" t="s">
        <v>270</v>
      </c>
      <c r="K507" s="23">
        <v>4</v>
      </c>
      <c r="L507" s="26">
        <v>214.38</v>
      </c>
      <c r="M507" s="29">
        <v>0.05</v>
      </c>
      <c r="N507" s="10" t="s">
        <v>64</v>
      </c>
      <c r="O507" s="10" t="str">
        <f>IF(TRIM(OrdersRawTable9[[#This Row],[Sales_Channel_Raw]])="Market place","Marketplace",TRIM(OrdersRawTable9[[#This Row],[Sales_Channel_Raw]]))</f>
        <v>Retail Store</v>
      </c>
      <c r="P507" s="10" t="s">
        <v>51</v>
      </c>
      <c r="Q507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507" s="15" t="s">
        <v>52</v>
      </c>
      <c r="S507" t="str">
        <f>VLOOKUP(OrdersRawTable9[[#This Row],[Customer_ID_Raw]],CustomersTable11[],4,FALSE)</f>
        <v>Quebec</v>
      </c>
      <c r="T507" t="str">
        <f>VLOOKUP(OrdersRawTable9[[#This Row],[Customer_ID_Raw]],CustomersTable11[],5,FALSE)</f>
        <v>Corporate</v>
      </c>
      <c r="U507" s="45">
        <f>VLOOKUP(OrdersRawTable9[[#This Row],[Product_ID]],ProductsTable10[],4,FALSE)</f>
        <v>131.51</v>
      </c>
      <c r="V507" t="str">
        <f>VLOOKUP(OrdersRawTable9[[#This Row],[Product_ID]],ProductsTable10[],3,FALSE)</f>
        <v>Fitness</v>
      </c>
      <c r="W507" s="45">
        <f>OrdersRawTable9[[#This Row],[Unit_Price]]*OrdersRawTable9[[#This Row],[Quantity]]</f>
        <v>857.52</v>
      </c>
      <c r="X507" s="47">
        <f>OrdersRawTable9[[#This Row],[Gross_Sales]]*OrdersRawTable9[[#This Row],[Discount_Pct]]</f>
        <v>42.876000000000005</v>
      </c>
      <c r="Y507" s="45">
        <f>OrdersRawTable9[[#This Row],[Gross_Sales]]-OrdersRawTable9[[#This Row],[Discount_Amount]]</f>
        <v>814.64400000000001</v>
      </c>
      <c r="Z507" s="45">
        <f>OrdersRawTable9[[#This Row],[Unit_Cost]]*OrdersRawTable9[[#This Row],[Quantity]]</f>
        <v>526.04</v>
      </c>
      <c r="AA507" s="45">
        <f>OrdersRawTable9[[#This Row],[Net_Sales]]-OrdersRawTable9[[#This Row],[Total_Cost]]</f>
        <v>288.60400000000004</v>
      </c>
      <c r="AB507" s="48">
        <f>IF(OrdersRawTable9[[#This Row],[Net_Sales]]=0,0,OrdersRawTable9[[#This Row],[Profit]]/OrdersRawTable9[[#This Row],[Net_Sales]])</f>
        <v>0.35427008607440802</v>
      </c>
      <c r="AC507" s="45" t="str">
        <f>IF(COUNTIF(ReturnsRawTable[Order_Line_ID],OrdersRawTable9[[#This Row],[Order_Line_ID]])&gt;0,"Yes","No")</f>
        <v>Yes</v>
      </c>
      <c r="AD507" s="45" t="str">
        <f>IFERROR(VLOOKUP(OrdersRawTable9[[#This Row],[Order_Line_ID]],ReturnsRawTable[[#All],[Order_Line_ID]:[Return_Reason_Raw]],3,FALSE),"")</f>
        <v>Not as Described</v>
      </c>
      <c r="AE507" s="49">
        <f>IFERROR(VLOOKUP(OrdersRawTable9[[#This Row],[Order_Line_ID]],ReturnsRawTable[[#All],[Order_Line_ID]:[Return_Date]],2,FALSE),"")</f>
        <v>45769</v>
      </c>
      <c r="AF507" s="45" t="str">
        <f>IFERROR(VLOOKUP(OrdersRawTable9[[#This Row],[Order_Line_ID]],ReturnsRawTable[[Order_Line_ID]:[Refund_Status]],4,FALSE),"")</f>
        <v>Pending</v>
      </c>
      <c r="AG507" s="45" t="str">
        <f>VLOOKUP(OrdersRawTable9[[#This Row],[Order_ID]],ShipmentsTable[],6,FALSE)</f>
        <v>Late</v>
      </c>
      <c r="AH507" s="49">
        <f>VLOOKUP(OrdersRawTable9[[#This Row],[Order_ID]],ShipmentsTable[],3,FALSE)</f>
        <v>45754</v>
      </c>
    </row>
    <row r="508" spans="1:34" ht="15" customHeight="1">
      <c r="A508" s="14" t="s">
        <v>1068</v>
      </c>
      <c r="B508" s="10" t="s">
        <v>1067</v>
      </c>
      <c r="C508" s="20">
        <v>45747.041666666664</v>
      </c>
      <c r="D508" s="10" t="s">
        <v>621</v>
      </c>
      <c r="E508" s="10" t="s">
        <v>622</v>
      </c>
      <c r="F508" s="10" t="str">
        <f>TRIM(LEFT(OrdersRawTable9[[#This Row],[Customer_Info]],FIND(",",OrdersRawTable9[[#This Row],[Customer_Info]])-1))</f>
        <v>Sofia Gagnon</v>
      </c>
      <c r="G50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508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508" s="10">
        <f>LEN(OrdersRawTable9[[#This Row],[Customer_Info]])-LEN(SUBSTITUTE(OrdersRawTable9[[#This Row],[Customer_Info]],",",""))</f>
        <v>2</v>
      </c>
      <c r="J508" s="10" t="s">
        <v>316</v>
      </c>
      <c r="K508" s="23">
        <v>3</v>
      </c>
      <c r="L508" s="26">
        <v>180.37</v>
      </c>
      <c r="M508" s="29">
        <v>0.05</v>
      </c>
      <c r="N508" s="10" t="s">
        <v>70</v>
      </c>
      <c r="O508" s="10" t="str">
        <f>IF(TRIM(OrdersRawTable9[[#This Row],[Sales_Channel_Raw]])="Market place","Marketplace",TRIM(OrdersRawTable9[[#This Row],[Sales_Channel_Raw]]))</f>
        <v>online</v>
      </c>
      <c r="P508" s="10" t="s">
        <v>41</v>
      </c>
      <c r="Q508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08" s="15" t="s">
        <v>52</v>
      </c>
      <c r="S508" t="str">
        <f>VLOOKUP(OrdersRawTable9[[#This Row],[Customer_ID_Raw]],CustomersTable11[],4,FALSE)</f>
        <v>Quebec</v>
      </c>
      <c r="T508" t="str">
        <f>VLOOKUP(OrdersRawTable9[[#This Row],[Customer_ID_Raw]],CustomersTable11[],5,FALSE)</f>
        <v>Corporate</v>
      </c>
      <c r="U508" s="45">
        <f>VLOOKUP(OrdersRawTable9[[#This Row],[Product_ID]],ProductsTable10[],4,FALSE)</f>
        <v>107.55</v>
      </c>
      <c r="V508" t="str">
        <f>VLOOKUP(OrdersRawTable9[[#This Row],[Product_ID]],ProductsTable10[],3,FALSE)</f>
        <v>Accessories</v>
      </c>
      <c r="W508" s="45">
        <f>OrdersRawTable9[[#This Row],[Unit_Price]]*OrdersRawTable9[[#This Row],[Quantity]]</f>
        <v>541.11</v>
      </c>
      <c r="X508" s="47">
        <f>OrdersRawTable9[[#This Row],[Gross_Sales]]*OrdersRawTable9[[#This Row],[Discount_Pct]]</f>
        <v>27.055500000000002</v>
      </c>
      <c r="Y508" s="45">
        <f>OrdersRawTable9[[#This Row],[Gross_Sales]]-OrdersRawTable9[[#This Row],[Discount_Amount]]</f>
        <v>514.05449999999996</v>
      </c>
      <c r="Z508" s="45">
        <f>OrdersRawTable9[[#This Row],[Unit_Cost]]*OrdersRawTable9[[#This Row],[Quantity]]</f>
        <v>322.64999999999998</v>
      </c>
      <c r="AA508" s="45">
        <f>OrdersRawTable9[[#This Row],[Net_Sales]]-OrdersRawTable9[[#This Row],[Total_Cost]]</f>
        <v>191.40449999999998</v>
      </c>
      <c r="AB508" s="48">
        <f>IF(OrdersRawTable9[[#This Row],[Net_Sales]]=0,0,OrdersRawTable9[[#This Row],[Profit]]/OrdersRawTable9[[#This Row],[Net_Sales]])</f>
        <v>0.37234281579093265</v>
      </c>
      <c r="AC508" s="45" t="str">
        <f>IF(COUNTIF(ReturnsRawTable[Order_Line_ID],OrdersRawTable9[[#This Row],[Order_Line_ID]])&gt;0,"Yes","No")</f>
        <v>No</v>
      </c>
      <c r="AD508" s="45" t="str">
        <f>IFERROR(VLOOKUP(OrdersRawTable9[[#This Row],[Order_Line_ID]],ReturnsRawTable[[#All],[Order_Line_ID]:[Return_Reason_Raw]],3,FALSE),"")</f>
        <v/>
      </c>
      <c r="AE508" s="49" t="str">
        <f>IFERROR(VLOOKUP(OrdersRawTable9[[#This Row],[Order_Line_ID]],ReturnsRawTable[[#All],[Order_Line_ID]:[Return_Date]],2,FALSE),"")</f>
        <v/>
      </c>
      <c r="AF508" s="45" t="str">
        <f>IFERROR(VLOOKUP(OrdersRawTable9[[#This Row],[Order_Line_ID]],ReturnsRawTable[[Order_Line_ID]:[Refund_Status]],4,FALSE),"")</f>
        <v/>
      </c>
      <c r="AG508" s="45" t="str">
        <f>VLOOKUP(OrdersRawTable9[[#This Row],[Order_ID]],ShipmentsTable[],6,FALSE)</f>
        <v>Late</v>
      </c>
      <c r="AH508" s="49">
        <f>VLOOKUP(OrdersRawTable9[[#This Row],[Order_ID]],ShipmentsTable[],3,FALSE)</f>
        <v>45754</v>
      </c>
    </row>
    <row r="509" spans="1:34" ht="15" customHeight="1">
      <c r="A509" s="14" t="s">
        <v>1069</v>
      </c>
      <c r="B509" s="10" t="s">
        <v>1070</v>
      </c>
      <c r="C509" s="20">
        <v>45838</v>
      </c>
      <c r="D509" s="10" t="s">
        <v>697</v>
      </c>
      <c r="E509" s="10" t="s">
        <v>695</v>
      </c>
      <c r="F509" s="10" t="str">
        <f>TRIM(LEFT(OrdersRawTable9[[#This Row],[Customer_Info]],FIND(",",OrdersRawTable9[[#This Row],[Customer_Info]])-1))</f>
        <v>Adam Brown</v>
      </c>
      <c r="G50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509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09" s="10">
        <f>LEN(OrdersRawTable9[[#This Row],[Customer_Info]])-LEN(SUBSTITUTE(OrdersRawTable9[[#This Row],[Customer_Info]],",",""))</f>
        <v>2</v>
      </c>
      <c r="J509" s="10" t="s">
        <v>80</v>
      </c>
      <c r="K509" s="23">
        <v>3</v>
      </c>
      <c r="L509" s="26">
        <v>142.16</v>
      </c>
      <c r="M509" s="29">
        <v>0</v>
      </c>
      <c r="N509" s="10" t="s">
        <v>64</v>
      </c>
      <c r="O509" s="10" t="str">
        <f>IF(TRIM(OrdersRawTable9[[#This Row],[Sales_Channel_Raw]])="Market place","Marketplace",TRIM(OrdersRawTable9[[#This Row],[Sales_Channel_Raw]]))</f>
        <v>Retail Store</v>
      </c>
      <c r="P509" s="10" t="s">
        <v>46</v>
      </c>
      <c r="Q509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09" s="15" t="s">
        <v>101</v>
      </c>
      <c r="S509" t="str">
        <f>VLOOKUP(OrdersRawTable9[[#This Row],[Customer_ID_Raw]],CustomersTable11[],4,FALSE)</f>
        <v>Quebec</v>
      </c>
      <c r="T509" t="str">
        <f>VLOOKUP(OrdersRawTable9[[#This Row],[Customer_ID_Raw]],CustomersTable11[],5,FALSE)</f>
        <v>Small Business</v>
      </c>
      <c r="U509" s="45">
        <f>VLOOKUP(OrdersRawTable9[[#This Row],[Product_ID]],ProductsTable10[],4,FALSE)</f>
        <v>85.34</v>
      </c>
      <c r="V509" t="str">
        <f>VLOOKUP(OrdersRawTable9[[#This Row],[Product_ID]],ProductsTable10[],3,FALSE)</f>
        <v>Home</v>
      </c>
      <c r="W509" s="45">
        <f>OrdersRawTable9[[#This Row],[Unit_Price]]*OrdersRawTable9[[#This Row],[Quantity]]</f>
        <v>426.48</v>
      </c>
      <c r="X509" s="47">
        <f>OrdersRawTable9[[#This Row],[Gross_Sales]]*OrdersRawTable9[[#This Row],[Discount_Pct]]</f>
        <v>0</v>
      </c>
      <c r="Y509" s="45">
        <f>OrdersRawTable9[[#This Row],[Gross_Sales]]-OrdersRawTable9[[#This Row],[Discount_Amount]]</f>
        <v>426.48</v>
      </c>
      <c r="Z509" s="45">
        <f>OrdersRawTable9[[#This Row],[Unit_Cost]]*OrdersRawTable9[[#This Row],[Quantity]]</f>
        <v>256.02</v>
      </c>
      <c r="AA509" s="45">
        <f>OrdersRawTable9[[#This Row],[Net_Sales]]-OrdersRawTable9[[#This Row],[Total_Cost]]</f>
        <v>170.46000000000004</v>
      </c>
      <c r="AB509" s="48">
        <f>IF(OrdersRawTable9[[#This Row],[Net_Sales]]=0,0,OrdersRawTable9[[#This Row],[Profit]]/OrdersRawTable9[[#This Row],[Net_Sales]])</f>
        <v>0.39969048958919534</v>
      </c>
      <c r="AC509" s="45" t="str">
        <f>IF(COUNTIF(ReturnsRawTable[Order_Line_ID],OrdersRawTable9[[#This Row],[Order_Line_ID]])&gt;0,"Yes","No")</f>
        <v>No</v>
      </c>
      <c r="AD509" s="45" t="str">
        <f>IFERROR(VLOOKUP(OrdersRawTable9[[#This Row],[Order_Line_ID]],ReturnsRawTable[[#All],[Order_Line_ID]:[Return_Reason_Raw]],3,FALSE),"")</f>
        <v/>
      </c>
      <c r="AE509" s="49" t="str">
        <f>IFERROR(VLOOKUP(OrdersRawTable9[[#This Row],[Order_Line_ID]],ReturnsRawTable[[#All],[Order_Line_ID]:[Return_Date]],2,FALSE),"")</f>
        <v/>
      </c>
      <c r="AF509" s="45" t="str">
        <f>IFERROR(VLOOKUP(OrdersRawTable9[[#This Row],[Order_Line_ID]],ReturnsRawTable[[Order_Line_ID]:[Refund_Status]],4,FALSE),"")</f>
        <v/>
      </c>
      <c r="AG509" s="45" t="str">
        <f>VLOOKUP(OrdersRawTable9[[#This Row],[Order_ID]],ShipmentsTable[],6,FALSE)</f>
        <v>Late</v>
      </c>
      <c r="AH509" s="49">
        <f>VLOOKUP(OrdersRawTable9[[#This Row],[Order_ID]],ShipmentsTable[],3,FALSE)</f>
        <v>45847</v>
      </c>
    </row>
    <row r="510" spans="1:34" ht="15" customHeight="1">
      <c r="A510" s="14" t="s">
        <v>1071</v>
      </c>
      <c r="B510" s="10" t="s">
        <v>1070</v>
      </c>
      <c r="C510" s="20">
        <v>45838</v>
      </c>
      <c r="D510" s="10" t="s">
        <v>697</v>
      </c>
      <c r="E510" s="10" t="s">
        <v>695</v>
      </c>
      <c r="F510" s="10" t="str">
        <f>TRIM(LEFT(OrdersRawTable9[[#This Row],[Customer_Info]],FIND(",",OrdersRawTable9[[#This Row],[Customer_Info]])-1))</f>
        <v>Adam Brown</v>
      </c>
      <c r="G51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510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10" s="10">
        <f>LEN(OrdersRawTable9[[#This Row],[Customer_Info]])-LEN(SUBSTITUTE(OrdersRawTable9[[#This Row],[Customer_Info]],",",""))</f>
        <v>2</v>
      </c>
      <c r="J510" s="10" t="s">
        <v>110</v>
      </c>
      <c r="K510" s="23">
        <v>4</v>
      </c>
      <c r="L510" s="26">
        <v>133.24</v>
      </c>
      <c r="M510" s="29">
        <v>0</v>
      </c>
      <c r="N510" s="10" t="s">
        <v>66</v>
      </c>
      <c r="O510" s="10" t="str">
        <f>IF(TRIM(OrdersRawTable9[[#This Row],[Sales_Channel_Raw]])="Market place","Marketplace",TRIM(OrdersRawTable9[[#This Row],[Sales_Channel_Raw]]))</f>
        <v>Marketplace</v>
      </c>
      <c r="P510" s="10" t="s">
        <v>51</v>
      </c>
      <c r="Q510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510" s="15" t="s">
        <v>42</v>
      </c>
      <c r="S510" t="str">
        <f>VLOOKUP(OrdersRawTable9[[#This Row],[Customer_ID_Raw]],CustomersTable11[],4,FALSE)</f>
        <v>Quebec</v>
      </c>
      <c r="T510" t="str">
        <f>VLOOKUP(OrdersRawTable9[[#This Row],[Customer_ID_Raw]],CustomersTable11[],5,FALSE)</f>
        <v>Small Business</v>
      </c>
      <c r="U510" s="45">
        <f>VLOOKUP(OrdersRawTable9[[#This Row],[Product_ID]],ProductsTable10[],4,FALSE)</f>
        <v>77.540000000000006</v>
      </c>
      <c r="V510" t="str">
        <f>VLOOKUP(OrdersRawTable9[[#This Row],[Product_ID]],ProductsTable10[],3,FALSE)</f>
        <v>Electronics</v>
      </c>
      <c r="W510" s="45">
        <f>OrdersRawTable9[[#This Row],[Unit_Price]]*OrdersRawTable9[[#This Row],[Quantity]]</f>
        <v>532.96</v>
      </c>
      <c r="X510" s="47">
        <f>OrdersRawTable9[[#This Row],[Gross_Sales]]*OrdersRawTable9[[#This Row],[Discount_Pct]]</f>
        <v>0</v>
      </c>
      <c r="Y510" s="45">
        <f>OrdersRawTable9[[#This Row],[Gross_Sales]]-OrdersRawTable9[[#This Row],[Discount_Amount]]</f>
        <v>532.96</v>
      </c>
      <c r="Z510" s="45">
        <f>OrdersRawTable9[[#This Row],[Unit_Cost]]*OrdersRawTable9[[#This Row],[Quantity]]</f>
        <v>310.16000000000003</v>
      </c>
      <c r="AA510" s="45">
        <f>OrdersRawTable9[[#This Row],[Net_Sales]]-OrdersRawTable9[[#This Row],[Total_Cost]]</f>
        <v>222.8</v>
      </c>
      <c r="AB510" s="48">
        <f>IF(OrdersRawTable9[[#This Row],[Net_Sales]]=0,0,OrdersRawTable9[[#This Row],[Profit]]/OrdersRawTable9[[#This Row],[Net_Sales]])</f>
        <v>0.41804262984088864</v>
      </c>
      <c r="AC510" s="45" t="str">
        <f>IF(COUNTIF(ReturnsRawTable[Order_Line_ID],OrdersRawTable9[[#This Row],[Order_Line_ID]])&gt;0,"Yes","No")</f>
        <v>No</v>
      </c>
      <c r="AD510" s="45" t="str">
        <f>IFERROR(VLOOKUP(OrdersRawTable9[[#This Row],[Order_Line_ID]],ReturnsRawTable[[#All],[Order_Line_ID]:[Return_Reason_Raw]],3,FALSE),"")</f>
        <v/>
      </c>
      <c r="AE510" s="49" t="str">
        <f>IFERROR(VLOOKUP(OrdersRawTable9[[#This Row],[Order_Line_ID]],ReturnsRawTable[[#All],[Order_Line_ID]:[Return_Date]],2,FALSE),"")</f>
        <v/>
      </c>
      <c r="AF510" s="45" t="str">
        <f>IFERROR(VLOOKUP(OrdersRawTable9[[#This Row],[Order_Line_ID]],ReturnsRawTable[[Order_Line_ID]:[Refund_Status]],4,FALSE),"")</f>
        <v/>
      </c>
      <c r="AG510" s="45" t="str">
        <f>VLOOKUP(OrdersRawTable9[[#This Row],[Order_ID]],ShipmentsTable[],6,FALSE)</f>
        <v>Late</v>
      </c>
      <c r="AH510" s="49">
        <f>VLOOKUP(OrdersRawTable9[[#This Row],[Order_ID]],ShipmentsTable[],3,FALSE)</f>
        <v>45847</v>
      </c>
    </row>
    <row r="511" spans="1:34" ht="15" customHeight="1">
      <c r="A511" s="14" t="s">
        <v>1072</v>
      </c>
      <c r="B511" s="10" t="s">
        <v>1073</v>
      </c>
      <c r="C511" s="20">
        <v>45711</v>
      </c>
      <c r="D511" s="10" t="s">
        <v>582</v>
      </c>
      <c r="E511" s="10" t="s">
        <v>583</v>
      </c>
      <c r="F511" s="10" t="str">
        <f>TRIM(LEFT(OrdersRawTable9[[#This Row],[Customer_Info]],FIND(",",OrdersRawTable9[[#This Row],[Customer_Info]])-1))</f>
        <v>Daniel Ali</v>
      </c>
      <c r="G51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511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511" s="10">
        <f>LEN(OrdersRawTable9[[#This Row],[Customer_Info]])-LEN(SUBSTITUTE(OrdersRawTable9[[#This Row],[Customer_Info]],",",""))</f>
        <v>2</v>
      </c>
      <c r="J511" s="10" t="s">
        <v>108</v>
      </c>
      <c r="K511" s="23">
        <v>3</v>
      </c>
      <c r="L511" s="26">
        <v>33.369999999999997</v>
      </c>
      <c r="M511" s="29">
        <v>0.15</v>
      </c>
      <c r="N511" s="10" t="s">
        <v>45</v>
      </c>
      <c r="O511" s="10" t="str">
        <f>IF(TRIM(OrdersRawTable9[[#This Row],[Sales_Channel_Raw]])="Market place","Marketplace",TRIM(OrdersRawTable9[[#This Row],[Sales_Channel_Raw]]))</f>
        <v>Retail Store</v>
      </c>
      <c r="P511" s="10" t="s">
        <v>51</v>
      </c>
      <c r="Q511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511" s="15" t="s">
        <v>47</v>
      </c>
      <c r="S511" t="str">
        <f>VLOOKUP(OrdersRawTable9[[#This Row],[Customer_ID_Raw]],CustomersTable11[],4,FALSE)</f>
        <v>British Columbia</v>
      </c>
      <c r="T511" t="str">
        <f>VLOOKUP(OrdersRawTable9[[#This Row],[Customer_ID_Raw]],CustomersTable11[],5,FALSE)</f>
        <v>Consumer</v>
      </c>
      <c r="U511" s="45">
        <f>VLOOKUP(OrdersRawTable9[[#This Row],[Product_ID]],ProductsTable10[],4,FALSE)</f>
        <v>18.670000000000002</v>
      </c>
      <c r="V511" t="str">
        <f>VLOOKUP(OrdersRawTable9[[#This Row],[Product_ID]],ProductsTable10[],3,FALSE)</f>
        <v>Fitness</v>
      </c>
      <c r="W511" s="45">
        <f>OrdersRawTable9[[#This Row],[Unit_Price]]*OrdersRawTable9[[#This Row],[Quantity]]</f>
        <v>100.10999999999999</v>
      </c>
      <c r="X511" s="47">
        <f>OrdersRawTable9[[#This Row],[Gross_Sales]]*OrdersRawTable9[[#This Row],[Discount_Pct]]</f>
        <v>15.016499999999997</v>
      </c>
      <c r="Y511" s="45">
        <f>OrdersRawTable9[[#This Row],[Gross_Sales]]-OrdersRawTable9[[#This Row],[Discount_Amount]]</f>
        <v>85.093499999999992</v>
      </c>
      <c r="Z511" s="45">
        <f>OrdersRawTable9[[#This Row],[Unit_Cost]]*OrdersRawTable9[[#This Row],[Quantity]]</f>
        <v>56.010000000000005</v>
      </c>
      <c r="AA511" s="45">
        <f>OrdersRawTable9[[#This Row],[Net_Sales]]-OrdersRawTable9[[#This Row],[Total_Cost]]</f>
        <v>29.083499999999987</v>
      </c>
      <c r="AB511" s="48">
        <f>IF(OrdersRawTable9[[#This Row],[Net_Sales]]=0,0,OrdersRawTable9[[#This Row],[Profit]]/OrdersRawTable9[[#This Row],[Net_Sales]])</f>
        <v>0.34178286238079275</v>
      </c>
      <c r="AC511" s="45" t="str">
        <f>IF(COUNTIF(ReturnsRawTable[Order_Line_ID],OrdersRawTable9[[#This Row],[Order_Line_ID]])&gt;0,"Yes","No")</f>
        <v>No</v>
      </c>
      <c r="AD511" s="45" t="str">
        <f>IFERROR(VLOOKUP(OrdersRawTable9[[#This Row],[Order_Line_ID]],ReturnsRawTable[[#All],[Order_Line_ID]:[Return_Reason_Raw]],3,FALSE),"")</f>
        <v/>
      </c>
      <c r="AE511" s="49" t="str">
        <f>IFERROR(VLOOKUP(OrdersRawTable9[[#This Row],[Order_Line_ID]],ReturnsRawTable[[#All],[Order_Line_ID]:[Return_Date]],2,FALSE),"")</f>
        <v/>
      </c>
      <c r="AF511" s="45" t="str">
        <f>IFERROR(VLOOKUP(OrdersRawTable9[[#This Row],[Order_Line_ID]],ReturnsRawTable[[Order_Line_ID]:[Refund_Status]],4,FALSE),"")</f>
        <v/>
      </c>
      <c r="AG511" s="45" t="str">
        <f>VLOOKUP(OrdersRawTable9[[#This Row],[Order_ID]],ShipmentsTable[],6,FALSE)</f>
        <v>Late</v>
      </c>
      <c r="AH511" s="49">
        <f>VLOOKUP(OrdersRawTable9[[#This Row],[Order_ID]],ShipmentsTable[],3,FALSE)</f>
        <v>45719.041666666664</v>
      </c>
    </row>
    <row r="512" spans="1:34" ht="15" customHeight="1">
      <c r="A512" s="14" t="s">
        <v>1074</v>
      </c>
      <c r="B512" s="10" t="s">
        <v>1075</v>
      </c>
      <c r="C512" s="20">
        <v>45911</v>
      </c>
      <c r="D512" s="10" t="s">
        <v>866</v>
      </c>
      <c r="E512" s="10" t="s">
        <v>867</v>
      </c>
      <c r="F512" s="10" t="str">
        <f>TRIM(LEFT(OrdersRawTable9[[#This Row],[Customer_Info]],FIND(",",OrdersRawTable9[[#This Row],[Customer_Info]])-1))</f>
        <v>Maya Singh</v>
      </c>
      <c r="G51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512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12" s="10">
        <f>LEN(OrdersRawTable9[[#This Row],[Customer_Info]])-LEN(SUBSTITUTE(OrdersRawTable9[[#This Row],[Customer_Info]],",",""))</f>
        <v>2</v>
      </c>
      <c r="J512" s="10" t="s">
        <v>106</v>
      </c>
      <c r="K512" s="23">
        <v>3</v>
      </c>
      <c r="L512" s="26">
        <v>195.38</v>
      </c>
      <c r="M512" s="29">
        <v>0</v>
      </c>
      <c r="N512" s="10" t="s">
        <v>70</v>
      </c>
      <c r="O512" s="10" t="str">
        <f>IF(TRIM(OrdersRawTable9[[#This Row],[Sales_Channel_Raw]])="Market place","Marketplace",TRIM(OrdersRawTable9[[#This Row],[Sales_Channel_Raw]]))</f>
        <v>online</v>
      </c>
      <c r="P512" s="10" t="s">
        <v>46</v>
      </c>
      <c r="Q512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12" s="15" t="s">
        <v>67</v>
      </c>
      <c r="S512" t="str">
        <f>VLOOKUP(OrdersRawTable9[[#This Row],[Customer_ID_Raw]],CustomersTable11[],4,FALSE)</f>
        <v>Alberta</v>
      </c>
      <c r="T512" t="str">
        <f>VLOOKUP(OrdersRawTable9[[#This Row],[Customer_ID_Raw]],CustomersTable11[],5,FALSE)</f>
        <v>Small Business</v>
      </c>
      <c r="U512" s="45">
        <f>VLOOKUP(OrdersRawTable9[[#This Row],[Product_ID]],ProductsTable10[],4,FALSE)</f>
        <v>114.29</v>
      </c>
      <c r="V512" t="str">
        <f>VLOOKUP(OrdersRawTable9[[#This Row],[Product_ID]],ProductsTable10[],3,FALSE)</f>
        <v>Electronics</v>
      </c>
      <c r="W512" s="45">
        <f>OrdersRawTable9[[#This Row],[Unit_Price]]*OrdersRawTable9[[#This Row],[Quantity]]</f>
        <v>586.14</v>
      </c>
      <c r="X512" s="47">
        <f>OrdersRawTable9[[#This Row],[Gross_Sales]]*OrdersRawTable9[[#This Row],[Discount_Pct]]</f>
        <v>0</v>
      </c>
      <c r="Y512" s="45">
        <f>OrdersRawTable9[[#This Row],[Gross_Sales]]-OrdersRawTable9[[#This Row],[Discount_Amount]]</f>
        <v>586.14</v>
      </c>
      <c r="Z512" s="45">
        <f>OrdersRawTable9[[#This Row],[Unit_Cost]]*OrdersRawTable9[[#This Row],[Quantity]]</f>
        <v>342.87</v>
      </c>
      <c r="AA512" s="45">
        <f>OrdersRawTable9[[#This Row],[Net_Sales]]-OrdersRawTable9[[#This Row],[Total_Cost]]</f>
        <v>243.26999999999998</v>
      </c>
      <c r="AB512" s="48">
        <f>IF(OrdersRawTable9[[#This Row],[Net_Sales]]=0,0,OrdersRawTable9[[#This Row],[Profit]]/OrdersRawTable9[[#This Row],[Net_Sales]])</f>
        <v>0.41503736308731698</v>
      </c>
      <c r="AC512" s="45" t="str">
        <f>IF(COUNTIF(ReturnsRawTable[Order_Line_ID],OrdersRawTable9[[#This Row],[Order_Line_ID]])&gt;0,"Yes","No")</f>
        <v>No</v>
      </c>
      <c r="AD512" s="45" t="str">
        <f>IFERROR(VLOOKUP(OrdersRawTable9[[#This Row],[Order_Line_ID]],ReturnsRawTable[[#All],[Order_Line_ID]:[Return_Reason_Raw]],3,FALSE),"")</f>
        <v/>
      </c>
      <c r="AE512" s="49" t="str">
        <f>IFERROR(VLOOKUP(OrdersRawTable9[[#This Row],[Order_Line_ID]],ReturnsRawTable[[#All],[Order_Line_ID]:[Return_Date]],2,FALSE),"")</f>
        <v/>
      </c>
      <c r="AF512" s="45" t="str">
        <f>IFERROR(VLOOKUP(OrdersRawTable9[[#This Row],[Order_Line_ID]],ReturnsRawTable[[Order_Line_ID]:[Refund_Status]],4,FALSE),"")</f>
        <v/>
      </c>
      <c r="AG512" s="45" t="str">
        <f>VLOOKUP(OrdersRawTable9[[#This Row],[Order_ID]],ShipmentsTable[],6,FALSE)</f>
        <v>Late</v>
      </c>
      <c r="AH512" s="49">
        <f>VLOOKUP(OrdersRawTable9[[#This Row],[Order_ID]],ShipmentsTable[],3,FALSE)</f>
        <v>45919</v>
      </c>
    </row>
    <row r="513" spans="1:34" ht="15" customHeight="1">
      <c r="A513" s="14" t="s">
        <v>1076</v>
      </c>
      <c r="B513" s="10" t="s">
        <v>1075</v>
      </c>
      <c r="C513" s="20">
        <v>45911</v>
      </c>
      <c r="D513" s="10" t="s">
        <v>866</v>
      </c>
      <c r="E513" s="10" t="s">
        <v>867</v>
      </c>
      <c r="F513" s="10" t="str">
        <f>TRIM(LEFT(OrdersRawTable9[[#This Row],[Customer_Info]],FIND(",",OrdersRawTable9[[#This Row],[Customer_Info]])-1))</f>
        <v>Maya Singh</v>
      </c>
      <c r="G51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513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13" s="10">
        <f>LEN(OrdersRawTable9[[#This Row],[Customer_Info]])-LEN(SUBSTITUTE(OrdersRawTable9[[#This Row],[Customer_Info]],",",""))</f>
        <v>2</v>
      </c>
      <c r="J513" s="10" t="s">
        <v>88</v>
      </c>
      <c r="K513" s="23">
        <v>2</v>
      </c>
      <c r="L513" s="26">
        <v>147.46</v>
      </c>
      <c r="M513" s="29">
        <v>0</v>
      </c>
      <c r="N513" s="10" t="s">
        <v>50</v>
      </c>
      <c r="O513" s="10" t="str">
        <f>IF(TRIM(OrdersRawTable9[[#This Row],[Sales_Channel_Raw]])="Market place","Marketplace",TRIM(OrdersRawTable9[[#This Row],[Sales_Channel_Raw]]))</f>
        <v>Marketplace</v>
      </c>
      <c r="P513" s="10" t="s">
        <v>46</v>
      </c>
      <c r="Q513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13" s="15" t="s">
        <v>52</v>
      </c>
      <c r="S513" t="str">
        <f>VLOOKUP(OrdersRawTable9[[#This Row],[Customer_ID_Raw]],CustomersTable11[],4,FALSE)</f>
        <v>Alberta</v>
      </c>
      <c r="T513" t="str">
        <f>VLOOKUP(OrdersRawTable9[[#This Row],[Customer_ID_Raw]],CustomersTable11[],5,FALSE)</f>
        <v>Small Business</v>
      </c>
      <c r="U513" s="45">
        <f>VLOOKUP(OrdersRawTable9[[#This Row],[Product_ID]],ProductsTable10[],4,FALSE)</f>
        <v>100.95</v>
      </c>
      <c r="V513" t="str">
        <f>VLOOKUP(OrdersRawTable9[[#This Row],[Product_ID]],ProductsTable10[],3,FALSE)</f>
        <v>Electronics</v>
      </c>
      <c r="W513" s="45">
        <f>OrdersRawTable9[[#This Row],[Unit_Price]]*OrdersRawTable9[[#This Row],[Quantity]]</f>
        <v>294.92</v>
      </c>
      <c r="X513" s="47">
        <f>OrdersRawTable9[[#This Row],[Gross_Sales]]*OrdersRawTable9[[#This Row],[Discount_Pct]]</f>
        <v>0</v>
      </c>
      <c r="Y513" s="45">
        <f>OrdersRawTable9[[#This Row],[Gross_Sales]]-OrdersRawTable9[[#This Row],[Discount_Amount]]</f>
        <v>294.92</v>
      </c>
      <c r="Z513" s="45">
        <f>OrdersRawTable9[[#This Row],[Unit_Cost]]*OrdersRawTable9[[#This Row],[Quantity]]</f>
        <v>201.9</v>
      </c>
      <c r="AA513" s="45">
        <f>OrdersRawTable9[[#This Row],[Net_Sales]]-OrdersRawTable9[[#This Row],[Total_Cost]]</f>
        <v>93.02000000000001</v>
      </c>
      <c r="AB513" s="48">
        <f>IF(OrdersRawTable9[[#This Row],[Net_Sales]]=0,0,OrdersRawTable9[[#This Row],[Profit]]/OrdersRawTable9[[#This Row],[Net_Sales]])</f>
        <v>0.31540756815407572</v>
      </c>
      <c r="AC513" s="45" t="str">
        <f>IF(COUNTIF(ReturnsRawTable[Order_Line_ID],OrdersRawTable9[[#This Row],[Order_Line_ID]])&gt;0,"Yes","No")</f>
        <v>Yes</v>
      </c>
      <c r="AD513" s="45" t="str">
        <f>IFERROR(VLOOKUP(OrdersRawTable9[[#This Row],[Order_Line_ID]],ReturnsRawTable[[#All],[Order_Line_ID]:[Return_Reason_Raw]],3,FALSE),"")</f>
        <v>Wrong item</v>
      </c>
      <c r="AE513" s="49">
        <f>IFERROR(VLOOKUP(OrdersRawTable9[[#This Row],[Order_Line_ID]],ReturnsRawTable[[#All],[Order_Line_ID]:[Return_Date]],2,FALSE),"")</f>
        <v>45936</v>
      </c>
      <c r="AF513" s="45" t="str">
        <f>IFERROR(VLOOKUP(OrdersRawTable9[[#This Row],[Order_Line_ID]],ReturnsRawTable[[Order_Line_ID]:[Refund_Status]],4,FALSE),"")</f>
        <v>Pending</v>
      </c>
      <c r="AG513" s="45" t="str">
        <f>VLOOKUP(OrdersRawTable9[[#This Row],[Order_ID]],ShipmentsTable[],6,FALSE)</f>
        <v>Late</v>
      </c>
      <c r="AH513" s="49">
        <f>VLOOKUP(OrdersRawTable9[[#This Row],[Order_ID]],ShipmentsTable[],3,FALSE)</f>
        <v>45919</v>
      </c>
    </row>
    <row r="514" spans="1:34" ht="15" customHeight="1">
      <c r="A514" s="14" t="s">
        <v>1077</v>
      </c>
      <c r="B514" s="10" t="s">
        <v>1078</v>
      </c>
      <c r="C514" s="20">
        <v>45679</v>
      </c>
      <c r="D514" s="10" t="s">
        <v>163</v>
      </c>
      <c r="E514" s="10" t="s">
        <v>164</v>
      </c>
      <c r="F514" s="10" t="str">
        <f>TRIM(LEFT(OrdersRawTable9[[#This Row],[Customer_Info]],FIND(",",OrdersRawTable9[[#This Row],[Customer_Info]])-1))</f>
        <v>Yara Ali</v>
      </c>
      <c r="G51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514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14" s="10">
        <f>LEN(OrdersRawTable9[[#This Row],[Customer_Info]])-LEN(SUBSTITUTE(OrdersRawTable9[[#This Row],[Customer_Info]],",",""))</f>
        <v>2</v>
      </c>
      <c r="J514" s="10" t="s">
        <v>150</v>
      </c>
      <c r="K514" s="23">
        <v>2</v>
      </c>
      <c r="L514" s="26">
        <v>263.04000000000002</v>
      </c>
      <c r="M514" s="29">
        <v>0.05</v>
      </c>
      <c r="N514" s="10" t="s">
        <v>40</v>
      </c>
      <c r="O514" s="10" t="str">
        <f>IF(TRIM(OrdersRawTable9[[#This Row],[Sales_Channel_Raw]])="Market place","Marketplace",TRIM(OrdersRawTable9[[#This Row],[Sales_Channel_Raw]]))</f>
        <v>Online</v>
      </c>
      <c r="P514" s="10" t="s">
        <v>51</v>
      </c>
      <c r="Q514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514" s="15" t="s">
        <v>42</v>
      </c>
      <c r="S514" t="str">
        <f>VLOOKUP(OrdersRawTable9[[#This Row],[Customer_ID_Raw]],CustomersTable11[],4,FALSE)</f>
        <v>Ontario</v>
      </c>
      <c r="T514" t="str">
        <f>VLOOKUP(OrdersRawTable9[[#This Row],[Customer_ID_Raw]],CustomersTable11[],5,FALSE)</f>
        <v>Small Business</v>
      </c>
      <c r="U514" s="45">
        <f>VLOOKUP(OrdersRawTable9[[#This Row],[Product_ID]],ProductsTable10[],4,FALSE)</f>
        <v>161.84</v>
      </c>
      <c r="V514" t="str">
        <f>VLOOKUP(OrdersRawTable9[[#This Row],[Product_ID]],ProductsTable10[],3,FALSE)</f>
        <v>Office</v>
      </c>
      <c r="W514" s="45">
        <f>OrdersRawTable9[[#This Row],[Unit_Price]]*OrdersRawTable9[[#This Row],[Quantity]]</f>
        <v>526.08000000000004</v>
      </c>
      <c r="X514" s="47">
        <f>OrdersRawTable9[[#This Row],[Gross_Sales]]*OrdersRawTable9[[#This Row],[Discount_Pct]]</f>
        <v>26.304000000000002</v>
      </c>
      <c r="Y514" s="45">
        <f>OrdersRawTable9[[#This Row],[Gross_Sales]]-OrdersRawTable9[[#This Row],[Discount_Amount]]</f>
        <v>499.77600000000007</v>
      </c>
      <c r="Z514" s="45">
        <f>OrdersRawTable9[[#This Row],[Unit_Cost]]*OrdersRawTable9[[#This Row],[Quantity]]</f>
        <v>323.68</v>
      </c>
      <c r="AA514" s="45">
        <f>OrdersRawTable9[[#This Row],[Net_Sales]]-OrdersRawTable9[[#This Row],[Total_Cost]]</f>
        <v>176.09600000000006</v>
      </c>
      <c r="AB514" s="48">
        <f>IF(OrdersRawTable9[[#This Row],[Net_Sales]]=0,0,OrdersRawTable9[[#This Row],[Profit]]/OrdersRawTable9[[#This Row],[Net_Sales]])</f>
        <v>0.35234985273402492</v>
      </c>
      <c r="AC514" s="45" t="str">
        <f>IF(COUNTIF(ReturnsRawTable[Order_Line_ID],OrdersRawTable9[[#This Row],[Order_Line_ID]])&gt;0,"Yes","No")</f>
        <v>No</v>
      </c>
      <c r="AD514" s="45" t="str">
        <f>IFERROR(VLOOKUP(OrdersRawTable9[[#This Row],[Order_Line_ID]],ReturnsRawTable[[#All],[Order_Line_ID]:[Return_Reason_Raw]],3,FALSE),"")</f>
        <v/>
      </c>
      <c r="AE514" s="49" t="str">
        <f>IFERROR(VLOOKUP(OrdersRawTable9[[#This Row],[Order_Line_ID]],ReturnsRawTable[[#All],[Order_Line_ID]:[Return_Date]],2,FALSE),"")</f>
        <v/>
      </c>
      <c r="AF514" s="45" t="str">
        <f>IFERROR(VLOOKUP(OrdersRawTable9[[#This Row],[Order_Line_ID]],ReturnsRawTable[[Order_Line_ID]:[Refund_Status]],4,FALSE),"")</f>
        <v/>
      </c>
      <c r="AG514" s="45" t="str">
        <f>VLOOKUP(OrdersRawTable9[[#This Row],[Order_ID]],ShipmentsTable[],6,FALSE)</f>
        <v>On time</v>
      </c>
      <c r="AH514" s="49">
        <f>VLOOKUP(OrdersRawTable9[[#This Row],[Order_ID]],ShipmentsTable[],3,FALSE)</f>
        <v>45684</v>
      </c>
    </row>
    <row r="515" spans="1:34" ht="15" customHeight="1">
      <c r="A515" s="14" t="s">
        <v>1079</v>
      </c>
      <c r="B515" s="10" t="s">
        <v>1078</v>
      </c>
      <c r="C515" s="20">
        <v>45679</v>
      </c>
      <c r="D515" s="10" t="s">
        <v>163</v>
      </c>
      <c r="E515" s="10" t="s">
        <v>164</v>
      </c>
      <c r="F515" s="10" t="str">
        <f>TRIM(LEFT(OrdersRawTable9[[#This Row],[Customer_Info]],FIND(",",OrdersRawTable9[[#This Row],[Customer_Info]])-1))</f>
        <v>Yara Ali</v>
      </c>
      <c r="G51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515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15" s="10">
        <f>LEN(OrdersRawTable9[[#This Row],[Customer_Info]])-LEN(SUBSTITUTE(OrdersRawTable9[[#This Row],[Customer_Info]],",",""))</f>
        <v>2</v>
      </c>
      <c r="J515" s="10" t="s">
        <v>93</v>
      </c>
      <c r="K515" s="23">
        <v>4</v>
      </c>
      <c r="L515" s="26">
        <v>208.89</v>
      </c>
      <c r="M515" s="29">
        <v>0</v>
      </c>
      <c r="N515" s="10" t="s">
        <v>64</v>
      </c>
      <c r="O515" s="10" t="str">
        <f>IF(TRIM(OrdersRawTable9[[#This Row],[Sales_Channel_Raw]])="Market place","Marketplace",TRIM(OrdersRawTable9[[#This Row],[Sales_Channel_Raw]]))</f>
        <v>Retail Store</v>
      </c>
      <c r="P515" s="10" t="s">
        <v>58</v>
      </c>
      <c r="Q515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515" s="15" t="s">
        <v>47</v>
      </c>
      <c r="S515" t="str">
        <f>VLOOKUP(OrdersRawTable9[[#This Row],[Customer_ID_Raw]],CustomersTable11[],4,FALSE)</f>
        <v>Ontario</v>
      </c>
      <c r="T515" t="str">
        <f>VLOOKUP(OrdersRawTable9[[#This Row],[Customer_ID_Raw]],CustomersTable11[],5,FALSE)</f>
        <v>Small Business</v>
      </c>
      <c r="U515" s="45">
        <f>VLOOKUP(OrdersRawTable9[[#This Row],[Product_ID]],ProductsTable10[],4,FALSE)</f>
        <v>133.05000000000001</v>
      </c>
      <c r="V515" t="str">
        <f>VLOOKUP(OrdersRawTable9[[#This Row],[Product_ID]],ProductsTable10[],3,FALSE)</f>
        <v>Accessories</v>
      </c>
      <c r="W515" s="45">
        <f>OrdersRawTable9[[#This Row],[Unit_Price]]*OrdersRawTable9[[#This Row],[Quantity]]</f>
        <v>835.56</v>
      </c>
      <c r="X515" s="47">
        <f>OrdersRawTable9[[#This Row],[Gross_Sales]]*OrdersRawTable9[[#This Row],[Discount_Pct]]</f>
        <v>0</v>
      </c>
      <c r="Y515" s="45">
        <f>OrdersRawTable9[[#This Row],[Gross_Sales]]-OrdersRawTable9[[#This Row],[Discount_Amount]]</f>
        <v>835.56</v>
      </c>
      <c r="Z515" s="45">
        <f>OrdersRawTable9[[#This Row],[Unit_Cost]]*OrdersRawTable9[[#This Row],[Quantity]]</f>
        <v>532.20000000000005</v>
      </c>
      <c r="AA515" s="45">
        <f>OrdersRawTable9[[#This Row],[Net_Sales]]-OrdersRawTable9[[#This Row],[Total_Cost]]</f>
        <v>303.3599999999999</v>
      </c>
      <c r="AB515" s="48">
        <f>IF(OrdersRawTable9[[#This Row],[Net_Sales]]=0,0,OrdersRawTable9[[#This Row],[Profit]]/OrdersRawTable9[[#This Row],[Net_Sales]])</f>
        <v>0.36306189860692223</v>
      </c>
      <c r="AC515" s="45" t="str">
        <f>IF(COUNTIF(ReturnsRawTable[Order_Line_ID],OrdersRawTable9[[#This Row],[Order_Line_ID]])&gt;0,"Yes","No")</f>
        <v>No</v>
      </c>
      <c r="AD515" s="45" t="str">
        <f>IFERROR(VLOOKUP(OrdersRawTable9[[#This Row],[Order_Line_ID]],ReturnsRawTable[[#All],[Order_Line_ID]:[Return_Reason_Raw]],3,FALSE),"")</f>
        <v/>
      </c>
      <c r="AE515" s="49" t="str">
        <f>IFERROR(VLOOKUP(OrdersRawTable9[[#This Row],[Order_Line_ID]],ReturnsRawTable[[#All],[Order_Line_ID]:[Return_Date]],2,FALSE),"")</f>
        <v/>
      </c>
      <c r="AF515" s="45" t="str">
        <f>IFERROR(VLOOKUP(OrdersRawTable9[[#This Row],[Order_Line_ID]],ReturnsRawTable[[Order_Line_ID]:[Refund_Status]],4,FALSE),"")</f>
        <v/>
      </c>
      <c r="AG515" s="45" t="str">
        <f>VLOOKUP(OrdersRawTable9[[#This Row],[Order_ID]],ShipmentsTable[],6,FALSE)</f>
        <v>On time</v>
      </c>
      <c r="AH515" s="49">
        <f>VLOOKUP(OrdersRawTable9[[#This Row],[Order_ID]],ShipmentsTable[],3,FALSE)</f>
        <v>45684</v>
      </c>
    </row>
    <row r="516" spans="1:34" ht="15" customHeight="1">
      <c r="A516" s="14" t="s">
        <v>1080</v>
      </c>
      <c r="B516" s="10" t="s">
        <v>1078</v>
      </c>
      <c r="C516" s="20">
        <v>45679</v>
      </c>
      <c r="D516" s="10" t="s">
        <v>163</v>
      </c>
      <c r="E516" s="10" t="s">
        <v>164</v>
      </c>
      <c r="F516" s="10" t="str">
        <f>TRIM(LEFT(OrdersRawTable9[[#This Row],[Customer_Info]],FIND(",",OrdersRawTable9[[#This Row],[Customer_Info]])-1))</f>
        <v>Yara Ali</v>
      </c>
      <c r="G51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516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16" s="10">
        <f>LEN(OrdersRawTable9[[#This Row],[Customer_Info]])-LEN(SUBSTITUTE(OrdersRawTable9[[#This Row],[Customer_Info]],",",""))</f>
        <v>2</v>
      </c>
      <c r="J516" s="10" t="s">
        <v>279</v>
      </c>
      <c r="K516" s="23">
        <v>2</v>
      </c>
      <c r="L516" s="26">
        <v>52.79</v>
      </c>
      <c r="M516" s="29">
        <v>0</v>
      </c>
      <c r="N516" s="10" t="s">
        <v>64</v>
      </c>
      <c r="O516" s="10" t="str">
        <f>IF(TRIM(OrdersRawTable9[[#This Row],[Sales_Channel_Raw]])="Market place","Marketplace",TRIM(OrdersRawTable9[[#This Row],[Sales_Channel_Raw]]))</f>
        <v>Retail Store</v>
      </c>
      <c r="P516" s="10"/>
      <c r="Q516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516" s="15" t="s">
        <v>42</v>
      </c>
      <c r="S516" t="str">
        <f>VLOOKUP(OrdersRawTable9[[#This Row],[Customer_ID_Raw]],CustomersTable11[],4,FALSE)</f>
        <v>Ontario</v>
      </c>
      <c r="T516" t="str">
        <f>VLOOKUP(OrdersRawTable9[[#This Row],[Customer_ID_Raw]],CustomersTable11[],5,FALSE)</f>
        <v>Small Business</v>
      </c>
      <c r="U516" s="45">
        <f>VLOOKUP(OrdersRawTable9[[#This Row],[Product_ID]],ProductsTable10[],4,FALSE)</f>
        <v>28.17</v>
      </c>
      <c r="V516" t="str">
        <f>VLOOKUP(OrdersRawTable9[[#This Row],[Product_ID]],ProductsTable10[],3,FALSE)</f>
        <v>Office</v>
      </c>
      <c r="W516" s="45">
        <f>OrdersRawTable9[[#This Row],[Unit_Price]]*OrdersRawTable9[[#This Row],[Quantity]]</f>
        <v>105.58</v>
      </c>
      <c r="X516" s="47">
        <f>OrdersRawTable9[[#This Row],[Gross_Sales]]*OrdersRawTable9[[#This Row],[Discount_Pct]]</f>
        <v>0</v>
      </c>
      <c r="Y516" s="45">
        <f>OrdersRawTable9[[#This Row],[Gross_Sales]]-OrdersRawTable9[[#This Row],[Discount_Amount]]</f>
        <v>105.58</v>
      </c>
      <c r="Z516" s="45">
        <f>OrdersRawTable9[[#This Row],[Unit_Cost]]*OrdersRawTable9[[#This Row],[Quantity]]</f>
        <v>56.34</v>
      </c>
      <c r="AA516" s="45">
        <f>OrdersRawTable9[[#This Row],[Net_Sales]]-OrdersRawTable9[[#This Row],[Total_Cost]]</f>
        <v>49.239999999999995</v>
      </c>
      <c r="AB516" s="48">
        <f>IF(OrdersRawTable9[[#This Row],[Net_Sales]]=0,0,OrdersRawTable9[[#This Row],[Profit]]/OrdersRawTable9[[#This Row],[Net_Sales]])</f>
        <v>0.46637620761507859</v>
      </c>
      <c r="AC516" s="45" t="str">
        <f>IF(COUNTIF(ReturnsRawTable[Order_Line_ID],OrdersRawTable9[[#This Row],[Order_Line_ID]])&gt;0,"Yes","No")</f>
        <v>No</v>
      </c>
      <c r="AD516" s="45" t="str">
        <f>IFERROR(VLOOKUP(OrdersRawTable9[[#This Row],[Order_Line_ID]],ReturnsRawTable[[#All],[Order_Line_ID]:[Return_Reason_Raw]],3,FALSE),"")</f>
        <v/>
      </c>
      <c r="AE516" s="49" t="str">
        <f>IFERROR(VLOOKUP(OrdersRawTable9[[#This Row],[Order_Line_ID]],ReturnsRawTable[[#All],[Order_Line_ID]:[Return_Date]],2,FALSE),"")</f>
        <v/>
      </c>
      <c r="AF516" s="45" t="str">
        <f>IFERROR(VLOOKUP(OrdersRawTable9[[#This Row],[Order_Line_ID]],ReturnsRawTable[[Order_Line_ID]:[Refund_Status]],4,FALSE),"")</f>
        <v/>
      </c>
      <c r="AG516" s="45" t="str">
        <f>VLOOKUP(OrdersRawTable9[[#This Row],[Order_ID]],ShipmentsTable[],6,FALSE)</f>
        <v>On time</v>
      </c>
      <c r="AH516" s="49">
        <f>VLOOKUP(OrdersRawTable9[[#This Row],[Order_ID]],ShipmentsTable[],3,FALSE)</f>
        <v>45684</v>
      </c>
    </row>
    <row r="517" spans="1:34" ht="15" customHeight="1">
      <c r="A517" s="14" t="s">
        <v>1081</v>
      </c>
      <c r="B517" s="10" t="s">
        <v>1082</v>
      </c>
      <c r="C517" s="20">
        <v>46018</v>
      </c>
      <c r="D517" s="10" t="s">
        <v>1083</v>
      </c>
      <c r="E517" s="10" t="s">
        <v>1084</v>
      </c>
      <c r="F517" s="10" t="str">
        <f>TRIM(LEFT(OrdersRawTable9[[#This Row],[Customer_Info]],FIND(",",OrdersRawTable9[[#This Row],[Customer_Info]])-1))</f>
        <v>Adam Johnson</v>
      </c>
      <c r="G51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517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517" s="10">
        <f>LEN(OrdersRawTable9[[#This Row],[Customer_Info]])-LEN(SUBSTITUTE(OrdersRawTable9[[#This Row],[Customer_Info]],",",""))</f>
        <v>2</v>
      </c>
      <c r="J517" s="10" t="s">
        <v>44</v>
      </c>
      <c r="K517" s="23">
        <v>4</v>
      </c>
      <c r="L517" s="26">
        <v>238.47</v>
      </c>
      <c r="M517" s="29">
        <v>0.05</v>
      </c>
      <c r="N517" s="10" t="s">
        <v>50</v>
      </c>
      <c r="O517" s="10" t="str">
        <f>IF(TRIM(OrdersRawTable9[[#This Row],[Sales_Channel_Raw]])="Market place","Marketplace",TRIM(OrdersRawTable9[[#This Row],[Sales_Channel_Raw]]))</f>
        <v>Marketplace</v>
      </c>
      <c r="P517" s="10" t="s">
        <v>98</v>
      </c>
      <c r="Q517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517" s="15" t="s">
        <v>67</v>
      </c>
      <c r="S517" t="str">
        <f>VLOOKUP(OrdersRawTable9[[#This Row],[Customer_ID_Raw]],CustomersTable11[],4,FALSE)</f>
        <v>British Columbia</v>
      </c>
      <c r="T517" t="str">
        <f>VLOOKUP(OrdersRawTable9[[#This Row],[Customer_ID_Raw]],CustomersTable11[],5,FALSE)</f>
        <v>Consumer</v>
      </c>
      <c r="U517" s="45">
        <f>VLOOKUP(OrdersRawTable9[[#This Row],[Product_ID]],ProductsTable10[],4,FALSE)</f>
        <v>127.65</v>
      </c>
      <c r="V517" t="str">
        <f>VLOOKUP(OrdersRawTable9[[#This Row],[Product_ID]],ProductsTable10[],3,FALSE)</f>
        <v>Accessories</v>
      </c>
      <c r="W517" s="45">
        <f>OrdersRawTable9[[#This Row],[Unit_Price]]*OrdersRawTable9[[#This Row],[Quantity]]</f>
        <v>953.88</v>
      </c>
      <c r="X517" s="47">
        <f>OrdersRawTable9[[#This Row],[Gross_Sales]]*OrdersRawTable9[[#This Row],[Discount_Pct]]</f>
        <v>47.694000000000003</v>
      </c>
      <c r="Y517" s="45">
        <f>OrdersRawTable9[[#This Row],[Gross_Sales]]-OrdersRawTable9[[#This Row],[Discount_Amount]]</f>
        <v>906.18600000000004</v>
      </c>
      <c r="Z517" s="45">
        <f>OrdersRawTable9[[#This Row],[Unit_Cost]]*OrdersRawTable9[[#This Row],[Quantity]]</f>
        <v>510.6</v>
      </c>
      <c r="AA517" s="45">
        <f>OrdersRawTable9[[#This Row],[Net_Sales]]-OrdersRawTable9[[#This Row],[Total_Cost]]</f>
        <v>395.58600000000001</v>
      </c>
      <c r="AB517" s="48">
        <f>IF(OrdersRawTable9[[#This Row],[Net_Sales]]=0,0,OrdersRawTable9[[#This Row],[Profit]]/OrdersRawTable9[[#This Row],[Net_Sales]])</f>
        <v>0.43653951837702193</v>
      </c>
      <c r="AC517" s="45" t="str">
        <f>IF(COUNTIF(ReturnsRawTable[Order_Line_ID],OrdersRawTable9[[#This Row],[Order_Line_ID]])&gt;0,"Yes","No")</f>
        <v>No</v>
      </c>
      <c r="AD517" s="45" t="str">
        <f>IFERROR(VLOOKUP(OrdersRawTable9[[#This Row],[Order_Line_ID]],ReturnsRawTable[[#All],[Order_Line_ID]:[Return_Reason_Raw]],3,FALSE),"")</f>
        <v/>
      </c>
      <c r="AE517" s="49" t="str">
        <f>IFERROR(VLOOKUP(OrdersRawTable9[[#This Row],[Order_Line_ID]],ReturnsRawTable[[#All],[Order_Line_ID]:[Return_Date]],2,FALSE),"")</f>
        <v/>
      </c>
      <c r="AF517" s="45" t="str">
        <f>IFERROR(VLOOKUP(OrdersRawTable9[[#This Row],[Order_Line_ID]],ReturnsRawTable[[Order_Line_ID]:[Refund_Status]],4,FALSE),"")</f>
        <v/>
      </c>
      <c r="AG517" s="45" t="str">
        <f>VLOOKUP(OrdersRawTable9[[#This Row],[Order_ID]],ShipmentsTable[],6,FALSE)</f>
        <v>On time</v>
      </c>
      <c r="AH517" s="49">
        <f>VLOOKUP(OrdersRawTable9[[#This Row],[Order_ID]],ShipmentsTable[],3,FALSE)</f>
        <v>46020</v>
      </c>
    </row>
    <row r="518" spans="1:34" ht="15" customHeight="1">
      <c r="A518" s="14" t="s">
        <v>1085</v>
      </c>
      <c r="B518" s="10" t="s">
        <v>1082</v>
      </c>
      <c r="C518" s="20">
        <v>46018</v>
      </c>
      <c r="D518" s="10" t="s">
        <v>1083</v>
      </c>
      <c r="E518" s="10" t="s">
        <v>1084</v>
      </c>
      <c r="F518" s="10" t="str">
        <f>TRIM(LEFT(OrdersRawTable9[[#This Row],[Customer_Info]],FIND(",",OrdersRawTable9[[#This Row],[Customer_Info]])-1))</f>
        <v>Adam Johnson</v>
      </c>
      <c r="G51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518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518" s="10">
        <f>LEN(OrdersRawTable9[[#This Row],[Customer_Info]])-LEN(SUBSTITUTE(OrdersRawTable9[[#This Row],[Customer_Info]],",",""))</f>
        <v>2</v>
      </c>
      <c r="J518" s="10" t="s">
        <v>83</v>
      </c>
      <c r="K518" s="23">
        <v>4</v>
      </c>
      <c r="L518" s="26">
        <v>115.28</v>
      </c>
      <c r="M518" s="29">
        <v>0</v>
      </c>
      <c r="N518" s="10" t="s">
        <v>64</v>
      </c>
      <c r="O518" s="10" t="str">
        <f>IF(TRIM(OrdersRawTable9[[#This Row],[Sales_Channel_Raw]])="Market place","Marketplace",TRIM(OrdersRawTable9[[#This Row],[Sales_Channel_Raw]]))</f>
        <v>Retail Store</v>
      </c>
      <c r="P518" s="10" t="s">
        <v>58</v>
      </c>
      <c r="Q518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518" s="15" t="s">
        <v>42</v>
      </c>
      <c r="S518" t="str">
        <f>VLOOKUP(OrdersRawTable9[[#This Row],[Customer_ID_Raw]],CustomersTable11[],4,FALSE)</f>
        <v>British Columbia</v>
      </c>
      <c r="T518" t="str">
        <f>VLOOKUP(OrdersRawTable9[[#This Row],[Customer_ID_Raw]],CustomersTable11[],5,FALSE)</f>
        <v>Consumer</v>
      </c>
      <c r="U518" s="45">
        <f>VLOOKUP(OrdersRawTable9[[#This Row],[Product_ID]],ProductsTable10[],4,FALSE)</f>
        <v>61.65</v>
      </c>
      <c r="V518" t="str">
        <f>VLOOKUP(OrdersRawTable9[[#This Row],[Product_ID]],ProductsTable10[],3,FALSE)</f>
        <v>Office</v>
      </c>
      <c r="W518" s="45">
        <f>OrdersRawTable9[[#This Row],[Unit_Price]]*OrdersRawTable9[[#This Row],[Quantity]]</f>
        <v>461.12</v>
      </c>
      <c r="X518" s="47">
        <f>OrdersRawTable9[[#This Row],[Gross_Sales]]*OrdersRawTable9[[#This Row],[Discount_Pct]]</f>
        <v>0</v>
      </c>
      <c r="Y518" s="45">
        <f>OrdersRawTable9[[#This Row],[Gross_Sales]]-OrdersRawTable9[[#This Row],[Discount_Amount]]</f>
        <v>461.12</v>
      </c>
      <c r="Z518" s="45">
        <f>OrdersRawTable9[[#This Row],[Unit_Cost]]*OrdersRawTable9[[#This Row],[Quantity]]</f>
        <v>246.6</v>
      </c>
      <c r="AA518" s="45">
        <f>OrdersRawTable9[[#This Row],[Net_Sales]]-OrdersRawTable9[[#This Row],[Total_Cost]]</f>
        <v>214.52</v>
      </c>
      <c r="AB518" s="48">
        <f>IF(OrdersRawTable9[[#This Row],[Net_Sales]]=0,0,OrdersRawTable9[[#This Row],[Profit]]/OrdersRawTable9[[#This Row],[Net_Sales]])</f>
        <v>0.46521512838306733</v>
      </c>
      <c r="AC518" s="45" t="str">
        <f>IF(COUNTIF(ReturnsRawTable[Order_Line_ID],OrdersRawTable9[[#This Row],[Order_Line_ID]])&gt;0,"Yes","No")</f>
        <v>No</v>
      </c>
      <c r="AD518" s="45" t="str">
        <f>IFERROR(VLOOKUP(OrdersRawTable9[[#This Row],[Order_Line_ID]],ReturnsRawTable[[#All],[Order_Line_ID]:[Return_Reason_Raw]],3,FALSE),"")</f>
        <v/>
      </c>
      <c r="AE518" s="49" t="str">
        <f>IFERROR(VLOOKUP(OrdersRawTable9[[#This Row],[Order_Line_ID]],ReturnsRawTable[[#All],[Order_Line_ID]:[Return_Date]],2,FALSE),"")</f>
        <v/>
      </c>
      <c r="AF518" s="45" t="str">
        <f>IFERROR(VLOOKUP(OrdersRawTable9[[#This Row],[Order_Line_ID]],ReturnsRawTable[[Order_Line_ID]:[Refund_Status]],4,FALSE),"")</f>
        <v/>
      </c>
      <c r="AG518" s="45" t="str">
        <f>VLOOKUP(OrdersRawTable9[[#This Row],[Order_ID]],ShipmentsTable[],6,FALSE)</f>
        <v>On time</v>
      </c>
      <c r="AH518" s="49">
        <f>VLOOKUP(OrdersRawTable9[[#This Row],[Order_ID]],ShipmentsTable[],3,FALSE)</f>
        <v>46020</v>
      </c>
    </row>
    <row r="519" spans="1:34" ht="15" customHeight="1">
      <c r="A519" s="14" t="s">
        <v>1086</v>
      </c>
      <c r="B519" s="10" t="s">
        <v>1082</v>
      </c>
      <c r="C519" s="20">
        <v>46018</v>
      </c>
      <c r="D519" s="10" t="s">
        <v>1083</v>
      </c>
      <c r="E519" s="10" t="s">
        <v>1084</v>
      </c>
      <c r="F519" s="10" t="str">
        <f>TRIM(LEFT(OrdersRawTable9[[#This Row],[Customer_Info]],FIND(",",OrdersRawTable9[[#This Row],[Customer_Info]])-1))</f>
        <v>Adam Johnson</v>
      </c>
      <c r="G51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519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519" s="10">
        <f>LEN(OrdersRawTable9[[#This Row],[Customer_Info]])-LEN(SUBSTITUTE(OrdersRawTable9[[#This Row],[Customer_Info]],",",""))</f>
        <v>2</v>
      </c>
      <c r="J519" s="10" t="s">
        <v>150</v>
      </c>
      <c r="K519" s="23">
        <v>4</v>
      </c>
      <c r="L519" s="26">
        <v>263.04000000000002</v>
      </c>
      <c r="M519" s="29">
        <v>0</v>
      </c>
      <c r="N519" s="10" t="s">
        <v>50</v>
      </c>
      <c r="O519" s="10" t="str">
        <f>IF(TRIM(OrdersRawTable9[[#This Row],[Sales_Channel_Raw]])="Market place","Marketplace",TRIM(OrdersRawTable9[[#This Row],[Sales_Channel_Raw]]))</f>
        <v>Marketplace</v>
      </c>
      <c r="P519" s="10" t="s">
        <v>41</v>
      </c>
      <c r="Q519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19" s="15" t="s">
        <v>52</v>
      </c>
      <c r="S519" t="str">
        <f>VLOOKUP(OrdersRawTable9[[#This Row],[Customer_ID_Raw]],CustomersTable11[],4,FALSE)</f>
        <v>British Columbia</v>
      </c>
      <c r="T519" t="str">
        <f>VLOOKUP(OrdersRawTable9[[#This Row],[Customer_ID_Raw]],CustomersTable11[],5,FALSE)</f>
        <v>Consumer</v>
      </c>
      <c r="U519" s="45">
        <f>VLOOKUP(OrdersRawTable9[[#This Row],[Product_ID]],ProductsTable10[],4,FALSE)</f>
        <v>161.84</v>
      </c>
      <c r="V519" t="str">
        <f>VLOOKUP(OrdersRawTable9[[#This Row],[Product_ID]],ProductsTable10[],3,FALSE)</f>
        <v>Office</v>
      </c>
      <c r="W519" s="45">
        <f>OrdersRawTable9[[#This Row],[Unit_Price]]*OrdersRawTable9[[#This Row],[Quantity]]</f>
        <v>1052.1600000000001</v>
      </c>
      <c r="X519" s="47">
        <f>OrdersRawTable9[[#This Row],[Gross_Sales]]*OrdersRawTable9[[#This Row],[Discount_Pct]]</f>
        <v>0</v>
      </c>
      <c r="Y519" s="45">
        <f>OrdersRawTable9[[#This Row],[Gross_Sales]]-OrdersRawTable9[[#This Row],[Discount_Amount]]</f>
        <v>1052.1600000000001</v>
      </c>
      <c r="Z519" s="45">
        <f>OrdersRawTable9[[#This Row],[Unit_Cost]]*OrdersRawTable9[[#This Row],[Quantity]]</f>
        <v>647.36</v>
      </c>
      <c r="AA519" s="45">
        <f>OrdersRawTable9[[#This Row],[Net_Sales]]-OrdersRawTable9[[#This Row],[Total_Cost]]</f>
        <v>404.80000000000007</v>
      </c>
      <c r="AB519" s="48">
        <f>IF(OrdersRawTable9[[#This Row],[Net_Sales]]=0,0,OrdersRawTable9[[#This Row],[Profit]]/OrdersRawTable9[[#This Row],[Net_Sales]])</f>
        <v>0.38473236009732364</v>
      </c>
      <c r="AC519" s="45" t="str">
        <f>IF(COUNTIF(ReturnsRawTable[Order_Line_ID],OrdersRawTable9[[#This Row],[Order_Line_ID]])&gt;0,"Yes","No")</f>
        <v>No</v>
      </c>
      <c r="AD519" s="45" t="str">
        <f>IFERROR(VLOOKUP(OrdersRawTable9[[#This Row],[Order_Line_ID]],ReturnsRawTable[[#All],[Order_Line_ID]:[Return_Reason_Raw]],3,FALSE),"")</f>
        <v/>
      </c>
      <c r="AE519" s="49" t="str">
        <f>IFERROR(VLOOKUP(OrdersRawTable9[[#This Row],[Order_Line_ID]],ReturnsRawTable[[#All],[Order_Line_ID]:[Return_Date]],2,FALSE),"")</f>
        <v/>
      </c>
      <c r="AF519" s="45" t="str">
        <f>IFERROR(VLOOKUP(OrdersRawTable9[[#This Row],[Order_Line_ID]],ReturnsRawTable[[Order_Line_ID]:[Refund_Status]],4,FALSE),"")</f>
        <v/>
      </c>
      <c r="AG519" s="45" t="str">
        <f>VLOOKUP(OrdersRawTable9[[#This Row],[Order_ID]],ShipmentsTable[],6,FALSE)</f>
        <v>On time</v>
      </c>
      <c r="AH519" s="49">
        <f>VLOOKUP(OrdersRawTable9[[#This Row],[Order_ID]],ShipmentsTable[],3,FALSE)</f>
        <v>46020</v>
      </c>
    </row>
    <row r="520" spans="1:34" ht="15" customHeight="1">
      <c r="A520" s="14" t="s">
        <v>1087</v>
      </c>
      <c r="B520" s="10" t="s">
        <v>1088</v>
      </c>
      <c r="C520" s="20">
        <v>45766</v>
      </c>
      <c r="D520" s="10" t="s">
        <v>394</v>
      </c>
      <c r="E520" s="10" t="s">
        <v>395</v>
      </c>
      <c r="F520" s="10" t="str">
        <f>TRIM(LEFT(OrdersRawTable9[[#This Row],[Customer_Info]],FIND(",",OrdersRawTable9[[#This Row],[Customer_Info]])-1))</f>
        <v>Maya Martin</v>
      </c>
      <c r="G52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520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20" s="10">
        <f>LEN(OrdersRawTable9[[#This Row],[Customer_Info]])-LEN(SUBSTITUTE(OrdersRawTable9[[#This Row],[Customer_Info]],",",""))</f>
        <v>2</v>
      </c>
      <c r="J520" s="10" t="s">
        <v>238</v>
      </c>
      <c r="K520" s="23">
        <v>3</v>
      </c>
      <c r="L520" s="26">
        <v>82.77</v>
      </c>
      <c r="M520" s="29">
        <v>0.1</v>
      </c>
      <c r="N520" s="10" t="s">
        <v>66</v>
      </c>
      <c r="O520" s="10" t="str">
        <f>IF(TRIM(OrdersRawTable9[[#This Row],[Sales_Channel_Raw]])="Market place","Marketplace",TRIM(OrdersRawTable9[[#This Row],[Sales_Channel_Raw]]))</f>
        <v>Marketplace</v>
      </c>
      <c r="P520" s="10" t="s">
        <v>41</v>
      </c>
      <c r="Q520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20" s="15" t="s">
        <v>52</v>
      </c>
      <c r="S520" t="str">
        <f>VLOOKUP(OrdersRawTable9[[#This Row],[Customer_ID_Raw]],CustomersTable11[],4,FALSE)</f>
        <v>British Columbia</v>
      </c>
      <c r="T520" t="str">
        <f>VLOOKUP(OrdersRawTable9[[#This Row],[Customer_ID_Raw]],CustomersTable11[],5,FALSE)</f>
        <v>Small Business</v>
      </c>
      <c r="U520" s="45">
        <f>VLOOKUP(OrdersRawTable9[[#This Row],[Product_ID]],ProductsTable10[],4,FALSE)</f>
        <v>46.51</v>
      </c>
      <c r="V520" t="str">
        <f>VLOOKUP(OrdersRawTable9[[#This Row],[Product_ID]],ProductsTable10[],3,FALSE)</f>
        <v>Office</v>
      </c>
      <c r="W520" s="45">
        <f>OrdersRawTable9[[#This Row],[Unit_Price]]*OrdersRawTable9[[#This Row],[Quantity]]</f>
        <v>248.31</v>
      </c>
      <c r="X520" s="47">
        <f>OrdersRawTable9[[#This Row],[Gross_Sales]]*OrdersRawTable9[[#This Row],[Discount_Pct]]</f>
        <v>24.831000000000003</v>
      </c>
      <c r="Y520" s="45">
        <f>OrdersRawTable9[[#This Row],[Gross_Sales]]-OrdersRawTable9[[#This Row],[Discount_Amount]]</f>
        <v>223.47899999999998</v>
      </c>
      <c r="Z520" s="45">
        <f>OrdersRawTable9[[#This Row],[Unit_Cost]]*OrdersRawTable9[[#This Row],[Quantity]]</f>
        <v>139.53</v>
      </c>
      <c r="AA520" s="45">
        <f>OrdersRawTable9[[#This Row],[Net_Sales]]-OrdersRawTable9[[#This Row],[Total_Cost]]</f>
        <v>83.948999999999984</v>
      </c>
      <c r="AB520" s="48">
        <f>IF(OrdersRawTable9[[#This Row],[Net_Sales]]=0,0,OrdersRawTable9[[#This Row],[Profit]]/OrdersRawTable9[[#This Row],[Net_Sales]])</f>
        <v>0.37564603385553003</v>
      </c>
      <c r="AC520" s="45" t="str">
        <f>IF(COUNTIF(ReturnsRawTable[Order_Line_ID],OrdersRawTable9[[#This Row],[Order_Line_ID]])&gt;0,"Yes","No")</f>
        <v>No</v>
      </c>
      <c r="AD520" s="45" t="str">
        <f>IFERROR(VLOOKUP(OrdersRawTable9[[#This Row],[Order_Line_ID]],ReturnsRawTable[[#All],[Order_Line_ID]:[Return_Reason_Raw]],3,FALSE),"")</f>
        <v/>
      </c>
      <c r="AE520" s="49" t="str">
        <f>IFERROR(VLOOKUP(OrdersRawTable9[[#This Row],[Order_Line_ID]],ReturnsRawTable[[#All],[Order_Line_ID]:[Return_Date]],2,FALSE),"")</f>
        <v/>
      </c>
      <c r="AF520" s="45" t="str">
        <f>IFERROR(VLOOKUP(OrdersRawTable9[[#This Row],[Order_Line_ID]],ReturnsRawTable[[Order_Line_ID]:[Refund_Status]],4,FALSE),"")</f>
        <v/>
      </c>
      <c r="AG520" s="45" t="str">
        <f>VLOOKUP(OrdersRawTable9[[#This Row],[Order_ID]],ShipmentsTable[],6,FALSE)</f>
        <v>On time</v>
      </c>
      <c r="AH520" s="49">
        <f>VLOOKUP(OrdersRawTable9[[#This Row],[Order_ID]],ShipmentsTable[],3,FALSE)</f>
        <v>45768</v>
      </c>
    </row>
    <row r="521" spans="1:34" ht="15" customHeight="1">
      <c r="A521" s="14" t="s">
        <v>1089</v>
      </c>
      <c r="B521" s="10" t="s">
        <v>1088</v>
      </c>
      <c r="C521" s="20">
        <v>45766</v>
      </c>
      <c r="D521" s="10" t="s">
        <v>394</v>
      </c>
      <c r="E521" s="10" t="s">
        <v>395</v>
      </c>
      <c r="F521" s="10" t="str">
        <f>TRIM(LEFT(OrdersRawTable9[[#This Row],[Customer_Info]],FIND(",",OrdersRawTable9[[#This Row],[Customer_Info]])-1))</f>
        <v>Maya Martin</v>
      </c>
      <c r="G52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521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21" s="10">
        <f>LEN(OrdersRawTable9[[#This Row],[Customer_Info]])-LEN(SUBSTITUTE(OrdersRawTable9[[#This Row],[Customer_Info]],",",""))</f>
        <v>2</v>
      </c>
      <c r="J521" s="10" t="s">
        <v>100</v>
      </c>
      <c r="K521" s="23">
        <v>4</v>
      </c>
      <c r="L521" s="26">
        <v>42.72</v>
      </c>
      <c r="M521" s="29">
        <v>0</v>
      </c>
      <c r="N521" s="10" t="s">
        <v>45</v>
      </c>
      <c r="O521" s="10" t="str">
        <f>IF(TRIM(OrdersRawTable9[[#This Row],[Sales_Channel_Raw]])="Market place","Marketplace",TRIM(OrdersRawTable9[[#This Row],[Sales_Channel_Raw]]))</f>
        <v>Retail Store</v>
      </c>
      <c r="P521" s="10" t="s">
        <v>41</v>
      </c>
      <c r="Q521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21" s="15" t="s">
        <v>101</v>
      </c>
      <c r="S521" t="str">
        <f>VLOOKUP(OrdersRawTable9[[#This Row],[Customer_ID_Raw]],CustomersTable11[],4,FALSE)</f>
        <v>British Columbia</v>
      </c>
      <c r="T521" t="str">
        <f>VLOOKUP(OrdersRawTable9[[#This Row],[Customer_ID_Raw]],CustomersTable11[],5,FALSE)</f>
        <v>Small Business</v>
      </c>
      <c r="U521" s="45">
        <f>VLOOKUP(OrdersRawTable9[[#This Row],[Product_ID]],ProductsTable10[],4,FALSE)</f>
        <v>24.46</v>
      </c>
      <c r="V521" t="str">
        <f>VLOOKUP(OrdersRawTable9[[#This Row],[Product_ID]],ProductsTable10[],3,FALSE)</f>
        <v>Electronics</v>
      </c>
      <c r="W521" s="45">
        <f>OrdersRawTable9[[#This Row],[Unit_Price]]*OrdersRawTable9[[#This Row],[Quantity]]</f>
        <v>170.88</v>
      </c>
      <c r="X521" s="47">
        <f>OrdersRawTable9[[#This Row],[Gross_Sales]]*OrdersRawTable9[[#This Row],[Discount_Pct]]</f>
        <v>0</v>
      </c>
      <c r="Y521" s="45">
        <f>OrdersRawTable9[[#This Row],[Gross_Sales]]-OrdersRawTable9[[#This Row],[Discount_Amount]]</f>
        <v>170.88</v>
      </c>
      <c r="Z521" s="45">
        <f>OrdersRawTable9[[#This Row],[Unit_Cost]]*OrdersRawTable9[[#This Row],[Quantity]]</f>
        <v>97.84</v>
      </c>
      <c r="AA521" s="45">
        <f>OrdersRawTable9[[#This Row],[Net_Sales]]-OrdersRawTable9[[#This Row],[Total_Cost]]</f>
        <v>73.039999999999992</v>
      </c>
      <c r="AB521" s="48">
        <f>IF(OrdersRawTable9[[#This Row],[Net_Sales]]=0,0,OrdersRawTable9[[#This Row],[Profit]]/OrdersRawTable9[[#This Row],[Net_Sales]])</f>
        <v>0.42743445692883891</v>
      </c>
      <c r="AC521" s="45" t="str">
        <f>IF(COUNTIF(ReturnsRawTable[Order_Line_ID],OrdersRawTable9[[#This Row],[Order_Line_ID]])&gt;0,"Yes","No")</f>
        <v>No</v>
      </c>
      <c r="AD521" s="45" t="str">
        <f>IFERROR(VLOOKUP(OrdersRawTable9[[#This Row],[Order_Line_ID]],ReturnsRawTable[[#All],[Order_Line_ID]:[Return_Reason_Raw]],3,FALSE),"")</f>
        <v/>
      </c>
      <c r="AE521" s="49" t="str">
        <f>IFERROR(VLOOKUP(OrdersRawTable9[[#This Row],[Order_Line_ID]],ReturnsRawTable[[#All],[Order_Line_ID]:[Return_Date]],2,FALSE),"")</f>
        <v/>
      </c>
      <c r="AF521" s="45" t="str">
        <f>IFERROR(VLOOKUP(OrdersRawTable9[[#This Row],[Order_Line_ID]],ReturnsRawTable[[Order_Line_ID]:[Refund_Status]],4,FALSE),"")</f>
        <v/>
      </c>
      <c r="AG521" s="45" t="str">
        <f>VLOOKUP(OrdersRawTable9[[#This Row],[Order_ID]],ShipmentsTable[],6,FALSE)</f>
        <v>On time</v>
      </c>
      <c r="AH521" s="49">
        <f>VLOOKUP(OrdersRawTable9[[#This Row],[Order_ID]],ShipmentsTable[],3,FALSE)</f>
        <v>45768</v>
      </c>
    </row>
    <row r="522" spans="1:34" ht="15" customHeight="1">
      <c r="A522" s="14" t="s">
        <v>1090</v>
      </c>
      <c r="B522" s="10" t="s">
        <v>1088</v>
      </c>
      <c r="C522" s="20">
        <v>45766</v>
      </c>
      <c r="D522" s="10" t="s">
        <v>394</v>
      </c>
      <c r="E522" s="10" t="s">
        <v>395</v>
      </c>
      <c r="F522" s="10" t="str">
        <f>TRIM(LEFT(OrdersRawTable9[[#This Row],[Customer_Info]],FIND(",",OrdersRawTable9[[#This Row],[Customer_Info]])-1))</f>
        <v>Maya Martin</v>
      </c>
      <c r="G52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522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22" s="10">
        <f>LEN(OrdersRawTable9[[#This Row],[Customer_Info]])-LEN(SUBSTITUTE(OrdersRawTable9[[#This Row],[Customer_Info]],",",""))</f>
        <v>2</v>
      </c>
      <c r="J522" s="10" t="s">
        <v>130</v>
      </c>
      <c r="K522" s="23">
        <v>4</v>
      </c>
      <c r="L522" s="26">
        <v>265.73</v>
      </c>
      <c r="M522" s="29">
        <v>0.1</v>
      </c>
      <c r="N522" s="10" t="s">
        <v>50</v>
      </c>
      <c r="O522" s="10" t="str">
        <f>IF(TRIM(OrdersRawTable9[[#This Row],[Sales_Channel_Raw]])="Market place","Marketplace",TRIM(OrdersRawTable9[[#This Row],[Sales_Channel_Raw]]))</f>
        <v>Marketplace</v>
      </c>
      <c r="P522" s="10" t="s">
        <v>98</v>
      </c>
      <c r="Q522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522" s="15" t="s">
        <v>101</v>
      </c>
      <c r="S522" t="str">
        <f>VLOOKUP(OrdersRawTable9[[#This Row],[Customer_ID_Raw]],CustomersTable11[],4,FALSE)</f>
        <v>British Columbia</v>
      </c>
      <c r="T522" t="str">
        <f>VLOOKUP(OrdersRawTable9[[#This Row],[Customer_ID_Raw]],CustomersTable11[],5,FALSE)</f>
        <v>Small Business</v>
      </c>
      <c r="U522" s="45">
        <f>VLOOKUP(OrdersRawTable9[[#This Row],[Product_ID]],ProductsTable10[],4,FALSE)</f>
        <v>154.16999999999999</v>
      </c>
      <c r="V522" t="str">
        <f>VLOOKUP(OrdersRawTable9[[#This Row],[Product_ID]],ProductsTable10[],3,FALSE)</f>
        <v>Electronics</v>
      </c>
      <c r="W522" s="45">
        <f>OrdersRawTable9[[#This Row],[Unit_Price]]*OrdersRawTable9[[#This Row],[Quantity]]</f>
        <v>1062.92</v>
      </c>
      <c r="X522" s="47">
        <f>OrdersRawTable9[[#This Row],[Gross_Sales]]*OrdersRawTable9[[#This Row],[Discount_Pct]]</f>
        <v>106.29200000000002</v>
      </c>
      <c r="Y522" s="45">
        <f>OrdersRawTable9[[#This Row],[Gross_Sales]]-OrdersRawTable9[[#This Row],[Discount_Amount]]</f>
        <v>956.62800000000004</v>
      </c>
      <c r="Z522" s="45">
        <f>OrdersRawTable9[[#This Row],[Unit_Cost]]*OrdersRawTable9[[#This Row],[Quantity]]</f>
        <v>616.67999999999995</v>
      </c>
      <c r="AA522" s="45">
        <f>OrdersRawTable9[[#This Row],[Net_Sales]]-OrdersRawTable9[[#This Row],[Total_Cost]]</f>
        <v>339.94800000000009</v>
      </c>
      <c r="AB522" s="48">
        <f>IF(OrdersRawTable9[[#This Row],[Net_Sales]]=0,0,OrdersRawTable9[[#This Row],[Profit]]/OrdersRawTable9[[#This Row],[Net_Sales]])</f>
        <v>0.35536070447446666</v>
      </c>
      <c r="AC522" s="45" t="str">
        <f>IF(COUNTIF(ReturnsRawTable[Order_Line_ID],OrdersRawTable9[[#This Row],[Order_Line_ID]])&gt;0,"Yes","No")</f>
        <v>No</v>
      </c>
      <c r="AD522" s="45" t="str">
        <f>IFERROR(VLOOKUP(OrdersRawTable9[[#This Row],[Order_Line_ID]],ReturnsRawTable[[#All],[Order_Line_ID]:[Return_Reason_Raw]],3,FALSE),"")</f>
        <v/>
      </c>
      <c r="AE522" s="49" t="str">
        <f>IFERROR(VLOOKUP(OrdersRawTable9[[#This Row],[Order_Line_ID]],ReturnsRawTable[[#All],[Order_Line_ID]:[Return_Date]],2,FALSE),"")</f>
        <v/>
      </c>
      <c r="AF522" s="45" t="str">
        <f>IFERROR(VLOOKUP(OrdersRawTable9[[#This Row],[Order_Line_ID]],ReturnsRawTable[[Order_Line_ID]:[Refund_Status]],4,FALSE),"")</f>
        <v/>
      </c>
      <c r="AG522" s="45" t="str">
        <f>VLOOKUP(OrdersRawTable9[[#This Row],[Order_ID]],ShipmentsTable[],6,FALSE)</f>
        <v>On time</v>
      </c>
      <c r="AH522" s="49">
        <f>VLOOKUP(OrdersRawTable9[[#This Row],[Order_ID]],ShipmentsTable[],3,FALSE)</f>
        <v>45768</v>
      </c>
    </row>
    <row r="523" spans="1:34" ht="15" customHeight="1">
      <c r="A523" s="14" t="s">
        <v>1091</v>
      </c>
      <c r="B523" s="10" t="s">
        <v>1092</v>
      </c>
      <c r="C523" s="20">
        <v>45884</v>
      </c>
      <c r="D523" s="10" t="s">
        <v>1093</v>
      </c>
      <c r="E523" s="10" t="s">
        <v>1094</v>
      </c>
      <c r="F523" s="10" t="str">
        <f>TRIM(LEFT(OrdersRawTable9[[#This Row],[Customer_Info]],FIND(",",OrdersRawTable9[[#This Row],[Customer_Info]])-1))</f>
        <v>Liam Singh</v>
      </c>
      <c r="G52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523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523" s="10">
        <f>LEN(OrdersRawTable9[[#This Row],[Customer_Info]])-LEN(SUBSTITUTE(OrdersRawTable9[[#This Row],[Customer_Info]],",",""))</f>
        <v>2</v>
      </c>
      <c r="J523" s="10" t="s">
        <v>150</v>
      </c>
      <c r="K523" s="23">
        <v>1</v>
      </c>
      <c r="L523" s="26">
        <v>263.04000000000002</v>
      </c>
      <c r="M523" s="29">
        <v>0.05</v>
      </c>
      <c r="N523" s="10" t="s">
        <v>50</v>
      </c>
      <c r="O523" s="10" t="str">
        <f>IF(TRIM(OrdersRawTable9[[#This Row],[Sales_Channel_Raw]])="Market place","Marketplace",TRIM(OrdersRawTable9[[#This Row],[Sales_Channel_Raw]]))</f>
        <v>Marketplace</v>
      </c>
      <c r="P523" s="10" t="s">
        <v>51</v>
      </c>
      <c r="Q523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523" s="15" t="s">
        <v>42</v>
      </c>
      <c r="S523" t="str">
        <f>VLOOKUP(OrdersRawTable9[[#This Row],[Customer_ID_Raw]],CustomersTable11[],4,FALSE)</f>
        <v>Ontario</v>
      </c>
      <c r="T523" t="str">
        <f>VLOOKUP(OrdersRawTable9[[#This Row],[Customer_ID_Raw]],CustomersTable11[],5,FALSE)</f>
        <v>Corporate</v>
      </c>
      <c r="U523" s="45">
        <f>VLOOKUP(OrdersRawTable9[[#This Row],[Product_ID]],ProductsTable10[],4,FALSE)</f>
        <v>161.84</v>
      </c>
      <c r="V523" t="str">
        <f>VLOOKUP(OrdersRawTable9[[#This Row],[Product_ID]],ProductsTable10[],3,FALSE)</f>
        <v>Office</v>
      </c>
      <c r="W523" s="45">
        <f>OrdersRawTable9[[#This Row],[Unit_Price]]*OrdersRawTable9[[#This Row],[Quantity]]</f>
        <v>263.04000000000002</v>
      </c>
      <c r="X523" s="47">
        <f>OrdersRawTable9[[#This Row],[Gross_Sales]]*OrdersRawTable9[[#This Row],[Discount_Pct]]</f>
        <v>13.152000000000001</v>
      </c>
      <c r="Y523" s="45">
        <f>OrdersRawTable9[[#This Row],[Gross_Sales]]-OrdersRawTable9[[#This Row],[Discount_Amount]]</f>
        <v>249.88800000000003</v>
      </c>
      <c r="Z523" s="45">
        <f>OrdersRawTable9[[#This Row],[Unit_Cost]]*OrdersRawTable9[[#This Row],[Quantity]]</f>
        <v>161.84</v>
      </c>
      <c r="AA523" s="45">
        <f>OrdersRawTable9[[#This Row],[Net_Sales]]-OrdersRawTable9[[#This Row],[Total_Cost]]</f>
        <v>88.04800000000003</v>
      </c>
      <c r="AB523" s="48">
        <f>IF(OrdersRawTable9[[#This Row],[Net_Sales]]=0,0,OrdersRawTable9[[#This Row],[Profit]]/OrdersRawTable9[[#This Row],[Net_Sales]])</f>
        <v>0.35234985273402492</v>
      </c>
      <c r="AC523" s="45" t="str">
        <f>IF(COUNTIF(ReturnsRawTable[Order_Line_ID],OrdersRawTable9[[#This Row],[Order_Line_ID]])&gt;0,"Yes","No")</f>
        <v>Yes</v>
      </c>
      <c r="AD523" s="45" t="str">
        <f>IFERROR(VLOOKUP(OrdersRawTable9[[#This Row],[Order_Line_ID]],ReturnsRawTable[[#All],[Order_Line_ID]:[Return_Reason_Raw]],3,FALSE),"")</f>
        <v>Changed Mind</v>
      </c>
      <c r="AE523" s="49">
        <f>IFERROR(VLOOKUP(OrdersRawTable9[[#This Row],[Order_Line_ID]],ReturnsRawTable[[#All],[Order_Line_ID]:[Return_Date]],2,FALSE),"")</f>
        <v>45899</v>
      </c>
      <c r="AF523" s="45" t="str">
        <f>IFERROR(VLOOKUP(OrdersRawTable9[[#This Row],[Order_Line_ID]],ReturnsRawTable[[Order_Line_ID]:[Refund_Status]],4,FALSE),"")</f>
        <v>Refunded</v>
      </c>
      <c r="AG523" s="45" t="str">
        <f>VLOOKUP(OrdersRawTable9[[#This Row],[Order_ID]],ShipmentsTable[],6,FALSE)</f>
        <v>Late</v>
      </c>
      <c r="AH523" s="49">
        <f>VLOOKUP(OrdersRawTable9[[#This Row],[Order_ID]],ShipmentsTable[],3,FALSE)</f>
        <v>45894</v>
      </c>
    </row>
    <row r="524" spans="1:34" ht="15" customHeight="1">
      <c r="A524" s="14" t="s">
        <v>1095</v>
      </c>
      <c r="B524" s="10" t="s">
        <v>1096</v>
      </c>
      <c r="C524" s="20">
        <v>45834</v>
      </c>
      <c r="D524" s="10" t="s">
        <v>1097</v>
      </c>
      <c r="E524" s="10" t="s">
        <v>1098</v>
      </c>
      <c r="F524" s="10" t="str">
        <f>TRIM(LEFT(OrdersRawTable9[[#This Row],[Customer_Info]],FIND(",",OrdersRawTable9[[#This Row],[Customer_Info]])-1))</f>
        <v>Ethan Dubois</v>
      </c>
      <c r="G52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524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24" s="10">
        <f>LEN(OrdersRawTable9[[#This Row],[Customer_Info]])-LEN(SUBSTITUTE(OrdersRawTable9[[#This Row],[Customer_Info]],",",""))</f>
        <v>2</v>
      </c>
      <c r="J524" s="10" t="s">
        <v>495</v>
      </c>
      <c r="K524" s="23">
        <v>4</v>
      </c>
      <c r="L524" s="26">
        <v>207.71</v>
      </c>
      <c r="M524" s="29">
        <v>0.15</v>
      </c>
      <c r="N524" s="10" t="s">
        <v>50</v>
      </c>
      <c r="O524" s="10" t="str">
        <f>IF(TRIM(OrdersRawTable9[[#This Row],[Sales_Channel_Raw]])="Market place","Marketplace",TRIM(OrdersRawTable9[[#This Row],[Sales_Channel_Raw]]))</f>
        <v>Marketplace</v>
      </c>
      <c r="P524" s="10" t="s">
        <v>41</v>
      </c>
      <c r="Q524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24" s="15" t="s">
        <v>47</v>
      </c>
      <c r="S524" t="str">
        <f>VLOOKUP(OrdersRawTable9[[#This Row],[Customer_ID_Raw]],CustomersTable11[],4,FALSE)</f>
        <v>British Columbia</v>
      </c>
      <c r="T524" t="str">
        <f>VLOOKUP(OrdersRawTable9[[#This Row],[Customer_ID_Raw]],CustomersTable11[],5,FALSE)</f>
        <v>Small Business</v>
      </c>
      <c r="U524" s="45">
        <f>VLOOKUP(OrdersRawTable9[[#This Row],[Product_ID]],ProductsTable10[],4,FALSE)</f>
        <v>132.97</v>
      </c>
      <c r="V524" t="str">
        <f>VLOOKUP(OrdersRawTable9[[#This Row],[Product_ID]],ProductsTable10[],3,FALSE)</f>
        <v>Home</v>
      </c>
      <c r="W524" s="45">
        <f>OrdersRawTable9[[#This Row],[Unit_Price]]*OrdersRawTable9[[#This Row],[Quantity]]</f>
        <v>830.84</v>
      </c>
      <c r="X524" s="47">
        <f>OrdersRawTable9[[#This Row],[Gross_Sales]]*OrdersRawTable9[[#This Row],[Discount_Pct]]</f>
        <v>124.626</v>
      </c>
      <c r="Y524" s="45">
        <f>OrdersRawTable9[[#This Row],[Gross_Sales]]-OrdersRawTable9[[#This Row],[Discount_Amount]]</f>
        <v>706.21400000000006</v>
      </c>
      <c r="Z524" s="45">
        <f>OrdersRawTable9[[#This Row],[Unit_Cost]]*OrdersRawTable9[[#This Row],[Quantity]]</f>
        <v>531.88</v>
      </c>
      <c r="AA524" s="45">
        <f>OrdersRawTable9[[#This Row],[Net_Sales]]-OrdersRawTable9[[#This Row],[Total_Cost]]</f>
        <v>174.33400000000006</v>
      </c>
      <c r="AB524" s="48">
        <f>IF(OrdersRawTable9[[#This Row],[Net_Sales]]=0,0,OrdersRawTable9[[#This Row],[Profit]]/OrdersRawTable9[[#This Row],[Net_Sales]])</f>
        <v>0.24685718493261255</v>
      </c>
      <c r="AC524" s="45" t="str">
        <f>IF(COUNTIF(ReturnsRawTable[Order_Line_ID],OrdersRawTable9[[#This Row],[Order_Line_ID]])&gt;0,"Yes","No")</f>
        <v>No</v>
      </c>
      <c r="AD524" s="45" t="str">
        <f>IFERROR(VLOOKUP(OrdersRawTable9[[#This Row],[Order_Line_ID]],ReturnsRawTable[[#All],[Order_Line_ID]:[Return_Reason_Raw]],3,FALSE),"")</f>
        <v/>
      </c>
      <c r="AE524" s="49" t="str">
        <f>IFERROR(VLOOKUP(OrdersRawTable9[[#This Row],[Order_Line_ID]],ReturnsRawTable[[#All],[Order_Line_ID]:[Return_Date]],2,FALSE),"")</f>
        <v/>
      </c>
      <c r="AF524" s="45" t="str">
        <f>IFERROR(VLOOKUP(OrdersRawTable9[[#This Row],[Order_Line_ID]],ReturnsRawTable[[Order_Line_ID]:[Refund_Status]],4,FALSE),"")</f>
        <v/>
      </c>
      <c r="AG524" s="45" t="str">
        <f>VLOOKUP(OrdersRawTable9[[#This Row],[Order_ID]],ShipmentsTable[],6,FALSE)</f>
        <v>Late</v>
      </c>
      <c r="AH524" s="49">
        <f>VLOOKUP(OrdersRawTable9[[#This Row],[Order_ID]],ShipmentsTable[],3,FALSE)</f>
        <v>45840</v>
      </c>
    </row>
    <row r="525" spans="1:34" ht="15" customHeight="1">
      <c r="A525" s="14" t="s">
        <v>1099</v>
      </c>
      <c r="B525" s="10" t="s">
        <v>1096</v>
      </c>
      <c r="C525" s="20">
        <v>45834</v>
      </c>
      <c r="D525" s="10" t="s">
        <v>1097</v>
      </c>
      <c r="E525" s="10" t="s">
        <v>1098</v>
      </c>
      <c r="F525" s="10" t="str">
        <f>TRIM(LEFT(OrdersRawTable9[[#This Row],[Customer_Info]],FIND(",",OrdersRawTable9[[#This Row],[Customer_Info]])-1))</f>
        <v>Ethan Dubois</v>
      </c>
      <c r="G52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525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25" s="10">
        <f>LEN(OrdersRawTable9[[#This Row],[Customer_Info]])-LEN(SUBSTITUTE(OrdersRawTable9[[#This Row],[Customer_Info]],",",""))</f>
        <v>2</v>
      </c>
      <c r="J525" s="10" t="s">
        <v>332</v>
      </c>
      <c r="K525" s="23">
        <v>4</v>
      </c>
      <c r="L525" s="26">
        <v>273.89</v>
      </c>
      <c r="M525" s="29">
        <v>0.15</v>
      </c>
      <c r="N525" s="10" t="s">
        <v>45</v>
      </c>
      <c r="O525" s="10" t="str">
        <f>IF(TRIM(OrdersRawTable9[[#This Row],[Sales_Channel_Raw]])="Market place","Marketplace",TRIM(OrdersRawTable9[[#This Row],[Sales_Channel_Raw]]))</f>
        <v>Retail Store</v>
      </c>
      <c r="P525" s="10" t="s">
        <v>98</v>
      </c>
      <c r="Q525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525" s="15" t="s">
        <v>67</v>
      </c>
      <c r="S525" t="str">
        <f>VLOOKUP(OrdersRawTable9[[#This Row],[Customer_ID_Raw]],CustomersTable11[],4,FALSE)</f>
        <v>British Columbia</v>
      </c>
      <c r="T525" t="str">
        <f>VLOOKUP(OrdersRawTable9[[#This Row],[Customer_ID_Raw]],CustomersTable11[],5,FALSE)</f>
        <v>Small Business</v>
      </c>
      <c r="U525" s="45">
        <f>VLOOKUP(OrdersRawTable9[[#This Row],[Product_ID]],ProductsTable10[],4,FALSE)</f>
        <v>140.66999999999999</v>
      </c>
      <c r="V525" t="str">
        <f>VLOOKUP(OrdersRawTable9[[#This Row],[Product_ID]],ProductsTable10[],3,FALSE)</f>
        <v>Home</v>
      </c>
      <c r="W525" s="45">
        <f>OrdersRawTable9[[#This Row],[Unit_Price]]*OrdersRawTable9[[#This Row],[Quantity]]</f>
        <v>1095.56</v>
      </c>
      <c r="X525" s="47">
        <f>OrdersRawTable9[[#This Row],[Gross_Sales]]*OrdersRawTable9[[#This Row],[Discount_Pct]]</f>
        <v>164.33399999999997</v>
      </c>
      <c r="Y525" s="45">
        <f>OrdersRawTable9[[#This Row],[Gross_Sales]]-OrdersRawTable9[[#This Row],[Discount_Amount]]</f>
        <v>931.226</v>
      </c>
      <c r="Z525" s="45">
        <f>OrdersRawTable9[[#This Row],[Unit_Cost]]*OrdersRawTable9[[#This Row],[Quantity]]</f>
        <v>562.67999999999995</v>
      </c>
      <c r="AA525" s="45">
        <f>OrdersRawTable9[[#This Row],[Net_Sales]]-OrdersRawTable9[[#This Row],[Total_Cost]]</f>
        <v>368.54600000000005</v>
      </c>
      <c r="AB525" s="48">
        <f>IF(OrdersRawTable9[[#This Row],[Net_Sales]]=0,0,OrdersRawTable9[[#This Row],[Profit]]/OrdersRawTable9[[#This Row],[Net_Sales]])</f>
        <v>0.39576429352273246</v>
      </c>
      <c r="AC525" s="45" t="str">
        <f>IF(COUNTIF(ReturnsRawTable[Order_Line_ID],OrdersRawTable9[[#This Row],[Order_Line_ID]])&gt;0,"Yes","No")</f>
        <v>No</v>
      </c>
      <c r="AD525" s="45" t="str">
        <f>IFERROR(VLOOKUP(OrdersRawTable9[[#This Row],[Order_Line_ID]],ReturnsRawTable[[#All],[Order_Line_ID]:[Return_Reason_Raw]],3,FALSE),"")</f>
        <v/>
      </c>
      <c r="AE525" s="49" t="str">
        <f>IFERROR(VLOOKUP(OrdersRawTable9[[#This Row],[Order_Line_ID]],ReturnsRawTable[[#All],[Order_Line_ID]:[Return_Date]],2,FALSE),"")</f>
        <v/>
      </c>
      <c r="AF525" s="45" t="str">
        <f>IFERROR(VLOOKUP(OrdersRawTable9[[#This Row],[Order_Line_ID]],ReturnsRawTable[[Order_Line_ID]:[Refund_Status]],4,FALSE),"")</f>
        <v/>
      </c>
      <c r="AG525" s="45" t="str">
        <f>VLOOKUP(OrdersRawTable9[[#This Row],[Order_ID]],ShipmentsTable[],6,FALSE)</f>
        <v>Late</v>
      </c>
      <c r="AH525" s="49">
        <f>VLOOKUP(OrdersRawTable9[[#This Row],[Order_ID]],ShipmentsTable[],3,FALSE)</f>
        <v>45840</v>
      </c>
    </row>
    <row r="526" spans="1:34" ht="15" customHeight="1">
      <c r="A526" s="14" t="s">
        <v>1100</v>
      </c>
      <c r="B526" s="10" t="s">
        <v>1101</v>
      </c>
      <c r="C526" s="20">
        <v>45687</v>
      </c>
      <c r="D526" s="10" t="s">
        <v>432</v>
      </c>
      <c r="E526" s="10" t="s">
        <v>433</v>
      </c>
      <c r="F526" s="10" t="str">
        <f>TRIM(LEFT(OrdersRawTable9[[#This Row],[Customer_Info]],FIND(",",OrdersRawTable9[[#This Row],[Customer_Info]])-1))</f>
        <v>Yara Gagnon</v>
      </c>
      <c r="G52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526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526" s="10">
        <f>LEN(OrdersRawTable9[[#This Row],[Customer_Info]])-LEN(SUBSTITUTE(OrdersRawTable9[[#This Row],[Customer_Info]],",",""))</f>
        <v>2</v>
      </c>
      <c r="J526" s="10" t="s">
        <v>332</v>
      </c>
      <c r="K526" s="23">
        <v>2</v>
      </c>
      <c r="L526" s="26">
        <v>273.89</v>
      </c>
      <c r="M526" s="29">
        <v>0.05</v>
      </c>
      <c r="N526" s="10" t="s">
        <v>40</v>
      </c>
      <c r="O526" s="10" t="str">
        <f>IF(TRIM(OrdersRawTable9[[#This Row],[Sales_Channel_Raw]])="Market place","Marketplace",TRIM(OrdersRawTable9[[#This Row],[Sales_Channel_Raw]]))</f>
        <v>Online</v>
      </c>
      <c r="P526" s="10" t="s">
        <v>41</v>
      </c>
      <c r="Q526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26" s="15" t="s">
        <v>47</v>
      </c>
      <c r="S526" t="str">
        <f>VLOOKUP(OrdersRawTable9[[#This Row],[Customer_ID_Raw]],CustomersTable11[],4,FALSE)</f>
        <v>Manitoba</v>
      </c>
      <c r="T526" t="str">
        <f>VLOOKUP(OrdersRawTable9[[#This Row],[Customer_ID_Raw]],CustomersTable11[],5,FALSE)</f>
        <v>Corporate</v>
      </c>
      <c r="U526" s="45">
        <f>VLOOKUP(OrdersRawTable9[[#This Row],[Product_ID]],ProductsTable10[],4,FALSE)</f>
        <v>140.66999999999999</v>
      </c>
      <c r="V526" t="str">
        <f>VLOOKUP(OrdersRawTable9[[#This Row],[Product_ID]],ProductsTable10[],3,FALSE)</f>
        <v>Home</v>
      </c>
      <c r="W526" s="45">
        <f>OrdersRawTable9[[#This Row],[Unit_Price]]*OrdersRawTable9[[#This Row],[Quantity]]</f>
        <v>547.78</v>
      </c>
      <c r="X526" s="47">
        <f>OrdersRawTable9[[#This Row],[Gross_Sales]]*OrdersRawTable9[[#This Row],[Discount_Pct]]</f>
        <v>27.388999999999999</v>
      </c>
      <c r="Y526" s="45">
        <f>OrdersRawTable9[[#This Row],[Gross_Sales]]-OrdersRawTable9[[#This Row],[Discount_Amount]]</f>
        <v>520.39099999999996</v>
      </c>
      <c r="Z526" s="45">
        <f>OrdersRawTable9[[#This Row],[Unit_Cost]]*OrdersRawTable9[[#This Row],[Quantity]]</f>
        <v>281.33999999999997</v>
      </c>
      <c r="AA526" s="45">
        <f>OrdersRawTable9[[#This Row],[Net_Sales]]-OrdersRawTable9[[#This Row],[Total_Cost]]</f>
        <v>239.05099999999999</v>
      </c>
      <c r="AB526" s="48">
        <f>IF(OrdersRawTable9[[#This Row],[Net_Sales]]=0,0,OrdersRawTable9[[#This Row],[Profit]]/OrdersRawTable9[[#This Row],[Net_Sales]])</f>
        <v>0.45936805209928688</v>
      </c>
      <c r="AC526" s="45" t="str">
        <f>IF(COUNTIF(ReturnsRawTable[Order_Line_ID],OrdersRawTable9[[#This Row],[Order_Line_ID]])&gt;0,"Yes","No")</f>
        <v>No</v>
      </c>
      <c r="AD526" s="45" t="str">
        <f>IFERROR(VLOOKUP(OrdersRawTable9[[#This Row],[Order_Line_ID]],ReturnsRawTable[[#All],[Order_Line_ID]:[Return_Reason_Raw]],3,FALSE),"")</f>
        <v/>
      </c>
      <c r="AE526" s="49" t="str">
        <f>IFERROR(VLOOKUP(OrdersRawTable9[[#This Row],[Order_Line_ID]],ReturnsRawTable[[#All],[Order_Line_ID]:[Return_Date]],2,FALSE),"")</f>
        <v/>
      </c>
      <c r="AF526" s="45" t="str">
        <f>IFERROR(VLOOKUP(OrdersRawTable9[[#This Row],[Order_Line_ID]],ReturnsRawTable[[Order_Line_ID]:[Refund_Status]],4,FALSE),"")</f>
        <v/>
      </c>
      <c r="AG526" s="45" t="str">
        <f>VLOOKUP(OrdersRawTable9[[#This Row],[Order_ID]],ShipmentsTable[],6,FALSE)</f>
        <v>Late</v>
      </c>
      <c r="AH526" s="49">
        <f>VLOOKUP(OrdersRawTable9[[#This Row],[Order_ID]],ShipmentsTable[],3,FALSE)</f>
        <v>45696</v>
      </c>
    </row>
    <row r="527" spans="1:34" ht="15" customHeight="1">
      <c r="A527" s="14" t="s">
        <v>1102</v>
      </c>
      <c r="B527" s="10" t="s">
        <v>1101</v>
      </c>
      <c r="C527" s="20">
        <v>45687</v>
      </c>
      <c r="D527" s="10" t="s">
        <v>432</v>
      </c>
      <c r="E527" s="10" t="s">
        <v>433</v>
      </c>
      <c r="F527" s="10" t="str">
        <f>TRIM(LEFT(OrdersRawTable9[[#This Row],[Customer_Info]],FIND(",",OrdersRawTable9[[#This Row],[Customer_Info]])-1))</f>
        <v>Yara Gagnon</v>
      </c>
      <c r="G52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527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527" s="10">
        <f>LEN(OrdersRawTable9[[#This Row],[Customer_Info]])-LEN(SUBSTITUTE(OrdersRawTable9[[#This Row],[Customer_Info]],",",""))</f>
        <v>2</v>
      </c>
      <c r="J527" s="10" t="s">
        <v>69</v>
      </c>
      <c r="K527" s="23">
        <v>4</v>
      </c>
      <c r="L527" s="26">
        <v>75.75</v>
      </c>
      <c r="M527" s="29">
        <v>0</v>
      </c>
      <c r="N527" s="10" t="s">
        <v>45</v>
      </c>
      <c r="O527" s="10" t="str">
        <f>IF(TRIM(OrdersRawTable9[[#This Row],[Sales_Channel_Raw]])="Market place","Marketplace",TRIM(OrdersRawTable9[[#This Row],[Sales_Channel_Raw]]))</f>
        <v>Retail Store</v>
      </c>
      <c r="P527" s="10" t="s">
        <v>46</v>
      </c>
      <c r="Q527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27" s="15" t="s">
        <v>42</v>
      </c>
      <c r="S527" t="str">
        <f>VLOOKUP(OrdersRawTable9[[#This Row],[Customer_ID_Raw]],CustomersTable11[],4,FALSE)</f>
        <v>Manitoba</v>
      </c>
      <c r="T527" t="str">
        <f>VLOOKUP(OrdersRawTable9[[#This Row],[Customer_ID_Raw]],CustomersTable11[],5,FALSE)</f>
        <v>Corporate</v>
      </c>
      <c r="U527" s="45">
        <f>VLOOKUP(OrdersRawTable9[[#This Row],[Product_ID]],ProductsTable10[],4,FALSE)</f>
        <v>42.37</v>
      </c>
      <c r="V527" t="str">
        <f>VLOOKUP(OrdersRawTable9[[#This Row],[Product_ID]],ProductsTable10[],3,FALSE)</f>
        <v>Office</v>
      </c>
      <c r="W527" s="45">
        <f>OrdersRawTable9[[#This Row],[Unit_Price]]*OrdersRawTable9[[#This Row],[Quantity]]</f>
        <v>303</v>
      </c>
      <c r="X527" s="47">
        <f>OrdersRawTable9[[#This Row],[Gross_Sales]]*OrdersRawTable9[[#This Row],[Discount_Pct]]</f>
        <v>0</v>
      </c>
      <c r="Y527" s="45">
        <f>OrdersRawTable9[[#This Row],[Gross_Sales]]-OrdersRawTable9[[#This Row],[Discount_Amount]]</f>
        <v>303</v>
      </c>
      <c r="Z527" s="45">
        <f>OrdersRawTable9[[#This Row],[Unit_Cost]]*OrdersRawTable9[[#This Row],[Quantity]]</f>
        <v>169.48</v>
      </c>
      <c r="AA527" s="45">
        <f>OrdersRawTable9[[#This Row],[Net_Sales]]-OrdersRawTable9[[#This Row],[Total_Cost]]</f>
        <v>133.52000000000001</v>
      </c>
      <c r="AB527" s="48">
        <f>IF(OrdersRawTable9[[#This Row],[Net_Sales]]=0,0,OrdersRawTable9[[#This Row],[Profit]]/OrdersRawTable9[[#This Row],[Net_Sales]])</f>
        <v>0.44066006600660068</v>
      </c>
      <c r="AC527" s="45" t="str">
        <f>IF(COUNTIF(ReturnsRawTable[Order_Line_ID],OrdersRawTable9[[#This Row],[Order_Line_ID]])&gt;0,"Yes","No")</f>
        <v>No</v>
      </c>
      <c r="AD527" s="45" t="str">
        <f>IFERROR(VLOOKUP(OrdersRawTable9[[#This Row],[Order_Line_ID]],ReturnsRawTable[[#All],[Order_Line_ID]:[Return_Reason_Raw]],3,FALSE),"")</f>
        <v/>
      </c>
      <c r="AE527" s="49" t="str">
        <f>IFERROR(VLOOKUP(OrdersRawTable9[[#This Row],[Order_Line_ID]],ReturnsRawTable[[#All],[Order_Line_ID]:[Return_Date]],2,FALSE),"")</f>
        <v/>
      </c>
      <c r="AF527" s="45" t="str">
        <f>IFERROR(VLOOKUP(OrdersRawTable9[[#This Row],[Order_Line_ID]],ReturnsRawTable[[Order_Line_ID]:[Refund_Status]],4,FALSE),"")</f>
        <v/>
      </c>
      <c r="AG527" s="45" t="str">
        <f>VLOOKUP(OrdersRawTable9[[#This Row],[Order_ID]],ShipmentsTable[],6,FALSE)</f>
        <v>Late</v>
      </c>
      <c r="AH527" s="49">
        <f>VLOOKUP(OrdersRawTable9[[#This Row],[Order_ID]],ShipmentsTable[],3,FALSE)</f>
        <v>45696</v>
      </c>
    </row>
    <row r="528" spans="1:34" ht="15" customHeight="1">
      <c r="A528" s="14" t="s">
        <v>1103</v>
      </c>
      <c r="B528" s="10" t="s">
        <v>1101</v>
      </c>
      <c r="C528" s="20">
        <v>45687</v>
      </c>
      <c r="D528" s="10" t="s">
        <v>432</v>
      </c>
      <c r="E528" s="10" t="s">
        <v>433</v>
      </c>
      <c r="F528" s="10" t="str">
        <f>TRIM(LEFT(OrdersRawTable9[[#This Row],[Customer_Info]],FIND(",",OrdersRawTable9[[#This Row],[Customer_Info]])-1))</f>
        <v>Yara Gagnon</v>
      </c>
      <c r="G52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528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528" s="10">
        <f>LEN(OrdersRawTable9[[#This Row],[Customer_Info]])-LEN(SUBSTITUTE(OrdersRawTable9[[#This Row],[Customer_Info]],",",""))</f>
        <v>2</v>
      </c>
      <c r="J528" s="10" t="s">
        <v>100</v>
      </c>
      <c r="K528" s="23">
        <v>2</v>
      </c>
      <c r="L528" s="26">
        <v>42.72</v>
      </c>
      <c r="M528" s="29">
        <v>0</v>
      </c>
      <c r="N528" s="10" t="s">
        <v>70</v>
      </c>
      <c r="O528" s="10" t="str">
        <f>IF(TRIM(OrdersRawTable9[[#This Row],[Sales_Channel_Raw]])="Market place","Marketplace",TRIM(OrdersRawTable9[[#This Row],[Sales_Channel_Raw]]))</f>
        <v>online</v>
      </c>
      <c r="P528" s="10" t="s">
        <v>51</v>
      </c>
      <c r="Q528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528" s="15" t="s">
        <v>47</v>
      </c>
      <c r="S528" t="str">
        <f>VLOOKUP(OrdersRawTable9[[#This Row],[Customer_ID_Raw]],CustomersTable11[],4,FALSE)</f>
        <v>Manitoba</v>
      </c>
      <c r="T528" t="str">
        <f>VLOOKUP(OrdersRawTable9[[#This Row],[Customer_ID_Raw]],CustomersTable11[],5,FALSE)</f>
        <v>Corporate</v>
      </c>
      <c r="U528" s="45">
        <f>VLOOKUP(OrdersRawTable9[[#This Row],[Product_ID]],ProductsTable10[],4,FALSE)</f>
        <v>24.46</v>
      </c>
      <c r="V528" t="str">
        <f>VLOOKUP(OrdersRawTable9[[#This Row],[Product_ID]],ProductsTable10[],3,FALSE)</f>
        <v>Electronics</v>
      </c>
      <c r="W528" s="45">
        <f>OrdersRawTable9[[#This Row],[Unit_Price]]*OrdersRawTable9[[#This Row],[Quantity]]</f>
        <v>85.44</v>
      </c>
      <c r="X528" s="47">
        <f>OrdersRawTable9[[#This Row],[Gross_Sales]]*OrdersRawTable9[[#This Row],[Discount_Pct]]</f>
        <v>0</v>
      </c>
      <c r="Y528" s="45">
        <f>OrdersRawTable9[[#This Row],[Gross_Sales]]-OrdersRawTable9[[#This Row],[Discount_Amount]]</f>
        <v>85.44</v>
      </c>
      <c r="Z528" s="45">
        <f>OrdersRawTable9[[#This Row],[Unit_Cost]]*OrdersRawTable9[[#This Row],[Quantity]]</f>
        <v>48.92</v>
      </c>
      <c r="AA528" s="45">
        <f>OrdersRawTable9[[#This Row],[Net_Sales]]-OrdersRawTable9[[#This Row],[Total_Cost]]</f>
        <v>36.519999999999996</v>
      </c>
      <c r="AB528" s="48">
        <f>IF(OrdersRawTable9[[#This Row],[Net_Sales]]=0,0,OrdersRawTable9[[#This Row],[Profit]]/OrdersRawTable9[[#This Row],[Net_Sales]])</f>
        <v>0.42743445692883891</v>
      </c>
      <c r="AC528" s="45" t="str">
        <f>IF(COUNTIF(ReturnsRawTable[Order_Line_ID],OrdersRawTable9[[#This Row],[Order_Line_ID]])&gt;0,"Yes","No")</f>
        <v>No</v>
      </c>
      <c r="AD528" s="45" t="str">
        <f>IFERROR(VLOOKUP(OrdersRawTable9[[#This Row],[Order_Line_ID]],ReturnsRawTable[[#All],[Order_Line_ID]:[Return_Reason_Raw]],3,FALSE),"")</f>
        <v/>
      </c>
      <c r="AE528" s="49" t="str">
        <f>IFERROR(VLOOKUP(OrdersRawTable9[[#This Row],[Order_Line_ID]],ReturnsRawTable[[#All],[Order_Line_ID]:[Return_Date]],2,FALSE),"")</f>
        <v/>
      </c>
      <c r="AF528" s="45" t="str">
        <f>IFERROR(VLOOKUP(OrdersRawTable9[[#This Row],[Order_Line_ID]],ReturnsRawTable[[Order_Line_ID]:[Refund_Status]],4,FALSE),"")</f>
        <v/>
      </c>
      <c r="AG528" s="45" t="str">
        <f>VLOOKUP(OrdersRawTable9[[#This Row],[Order_ID]],ShipmentsTable[],6,FALSE)</f>
        <v>Late</v>
      </c>
      <c r="AH528" s="49">
        <f>VLOOKUP(OrdersRawTable9[[#This Row],[Order_ID]],ShipmentsTable[],3,FALSE)</f>
        <v>45696</v>
      </c>
    </row>
    <row r="529" spans="1:34" ht="15" customHeight="1">
      <c r="A529" s="14" t="s">
        <v>1104</v>
      </c>
      <c r="B529" s="10" t="s">
        <v>1105</v>
      </c>
      <c r="C529" s="20">
        <v>45964</v>
      </c>
      <c r="D529" s="10" t="s">
        <v>321</v>
      </c>
      <c r="E529" s="10" t="s">
        <v>322</v>
      </c>
      <c r="F529" s="10" t="str">
        <f>TRIM(LEFT(OrdersRawTable9[[#This Row],[Customer_Info]],FIND(",",OrdersRawTable9[[#This Row],[Customer_Info]])-1))</f>
        <v>Emma Brown</v>
      </c>
      <c r="G52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529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529" s="10">
        <f>LEN(OrdersRawTable9[[#This Row],[Customer_Info]])-LEN(SUBSTITUTE(OrdersRawTable9[[#This Row],[Customer_Info]],",",""))</f>
        <v>2</v>
      </c>
      <c r="J529" s="10" t="s">
        <v>121</v>
      </c>
      <c r="K529" s="23">
        <v>2</v>
      </c>
      <c r="L529" s="26">
        <v>287.16000000000003</v>
      </c>
      <c r="M529" s="29">
        <v>0</v>
      </c>
      <c r="N529" s="10" t="s">
        <v>70</v>
      </c>
      <c r="O529" s="10" t="str">
        <f>IF(TRIM(OrdersRawTable9[[#This Row],[Sales_Channel_Raw]])="Market place","Marketplace",TRIM(OrdersRawTable9[[#This Row],[Sales_Channel_Raw]]))</f>
        <v>online</v>
      </c>
      <c r="P529" s="10" t="s">
        <v>51</v>
      </c>
      <c r="Q529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529" s="15" t="s">
        <v>101</v>
      </c>
      <c r="S529" t="str">
        <f>VLOOKUP(OrdersRawTable9[[#This Row],[Customer_ID_Raw]],CustomersTable11[],4,FALSE)</f>
        <v>Ontario</v>
      </c>
      <c r="T529" t="str">
        <f>VLOOKUP(OrdersRawTable9[[#This Row],[Customer_ID_Raw]],CustomersTable11[],5,FALSE)</f>
        <v>Corporate</v>
      </c>
      <c r="U529" s="45">
        <f>VLOOKUP(OrdersRawTable9[[#This Row],[Product_ID]],ProductsTable10[],4,FALSE)</f>
        <v>148.21</v>
      </c>
      <c r="V529" t="str">
        <f>VLOOKUP(OrdersRawTable9[[#This Row],[Product_ID]],ProductsTable10[],3,FALSE)</f>
        <v>Accessories</v>
      </c>
      <c r="W529" s="45">
        <f>OrdersRawTable9[[#This Row],[Unit_Price]]*OrdersRawTable9[[#This Row],[Quantity]]</f>
        <v>574.32000000000005</v>
      </c>
      <c r="X529" s="47">
        <f>OrdersRawTable9[[#This Row],[Gross_Sales]]*OrdersRawTable9[[#This Row],[Discount_Pct]]</f>
        <v>0</v>
      </c>
      <c r="Y529" s="45">
        <f>OrdersRawTable9[[#This Row],[Gross_Sales]]-OrdersRawTable9[[#This Row],[Discount_Amount]]</f>
        <v>574.32000000000005</v>
      </c>
      <c r="Z529" s="45">
        <f>OrdersRawTable9[[#This Row],[Unit_Cost]]*OrdersRawTable9[[#This Row],[Quantity]]</f>
        <v>296.42</v>
      </c>
      <c r="AA529" s="45">
        <f>OrdersRawTable9[[#This Row],[Net_Sales]]-OrdersRawTable9[[#This Row],[Total_Cost]]</f>
        <v>277.90000000000003</v>
      </c>
      <c r="AB529" s="48">
        <f>IF(OrdersRawTable9[[#This Row],[Net_Sales]]=0,0,OrdersRawTable9[[#This Row],[Profit]]/OrdersRawTable9[[#This Row],[Net_Sales]])</f>
        <v>0.48387658448251847</v>
      </c>
      <c r="AC529" s="45" t="str">
        <f>IF(COUNTIF(ReturnsRawTable[Order_Line_ID],OrdersRawTable9[[#This Row],[Order_Line_ID]])&gt;0,"Yes","No")</f>
        <v>No</v>
      </c>
      <c r="AD529" s="45" t="str">
        <f>IFERROR(VLOOKUP(OrdersRawTable9[[#This Row],[Order_Line_ID]],ReturnsRawTable[[#All],[Order_Line_ID]:[Return_Reason_Raw]],3,FALSE),"")</f>
        <v/>
      </c>
      <c r="AE529" s="49" t="str">
        <f>IFERROR(VLOOKUP(OrdersRawTable9[[#This Row],[Order_Line_ID]],ReturnsRawTable[[#All],[Order_Line_ID]:[Return_Date]],2,FALSE),"")</f>
        <v/>
      </c>
      <c r="AF529" s="45" t="str">
        <f>IFERROR(VLOOKUP(OrdersRawTable9[[#This Row],[Order_Line_ID]],ReturnsRawTable[[Order_Line_ID]:[Refund_Status]],4,FALSE),"")</f>
        <v/>
      </c>
      <c r="AG529" s="45" t="str">
        <f>VLOOKUP(OrdersRawTable9[[#This Row],[Order_ID]],ShipmentsTable[],6,FALSE)</f>
        <v>On time</v>
      </c>
      <c r="AH529" s="49">
        <f>VLOOKUP(OrdersRawTable9[[#This Row],[Order_ID]],ShipmentsTable[],3,FALSE)</f>
        <v>45967</v>
      </c>
    </row>
    <row r="530" spans="1:34" ht="15" customHeight="1">
      <c r="A530" s="14" t="s">
        <v>1106</v>
      </c>
      <c r="B530" s="10" t="s">
        <v>1105</v>
      </c>
      <c r="C530" s="20">
        <v>45964</v>
      </c>
      <c r="D530" s="10" t="s">
        <v>321</v>
      </c>
      <c r="E530" s="10" t="s">
        <v>322</v>
      </c>
      <c r="F530" s="10" t="str">
        <f>TRIM(LEFT(OrdersRawTable9[[#This Row],[Customer_Info]],FIND(",",OrdersRawTable9[[#This Row],[Customer_Info]])-1))</f>
        <v>Emma Brown</v>
      </c>
      <c r="G53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530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530" s="10">
        <f>LEN(OrdersRawTable9[[#This Row],[Customer_Info]])-LEN(SUBSTITUTE(OrdersRawTable9[[#This Row],[Customer_Info]],",",""))</f>
        <v>2</v>
      </c>
      <c r="J530" s="10" t="s">
        <v>150</v>
      </c>
      <c r="K530" s="23">
        <v>2</v>
      </c>
      <c r="L530" s="26">
        <v>263.04000000000002</v>
      </c>
      <c r="M530" s="29">
        <v>0.05</v>
      </c>
      <c r="N530" s="10" t="s">
        <v>64</v>
      </c>
      <c r="O530" s="10" t="str">
        <f>IF(TRIM(OrdersRawTable9[[#This Row],[Sales_Channel_Raw]])="Market place","Marketplace",TRIM(OrdersRawTable9[[#This Row],[Sales_Channel_Raw]]))</f>
        <v>Retail Store</v>
      </c>
      <c r="P530" s="10" t="s">
        <v>58</v>
      </c>
      <c r="Q530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530" s="15" t="s">
        <v>101</v>
      </c>
      <c r="S530" t="str">
        <f>VLOOKUP(OrdersRawTable9[[#This Row],[Customer_ID_Raw]],CustomersTable11[],4,FALSE)</f>
        <v>Ontario</v>
      </c>
      <c r="T530" t="str">
        <f>VLOOKUP(OrdersRawTable9[[#This Row],[Customer_ID_Raw]],CustomersTable11[],5,FALSE)</f>
        <v>Corporate</v>
      </c>
      <c r="U530" s="45">
        <f>VLOOKUP(OrdersRawTable9[[#This Row],[Product_ID]],ProductsTable10[],4,FALSE)</f>
        <v>161.84</v>
      </c>
      <c r="V530" t="str">
        <f>VLOOKUP(OrdersRawTable9[[#This Row],[Product_ID]],ProductsTable10[],3,FALSE)</f>
        <v>Office</v>
      </c>
      <c r="W530" s="45">
        <f>OrdersRawTable9[[#This Row],[Unit_Price]]*OrdersRawTable9[[#This Row],[Quantity]]</f>
        <v>526.08000000000004</v>
      </c>
      <c r="X530" s="47">
        <f>OrdersRawTable9[[#This Row],[Gross_Sales]]*OrdersRawTable9[[#This Row],[Discount_Pct]]</f>
        <v>26.304000000000002</v>
      </c>
      <c r="Y530" s="45">
        <f>OrdersRawTable9[[#This Row],[Gross_Sales]]-OrdersRawTable9[[#This Row],[Discount_Amount]]</f>
        <v>499.77600000000007</v>
      </c>
      <c r="Z530" s="45">
        <f>OrdersRawTable9[[#This Row],[Unit_Cost]]*OrdersRawTable9[[#This Row],[Quantity]]</f>
        <v>323.68</v>
      </c>
      <c r="AA530" s="45">
        <f>OrdersRawTable9[[#This Row],[Net_Sales]]-OrdersRawTable9[[#This Row],[Total_Cost]]</f>
        <v>176.09600000000006</v>
      </c>
      <c r="AB530" s="48">
        <f>IF(OrdersRawTable9[[#This Row],[Net_Sales]]=0,0,OrdersRawTable9[[#This Row],[Profit]]/OrdersRawTable9[[#This Row],[Net_Sales]])</f>
        <v>0.35234985273402492</v>
      </c>
      <c r="AC530" s="45" t="str">
        <f>IF(COUNTIF(ReturnsRawTable[Order_Line_ID],OrdersRawTable9[[#This Row],[Order_Line_ID]])&gt;0,"Yes","No")</f>
        <v>No</v>
      </c>
      <c r="AD530" s="45" t="str">
        <f>IFERROR(VLOOKUP(OrdersRawTable9[[#This Row],[Order_Line_ID]],ReturnsRawTable[[#All],[Order_Line_ID]:[Return_Reason_Raw]],3,FALSE),"")</f>
        <v/>
      </c>
      <c r="AE530" s="49" t="str">
        <f>IFERROR(VLOOKUP(OrdersRawTable9[[#This Row],[Order_Line_ID]],ReturnsRawTable[[#All],[Order_Line_ID]:[Return_Date]],2,FALSE),"")</f>
        <v/>
      </c>
      <c r="AF530" s="45" t="str">
        <f>IFERROR(VLOOKUP(OrdersRawTable9[[#This Row],[Order_Line_ID]],ReturnsRawTable[[Order_Line_ID]:[Refund_Status]],4,FALSE),"")</f>
        <v/>
      </c>
      <c r="AG530" s="45" t="str">
        <f>VLOOKUP(OrdersRawTable9[[#This Row],[Order_ID]],ShipmentsTable[],6,FALSE)</f>
        <v>On time</v>
      </c>
      <c r="AH530" s="49">
        <f>VLOOKUP(OrdersRawTable9[[#This Row],[Order_ID]],ShipmentsTable[],3,FALSE)</f>
        <v>45967</v>
      </c>
    </row>
    <row r="531" spans="1:34" ht="15" customHeight="1">
      <c r="A531" s="14" t="s">
        <v>1107</v>
      </c>
      <c r="B531" s="10" t="s">
        <v>1108</v>
      </c>
      <c r="C531" s="20">
        <v>45720.041666666664</v>
      </c>
      <c r="D531" s="10" t="s">
        <v>371</v>
      </c>
      <c r="E531" s="10" t="s">
        <v>372</v>
      </c>
      <c r="F531" s="10" t="str">
        <f>TRIM(LEFT(OrdersRawTable9[[#This Row],[Customer_Info]],FIND(",",OrdersRawTable9[[#This Row],[Customer_Info]])-1))</f>
        <v>Noah Khan</v>
      </c>
      <c r="G53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531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531" s="10">
        <f>LEN(OrdersRawTable9[[#This Row],[Customer_Info]])-LEN(SUBSTITUTE(OrdersRawTable9[[#This Row],[Customer_Info]],",",""))</f>
        <v>2</v>
      </c>
      <c r="J531" s="10" t="s">
        <v>117</v>
      </c>
      <c r="K531" s="23">
        <v>1</v>
      </c>
      <c r="L531" s="26">
        <v>251.17</v>
      </c>
      <c r="M531" s="29">
        <v>0.15</v>
      </c>
      <c r="N531" s="10" t="s">
        <v>45</v>
      </c>
      <c r="O531" s="10" t="str">
        <f>IF(TRIM(OrdersRawTable9[[#This Row],[Sales_Channel_Raw]])="Market place","Marketplace",TRIM(OrdersRawTable9[[#This Row],[Sales_Channel_Raw]]))</f>
        <v>Retail Store</v>
      </c>
      <c r="P531" s="10" t="s">
        <v>51</v>
      </c>
      <c r="Q531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531" s="15" t="s">
        <v>101</v>
      </c>
      <c r="S531" t="str">
        <f>VLOOKUP(OrdersRawTable9[[#This Row],[Customer_ID_Raw]],CustomersTable11[],4,FALSE)</f>
        <v>British Columbia</v>
      </c>
      <c r="T531" t="str">
        <f>VLOOKUP(OrdersRawTable9[[#This Row],[Customer_ID_Raw]],CustomersTable11[],5,FALSE)</f>
        <v>Consumer</v>
      </c>
      <c r="U531" s="45">
        <f>VLOOKUP(OrdersRawTable9[[#This Row],[Product_ID]],ProductsTable10[],4,FALSE)</f>
        <v>151.59</v>
      </c>
      <c r="V531" t="str">
        <f>VLOOKUP(OrdersRawTable9[[#This Row],[Product_ID]],ProductsTable10[],3,FALSE)</f>
        <v>Fitness</v>
      </c>
      <c r="W531" s="45">
        <f>OrdersRawTable9[[#This Row],[Unit_Price]]*OrdersRawTable9[[#This Row],[Quantity]]</f>
        <v>251.17</v>
      </c>
      <c r="X531" s="47">
        <f>OrdersRawTable9[[#This Row],[Gross_Sales]]*OrdersRawTable9[[#This Row],[Discount_Pct]]</f>
        <v>37.6755</v>
      </c>
      <c r="Y531" s="45">
        <f>OrdersRawTable9[[#This Row],[Gross_Sales]]-OrdersRawTable9[[#This Row],[Discount_Amount]]</f>
        <v>213.49449999999999</v>
      </c>
      <c r="Z531" s="45">
        <f>OrdersRawTable9[[#This Row],[Unit_Cost]]*OrdersRawTable9[[#This Row],[Quantity]]</f>
        <v>151.59</v>
      </c>
      <c r="AA531" s="45">
        <f>OrdersRawTable9[[#This Row],[Net_Sales]]-OrdersRawTable9[[#This Row],[Total_Cost]]</f>
        <v>61.904499999999985</v>
      </c>
      <c r="AB531" s="48">
        <f>IF(OrdersRawTable9[[#This Row],[Net_Sales]]=0,0,OrdersRawTable9[[#This Row],[Profit]]/OrdersRawTable9[[#This Row],[Net_Sales]])</f>
        <v>0.28995828932361251</v>
      </c>
      <c r="AC531" s="45" t="str">
        <f>IF(COUNTIF(ReturnsRawTable[Order_Line_ID],OrdersRawTable9[[#This Row],[Order_Line_ID]])&gt;0,"Yes","No")</f>
        <v>No</v>
      </c>
      <c r="AD531" s="45" t="str">
        <f>IFERROR(VLOOKUP(OrdersRawTable9[[#This Row],[Order_Line_ID]],ReturnsRawTable[[#All],[Order_Line_ID]:[Return_Reason_Raw]],3,FALSE),"")</f>
        <v/>
      </c>
      <c r="AE531" s="49" t="str">
        <f>IFERROR(VLOOKUP(OrdersRawTable9[[#This Row],[Order_Line_ID]],ReturnsRawTable[[#All],[Order_Line_ID]:[Return_Date]],2,FALSE),"")</f>
        <v/>
      </c>
      <c r="AF531" s="45" t="str">
        <f>IFERROR(VLOOKUP(OrdersRawTable9[[#This Row],[Order_Line_ID]],ReturnsRawTable[[Order_Line_ID]:[Refund_Status]],4,FALSE),"")</f>
        <v/>
      </c>
      <c r="AG531" s="45" t="str">
        <f>VLOOKUP(OrdersRawTable9[[#This Row],[Order_ID]],ShipmentsTable[],6,FALSE)</f>
        <v>Late</v>
      </c>
      <c r="AH531" s="49">
        <f>VLOOKUP(OrdersRawTable9[[#This Row],[Order_ID]],ShipmentsTable[],3,FALSE)</f>
        <v>45725.041666666664</v>
      </c>
    </row>
    <row r="532" spans="1:34" ht="15" customHeight="1">
      <c r="A532" s="14" t="s">
        <v>1109</v>
      </c>
      <c r="B532" s="10" t="s">
        <v>1108</v>
      </c>
      <c r="C532" s="20">
        <v>45720.041666666664</v>
      </c>
      <c r="D532" s="10" t="s">
        <v>371</v>
      </c>
      <c r="E532" s="10" t="s">
        <v>372</v>
      </c>
      <c r="F532" s="10" t="str">
        <f>TRIM(LEFT(OrdersRawTable9[[#This Row],[Customer_Info]],FIND(",",OrdersRawTable9[[#This Row],[Customer_Info]])-1))</f>
        <v>Noah Khan</v>
      </c>
      <c r="G53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532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532" s="10">
        <f>LEN(OrdersRawTable9[[#This Row],[Customer_Info]])-LEN(SUBSTITUTE(OrdersRawTable9[[#This Row],[Customer_Info]],",",""))</f>
        <v>2</v>
      </c>
      <c r="J532" s="10" t="s">
        <v>784</v>
      </c>
      <c r="K532" s="23">
        <v>4</v>
      </c>
      <c r="L532" s="26">
        <v>96.33</v>
      </c>
      <c r="M532" s="29">
        <v>0.05</v>
      </c>
      <c r="N532" s="10" t="s">
        <v>66</v>
      </c>
      <c r="O532" s="10" t="str">
        <f>IF(TRIM(OrdersRawTable9[[#This Row],[Sales_Channel_Raw]])="Market place","Marketplace",TRIM(OrdersRawTable9[[#This Row],[Sales_Channel_Raw]]))</f>
        <v>Marketplace</v>
      </c>
      <c r="P532" s="10" t="s">
        <v>58</v>
      </c>
      <c r="Q532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532" s="15" t="s">
        <v>101</v>
      </c>
      <c r="S532" t="str">
        <f>VLOOKUP(OrdersRawTable9[[#This Row],[Customer_ID_Raw]],CustomersTable11[],4,FALSE)</f>
        <v>British Columbia</v>
      </c>
      <c r="T532" t="str">
        <f>VLOOKUP(OrdersRawTable9[[#This Row],[Customer_ID_Raw]],CustomersTable11[],5,FALSE)</f>
        <v>Consumer</v>
      </c>
      <c r="U532" s="45">
        <f>VLOOKUP(OrdersRawTable9[[#This Row],[Product_ID]],ProductsTable10[],4,FALSE)</f>
        <v>57.85</v>
      </c>
      <c r="V532" t="str">
        <f>VLOOKUP(OrdersRawTable9[[#This Row],[Product_ID]],ProductsTable10[],3,FALSE)</f>
        <v>Accessories</v>
      </c>
      <c r="W532" s="45">
        <f>OrdersRawTable9[[#This Row],[Unit_Price]]*OrdersRawTable9[[#This Row],[Quantity]]</f>
        <v>385.32</v>
      </c>
      <c r="X532" s="47">
        <f>OrdersRawTable9[[#This Row],[Gross_Sales]]*OrdersRawTable9[[#This Row],[Discount_Pct]]</f>
        <v>19.266000000000002</v>
      </c>
      <c r="Y532" s="45">
        <f>OrdersRawTable9[[#This Row],[Gross_Sales]]-OrdersRawTable9[[#This Row],[Discount_Amount]]</f>
        <v>366.05399999999997</v>
      </c>
      <c r="Z532" s="45">
        <f>OrdersRawTable9[[#This Row],[Unit_Cost]]*OrdersRawTable9[[#This Row],[Quantity]]</f>
        <v>231.4</v>
      </c>
      <c r="AA532" s="45">
        <f>OrdersRawTable9[[#This Row],[Net_Sales]]-OrdersRawTable9[[#This Row],[Total_Cost]]</f>
        <v>134.65399999999997</v>
      </c>
      <c r="AB532" s="48">
        <f>IF(OrdersRawTable9[[#This Row],[Net_Sales]]=0,0,OrdersRawTable9[[#This Row],[Profit]]/OrdersRawTable9[[#This Row],[Net_Sales]])</f>
        <v>0.36785283045670852</v>
      </c>
      <c r="AC532" s="45" t="str">
        <f>IF(COUNTIF(ReturnsRawTable[Order_Line_ID],OrdersRawTable9[[#This Row],[Order_Line_ID]])&gt;0,"Yes","No")</f>
        <v>No</v>
      </c>
      <c r="AD532" s="45" t="str">
        <f>IFERROR(VLOOKUP(OrdersRawTable9[[#This Row],[Order_Line_ID]],ReturnsRawTable[[#All],[Order_Line_ID]:[Return_Reason_Raw]],3,FALSE),"")</f>
        <v/>
      </c>
      <c r="AE532" s="49" t="str">
        <f>IFERROR(VLOOKUP(OrdersRawTable9[[#This Row],[Order_Line_ID]],ReturnsRawTable[[#All],[Order_Line_ID]:[Return_Date]],2,FALSE),"")</f>
        <v/>
      </c>
      <c r="AF532" s="45" t="str">
        <f>IFERROR(VLOOKUP(OrdersRawTable9[[#This Row],[Order_Line_ID]],ReturnsRawTable[[Order_Line_ID]:[Refund_Status]],4,FALSE),"")</f>
        <v/>
      </c>
      <c r="AG532" s="45" t="str">
        <f>VLOOKUP(OrdersRawTable9[[#This Row],[Order_ID]],ShipmentsTable[],6,FALSE)</f>
        <v>Late</v>
      </c>
      <c r="AH532" s="49">
        <f>VLOOKUP(OrdersRawTable9[[#This Row],[Order_ID]],ShipmentsTable[],3,FALSE)</f>
        <v>45725.041666666664</v>
      </c>
    </row>
    <row r="533" spans="1:34" ht="15" customHeight="1">
      <c r="A533" s="14" t="s">
        <v>1110</v>
      </c>
      <c r="B533" s="10" t="s">
        <v>1108</v>
      </c>
      <c r="C533" s="20">
        <v>45720.041666666664</v>
      </c>
      <c r="D533" s="10" t="s">
        <v>371</v>
      </c>
      <c r="E533" s="10" t="s">
        <v>372</v>
      </c>
      <c r="F533" s="10" t="str">
        <f>TRIM(LEFT(OrdersRawTable9[[#This Row],[Customer_Info]],FIND(",",OrdersRawTable9[[#This Row],[Customer_Info]])-1))</f>
        <v>Noah Khan</v>
      </c>
      <c r="G53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533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533" s="10">
        <f>LEN(OrdersRawTable9[[#This Row],[Customer_Info]])-LEN(SUBSTITUTE(OrdersRawTable9[[#This Row],[Customer_Info]],",",""))</f>
        <v>2</v>
      </c>
      <c r="J533" s="10" t="s">
        <v>428</v>
      </c>
      <c r="K533" s="23">
        <v>4</v>
      </c>
      <c r="L533" s="26">
        <v>110.88</v>
      </c>
      <c r="M533" s="29">
        <v>0</v>
      </c>
      <c r="N533" s="10" t="s">
        <v>70</v>
      </c>
      <c r="O533" s="10" t="str">
        <f>IF(TRIM(OrdersRawTable9[[#This Row],[Sales_Channel_Raw]])="Market place","Marketplace",TRIM(OrdersRawTable9[[#This Row],[Sales_Channel_Raw]]))</f>
        <v>online</v>
      </c>
      <c r="P533" s="10" t="s">
        <v>46</v>
      </c>
      <c r="Q533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33" s="15" t="s">
        <v>42</v>
      </c>
      <c r="S533" t="str">
        <f>VLOOKUP(OrdersRawTable9[[#This Row],[Customer_ID_Raw]],CustomersTable11[],4,FALSE)</f>
        <v>British Columbia</v>
      </c>
      <c r="T533" t="str">
        <f>VLOOKUP(OrdersRawTable9[[#This Row],[Customer_ID_Raw]],CustomersTable11[],5,FALSE)</f>
        <v>Consumer</v>
      </c>
      <c r="U533" s="45">
        <f>VLOOKUP(OrdersRawTable9[[#This Row],[Product_ID]],ProductsTable10[],4,FALSE)</f>
        <v>57.09</v>
      </c>
      <c r="V533" t="str">
        <f>VLOOKUP(OrdersRawTable9[[#This Row],[Product_ID]],ProductsTable10[],3,FALSE)</f>
        <v>Electronics</v>
      </c>
      <c r="W533" s="45">
        <f>OrdersRawTable9[[#This Row],[Unit_Price]]*OrdersRawTable9[[#This Row],[Quantity]]</f>
        <v>443.52</v>
      </c>
      <c r="X533" s="47">
        <f>OrdersRawTable9[[#This Row],[Gross_Sales]]*OrdersRawTable9[[#This Row],[Discount_Pct]]</f>
        <v>0</v>
      </c>
      <c r="Y533" s="45">
        <f>OrdersRawTable9[[#This Row],[Gross_Sales]]-OrdersRawTable9[[#This Row],[Discount_Amount]]</f>
        <v>443.52</v>
      </c>
      <c r="Z533" s="45">
        <f>OrdersRawTable9[[#This Row],[Unit_Cost]]*OrdersRawTable9[[#This Row],[Quantity]]</f>
        <v>228.36</v>
      </c>
      <c r="AA533" s="45">
        <f>OrdersRawTable9[[#This Row],[Net_Sales]]-OrdersRawTable9[[#This Row],[Total_Cost]]</f>
        <v>215.15999999999997</v>
      </c>
      <c r="AB533" s="48">
        <f>IF(OrdersRawTable9[[#This Row],[Net_Sales]]=0,0,OrdersRawTable9[[#This Row],[Profit]]/OrdersRawTable9[[#This Row],[Net_Sales]])</f>
        <v>0.48511904761904756</v>
      </c>
      <c r="AC533" s="45" t="str">
        <f>IF(COUNTIF(ReturnsRawTable[Order_Line_ID],OrdersRawTable9[[#This Row],[Order_Line_ID]])&gt;0,"Yes","No")</f>
        <v>Yes</v>
      </c>
      <c r="AD533" s="45" t="str">
        <f>IFERROR(VLOOKUP(OrdersRawTable9[[#This Row],[Order_Line_ID]],ReturnsRawTable[[#All],[Order_Line_ID]:[Return_Reason_Raw]],3,FALSE),"")</f>
        <v>Late Delivery</v>
      </c>
      <c r="AE533" s="49">
        <f>IFERROR(VLOOKUP(OrdersRawTable9[[#This Row],[Order_Line_ID]],ReturnsRawTable[[#All],[Order_Line_ID]:[Return_Date]],2,FALSE),"")</f>
        <v>45729.041666666664</v>
      </c>
      <c r="AF533" s="45" t="str">
        <f>IFERROR(VLOOKUP(OrdersRawTable9[[#This Row],[Order_Line_ID]],ReturnsRawTable[[Order_Line_ID]:[Refund_Status]],4,FALSE),"")</f>
        <v>Pending</v>
      </c>
      <c r="AG533" s="45" t="str">
        <f>VLOOKUP(OrdersRawTable9[[#This Row],[Order_ID]],ShipmentsTable[],6,FALSE)</f>
        <v>Late</v>
      </c>
      <c r="AH533" s="49">
        <f>VLOOKUP(OrdersRawTable9[[#This Row],[Order_ID]],ShipmentsTable[],3,FALSE)</f>
        <v>45725.041666666664</v>
      </c>
    </row>
    <row r="534" spans="1:34" ht="15" customHeight="1">
      <c r="A534" s="14" t="s">
        <v>1111</v>
      </c>
      <c r="B534" s="10" t="s">
        <v>1108</v>
      </c>
      <c r="C534" s="20">
        <v>45720.041666666664</v>
      </c>
      <c r="D534" s="10" t="s">
        <v>371</v>
      </c>
      <c r="E534" s="10" t="s">
        <v>372</v>
      </c>
      <c r="F534" s="10" t="str">
        <f>TRIM(LEFT(OrdersRawTable9[[#This Row],[Customer_Info]],FIND(",",OrdersRawTable9[[#This Row],[Customer_Info]])-1))</f>
        <v>Noah Khan</v>
      </c>
      <c r="G53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534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534" s="10">
        <f>LEN(OrdersRawTable9[[#This Row],[Customer_Info]])-LEN(SUBSTITUTE(OrdersRawTable9[[#This Row],[Customer_Info]],",",""))</f>
        <v>2</v>
      </c>
      <c r="J534" s="10" t="s">
        <v>309</v>
      </c>
      <c r="K534" s="23">
        <v>4</v>
      </c>
      <c r="L534" s="26">
        <v>56.99</v>
      </c>
      <c r="M534" s="29">
        <v>0.1</v>
      </c>
      <c r="N534" s="10" t="s">
        <v>50</v>
      </c>
      <c r="O534" s="10" t="str">
        <f>IF(TRIM(OrdersRawTable9[[#This Row],[Sales_Channel_Raw]])="Market place","Marketplace",TRIM(OrdersRawTable9[[#This Row],[Sales_Channel_Raw]]))</f>
        <v>Marketplace</v>
      </c>
      <c r="P534" s="10" t="s">
        <v>41</v>
      </c>
      <c r="Q534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34" s="15" t="s">
        <v>52</v>
      </c>
      <c r="S534" t="str">
        <f>VLOOKUP(OrdersRawTable9[[#This Row],[Customer_ID_Raw]],CustomersTable11[],4,FALSE)</f>
        <v>British Columbia</v>
      </c>
      <c r="T534" t="str">
        <f>VLOOKUP(OrdersRawTable9[[#This Row],[Customer_ID_Raw]],CustomersTable11[],5,FALSE)</f>
        <v>Consumer</v>
      </c>
      <c r="U534" s="45">
        <f>VLOOKUP(OrdersRawTable9[[#This Row],[Product_ID]],ProductsTable10[],4,FALSE)</f>
        <v>33.65</v>
      </c>
      <c r="V534" t="str">
        <f>VLOOKUP(OrdersRawTable9[[#This Row],[Product_ID]],ProductsTable10[],3,FALSE)</f>
        <v>Home</v>
      </c>
      <c r="W534" s="45">
        <f>OrdersRawTable9[[#This Row],[Unit_Price]]*OrdersRawTable9[[#This Row],[Quantity]]</f>
        <v>227.96</v>
      </c>
      <c r="X534" s="47">
        <f>OrdersRawTable9[[#This Row],[Gross_Sales]]*OrdersRawTable9[[#This Row],[Discount_Pct]]</f>
        <v>22.796000000000003</v>
      </c>
      <c r="Y534" s="45">
        <f>OrdersRawTable9[[#This Row],[Gross_Sales]]-OrdersRawTable9[[#This Row],[Discount_Amount]]</f>
        <v>205.16400000000002</v>
      </c>
      <c r="Z534" s="45">
        <f>OrdersRawTable9[[#This Row],[Unit_Cost]]*OrdersRawTable9[[#This Row],[Quantity]]</f>
        <v>134.6</v>
      </c>
      <c r="AA534" s="45">
        <f>OrdersRawTable9[[#This Row],[Net_Sales]]-OrdersRawTable9[[#This Row],[Total_Cost]]</f>
        <v>70.564000000000021</v>
      </c>
      <c r="AB534" s="48">
        <f>IF(OrdersRawTable9[[#This Row],[Net_Sales]]=0,0,OrdersRawTable9[[#This Row],[Profit]]/OrdersRawTable9[[#This Row],[Net_Sales]])</f>
        <v>0.34393948256029333</v>
      </c>
      <c r="AC534" s="45" t="str">
        <f>IF(COUNTIF(ReturnsRawTable[Order_Line_ID],OrdersRawTable9[[#This Row],[Order_Line_ID]])&gt;0,"Yes","No")</f>
        <v>No</v>
      </c>
      <c r="AD534" s="45" t="str">
        <f>IFERROR(VLOOKUP(OrdersRawTable9[[#This Row],[Order_Line_ID]],ReturnsRawTable[[#All],[Order_Line_ID]:[Return_Reason_Raw]],3,FALSE),"")</f>
        <v/>
      </c>
      <c r="AE534" s="49" t="str">
        <f>IFERROR(VLOOKUP(OrdersRawTable9[[#This Row],[Order_Line_ID]],ReturnsRawTable[[#All],[Order_Line_ID]:[Return_Date]],2,FALSE),"")</f>
        <v/>
      </c>
      <c r="AF534" s="45" t="str">
        <f>IFERROR(VLOOKUP(OrdersRawTable9[[#This Row],[Order_Line_ID]],ReturnsRawTable[[Order_Line_ID]:[Refund_Status]],4,FALSE),"")</f>
        <v/>
      </c>
      <c r="AG534" s="45" t="str">
        <f>VLOOKUP(OrdersRawTable9[[#This Row],[Order_ID]],ShipmentsTable[],6,FALSE)</f>
        <v>Late</v>
      </c>
      <c r="AH534" s="49">
        <f>VLOOKUP(OrdersRawTable9[[#This Row],[Order_ID]],ShipmentsTable[],3,FALSE)</f>
        <v>45725.041666666664</v>
      </c>
    </row>
    <row r="535" spans="1:34" ht="15" customHeight="1">
      <c r="A535" s="14" t="s">
        <v>1112</v>
      </c>
      <c r="B535" s="10" t="s">
        <v>1113</v>
      </c>
      <c r="C535" s="20">
        <v>45853</v>
      </c>
      <c r="D535" s="10" t="s">
        <v>1114</v>
      </c>
      <c r="E535" s="10" t="s">
        <v>1115</v>
      </c>
      <c r="F535" s="10" t="str">
        <f>TRIM(LEFT(OrdersRawTable9[[#This Row],[Customer_Info]],FIND(",",OrdersRawTable9[[#This Row],[Customer_Info]])-1))</f>
        <v>Daniel Tremblay</v>
      </c>
      <c r="G53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535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35" s="10">
        <f>LEN(OrdersRawTable9[[#This Row],[Customer_Info]])-LEN(SUBSTITUTE(OrdersRawTable9[[#This Row],[Customer_Info]],",",""))</f>
        <v>2</v>
      </c>
      <c r="J535" s="10" t="s">
        <v>279</v>
      </c>
      <c r="K535" s="23">
        <v>2</v>
      </c>
      <c r="L535" s="26">
        <v>52.79</v>
      </c>
      <c r="M535" s="29">
        <v>0.1</v>
      </c>
      <c r="N535" s="10" t="s">
        <v>45</v>
      </c>
      <c r="O535" s="10" t="str">
        <f>IF(TRIM(OrdersRawTable9[[#This Row],[Sales_Channel_Raw]])="Market place","Marketplace",TRIM(OrdersRawTable9[[#This Row],[Sales_Channel_Raw]]))</f>
        <v>Retail Store</v>
      </c>
      <c r="P535" s="10"/>
      <c r="Q535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535" s="15" t="s">
        <v>52</v>
      </c>
      <c r="S535" t="str">
        <f>VLOOKUP(OrdersRawTable9[[#This Row],[Customer_ID_Raw]],CustomersTable11[],4,FALSE)</f>
        <v>Nova Scotia</v>
      </c>
      <c r="T535" t="str">
        <f>VLOOKUP(OrdersRawTable9[[#This Row],[Customer_ID_Raw]],CustomersTable11[],5,FALSE)</f>
        <v>Small Business</v>
      </c>
      <c r="U535" s="45">
        <f>VLOOKUP(OrdersRawTable9[[#This Row],[Product_ID]],ProductsTable10[],4,FALSE)</f>
        <v>28.17</v>
      </c>
      <c r="V535" t="str">
        <f>VLOOKUP(OrdersRawTable9[[#This Row],[Product_ID]],ProductsTable10[],3,FALSE)</f>
        <v>Office</v>
      </c>
      <c r="W535" s="45">
        <f>OrdersRawTable9[[#This Row],[Unit_Price]]*OrdersRawTable9[[#This Row],[Quantity]]</f>
        <v>105.58</v>
      </c>
      <c r="X535" s="47">
        <f>OrdersRawTable9[[#This Row],[Gross_Sales]]*OrdersRawTable9[[#This Row],[Discount_Pct]]</f>
        <v>10.558</v>
      </c>
      <c r="Y535" s="45">
        <f>OrdersRawTable9[[#This Row],[Gross_Sales]]-OrdersRawTable9[[#This Row],[Discount_Amount]]</f>
        <v>95.021999999999991</v>
      </c>
      <c r="Z535" s="45">
        <f>OrdersRawTable9[[#This Row],[Unit_Cost]]*OrdersRawTable9[[#This Row],[Quantity]]</f>
        <v>56.34</v>
      </c>
      <c r="AA535" s="45">
        <f>OrdersRawTable9[[#This Row],[Net_Sales]]-OrdersRawTable9[[#This Row],[Total_Cost]]</f>
        <v>38.681999999999988</v>
      </c>
      <c r="AB535" s="48">
        <f>IF(OrdersRawTable9[[#This Row],[Net_Sales]]=0,0,OrdersRawTable9[[#This Row],[Profit]]/OrdersRawTable9[[#This Row],[Net_Sales]])</f>
        <v>0.40708467512786506</v>
      </c>
      <c r="AC535" s="45" t="str">
        <f>IF(COUNTIF(ReturnsRawTable[Order_Line_ID],OrdersRawTable9[[#This Row],[Order_Line_ID]])&gt;0,"Yes","No")</f>
        <v>Yes</v>
      </c>
      <c r="AD535" s="45" t="str">
        <f>IFERROR(VLOOKUP(OrdersRawTable9[[#This Row],[Order_Line_ID]],ReturnsRawTable[[#All],[Order_Line_ID]:[Return_Reason_Raw]],3,FALSE),"")</f>
        <v>Wrong item</v>
      </c>
      <c r="AE535" s="49">
        <f>IFERROR(VLOOKUP(OrdersRawTable9[[#This Row],[Order_Line_ID]],ReturnsRawTable[[#All],[Order_Line_ID]:[Return_Date]],2,FALSE),"")</f>
        <v>45861</v>
      </c>
      <c r="AF535" s="45" t="str">
        <f>IFERROR(VLOOKUP(OrdersRawTable9[[#This Row],[Order_Line_ID]],ReturnsRawTable[[Order_Line_ID]:[Refund_Status]],4,FALSE),"")</f>
        <v>Pending</v>
      </c>
      <c r="AG535" s="45" t="str">
        <f>VLOOKUP(OrdersRawTable9[[#This Row],[Order_ID]],ShipmentsTable[],6,FALSE)</f>
        <v>Late</v>
      </c>
      <c r="AH535" s="49">
        <f>VLOOKUP(OrdersRawTable9[[#This Row],[Order_ID]],ShipmentsTable[],3,FALSE)</f>
        <v>45859</v>
      </c>
    </row>
    <row r="536" spans="1:34" ht="15" customHeight="1">
      <c r="A536" s="14" t="s">
        <v>1116</v>
      </c>
      <c r="B536" s="10" t="s">
        <v>1117</v>
      </c>
      <c r="C536" s="20">
        <v>46021</v>
      </c>
      <c r="D536" s="10" t="s">
        <v>609</v>
      </c>
      <c r="E536" s="10" t="s">
        <v>610</v>
      </c>
      <c r="F536" s="10" t="str">
        <f>TRIM(LEFT(OrdersRawTable9[[#This Row],[Customer_Info]],FIND(",",OrdersRawTable9[[#This Row],[Customer_Info]])-1))</f>
        <v>Adam Johnson</v>
      </c>
      <c r="G53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536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36" s="10">
        <f>LEN(OrdersRawTable9[[#This Row],[Customer_Info]])-LEN(SUBSTITUTE(OrdersRawTable9[[#This Row],[Customer_Info]],",",""))</f>
        <v>2</v>
      </c>
      <c r="J536" s="10" t="s">
        <v>468</v>
      </c>
      <c r="K536" s="23">
        <v>2</v>
      </c>
      <c r="L536" s="26">
        <v>160</v>
      </c>
      <c r="M536" s="29">
        <v>0.1</v>
      </c>
      <c r="N536" s="10" t="s">
        <v>45</v>
      </c>
      <c r="O536" s="10" t="str">
        <f>IF(TRIM(OrdersRawTable9[[#This Row],[Sales_Channel_Raw]])="Market place","Marketplace",TRIM(OrdersRawTable9[[#This Row],[Sales_Channel_Raw]]))</f>
        <v>Retail Store</v>
      </c>
      <c r="P536" s="10" t="s">
        <v>51</v>
      </c>
      <c r="Q536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536" s="15" t="s">
        <v>47</v>
      </c>
      <c r="S536" t="str">
        <f>VLOOKUP(OrdersRawTable9[[#This Row],[Customer_ID_Raw]],CustomersTable11[],4,FALSE)</f>
        <v>British Columbia</v>
      </c>
      <c r="T536" t="str">
        <f>VLOOKUP(OrdersRawTable9[[#This Row],[Customer_ID_Raw]],CustomersTable11[],5,FALSE)</f>
        <v>Small Business</v>
      </c>
      <c r="U536" s="45">
        <f>VLOOKUP(OrdersRawTable9[[#This Row],[Product_ID]],ProductsTable10[],4,FALSE)</f>
        <v>101.58</v>
      </c>
      <c r="V536" t="str">
        <f>VLOOKUP(OrdersRawTable9[[#This Row],[Product_ID]],ProductsTable10[],3,FALSE)</f>
        <v>Fitness</v>
      </c>
      <c r="W536" s="45">
        <f>OrdersRawTable9[[#This Row],[Unit_Price]]*OrdersRawTable9[[#This Row],[Quantity]]</f>
        <v>320</v>
      </c>
      <c r="X536" s="47">
        <f>OrdersRawTable9[[#This Row],[Gross_Sales]]*OrdersRawTable9[[#This Row],[Discount_Pct]]</f>
        <v>32</v>
      </c>
      <c r="Y536" s="45">
        <f>OrdersRawTable9[[#This Row],[Gross_Sales]]-OrdersRawTable9[[#This Row],[Discount_Amount]]</f>
        <v>288</v>
      </c>
      <c r="Z536" s="45">
        <f>OrdersRawTable9[[#This Row],[Unit_Cost]]*OrdersRawTable9[[#This Row],[Quantity]]</f>
        <v>203.16</v>
      </c>
      <c r="AA536" s="45">
        <f>OrdersRawTable9[[#This Row],[Net_Sales]]-OrdersRawTable9[[#This Row],[Total_Cost]]</f>
        <v>84.84</v>
      </c>
      <c r="AB536" s="48">
        <f>IF(OrdersRawTable9[[#This Row],[Net_Sales]]=0,0,OrdersRawTable9[[#This Row],[Profit]]/OrdersRawTable9[[#This Row],[Net_Sales]])</f>
        <v>0.29458333333333336</v>
      </c>
      <c r="AC536" s="45" t="str">
        <f>IF(COUNTIF(ReturnsRawTable[Order_Line_ID],OrdersRawTable9[[#This Row],[Order_Line_ID]])&gt;0,"Yes","No")</f>
        <v>Yes</v>
      </c>
      <c r="AD536" s="45" t="str">
        <f>IFERROR(VLOOKUP(OrdersRawTable9[[#This Row],[Order_Line_ID]],ReturnsRawTable[[#All],[Order_Line_ID]:[Return_Reason_Raw]],3,FALSE),"")</f>
        <v>Not as Described</v>
      </c>
      <c r="AE536" s="49">
        <f>IFERROR(VLOOKUP(OrdersRawTable9[[#This Row],[Order_Line_ID]],ReturnsRawTable[[#All],[Order_Line_ID]:[Return_Date]],2,FALSE),"")</f>
        <v>46034</v>
      </c>
      <c r="AF536" s="45" t="str">
        <f>IFERROR(VLOOKUP(OrdersRawTable9[[#This Row],[Order_Line_ID]],ReturnsRawTable[[Order_Line_ID]:[Refund_Status]],4,FALSE),"")</f>
        <v>Refunded</v>
      </c>
      <c r="AG536" s="45" t="str">
        <f>VLOOKUP(OrdersRawTable9[[#This Row],[Order_ID]],ShipmentsTable[],6,FALSE)</f>
        <v>Late</v>
      </c>
      <c r="AH536" s="49">
        <f>VLOOKUP(OrdersRawTable9[[#This Row],[Order_ID]],ShipmentsTable[],3,FALSE)</f>
        <v>46028</v>
      </c>
    </row>
    <row r="537" spans="1:34" ht="15" customHeight="1">
      <c r="A537" s="14" t="s">
        <v>1118</v>
      </c>
      <c r="B537" s="10" t="s">
        <v>1117</v>
      </c>
      <c r="C537" s="20">
        <v>46021</v>
      </c>
      <c r="D537" s="10" t="s">
        <v>609</v>
      </c>
      <c r="E537" s="10" t="s">
        <v>610</v>
      </c>
      <c r="F537" s="10" t="str">
        <f>TRIM(LEFT(OrdersRawTable9[[#This Row],[Customer_Info]],FIND(",",OrdersRawTable9[[#This Row],[Customer_Info]])-1))</f>
        <v>Adam Johnson</v>
      </c>
      <c r="G53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537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37" s="10">
        <f>LEN(OrdersRawTable9[[#This Row],[Customer_Info]])-LEN(SUBSTITUTE(OrdersRawTable9[[#This Row],[Customer_Info]],",",""))</f>
        <v>2</v>
      </c>
      <c r="J537" s="10" t="s">
        <v>63</v>
      </c>
      <c r="K537" s="23">
        <v>1</v>
      </c>
      <c r="L537" s="26">
        <v>105.38</v>
      </c>
      <c r="M537" s="29">
        <v>0.1</v>
      </c>
      <c r="N537" s="10" t="s">
        <v>70</v>
      </c>
      <c r="O537" s="10" t="str">
        <f>IF(TRIM(OrdersRawTable9[[#This Row],[Sales_Channel_Raw]])="Market place","Marketplace",TRIM(OrdersRawTable9[[#This Row],[Sales_Channel_Raw]]))</f>
        <v>online</v>
      </c>
      <c r="P537" s="10" t="s">
        <v>98</v>
      </c>
      <c r="Q537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537" s="15" t="s">
        <v>101</v>
      </c>
      <c r="S537" t="str">
        <f>VLOOKUP(OrdersRawTable9[[#This Row],[Customer_ID_Raw]],CustomersTable11[],4,FALSE)</f>
        <v>British Columbia</v>
      </c>
      <c r="T537" t="str">
        <f>VLOOKUP(OrdersRawTable9[[#This Row],[Customer_ID_Raw]],CustomersTable11[],5,FALSE)</f>
        <v>Small Business</v>
      </c>
      <c r="U537" s="45">
        <f>VLOOKUP(OrdersRawTable9[[#This Row],[Product_ID]],ProductsTable10[],4,FALSE)</f>
        <v>67.290000000000006</v>
      </c>
      <c r="V537" t="str">
        <f>VLOOKUP(OrdersRawTable9[[#This Row],[Product_ID]],ProductsTable10[],3,FALSE)</f>
        <v>Electronics</v>
      </c>
      <c r="W537" s="45">
        <f>OrdersRawTable9[[#This Row],[Unit_Price]]*OrdersRawTable9[[#This Row],[Quantity]]</f>
        <v>105.38</v>
      </c>
      <c r="X537" s="47">
        <f>OrdersRawTable9[[#This Row],[Gross_Sales]]*OrdersRawTable9[[#This Row],[Discount_Pct]]</f>
        <v>10.538</v>
      </c>
      <c r="Y537" s="45">
        <f>OrdersRawTable9[[#This Row],[Gross_Sales]]-OrdersRawTable9[[#This Row],[Discount_Amount]]</f>
        <v>94.841999999999999</v>
      </c>
      <c r="Z537" s="45">
        <f>OrdersRawTable9[[#This Row],[Unit_Cost]]*OrdersRawTable9[[#This Row],[Quantity]]</f>
        <v>67.290000000000006</v>
      </c>
      <c r="AA537" s="45">
        <f>OrdersRawTable9[[#This Row],[Net_Sales]]-OrdersRawTable9[[#This Row],[Total_Cost]]</f>
        <v>27.551999999999992</v>
      </c>
      <c r="AB537" s="48">
        <f>IF(OrdersRawTable9[[#This Row],[Net_Sales]]=0,0,OrdersRawTable9[[#This Row],[Profit]]/OrdersRawTable9[[#This Row],[Net_Sales]])</f>
        <v>0.29050420699690005</v>
      </c>
      <c r="AC537" s="45" t="str">
        <f>IF(COUNTIF(ReturnsRawTable[Order_Line_ID],OrdersRawTable9[[#This Row],[Order_Line_ID]])&gt;0,"Yes","No")</f>
        <v>No</v>
      </c>
      <c r="AD537" s="45" t="str">
        <f>IFERROR(VLOOKUP(OrdersRawTable9[[#This Row],[Order_Line_ID]],ReturnsRawTable[[#All],[Order_Line_ID]:[Return_Reason_Raw]],3,FALSE),"")</f>
        <v/>
      </c>
      <c r="AE537" s="49" t="str">
        <f>IFERROR(VLOOKUP(OrdersRawTable9[[#This Row],[Order_Line_ID]],ReturnsRawTable[[#All],[Order_Line_ID]:[Return_Date]],2,FALSE),"")</f>
        <v/>
      </c>
      <c r="AF537" s="45" t="str">
        <f>IFERROR(VLOOKUP(OrdersRawTable9[[#This Row],[Order_Line_ID]],ReturnsRawTable[[Order_Line_ID]:[Refund_Status]],4,FALSE),"")</f>
        <v/>
      </c>
      <c r="AG537" s="45" t="str">
        <f>VLOOKUP(OrdersRawTable9[[#This Row],[Order_ID]],ShipmentsTable[],6,FALSE)</f>
        <v>Late</v>
      </c>
      <c r="AH537" s="49">
        <f>VLOOKUP(OrdersRawTable9[[#This Row],[Order_ID]],ShipmentsTable[],3,FALSE)</f>
        <v>46028</v>
      </c>
    </row>
    <row r="538" spans="1:34" ht="15" customHeight="1">
      <c r="A538" s="14" t="s">
        <v>1119</v>
      </c>
      <c r="B538" s="10" t="s">
        <v>1120</v>
      </c>
      <c r="C538" s="20">
        <v>45894</v>
      </c>
      <c r="D538" s="10" t="s">
        <v>358</v>
      </c>
      <c r="E538" s="10" t="s">
        <v>359</v>
      </c>
      <c r="F538" s="10" t="str">
        <f>TRIM(LEFT(OrdersRawTable9[[#This Row],[Customer_Info]],FIND(",",OrdersRawTable9[[#This Row],[Customer_Info]])-1))</f>
        <v>Yara Ali</v>
      </c>
      <c r="G53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538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538" s="10">
        <f>LEN(OrdersRawTable9[[#This Row],[Customer_Info]])-LEN(SUBSTITUTE(OrdersRawTable9[[#This Row],[Customer_Info]],",",""))</f>
        <v>2</v>
      </c>
      <c r="J538" s="10" t="s">
        <v>214</v>
      </c>
      <c r="K538" s="23">
        <v>3</v>
      </c>
      <c r="L538" s="26">
        <v>186.92</v>
      </c>
      <c r="M538" s="29">
        <v>0</v>
      </c>
      <c r="N538" s="10" t="s">
        <v>70</v>
      </c>
      <c r="O538" s="10" t="str">
        <f>IF(TRIM(OrdersRawTable9[[#This Row],[Sales_Channel_Raw]])="Market place","Marketplace",TRIM(OrdersRawTable9[[#This Row],[Sales_Channel_Raw]]))</f>
        <v>online</v>
      </c>
      <c r="P538" s="10" t="s">
        <v>46</v>
      </c>
      <c r="Q538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38" s="15" t="s">
        <v>52</v>
      </c>
      <c r="S538" t="str">
        <f>VLOOKUP(OrdersRawTable9[[#This Row],[Customer_ID_Raw]],CustomersTable11[],4,FALSE)</f>
        <v>Quebec</v>
      </c>
      <c r="T538" t="str">
        <f>VLOOKUP(OrdersRawTable9[[#This Row],[Customer_ID_Raw]],CustomersTable11[],5,FALSE)</f>
        <v>Consumer</v>
      </c>
      <c r="U538" s="45">
        <f>VLOOKUP(OrdersRawTable9[[#This Row],[Product_ID]],ProductsTable10[],4,FALSE)</f>
        <v>114.11</v>
      </c>
      <c r="V538" t="str">
        <f>VLOOKUP(OrdersRawTable9[[#This Row],[Product_ID]],ProductsTable10[],3,FALSE)</f>
        <v>Home</v>
      </c>
      <c r="W538" s="45">
        <f>OrdersRawTable9[[#This Row],[Unit_Price]]*OrdersRawTable9[[#This Row],[Quantity]]</f>
        <v>560.76</v>
      </c>
      <c r="X538" s="47">
        <f>OrdersRawTable9[[#This Row],[Gross_Sales]]*OrdersRawTable9[[#This Row],[Discount_Pct]]</f>
        <v>0</v>
      </c>
      <c r="Y538" s="45">
        <f>OrdersRawTable9[[#This Row],[Gross_Sales]]-OrdersRawTable9[[#This Row],[Discount_Amount]]</f>
        <v>560.76</v>
      </c>
      <c r="Z538" s="45">
        <f>OrdersRawTable9[[#This Row],[Unit_Cost]]*OrdersRawTable9[[#This Row],[Quantity]]</f>
        <v>342.33</v>
      </c>
      <c r="AA538" s="45">
        <f>OrdersRawTable9[[#This Row],[Net_Sales]]-OrdersRawTable9[[#This Row],[Total_Cost]]</f>
        <v>218.43</v>
      </c>
      <c r="AB538" s="48">
        <f>IF(OrdersRawTable9[[#This Row],[Net_Sales]]=0,0,OrdersRawTable9[[#This Row],[Profit]]/OrdersRawTable9[[#This Row],[Net_Sales]])</f>
        <v>0.38952493045153008</v>
      </c>
      <c r="AC538" s="45" t="str">
        <f>IF(COUNTIF(ReturnsRawTable[Order_Line_ID],OrdersRawTable9[[#This Row],[Order_Line_ID]])&gt;0,"Yes","No")</f>
        <v>No</v>
      </c>
      <c r="AD538" s="45" t="str">
        <f>IFERROR(VLOOKUP(OrdersRawTable9[[#This Row],[Order_Line_ID]],ReturnsRawTable[[#All],[Order_Line_ID]:[Return_Reason_Raw]],3,FALSE),"")</f>
        <v/>
      </c>
      <c r="AE538" s="49" t="str">
        <f>IFERROR(VLOOKUP(OrdersRawTable9[[#This Row],[Order_Line_ID]],ReturnsRawTable[[#All],[Order_Line_ID]:[Return_Date]],2,FALSE),"")</f>
        <v/>
      </c>
      <c r="AF538" s="45" t="str">
        <f>IFERROR(VLOOKUP(OrdersRawTable9[[#This Row],[Order_Line_ID]],ReturnsRawTable[[Order_Line_ID]:[Refund_Status]],4,FALSE),"")</f>
        <v/>
      </c>
      <c r="AG538" s="45" t="str">
        <f>VLOOKUP(OrdersRawTable9[[#This Row],[Order_ID]],ShipmentsTable[],6,FALSE)</f>
        <v>Late</v>
      </c>
      <c r="AH538" s="49">
        <f>VLOOKUP(OrdersRawTable9[[#This Row],[Order_ID]],ShipmentsTable[],3,FALSE)</f>
        <v>45900</v>
      </c>
    </row>
    <row r="539" spans="1:34" ht="15" customHeight="1">
      <c r="A539" s="14" t="s">
        <v>1121</v>
      </c>
      <c r="B539" s="10" t="s">
        <v>1122</v>
      </c>
      <c r="C539" s="20">
        <v>45815</v>
      </c>
      <c r="D539" s="10" t="s">
        <v>1123</v>
      </c>
      <c r="E539" s="10" t="s">
        <v>275</v>
      </c>
      <c r="F539" s="10" t="str">
        <f>TRIM(LEFT(OrdersRawTable9[[#This Row],[Customer_Info]],FIND(",",OrdersRawTable9[[#This Row],[Customer_Info]])-1))</f>
        <v>Adam Wilson</v>
      </c>
      <c r="G53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539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539" s="10">
        <f>LEN(OrdersRawTable9[[#This Row],[Customer_Info]])-LEN(SUBSTITUTE(OrdersRawTable9[[#This Row],[Customer_Info]],",",""))</f>
        <v>2</v>
      </c>
      <c r="J539" s="10" t="s">
        <v>69</v>
      </c>
      <c r="K539" s="23">
        <v>2</v>
      </c>
      <c r="L539" s="26">
        <v>75.75</v>
      </c>
      <c r="M539" s="29">
        <v>0.05</v>
      </c>
      <c r="N539" s="10" t="s">
        <v>40</v>
      </c>
      <c r="O539" s="10" t="str">
        <f>IF(TRIM(OrdersRawTable9[[#This Row],[Sales_Channel_Raw]])="Market place","Marketplace",TRIM(OrdersRawTable9[[#This Row],[Sales_Channel_Raw]]))</f>
        <v>Online</v>
      </c>
      <c r="P539" s="10" t="s">
        <v>98</v>
      </c>
      <c r="Q539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539" s="15" t="s">
        <v>67</v>
      </c>
      <c r="S539" t="str">
        <f>VLOOKUP(OrdersRawTable9[[#This Row],[Customer_ID_Raw]],CustomersTable11[],4,FALSE)</f>
        <v>Alberta</v>
      </c>
      <c r="T539" t="str">
        <f>VLOOKUP(OrdersRawTable9[[#This Row],[Customer_ID_Raw]],CustomersTable11[],5,FALSE)</f>
        <v>Consumer</v>
      </c>
      <c r="U539" s="45">
        <f>VLOOKUP(OrdersRawTable9[[#This Row],[Product_ID]],ProductsTable10[],4,FALSE)</f>
        <v>42.37</v>
      </c>
      <c r="V539" t="str">
        <f>VLOOKUP(OrdersRawTable9[[#This Row],[Product_ID]],ProductsTable10[],3,FALSE)</f>
        <v>Office</v>
      </c>
      <c r="W539" s="45">
        <f>OrdersRawTable9[[#This Row],[Unit_Price]]*OrdersRawTable9[[#This Row],[Quantity]]</f>
        <v>151.5</v>
      </c>
      <c r="X539" s="47">
        <f>OrdersRawTable9[[#This Row],[Gross_Sales]]*OrdersRawTable9[[#This Row],[Discount_Pct]]</f>
        <v>7.5750000000000002</v>
      </c>
      <c r="Y539" s="45">
        <f>OrdersRawTable9[[#This Row],[Gross_Sales]]-OrdersRawTable9[[#This Row],[Discount_Amount]]</f>
        <v>143.92500000000001</v>
      </c>
      <c r="Z539" s="45">
        <f>OrdersRawTable9[[#This Row],[Unit_Cost]]*OrdersRawTable9[[#This Row],[Quantity]]</f>
        <v>84.74</v>
      </c>
      <c r="AA539" s="45">
        <f>OrdersRawTable9[[#This Row],[Net_Sales]]-OrdersRawTable9[[#This Row],[Total_Cost]]</f>
        <v>59.185000000000016</v>
      </c>
      <c r="AB539" s="48">
        <f>IF(OrdersRawTable9[[#This Row],[Net_Sales]]=0,0,OrdersRawTable9[[#This Row],[Profit]]/OrdersRawTable9[[#This Row],[Net_Sales]])</f>
        <v>0.41122112211221129</v>
      </c>
      <c r="AC539" s="45" t="str">
        <f>IF(COUNTIF(ReturnsRawTable[Order_Line_ID],OrdersRawTable9[[#This Row],[Order_Line_ID]])&gt;0,"Yes","No")</f>
        <v>No</v>
      </c>
      <c r="AD539" s="45" t="str">
        <f>IFERROR(VLOOKUP(OrdersRawTable9[[#This Row],[Order_Line_ID]],ReturnsRawTable[[#All],[Order_Line_ID]:[Return_Reason_Raw]],3,FALSE),"")</f>
        <v/>
      </c>
      <c r="AE539" s="49" t="str">
        <f>IFERROR(VLOOKUP(OrdersRawTable9[[#This Row],[Order_Line_ID]],ReturnsRawTable[[#All],[Order_Line_ID]:[Return_Date]],2,FALSE),"")</f>
        <v/>
      </c>
      <c r="AF539" s="45" t="str">
        <f>IFERROR(VLOOKUP(OrdersRawTable9[[#This Row],[Order_Line_ID]],ReturnsRawTable[[Order_Line_ID]:[Refund_Status]],4,FALSE),"")</f>
        <v/>
      </c>
      <c r="AG539" s="45" t="str">
        <f>VLOOKUP(OrdersRawTable9[[#This Row],[Order_ID]],ShipmentsTable[],6,FALSE)</f>
        <v>Late</v>
      </c>
      <c r="AH539" s="49">
        <f>VLOOKUP(OrdersRawTable9[[#This Row],[Order_ID]],ShipmentsTable[],3,FALSE)</f>
        <v>45820</v>
      </c>
    </row>
    <row r="540" spans="1:34" ht="15" customHeight="1">
      <c r="A540" s="14" t="s">
        <v>1124</v>
      </c>
      <c r="B540" s="10" t="s">
        <v>1122</v>
      </c>
      <c r="C540" s="20">
        <v>45815</v>
      </c>
      <c r="D540" s="10" t="s">
        <v>274</v>
      </c>
      <c r="E540" s="10" t="s">
        <v>275</v>
      </c>
      <c r="F540" s="10" t="str">
        <f>TRIM(LEFT(OrdersRawTable9[[#This Row],[Customer_Info]],FIND(",",OrdersRawTable9[[#This Row],[Customer_Info]])-1))</f>
        <v>Adam Wilson</v>
      </c>
      <c r="G54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540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540" s="10">
        <f>LEN(OrdersRawTable9[[#This Row],[Customer_Info]])-LEN(SUBSTITUTE(OrdersRawTable9[[#This Row],[Customer_Info]],",",""))</f>
        <v>2</v>
      </c>
      <c r="J540" s="10" t="s">
        <v>178</v>
      </c>
      <c r="K540" s="23">
        <v>4</v>
      </c>
      <c r="L540" s="26">
        <v>61.81</v>
      </c>
      <c r="M540" s="29">
        <v>0.15</v>
      </c>
      <c r="N540" s="10" t="s">
        <v>50</v>
      </c>
      <c r="O540" s="10" t="str">
        <f>IF(TRIM(OrdersRawTable9[[#This Row],[Sales_Channel_Raw]])="Market place","Marketplace",TRIM(OrdersRawTable9[[#This Row],[Sales_Channel_Raw]]))</f>
        <v>Marketplace</v>
      </c>
      <c r="P540" s="10"/>
      <c r="Q540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540" s="15" t="s">
        <v>42</v>
      </c>
      <c r="S540" t="str">
        <f>VLOOKUP(OrdersRawTable9[[#This Row],[Customer_ID_Raw]],CustomersTable11[],4,FALSE)</f>
        <v>Alberta</v>
      </c>
      <c r="T540" t="str">
        <f>VLOOKUP(OrdersRawTable9[[#This Row],[Customer_ID_Raw]],CustomersTable11[],5,FALSE)</f>
        <v>Consumer</v>
      </c>
      <c r="U540" s="45">
        <f>VLOOKUP(OrdersRawTable9[[#This Row],[Product_ID]],ProductsTable10[],4,FALSE)</f>
        <v>33.19</v>
      </c>
      <c r="V540" t="str">
        <f>VLOOKUP(OrdersRawTable9[[#This Row],[Product_ID]],ProductsTable10[],3,FALSE)</f>
        <v>Office</v>
      </c>
      <c r="W540" s="45">
        <f>OrdersRawTable9[[#This Row],[Unit_Price]]*OrdersRawTable9[[#This Row],[Quantity]]</f>
        <v>247.24</v>
      </c>
      <c r="X540" s="47">
        <f>OrdersRawTable9[[#This Row],[Gross_Sales]]*OrdersRawTable9[[#This Row],[Discount_Pct]]</f>
        <v>37.085999999999999</v>
      </c>
      <c r="Y540" s="45">
        <f>OrdersRawTable9[[#This Row],[Gross_Sales]]-OrdersRawTable9[[#This Row],[Discount_Amount]]</f>
        <v>210.154</v>
      </c>
      <c r="Z540" s="45">
        <f>OrdersRawTable9[[#This Row],[Unit_Cost]]*OrdersRawTable9[[#This Row],[Quantity]]</f>
        <v>132.76</v>
      </c>
      <c r="AA540" s="45">
        <f>OrdersRawTable9[[#This Row],[Net_Sales]]-OrdersRawTable9[[#This Row],[Total_Cost]]</f>
        <v>77.394000000000005</v>
      </c>
      <c r="AB540" s="48">
        <f>IF(OrdersRawTable9[[#This Row],[Net_Sales]]=0,0,OrdersRawTable9[[#This Row],[Profit]]/OrdersRawTable9[[#This Row],[Net_Sales]])</f>
        <v>0.36827279042987526</v>
      </c>
      <c r="AC540" s="45" t="str">
        <f>IF(COUNTIF(ReturnsRawTable[Order_Line_ID],OrdersRawTable9[[#This Row],[Order_Line_ID]])&gt;0,"Yes","No")</f>
        <v>No</v>
      </c>
      <c r="AD540" s="45" t="str">
        <f>IFERROR(VLOOKUP(OrdersRawTable9[[#This Row],[Order_Line_ID]],ReturnsRawTable[[#All],[Order_Line_ID]:[Return_Reason_Raw]],3,FALSE),"")</f>
        <v/>
      </c>
      <c r="AE540" s="49" t="str">
        <f>IFERROR(VLOOKUP(OrdersRawTable9[[#This Row],[Order_Line_ID]],ReturnsRawTable[[#All],[Order_Line_ID]:[Return_Date]],2,FALSE),"")</f>
        <v/>
      </c>
      <c r="AF540" s="45" t="str">
        <f>IFERROR(VLOOKUP(OrdersRawTable9[[#This Row],[Order_Line_ID]],ReturnsRawTable[[Order_Line_ID]:[Refund_Status]],4,FALSE),"")</f>
        <v/>
      </c>
      <c r="AG540" s="45" t="str">
        <f>VLOOKUP(OrdersRawTable9[[#This Row],[Order_ID]],ShipmentsTable[],6,FALSE)</f>
        <v>Late</v>
      </c>
      <c r="AH540" s="49">
        <f>VLOOKUP(OrdersRawTable9[[#This Row],[Order_ID]],ShipmentsTable[],3,FALSE)</f>
        <v>45820</v>
      </c>
    </row>
    <row r="541" spans="1:34" ht="15" customHeight="1">
      <c r="A541" s="14" t="s">
        <v>1125</v>
      </c>
      <c r="B541" s="10" t="s">
        <v>1122</v>
      </c>
      <c r="C541" s="20">
        <v>45815</v>
      </c>
      <c r="D541" s="10" t="s">
        <v>274</v>
      </c>
      <c r="E541" s="10" t="s">
        <v>275</v>
      </c>
      <c r="F541" s="10" t="str">
        <f>TRIM(LEFT(OrdersRawTable9[[#This Row],[Customer_Info]],FIND(",",OrdersRawTable9[[#This Row],[Customer_Info]])-1))</f>
        <v>Adam Wilson</v>
      </c>
      <c r="G54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541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541" s="10">
        <f>LEN(OrdersRawTable9[[#This Row],[Customer_Info]])-LEN(SUBSTITUTE(OrdersRawTable9[[#This Row],[Customer_Info]],",",""))</f>
        <v>2</v>
      </c>
      <c r="J541" s="10" t="s">
        <v>117</v>
      </c>
      <c r="K541" s="23">
        <v>4</v>
      </c>
      <c r="L541" s="26">
        <v>251.17</v>
      </c>
      <c r="M541" s="29">
        <v>0.1</v>
      </c>
      <c r="N541" s="10" t="s">
        <v>66</v>
      </c>
      <c r="O541" s="10" t="str">
        <f>IF(TRIM(OrdersRawTable9[[#This Row],[Sales_Channel_Raw]])="Market place","Marketplace",TRIM(OrdersRawTable9[[#This Row],[Sales_Channel_Raw]]))</f>
        <v>Marketplace</v>
      </c>
      <c r="P541" s="10" t="s">
        <v>98</v>
      </c>
      <c r="Q541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541" s="15" t="s">
        <v>67</v>
      </c>
      <c r="S541" t="str">
        <f>VLOOKUP(OrdersRawTable9[[#This Row],[Customer_ID_Raw]],CustomersTable11[],4,FALSE)</f>
        <v>Alberta</v>
      </c>
      <c r="T541" t="str">
        <f>VLOOKUP(OrdersRawTable9[[#This Row],[Customer_ID_Raw]],CustomersTable11[],5,FALSE)</f>
        <v>Consumer</v>
      </c>
      <c r="U541" s="45">
        <f>VLOOKUP(OrdersRawTable9[[#This Row],[Product_ID]],ProductsTable10[],4,FALSE)</f>
        <v>151.59</v>
      </c>
      <c r="V541" t="str">
        <f>VLOOKUP(OrdersRawTable9[[#This Row],[Product_ID]],ProductsTable10[],3,FALSE)</f>
        <v>Fitness</v>
      </c>
      <c r="W541" s="45">
        <f>OrdersRawTable9[[#This Row],[Unit_Price]]*OrdersRawTable9[[#This Row],[Quantity]]</f>
        <v>1004.68</v>
      </c>
      <c r="X541" s="47">
        <f>OrdersRawTable9[[#This Row],[Gross_Sales]]*OrdersRawTable9[[#This Row],[Discount_Pct]]</f>
        <v>100.468</v>
      </c>
      <c r="Y541" s="45">
        <f>OrdersRawTable9[[#This Row],[Gross_Sales]]-OrdersRawTable9[[#This Row],[Discount_Amount]]</f>
        <v>904.21199999999999</v>
      </c>
      <c r="Z541" s="45">
        <f>OrdersRawTable9[[#This Row],[Unit_Cost]]*OrdersRawTable9[[#This Row],[Quantity]]</f>
        <v>606.36</v>
      </c>
      <c r="AA541" s="45">
        <f>OrdersRawTable9[[#This Row],[Net_Sales]]-OrdersRawTable9[[#This Row],[Total_Cost]]</f>
        <v>297.85199999999998</v>
      </c>
      <c r="AB541" s="48">
        <f>IF(OrdersRawTable9[[#This Row],[Net_Sales]]=0,0,OrdersRawTable9[[#This Row],[Profit]]/OrdersRawTable9[[#This Row],[Net_Sales]])</f>
        <v>0.32940505102785628</v>
      </c>
      <c r="AC541" s="45" t="str">
        <f>IF(COUNTIF(ReturnsRawTable[Order_Line_ID],OrdersRawTable9[[#This Row],[Order_Line_ID]])&gt;0,"Yes","No")</f>
        <v>No</v>
      </c>
      <c r="AD541" s="45" t="str">
        <f>IFERROR(VLOOKUP(OrdersRawTable9[[#This Row],[Order_Line_ID]],ReturnsRawTable[[#All],[Order_Line_ID]:[Return_Reason_Raw]],3,FALSE),"")</f>
        <v/>
      </c>
      <c r="AE541" s="49" t="str">
        <f>IFERROR(VLOOKUP(OrdersRawTable9[[#This Row],[Order_Line_ID]],ReturnsRawTable[[#All],[Order_Line_ID]:[Return_Date]],2,FALSE),"")</f>
        <v/>
      </c>
      <c r="AF541" s="45" t="str">
        <f>IFERROR(VLOOKUP(OrdersRawTable9[[#This Row],[Order_Line_ID]],ReturnsRawTable[[Order_Line_ID]:[Refund_Status]],4,FALSE),"")</f>
        <v/>
      </c>
      <c r="AG541" s="45" t="str">
        <f>VLOOKUP(OrdersRawTable9[[#This Row],[Order_ID]],ShipmentsTable[],6,FALSE)</f>
        <v>Late</v>
      </c>
      <c r="AH541" s="49">
        <f>VLOOKUP(OrdersRawTable9[[#This Row],[Order_ID]],ShipmentsTable[],3,FALSE)</f>
        <v>45820</v>
      </c>
    </row>
    <row r="542" spans="1:34" ht="15" customHeight="1">
      <c r="A542" s="14" t="s">
        <v>1126</v>
      </c>
      <c r="B542" s="10" t="s">
        <v>1122</v>
      </c>
      <c r="C542" s="20">
        <v>45815</v>
      </c>
      <c r="D542" s="10" t="s">
        <v>274</v>
      </c>
      <c r="E542" s="10" t="s">
        <v>275</v>
      </c>
      <c r="F542" s="10" t="str">
        <f>TRIM(LEFT(OrdersRawTable9[[#This Row],[Customer_Info]],FIND(",",OrdersRawTable9[[#This Row],[Customer_Info]])-1))</f>
        <v>Adam Wilson</v>
      </c>
      <c r="G54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542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542" s="10">
        <f>LEN(OrdersRawTable9[[#This Row],[Customer_Info]])-LEN(SUBSTITUTE(OrdersRawTable9[[#This Row],[Customer_Info]],",",""))</f>
        <v>2</v>
      </c>
      <c r="J542" s="10" t="s">
        <v>100</v>
      </c>
      <c r="K542" s="23">
        <v>3</v>
      </c>
      <c r="L542" s="26">
        <v>42.72</v>
      </c>
      <c r="M542" s="29">
        <v>0.1</v>
      </c>
      <c r="N542" s="10" t="s">
        <v>64</v>
      </c>
      <c r="O542" s="10" t="str">
        <f>IF(TRIM(OrdersRawTable9[[#This Row],[Sales_Channel_Raw]])="Market place","Marketplace",TRIM(OrdersRawTable9[[#This Row],[Sales_Channel_Raw]]))</f>
        <v>Retail Store</v>
      </c>
      <c r="P542" s="10" t="s">
        <v>46</v>
      </c>
      <c r="Q542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42" s="15" t="s">
        <v>67</v>
      </c>
      <c r="S542" t="str">
        <f>VLOOKUP(OrdersRawTable9[[#This Row],[Customer_ID_Raw]],CustomersTable11[],4,FALSE)</f>
        <v>Alberta</v>
      </c>
      <c r="T542" t="str">
        <f>VLOOKUP(OrdersRawTable9[[#This Row],[Customer_ID_Raw]],CustomersTable11[],5,FALSE)</f>
        <v>Consumer</v>
      </c>
      <c r="U542" s="45">
        <f>VLOOKUP(OrdersRawTable9[[#This Row],[Product_ID]],ProductsTable10[],4,FALSE)</f>
        <v>24.46</v>
      </c>
      <c r="V542" t="str">
        <f>VLOOKUP(OrdersRawTable9[[#This Row],[Product_ID]],ProductsTable10[],3,FALSE)</f>
        <v>Electronics</v>
      </c>
      <c r="W542" s="45">
        <f>OrdersRawTable9[[#This Row],[Unit_Price]]*OrdersRawTable9[[#This Row],[Quantity]]</f>
        <v>128.16</v>
      </c>
      <c r="X542" s="47">
        <f>OrdersRawTable9[[#This Row],[Gross_Sales]]*OrdersRawTable9[[#This Row],[Discount_Pct]]</f>
        <v>12.816000000000001</v>
      </c>
      <c r="Y542" s="45">
        <f>OrdersRawTable9[[#This Row],[Gross_Sales]]-OrdersRawTable9[[#This Row],[Discount_Amount]]</f>
        <v>115.34399999999999</v>
      </c>
      <c r="Z542" s="45">
        <f>OrdersRawTable9[[#This Row],[Unit_Cost]]*OrdersRawTable9[[#This Row],[Quantity]]</f>
        <v>73.38</v>
      </c>
      <c r="AA542" s="45">
        <f>OrdersRawTable9[[#This Row],[Net_Sales]]-OrdersRawTable9[[#This Row],[Total_Cost]]</f>
        <v>41.963999999999999</v>
      </c>
      <c r="AB542" s="48">
        <f>IF(OrdersRawTable9[[#This Row],[Net_Sales]]=0,0,OrdersRawTable9[[#This Row],[Profit]]/OrdersRawTable9[[#This Row],[Net_Sales]])</f>
        <v>0.36381606325426552</v>
      </c>
      <c r="AC542" s="45" t="str">
        <f>IF(COUNTIF(ReturnsRawTable[Order_Line_ID],OrdersRawTable9[[#This Row],[Order_Line_ID]])&gt;0,"Yes","No")</f>
        <v>Yes</v>
      </c>
      <c r="AD542" s="45" t="str">
        <f>IFERROR(VLOOKUP(OrdersRawTable9[[#This Row],[Order_Line_ID]],ReturnsRawTable[[#All],[Order_Line_ID]:[Return_Reason_Raw]],3,FALSE),"")</f>
        <v>damaged</v>
      </c>
      <c r="AE542" s="49">
        <f>IFERROR(VLOOKUP(OrdersRawTable9[[#This Row],[Order_Line_ID]],ReturnsRawTable[[#All],[Order_Line_ID]:[Return_Date]],2,FALSE),"")</f>
        <v>45835</v>
      </c>
      <c r="AF542" s="45" t="str">
        <f>IFERROR(VLOOKUP(OrdersRawTable9[[#This Row],[Order_Line_ID]],ReturnsRawTable[[Order_Line_ID]:[Refund_Status]],4,FALSE),"")</f>
        <v>Refunded</v>
      </c>
      <c r="AG542" s="45" t="str">
        <f>VLOOKUP(OrdersRawTable9[[#This Row],[Order_ID]],ShipmentsTable[],6,FALSE)</f>
        <v>Late</v>
      </c>
      <c r="AH542" s="49">
        <f>VLOOKUP(OrdersRawTable9[[#This Row],[Order_ID]],ShipmentsTable[],3,FALSE)</f>
        <v>45820</v>
      </c>
    </row>
    <row r="543" spans="1:34" ht="15" customHeight="1">
      <c r="A543" s="14" t="s">
        <v>1127</v>
      </c>
      <c r="B543" s="10" t="s">
        <v>1128</v>
      </c>
      <c r="C543" s="20">
        <v>45915</v>
      </c>
      <c r="D543" s="10" t="s">
        <v>947</v>
      </c>
      <c r="E543" s="10" t="s">
        <v>948</v>
      </c>
      <c r="F543" s="10" t="str">
        <f>TRIM(LEFT(OrdersRawTable9[[#This Row],[Customer_Info]],FIND(",",OrdersRawTable9[[#This Row],[Customer_Info]])-1))</f>
        <v>Adam Ali</v>
      </c>
      <c r="G54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543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543" s="10">
        <f>LEN(OrdersRawTable9[[#This Row],[Customer_Info]])-LEN(SUBSTITUTE(OrdersRawTable9[[#This Row],[Customer_Info]],",",""))</f>
        <v>2</v>
      </c>
      <c r="J543" s="10" t="s">
        <v>201</v>
      </c>
      <c r="K543" s="23">
        <v>3</v>
      </c>
      <c r="L543" s="26">
        <v>154.47</v>
      </c>
      <c r="M543" s="29">
        <v>0.1</v>
      </c>
      <c r="N543" s="10" t="s">
        <v>50</v>
      </c>
      <c r="O543" s="10" t="str">
        <f>IF(TRIM(OrdersRawTable9[[#This Row],[Sales_Channel_Raw]])="Market place","Marketplace",TRIM(OrdersRawTable9[[#This Row],[Sales_Channel_Raw]]))</f>
        <v>Marketplace</v>
      </c>
      <c r="P543" s="10" t="s">
        <v>41</v>
      </c>
      <c r="Q543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43" s="15" t="s">
        <v>52</v>
      </c>
      <c r="S543" t="str">
        <f>VLOOKUP(OrdersRawTable9[[#This Row],[Customer_ID_Raw]],CustomersTable11[],4,FALSE)</f>
        <v>Ontario</v>
      </c>
      <c r="T543" t="str">
        <f>VLOOKUP(OrdersRawTable9[[#This Row],[Customer_ID_Raw]],CustomersTable11[],5,FALSE)</f>
        <v>Corporate</v>
      </c>
      <c r="U543" s="45">
        <f>VLOOKUP(OrdersRawTable9[[#This Row],[Product_ID]],ProductsTable10[],4,FALSE)</f>
        <v>102.57</v>
      </c>
      <c r="V543" t="str">
        <f>VLOOKUP(OrdersRawTable9[[#This Row],[Product_ID]],ProductsTable10[],3,FALSE)</f>
        <v>Fitness</v>
      </c>
      <c r="W543" s="45">
        <f>OrdersRawTable9[[#This Row],[Unit_Price]]*OrdersRawTable9[[#This Row],[Quantity]]</f>
        <v>463.40999999999997</v>
      </c>
      <c r="X543" s="47">
        <f>OrdersRawTable9[[#This Row],[Gross_Sales]]*OrdersRawTable9[[#This Row],[Discount_Pct]]</f>
        <v>46.341000000000001</v>
      </c>
      <c r="Y543" s="45">
        <f>OrdersRawTable9[[#This Row],[Gross_Sales]]-OrdersRawTable9[[#This Row],[Discount_Amount]]</f>
        <v>417.06899999999996</v>
      </c>
      <c r="Z543" s="45">
        <f>OrdersRawTable9[[#This Row],[Unit_Cost]]*OrdersRawTable9[[#This Row],[Quantity]]</f>
        <v>307.70999999999998</v>
      </c>
      <c r="AA543" s="45">
        <f>OrdersRawTable9[[#This Row],[Net_Sales]]-OrdersRawTable9[[#This Row],[Total_Cost]]</f>
        <v>109.35899999999998</v>
      </c>
      <c r="AB543" s="48">
        <f>IF(OrdersRawTable9[[#This Row],[Net_Sales]]=0,0,OrdersRawTable9[[#This Row],[Profit]]/OrdersRawTable9[[#This Row],[Net_Sales]])</f>
        <v>0.26220841155779978</v>
      </c>
      <c r="AC543" s="45" t="str">
        <f>IF(COUNTIF(ReturnsRawTable[Order_Line_ID],OrdersRawTable9[[#This Row],[Order_Line_ID]])&gt;0,"Yes","No")</f>
        <v>No</v>
      </c>
      <c r="AD543" s="45" t="str">
        <f>IFERROR(VLOOKUP(OrdersRawTable9[[#This Row],[Order_Line_ID]],ReturnsRawTable[[#All],[Order_Line_ID]:[Return_Reason_Raw]],3,FALSE),"")</f>
        <v/>
      </c>
      <c r="AE543" s="49" t="str">
        <f>IFERROR(VLOOKUP(OrdersRawTable9[[#This Row],[Order_Line_ID]],ReturnsRawTable[[#All],[Order_Line_ID]:[Return_Date]],2,FALSE),"")</f>
        <v/>
      </c>
      <c r="AF543" s="45" t="str">
        <f>IFERROR(VLOOKUP(OrdersRawTable9[[#This Row],[Order_Line_ID]],ReturnsRawTable[[Order_Line_ID]:[Refund_Status]],4,FALSE),"")</f>
        <v/>
      </c>
      <c r="AG543" s="45" t="str">
        <f>VLOOKUP(OrdersRawTable9[[#This Row],[Order_ID]],ShipmentsTable[],6,FALSE)</f>
        <v>On time</v>
      </c>
      <c r="AH543" s="49">
        <f>VLOOKUP(OrdersRawTable9[[#This Row],[Order_ID]],ShipmentsTable[],3,FALSE)</f>
        <v>45918</v>
      </c>
    </row>
    <row r="544" spans="1:34" ht="15" customHeight="1">
      <c r="A544" s="14" t="s">
        <v>1129</v>
      </c>
      <c r="B544" s="10" t="s">
        <v>1128</v>
      </c>
      <c r="C544" s="20">
        <v>45915</v>
      </c>
      <c r="D544" s="10" t="s">
        <v>947</v>
      </c>
      <c r="E544" s="10" t="s">
        <v>948</v>
      </c>
      <c r="F544" s="10" t="str">
        <f>TRIM(LEFT(OrdersRawTable9[[#This Row],[Customer_Info]],FIND(",",OrdersRawTable9[[#This Row],[Customer_Info]])-1))</f>
        <v>Adam Ali</v>
      </c>
      <c r="G54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544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544" s="10">
        <f>LEN(OrdersRawTable9[[#This Row],[Customer_Info]])-LEN(SUBSTITUTE(OrdersRawTable9[[#This Row],[Customer_Info]],",",""))</f>
        <v>2</v>
      </c>
      <c r="J544" s="10" t="s">
        <v>204</v>
      </c>
      <c r="K544" s="23">
        <v>1</v>
      </c>
      <c r="L544" s="26">
        <v>244.25</v>
      </c>
      <c r="M544" s="29">
        <v>0.15</v>
      </c>
      <c r="N544" s="10" t="s">
        <v>66</v>
      </c>
      <c r="O544" s="10" t="str">
        <f>IF(TRIM(OrdersRawTable9[[#This Row],[Sales_Channel_Raw]])="Market place","Marketplace",TRIM(OrdersRawTable9[[#This Row],[Sales_Channel_Raw]]))</f>
        <v>Marketplace</v>
      </c>
      <c r="P544" s="10" t="s">
        <v>46</v>
      </c>
      <c r="Q544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44" s="15" t="s">
        <v>42</v>
      </c>
      <c r="S544" t="str">
        <f>VLOOKUP(OrdersRawTable9[[#This Row],[Customer_ID_Raw]],CustomersTable11[],4,FALSE)</f>
        <v>Ontario</v>
      </c>
      <c r="T544" t="str">
        <f>VLOOKUP(OrdersRawTable9[[#This Row],[Customer_ID_Raw]],CustomersTable11[],5,FALSE)</f>
        <v>Corporate</v>
      </c>
      <c r="U544" s="45">
        <f>VLOOKUP(OrdersRawTable9[[#This Row],[Product_ID]],ProductsTable10[],4,FALSE)</f>
        <v>150.96</v>
      </c>
      <c r="V544" t="str">
        <f>VLOOKUP(OrdersRawTable9[[#This Row],[Product_ID]],ProductsTable10[],3,FALSE)</f>
        <v>Office</v>
      </c>
      <c r="W544" s="45">
        <f>OrdersRawTable9[[#This Row],[Unit_Price]]*OrdersRawTable9[[#This Row],[Quantity]]</f>
        <v>244.25</v>
      </c>
      <c r="X544" s="47">
        <f>OrdersRawTable9[[#This Row],[Gross_Sales]]*OrdersRawTable9[[#This Row],[Discount_Pct]]</f>
        <v>36.637499999999996</v>
      </c>
      <c r="Y544" s="45">
        <f>OrdersRawTable9[[#This Row],[Gross_Sales]]-OrdersRawTable9[[#This Row],[Discount_Amount]]</f>
        <v>207.61250000000001</v>
      </c>
      <c r="Z544" s="45">
        <f>OrdersRawTable9[[#This Row],[Unit_Cost]]*OrdersRawTable9[[#This Row],[Quantity]]</f>
        <v>150.96</v>
      </c>
      <c r="AA544" s="45">
        <f>OrdersRawTable9[[#This Row],[Net_Sales]]-OrdersRawTable9[[#This Row],[Total_Cost]]</f>
        <v>56.652500000000003</v>
      </c>
      <c r="AB544" s="48">
        <f>IF(OrdersRawTable9[[#This Row],[Net_Sales]]=0,0,OrdersRawTable9[[#This Row],[Profit]]/OrdersRawTable9[[#This Row],[Net_Sales]])</f>
        <v>0.27287615148413513</v>
      </c>
      <c r="AC544" s="45" t="str">
        <f>IF(COUNTIF(ReturnsRawTable[Order_Line_ID],OrdersRawTable9[[#This Row],[Order_Line_ID]])&gt;0,"Yes","No")</f>
        <v>Yes</v>
      </c>
      <c r="AD544" s="45" t="str">
        <f>IFERROR(VLOOKUP(OrdersRawTable9[[#This Row],[Order_Line_ID]],ReturnsRawTable[[#All],[Order_Line_ID]:[Return_Reason_Raw]],3,FALSE),"")</f>
        <v>Wrong item</v>
      </c>
      <c r="AE544" s="49">
        <f>IFERROR(VLOOKUP(OrdersRawTable9[[#This Row],[Order_Line_ID]],ReturnsRawTable[[#All],[Order_Line_ID]:[Return_Date]],2,FALSE),"")</f>
        <v>45925</v>
      </c>
      <c r="AF544" s="45" t="str">
        <f>IFERROR(VLOOKUP(OrdersRawTable9[[#This Row],[Order_Line_ID]],ReturnsRawTable[[Order_Line_ID]:[Refund_Status]],4,FALSE),"")</f>
        <v>Refunded</v>
      </c>
      <c r="AG544" s="45" t="str">
        <f>VLOOKUP(OrdersRawTable9[[#This Row],[Order_ID]],ShipmentsTable[],6,FALSE)</f>
        <v>On time</v>
      </c>
      <c r="AH544" s="49">
        <f>VLOOKUP(OrdersRawTable9[[#This Row],[Order_ID]],ShipmentsTable[],3,FALSE)</f>
        <v>45918</v>
      </c>
    </row>
    <row r="545" spans="1:34" ht="15" customHeight="1">
      <c r="A545" s="14" t="s">
        <v>1130</v>
      </c>
      <c r="B545" s="10" t="s">
        <v>1128</v>
      </c>
      <c r="C545" s="20">
        <v>45915</v>
      </c>
      <c r="D545" s="10" t="s">
        <v>947</v>
      </c>
      <c r="E545" s="10" t="s">
        <v>948</v>
      </c>
      <c r="F545" s="10" t="str">
        <f>TRIM(LEFT(OrdersRawTable9[[#This Row],[Customer_Info]],FIND(",",OrdersRawTable9[[#This Row],[Customer_Info]])-1))</f>
        <v>Adam Ali</v>
      </c>
      <c r="G54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545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545" s="10">
        <f>LEN(OrdersRawTable9[[#This Row],[Customer_Info]])-LEN(SUBSTITUTE(OrdersRawTable9[[#This Row],[Customer_Info]],",",""))</f>
        <v>2</v>
      </c>
      <c r="J545" s="10" t="s">
        <v>180</v>
      </c>
      <c r="K545" s="23">
        <v>2</v>
      </c>
      <c r="L545" s="26">
        <v>91.75</v>
      </c>
      <c r="M545" s="29">
        <v>0</v>
      </c>
      <c r="N545" s="10" t="s">
        <v>64</v>
      </c>
      <c r="O545" s="10" t="str">
        <f>IF(TRIM(OrdersRawTable9[[#This Row],[Sales_Channel_Raw]])="Market place","Marketplace",TRIM(OrdersRawTable9[[#This Row],[Sales_Channel_Raw]]))</f>
        <v>Retail Store</v>
      </c>
      <c r="P545" s="10" t="s">
        <v>46</v>
      </c>
      <c r="Q545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45" s="15" t="s">
        <v>42</v>
      </c>
      <c r="S545" t="str">
        <f>VLOOKUP(OrdersRawTable9[[#This Row],[Customer_ID_Raw]],CustomersTable11[],4,FALSE)</f>
        <v>Ontario</v>
      </c>
      <c r="T545" t="str">
        <f>VLOOKUP(OrdersRawTable9[[#This Row],[Customer_ID_Raw]],CustomersTable11[],5,FALSE)</f>
        <v>Corporate</v>
      </c>
      <c r="U545" s="45">
        <f>VLOOKUP(OrdersRawTable9[[#This Row],[Product_ID]],ProductsTable10[],4,FALSE)</f>
        <v>58.27</v>
      </c>
      <c r="V545" t="str">
        <f>VLOOKUP(OrdersRawTable9[[#This Row],[Product_ID]],ProductsTable10[],3,FALSE)</f>
        <v>Home</v>
      </c>
      <c r="W545" s="45">
        <f>OrdersRawTable9[[#This Row],[Unit_Price]]*OrdersRawTable9[[#This Row],[Quantity]]</f>
        <v>183.5</v>
      </c>
      <c r="X545" s="47">
        <f>OrdersRawTable9[[#This Row],[Gross_Sales]]*OrdersRawTable9[[#This Row],[Discount_Pct]]</f>
        <v>0</v>
      </c>
      <c r="Y545" s="45">
        <f>OrdersRawTable9[[#This Row],[Gross_Sales]]-OrdersRawTable9[[#This Row],[Discount_Amount]]</f>
        <v>183.5</v>
      </c>
      <c r="Z545" s="45">
        <f>OrdersRawTable9[[#This Row],[Unit_Cost]]*OrdersRawTable9[[#This Row],[Quantity]]</f>
        <v>116.54</v>
      </c>
      <c r="AA545" s="45">
        <f>OrdersRawTable9[[#This Row],[Net_Sales]]-OrdersRawTable9[[#This Row],[Total_Cost]]</f>
        <v>66.959999999999994</v>
      </c>
      <c r="AB545" s="48">
        <f>IF(OrdersRawTable9[[#This Row],[Net_Sales]]=0,0,OrdersRawTable9[[#This Row],[Profit]]/OrdersRawTable9[[#This Row],[Net_Sales]])</f>
        <v>0.3649046321525885</v>
      </c>
      <c r="AC545" s="45" t="str">
        <f>IF(COUNTIF(ReturnsRawTable[Order_Line_ID],OrdersRawTable9[[#This Row],[Order_Line_ID]])&gt;0,"Yes","No")</f>
        <v>No</v>
      </c>
      <c r="AD545" s="45" t="str">
        <f>IFERROR(VLOOKUP(OrdersRawTable9[[#This Row],[Order_Line_ID]],ReturnsRawTable[[#All],[Order_Line_ID]:[Return_Reason_Raw]],3,FALSE),"")</f>
        <v/>
      </c>
      <c r="AE545" s="49" t="str">
        <f>IFERROR(VLOOKUP(OrdersRawTable9[[#This Row],[Order_Line_ID]],ReturnsRawTable[[#All],[Order_Line_ID]:[Return_Date]],2,FALSE),"")</f>
        <v/>
      </c>
      <c r="AF545" s="45" t="str">
        <f>IFERROR(VLOOKUP(OrdersRawTable9[[#This Row],[Order_Line_ID]],ReturnsRawTable[[Order_Line_ID]:[Refund_Status]],4,FALSE),"")</f>
        <v/>
      </c>
      <c r="AG545" s="45" t="str">
        <f>VLOOKUP(OrdersRawTable9[[#This Row],[Order_ID]],ShipmentsTable[],6,FALSE)</f>
        <v>On time</v>
      </c>
      <c r="AH545" s="49">
        <f>VLOOKUP(OrdersRawTable9[[#This Row],[Order_ID]],ShipmentsTable[],3,FALSE)</f>
        <v>45918</v>
      </c>
    </row>
    <row r="546" spans="1:34" ht="15" customHeight="1">
      <c r="A546" s="14" t="s">
        <v>1131</v>
      </c>
      <c r="B546" s="10" t="s">
        <v>1128</v>
      </c>
      <c r="C546" s="20">
        <v>45915</v>
      </c>
      <c r="D546" s="10" t="s">
        <v>947</v>
      </c>
      <c r="E546" s="10" t="s">
        <v>948</v>
      </c>
      <c r="F546" s="10" t="str">
        <f>TRIM(LEFT(OrdersRawTable9[[#This Row],[Customer_Info]],FIND(",",OrdersRawTable9[[#This Row],[Customer_Info]])-1))</f>
        <v>Adam Ali</v>
      </c>
      <c r="G54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546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546" s="10">
        <f>LEN(OrdersRawTable9[[#This Row],[Customer_Info]])-LEN(SUBSTITUTE(OrdersRawTable9[[#This Row],[Customer_Info]],",",""))</f>
        <v>2</v>
      </c>
      <c r="J546" s="10" t="s">
        <v>316</v>
      </c>
      <c r="K546" s="23">
        <v>1</v>
      </c>
      <c r="L546" s="26">
        <v>180.37</v>
      </c>
      <c r="M546" s="29">
        <v>0.15</v>
      </c>
      <c r="N546" s="10" t="s">
        <v>50</v>
      </c>
      <c r="O546" s="10" t="str">
        <f>IF(TRIM(OrdersRawTable9[[#This Row],[Sales_Channel_Raw]])="Market place","Marketplace",TRIM(OrdersRawTable9[[#This Row],[Sales_Channel_Raw]]))</f>
        <v>Marketplace</v>
      </c>
      <c r="P546" s="10" t="s">
        <v>46</v>
      </c>
      <c r="Q546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46" s="15" t="s">
        <v>67</v>
      </c>
      <c r="S546" t="str">
        <f>VLOOKUP(OrdersRawTable9[[#This Row],[Customer_ID_Raw]],CustomersTable11[],4,FALSE)</f>
        <v>Ontario</v>
      </c>
      <c r="T546" t="str">
        <f>VLOOKUP(OrdersRawTable9[[#This Row],[Customer_ID_Raw]],CustomersTable11[],5,FALSE)</f>
        <v>Corporate</v>
      </c>
      <c r="U546" s="45">
        <f>VLOOKUP(OrdersRawTable9[[#This Row],[Product_ID]],ProductsTable10[],4,FALSE)</f>
        <v>107.55</v>
      </c>
      <c r="V546" t="str">
        <f>VLOOKUP(OrdersRawTable9[[#This Row],[Product_ID]],ProductsTable10[],3,FALSE)</f>
        <v>Accessories</v>
      </c>
      <c r="W546" s="45">
        <f>OrdersRawTable9[[#This Row],[Unit_Price]]*OrdersRawTable9[[#This Row],[Quantity]]</f>
        <v>180.37</v>
      </c>
      <c r="X546" s="47">
        <f>OrdersRawTable9[[#This Row],[Gross_Sales]]*OrdersRawTable9[[#This Row],[Discount_Pct]]</f>
        <v>27.055499999999999</v>
      </c>
      <c r="Y546" s="45">
        <f>OrdersRawTable9[[#This Row],[Gross_Sales]]-OrdersRawTable9[[#This Row],[Discount_Amount]]</f>
        <v>153.31450000000001</v>
      </c>
      <c r="Z546" s="45">
        <f>OrdersRawTable9[[#This Row],[Unit_Cost]]*OrdersRawTable9[[#This Row],[Quantity]]</f>
        <v>107.55</v>
      </c>
      <c r="AA546" s="45">
        <f>OrdersRawTable9[[#This Row],[Net_Sales]]-OrdersRawTable9[[#This Row],[Total_Cost]]</f>
        <v>45.764500000000012</v>
      </c>
      <c r="AB546" s="48">
        <f>IF(OrdersRawTable9[[#This Row],[Net_Sales]]=0,0,OrdersRawTable9[[#This Row],[Profit]]/OrdersRawTable9[[#This Row],[Net_Sales]])</f>
        <v>0.29850079411927777</v>
      </c>
      <c r="AC546" s="45" t="str">
        <f>IF(COUNTIF(ReturnsRawTable[Order_Line_ID],OrdersRawTable9[[#This Row],[Order_Line_ID]])&gt;0,"Yes","No")</f>
        <v>No</v>
      </c>
      <c r="AD546" s="45" t="str">
        <f>IFERROR(VLOOKUP(OrdersRawTable9[[#This Row],[Order_Line_ID]],ReturnsRawTable[[#All],[Order_Line_ID]:[Return_Reason_Raw]],3,FALSE),"")</f>
        <v/>
      </c>
      <c r="AE546" s="49" t="str">
        <f>IFERROR(VLOOKUP(OrdersRawTable9[[#This Row],[Order_Line_ID]],ReturnsRawTable[[#All],[Order_Line_ID]:[Return_Date]],2,FALSE),"")</f>
        <v/>
      </c>
      <c r="AF546" s="45" t="str">
        <f>IFERROR(VLOOKUP(OrdersRawTable9[[#This Row],[Order_Line_ID]],ReturnsRawTable[[Order_Line_ID]:[Refund_Status]],4,FALSE),"")</f>
        <v/>
      </c>
      <c r="AG546" s="45" t="str">
        <f>VLOOKUP(OrdersRawTable9[[#This Row],[Order_ID]],ShipmentsTable[],6,FALSE)</f>
        <v>On time</v>
      </c>
      <c r="AH546" s="49">
        <f>VLOOKUP(OrdersRawTable9[[#This Row],[Order_ID]],ShipmentsTable[],3,FALSE)</f>
        <v>45918</v>
      </c>
    </row>
    <row r="547" spans="1:34" ht="15" customHeight="1">
      <c r="A547" s="14" t="s">
        <v>1132</v>
      </c>
      <c r="B547" s="10" t="s">
        <v>1133</v>
      </c>
      <c r="C547" s="20">
        <v>45800</v>
      </c>
      <c r="D547" s="10" t="s">
        <v>115</v>
      </c>
      <c r="E547" s="10" t="s">
        <v>116</v>
      </c>
      <c r="F547" s="10" t="str">
        <f>TRIM(LEFT(OrdersRawTable9[[#This Row],[Customer_Info]],FIND(",",OrdersRawTable9[[#This Row],[Customer_Info]])-1))</f>
        <v>Ethan Martin</v>
      </c>
      <c r="G54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547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547" s="10">
        <f>LEN(OrdersRawTable9[[#This Row],[Customer_Info]])-LEN(SUBSTITUTE(OrdersRawTable9[[#This Row],[Customer_Info]],",",""))</f>
        <v>2</v>
      </c>
      <c r="J547" s="10" t="s">
        <v>88</v>
      </c>
      <c r="K547" s="23">
        <v>2</v>
      </c>
      <c r="L547" s="26">
        <v>147.46</v>
      </c>
      <c r="M547" s="29">
        <v>0.15</v>
      </c>
      <c r="N547" s="10" t="s">
        <v>70</v>
      </c>
      <c r="O547" s="10" t="str">
        <f>IF(TRIM(OrdersRawTable9[[#This Row],[Sales_Channel_Raw]])="Market place","Marketplace",TRIM(OrdersRawTable9[[#This Row],[Sales_Channel_Raw]]))</f>
        <v>online</v>
      </c>
      <c r="P547" s="10" t="s">
        <v>41</v>
      </c>
      <c r="Q547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47" s="15" t="s">
        <v>67</v>
      </c>
      <c r="S547" t="str">
        <f>VLOOKUP(OrdersRawTable9[[#This Row],[Customer_ID_Raw]],CustomersTable11[],4,FALSE)</f>
        <v>Ontario</v>
      </c>
      <c r="T547" t="str">
        <f>VLOOKUP(OrdersRawTable9[[#This Row],[Customer_ID_Raw]],CustomersTable11[],5,FALSE)</f>
        <v>Consumer</v>
      </c>
      <c r="U547" s="45">
        <f>VLOOKUP(OrdersRawTable9[[#This Row],[Product_ID]],ProductsTable10[],4,FALSE)</f>
        <v>100.95</v>
      </c>
      <c r="V547" t="str">
        <f>VLOOKUP(OrdersRawTable9[[#This Row],[Product_ID]],ProductsTable10[],3,FALSE)</f>
        <v>Electronics</v>
      </c>
      <c r="W547" s="45">
        <f>OrdersRawTable9[[#This Row],[Unit_Price]]*OrdersRawTable9[[#This Row],[Quantity]]</f>
        <v>294.92</v>
      </c>
      <c r="X547" s="47">
        <f>OrdersRawTable9[[#This Row],[Gross_Sales]]*OrdersRawTable9[[#This Row],[Discount_Pct]]</f>
        <v>44.238</v>
      </c>
      <c r="Y547" s="45">
        <f>OrdersRawTable9[[#This Row],[Gross_Sales]]-OrdersRawTable9[[#This Row],[Discount_Amount]]</f>
        <v>250.68200000000002</v>
      </c>
      <c r="Z547" s="45">
        <f>OrdersRawTable9[[#This Row],[Unit_Cost]]*OrdersRawTable9[[#This Row],[Quantity]]</f>
        <v>201.9</v>
      </c>
      <c r="AA547" s="45">
        <f>OrdersRawTable9[[#This Row],[Net_Sales]]-OrdersRawTable9[[#This Row],[Total_Cost]]</f>
        <v>48.782000000000011</v>
      </c>
      <c r="AB547" s="48">
        <f>IF(OrdersRawTable9[[#This Row],[Net_Sales]]=0,0,OrdersRawTable9[[#This Row],[Profit]]/OrdersRawTable9[[#This Row],[Net_Sales]])</f>
        <v>0.19459713900479494</v>
      </c>
      <c r="AC547" s="45" t="str">
        <f>IF(COUNTIF(ReturnsRawTable[Order_Line_ID],OrdersRawTable9[[#This Row],[Order_Line_ID]])&gt;0,"Yes","No")</f>
        <v>No</v>
      </c>
      <c r="AD547" s="45" t="str">
        <f>IFERROR(VLOOKUP(OrdersRawTable9[[#This Row],[Order_Line_ID]],ReturnsRawTable[[#All],[Order_Line_ID]:[Return_Reason_Raw]],3,FALSE),"")</f>
        <v/>
      </c>
      <c r="AE547" s="49" t="str">
        <f>IFERROR(VLOOKUP(OrdersRawTable9[[#This Row],[Order_Line_ID]],ReturnsRawTable[[#All],[Order_Line_ID]:[Return_Date]],2,FALSE),"")</f>
        <v/>
      </c>
      <c r="AF547" s="45" t="str">
        <f>IFERROR(VLOOKUP(OrdersRawTable9[[#This Row],[Order_Line_ID]],ReturnsRawTable[[Order_Line_ID]:[Refund_Status]],4,FALSE),"")</f>
        <v/>
      </c>
      <c r="AG547" s="45" t="str">
        <f>VLOOKUP(OrdersRawTable9[[#This Row],[Order_ID]],ShipmentsTable[],6,FALSE)</f>
        <v>Late</v>
      </c>
      <c r="AH547" s="49">
        <f>VLOOKUP(OrdersRawTable9[[#This Row],[Order_ID]],ShipmentsTable[],3,FALSE)</f>
        <v>45808</v>
      </c>
    </row>
    <row r="548" spans="1:34" ht="15" customHeight="1">
      <c r="A548" s="14" t="s">
        <v>1134</v>
      </c>
      <c r="B548" s="10" t="s">
        <v>1135</v>
      </c>
      <c r="C548" s="20">
        <v>45853</v>
      </c>
      <c r="D548" s="10" t="s">
        <v>193</v>
      </c>
      <c r="E548" s="10" t="s">
        <v>194</v>
      </c>
      <c r="F548" s="10" t="str">
        <f>TRIM(LEFT(OrdersRawTable9[[#This Row],[Customer_Info]],FIND(",",OrdersRawTable9[[#This Row],[Customer_Info]])-1))</f>
        <v>Liam Gagnon</v>
      </c>
      <c r="G54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548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548" s="10">
        <f>LEN(OrdersRawTable9[[#This Row],[Customer_Info]])-LEN(SUBSTITUTE(OrdersRawTable9[[#This Row],[Customer_Info]],",",""))</f>
        <v>2</v>
      </c>
      <c r="J548" s="10" t="s">
        <v>784</v>
      </c>
      <c r="K548" s="23">
        <v>1</v>
      </c>
      <c r="L548" s="26">
        <v>96.33</v>
      </c>
      <c r="M548" s="29">
        <v>0</v>
      </c>
      <c r="N548" s="10" t="s">
        <v>66</v>
      </c>
      <c r="O548" s="10" t="str">
        <f>IF(TRIM(OrdersRawTable9[[#This Row],[Sales_Channel_Raw]])="Market place","Marketplace",TRIM(OrdersRawTable9[[#This Row],[Sales_Channel_Raw]]))</f>
        <v>Marketplace</v>
      </c>
      <c r="P548" s="10" t="s">
        <v>98</v>
      </c>
      <c r="Q548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548" s="15" t="s">
        <v>101</v>
      </c>
      <c r="S548" t="str">
        <f>VLOOKUP(OrdersRawTable9[[#This Row],[Customer_ID_Raw]],CustomersTable11[],4,FALSE)</f>
        <v>Ontario</v>
      </c>
      <c r="T548" t="str">
        <f>VLOOKUP(OrdersRawTable9[[#This Row],[Customer_ID_Raw]],CustomersTable11[],5,FALSE)</f>
        <v>Consumer</v>
      </c>
      <c r="U548" s="45">
        <f>VLOOKUP(OrdersRawTable9[[#This Row],[Product_ID]],ProductsTable10[],4,FALSE)</f>
        <v>57.85</v>
      </c>
      <c r="V548" t="str">
        <f>VLOOKUP(OrdersRawTable9[[#This Row],[Product_ID]],ProductsTable10[],3,FALSE)</f>
        <v>Accessories</v>
      </c>
      <c r="W548" s="45">
        <f>OrdersRawTable9[[#This Row],[Unit_Price]]*OrdersRawTable9[[#This Row],[Quantity]]</f>
        <v>96.33</v>
      </c>
      <c r="X548" s="47">
        <f>OrdersRawTable9[[#This Row],[Gross_Sales]]*OrdersRawTable9[[#This Row],[Discount_Pct]]</f>
        <v>0</v>
      </c>
      <c r="Y548" s="45">
        <f>OrdersRawTable9[[#This Row],[Gross_Sales]]-OrdersRawTable9[[#This Row],[Discount_Amount]]</f>
        <v>96.33</v>
      </c>
      <c r="Z548" s="45">
        <f>OrdersRawTable9[[#This Row],[Unit_Cost]]*OrdersRawTable9[[#This Row],[Quantity]]</f>
        <v>57.85</v>
      </c>
      <c r="AA548" s="45">
        <f>OrdersRawTable9[[#This Row],[Net_Sales]]-OrdersRawTable9[[#This Row],[Total_Cost]]</f>
        <v>38.479999999999997</v>
      </c>
      <c r="AB548" s="48">
        <f>IF(OrdersRawTable9[[#This Row],[Net_Sales]]=0,0,OrdersRawTable9[[#This Row],[Profit]]/OrdersRawTable9[[#This Row],[Net_Sales]])</f>
        <v>0.39946018893387314</v>
      </c>
      <c r="AC548" s="45" t="str">
        <f>IF(COUNTIF(ReturnsRawTable[Order_Line_ID],OrdersRawTable9[[#This Row],[Order_Line_ID]])&gt;0,"Yes","No")</f>
        <v>No</v>
      </c>
      <c r="AD548" s="45" t="str">
        <f>IFERROR(VLOOKUP(OrdersRawTable9[[#This Row],[Order_Line_ID]],ReturnsRawTable[[#All],[Order_Line_ID]:[Return_Reason_Raw]],3,FALSE),"")</f>
        <v/>
      </c>
      <c r="AE548" s="49" t="str">
        <f>IFERROR(VLOOKUP(OrdersRawTable9[[#This Row],[Order_Line_ID]],ReturnsRawTable[[#All],[Order_Line_ID]:[Return_Date]],2,FALSE),"")</f>
        <v/>
      </c>
      <c r="AF548" s="45" t="str">
        <f>IFERROR(VLOOKUP(OrdersRawTable9[[#This Row],[Order_Line_ID]],ReturnsRawTable[[Order_Line_ID]:[Refund_Status]],4,FALSE),"")</f>
        <v/>
      </c>
      <c r="AG548" s="45" t="str">
        <f>VLOOKUP(OrdersRawTable9[[#This Row],[Order_ID]],ShipmentsTable[],6,FALSE)</f>
        <v>Late</v>
      </c>
      <c r="AH548" s="49">
        <f>VLOOKUP(OrdersRawTable9[[#This Row],[Order_ID]],ShipmentsTable[],3,FALSE)</f>
        <v>45858</v>
      </c>
    </row>
    <row r="549" spans="1:34" ht="15" customHeight="1">
      <c r="A549" s="14" t="s">
        <v>1136</v>
      </c>
      <c r="B549" s="10" t="s">
        <v>1137</v>
      </c>
      <c r="C549" s="20">
        <v>45738.041666666664</v>
      </c>
      <c r="D549" s="10" t="s">
        <v>340</v>
      </c>
      <c r="E549" s="10" t="s">
        <v>341</v>
      </c>
      <c r="F549" s="10" t="str">
        <f>TRIM(LEFT(OrdersRawTable9[[#This Row],[Customer_Info]],FIND(",",OrdersRawTable9[[#This Row],[Customer_Info]])-1))</f>
        <v>Emma Ali</v>
      </c>
      <c r="G54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549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49" s="10">
        <f>LEN(OrdersRawTable9[[#This Row],[Customer_Info]])-LEN(SUBSTITUTE(OrdersRawTable9[[#This Row],[Customer_Info]],",",""))</f>
        <v>2</v>
      </c>
      <c r="J549" s="10" t="s">
        <v>119</v>
      </c>
      <c r="K549" s="23">
        <v>2</v>
      </c>
      <c r="L549" s="26">
        <v>103.3</v>
      </c>
      <c r="M549" s="29">
        <v>0</v>
      </c>
      <c r="N549" s="10" t="s">
        <v>64</v>
      </c>
      <c r="O549" s="10" t="str">
        <f>IF(TRIM(OrdersRawTable9[[#This Row],[Sales_Channel_Raw]])="Market place","Marketplace",TRIM(OrdersRawTable9[[#This Row],[Sales_Channel_Raw]]))</f>
        <v>Retail Store</v>
      </c>
      <c r="P549" s="10" t="s">
        <v>98</v>
      </c>
      <c r="Q549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549" s="15" t="s">
        <v>52</v>
      </c>
      <c r="S549" t="str">
        <f>VLOOKUP(OrdersRawTable9[[#This Row],[Customer_ID_Raw]],CustomersTable11[],4,FALSE)</f>
        <v>Alberta</v>
      </c>
      <c r="T549" t="str">
        <f>VLOOKUP(OrdersRawTable9[[#This Row],[Customer_ID_Raw]],CustomersTable11[],5,FALSE)</f>
        <v>Small Business</v>
      </c>
      <c r="U549" s="45">
        <f>VLOOKUP(OrdersRawTable9[[#This Row],[Product_ID]],ProductsTable10[],4,FALSE)</f>
        <v>70.180000000000007</v>
      </c>
      <c r="V549" t="str">
        <f>VLOOKUP(OrdersRawTable9[[#This Row],[Product_ID]],ProductsTable10[],3,FALSE)</f>
        <v>Home</v>
      </c>
      <c r="W549" s="45">
        <f>OrdersRawTable9[[#This Row],[Unit_Price]]*OrdersRawTable9[[#This Row],[Quantity]]</f>
        <v>206.6</v>
      </c>
      <c r="X549" s="47">
        <f>OrdersRawTable9[[#This Row],[Gross_Sales]]*OrdersRawTable9[[#This Row],[Discount_Pct]]</f>
        <v>0</v>
      </c>
      <c r="Y549" s="45">
        <f>OrdersRawTable9[[#This Row],[Gross_Sales]]-OrdersRawTable9[[#This Row],[Discount_Amount]]</f>
        <v>206.6</v>
      </c>
      <c r="Z549" s="45">
        <f>OrdersRawTable9[[#This Row],[Unit_Cost]]*OrdersRawTable9[[#This Row],[Quantity]]</f>
        <v>140.36000000000001</v>
      </c>
      <c r="AA549" s="45">
        <f>OrdersRawTable9[[#This Row],[Net_Sales]]-OrdersRawTable9[[#This Row],[Total_Cost]]</f>
        <v>66.239999999999981</v>
      </c>
      <c r="AB549" s="48">
        <f>IF(OrdersRawTable9[[#This Row],[Net_Sales]]=0,0,OrdersRawTable9[[#This Row],[Profit]]/OrdersRawTable9[[#This Row],[Net_Sales]])</f>
        <v>0.32061955469506281</v>
      </c>
      <c r="AC549" s="45" t="str">
        <f>IF(COUNTIF(ReturnsRawTable[Order_Line_ID],OrdersRawTable9[[#This Row],[Order_Line_ID]])&gt;0,"Yes","No")</f>
        <v>No</v>
      </c>
      <c r="AD549" s="45" t="str">
        <f>IFERROR(VLOOKUP(OrdersRawTable9[[#This Row],[Order_Line_ID]],ReturnsRawTable[[#All],[Order_Line_ID]:[Return_Reason_Raw]],3,FALSE),"")</f>
        <v/>
      </c>
      <c r="AE549" s="49" t="str">
        <f>IFERROR(VLOOKUP(OrdersRawTable9[[#This Row],[Order_Line_ID]],ReturnsRawTable[[#All],[Order_Line_ID]:[Return_Date]],2,FALSE),"")</f>
        <v/>
      </c>
      <c r="AF549" s="45" t="str">
        <f>IFERROR(VLOOKUP(OrdersRawTable9[[#This Row],[Order_Line_ID]],ReturnsRawTable[[Order_Line_ID]:[Refund_Status]],4,FALSE),"")</f>
        <v/>
      </c>
      <c r="AG549" s="45" t="str">
        <f>VLOOKUP(OrdersRawTable9[[#This Row],[Order_ID]],ShipmentsTable[],6,FALSE)</f>
        <v>Late</v>
      </c>
      <c r="AH549" s="49">
        <f>VLOOKUP(OrdersRawTable9[[#This Row],[Order_ID]],ShipmentsTable[],3,FALSE)</f>
        <v>45746.041666666664</v>
      </c>
    </row>
    <row r="550" spans="1:34" ht="15" customHeight="1">
      <c r="A550" s="14" t="s">
        <v>1138</v>
      </c>
      <c r="B550" s="10" t="s">
        <v>1137</v>
      </c>
      <c r="C550" s="20">
        <v>45738.041666666664</v>
      </c>
      <c r="D550" s="10" t="s">
        <v>340</v>
      </c>
      <c r="E550" s="10" t="s">
        <v>341</v>
      </c>
      <c r="F550" s="10" t="str">
        <f>TRIM(LEFT(OrdersRawTable9[[#This Row],[Customer_Info]],FIND(",",OrdersRawTable9[[#This Row],[Customer_Info]])-1))</f>
        <v>Emma Ali</v>
      </c>
      <c r="G55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550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50" s="10">
        <f>LEN(OrdersRawTable9[[#This Row],[Customer_Info]])-LEN(SUBSTITUTE(OrdersRawTable9[[#This Row],[Customer_Info]],",",""))</f>
        <v>2</v>
      </c>
      <c r="J550" s="10" t="s">
        <v>80</v>
      </c>
      <c r="K550" s="23">
        <v>3</v>
      </c>
      <c r="L550" s="26">
        <v>142.16</v>
      </c>
      <c r="M550" s="29">
        <v>0</v>
      </c>
      <c r="N550" s="10" t="s">
        <v>40</v>
      </c>
      <c r="O550" s="10" t="str">
        <f>IF(TRIM(OrdersRawTable9[[#This Row],[Sales_Channel_Raw]])="Market place","Marketplace",TRIM(OrdersRawTable9[[#This Row],[Sales_Channel_Raw]]))</f>
        <v>Online</v>
      </c>
      <c r="P550" s="10" t="s">
        <v>46</v>
      </c>
      <c r="Q550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50" s="15" t="s">
        <v>47</v>
      </c>
      <c r="S550" t="str">
        <f>VLOOKUP(OrdersRawTable9[[#This Row],[Customer_ID_Raw]],CustomersTable11[],4,FALSE)</f>
        <v>Alberta</v>
      </c>
      <c r="T550" t="str">
        <f>VLOOKUP(OrdersRawTable9[[#This Row],[Customer_ID_Raw]],CustomersTable11[],5,FALSE)</f>
        <v>Small Business</v>
      </c>
      <c r="U550" s="45">
        <f>VLOOKUP(OrdersRawTable9[[#This Row],[Product_ID]],ProductsTable10[],4,FALSE)</f>
        <v>85.34</v>
      </c>
      <c r="V550" t="str">
        <f>VLOOKUP(OrdersRawTable9[[#This Row],[Product_ID]],ProductsTable10[],3,FALSE)</f>
        <v>Home</v>
      </c>
      <c r="W550" s="45">
        <f>OrdersRawTable9[[#This Row],[Unit_Price]]*OrdersRawTable9[[#This Row],[Quantity]]</f>
        <v>426.48</v>
      </c>
      <c r="X550" s="47">
        <f>OrdersRawTable9[[#This Row],[Gross_Sales]]*OrdersRawTable9[[#This Row],[Discount_Pct]]</f>
        <v>0</v>
      </c>
      <c r="Y550" s="45">
        <f>OrdersRawTable9[[#This Row],[Gross_Sales]]-OrdersRawTable9[[#This Row],[Discount_Amount]]</f>
        <v>426.48</v>
      </c>
      <c r="Z550" s="45">
        <f>OrdersRawTable9[[#This Row],[Unit_Cost]]*OrdersRawTable9[[#This Row],[Quantity]]</f>
        <v>256.02</v>
      </c>
      <c r="AA550" s="45">
        <f>OrdersRawTable9[[#This Row],[Net_Sales]]-OrdersRawTable9[[#This Row],[Total_Cost]]</f>
        <v>170.46000000000004</v>
      </c>
      <c r="AB550" s="48">
        <f>IF(OrdersRawTable9[[#This Row],[Net_Sales]]=0,0,OrdersRawTable9[[#This Row],[Profit]]/OrdersRawTable9[[#This Row],[Net_Sales]])</f>
        <v>0.39969048958919534</v>
      </c>
      <c r="AC550" s="45" t="str">
        <f>IF(COUNTIF(ReturnsRawTable[Order_Line_ID],OrdersRawTable9[[#This Row],[Order_Line_ID]])&gt;0,"Yes","No")</f>
        <v>No</v>
      </c>
      <c r="AD550" s="45" t="str">
        <f>IFERROR(VLOOKUP(OrdersRawTable9[[#This Row],[Order_Line_ID]],ReturnsRawTable[[#All],[Order_Line_ID]:[Return_Reason_Raw]],3,FALSE),"")</f>
        <v/>
      </c>
      <c r="AE550" s="49" t="str">
        <f>IFERROR(VLOOKUP(OrdersRawTable9[[#This Row],[Order_Line_ID]],ReturnsRawTable[[#All],[Order_Line_ID]:[Return_Date]],2,FALSE),"")</f>
        <v/>
      </c>
      <c r="AF550" s="45" t="str">
        <f>IFERROR(VLOOKUP(OrdersRawTable9[[#This Row],[Order_Line_ID]],ReturnsRawTable[[Order_Line_ID]:[Refund_Status]],4,FALSE),"")</f>
        <v/>
      </c>
      <c r="AG550" s="45" t="str">
        <f>VLOOKUP(OrdersRawTable9[[#This Row],[Order_ID]],ShipmentsTable[],6,FALSE)</f>
        <v>Late</v>
      </c>
      <c r="AH550" s="49">
        <f>VLOOKUP(OrdersRawTable9[[#This Row],[Order_ID]],ShipmentsTable[],3,FALSE)</f>
        <v>45746.041666666664</v>
      </c>
    </row>
    <row r="551" spans="1:34" ht="15" customHeight="1">
      <c r="A551" s="14" t="s">
        <v>1139</v>
      </c>
      <c r="B551" s="10" t="s">
        <v>1137</v>
      </c>
      <c r="C551" s="20">
        <v>45738.041666666664</v>
      </c>
      <c r="D551" s="10" t="s">
        <v>340</v>
      </c>
      <c r="E551" s="10" t="s">
        <v>341</v>
      </c>
      <c r="F551" s="10" t="str">
        <f>TRIM(LEFT(OrdersRawTable9[[#This Row],[Customer_Info]],FIND(",",OrdersRawTable9[[#This Row],[Customer_Info]])-1))</f>
        <v>Emma Ali</v>
      </c>
      <c r="G55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551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51" s="10">
        <f>LEN(OrdersRawTable9[[#This Row],[Customer_Info]])-LEN(SUBSTITUTE(OrdersRawTable9[[#This Row],[Customer_Info]],",",""))</f>
        <v>2</v>
      </c>
      <c r="J551" s="10" t="s">
        <v>39</v>
      </c>
      <c r="K551" s="23">
        <v>1</v>
      </c>
      <c r="L551" s="26">
        <v>236.51</v>
      </c>
      <c r="M551" s="29">
        <v>0</v>
      </c>
      <c r="N551" s="10" t="s">
        <v>70</v>
      </c>
      <c r="O551" s="10" t="str">
        <f>IF(TRIM(OrdersRawTable9[[#This Row],[Sales_Channel_Raw]])="Market place","Marketplace",TRIM(OrdersRawTable9[[#This Row],[Sales_Channel_Raw]]))</f>
        <v>online</v>
      </c>
      <c r="P551" s="10" t="s">
        <v>51</v>
      </c>
      <c r="Q551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551" s="15" t="s">
        <v>47</v>
      </c>
      <c r="S551" t="str">
        <f>VLOOKUP(OrdersRawTable9[[#This Row],[Customer_ID_Raw]],CustomersTable11[],4,FALSE)</f>
        <v>Alberta</v>
      </c>
      <c r="T551" t="str">
        <f>VLOOKUP(OrdersRawTable9[[#This Row],[Customer_ID_Raw]],CustomersTable11[],5,FALSE)</f>
        <v>Small Business</v>
      </c>
      <c r="U551" s="45">
        <f>VLOOKUP(OrdersRawTable9[[#This Row],[Product_ID]],ProductsTable10[],4,FALSE)</f>
        <v>142.84</v>
      </c>
      <c r="V551" t="str">
        <f>VLOOKUP(OrdersRawTable9[[#This Row],[Product_ID]],ProductsTable10[],3,FALSE)</f>
        <v>Fitness</v>
      </c>
      <c r="W551" s="45">
        <f>OrdersRawTable9[[#This Row],[Unit_Price]]*OrdersRawTable9[[#This Row],[Quantity]]</f>
        <v>236.51</v>
      </c>
      <c r="X551" s="47">
        <f>OrdersRawTable9[[#This Row],[Gross_Sales]]*OrdersRawTable9[[#This Row],[Discount_Pct]]</f>
        <v>0</v>
      </c>
      <c r="Y551" s="45">
        <f>OrdersRawTable9[[#This Row],[Gross_Sales]]-OrdersRawTable9[[#This Row],[Discount_Amount]]</f>
        <v>236.51</v>
      </c>
      <c r="Z551" s="45">
        <f>OrdersRawTable9[[#This Row],[Unit_Cost]]*OrdersRawTable9[[#This Row],[Quantity]]</f>
        <v>142.84</v>
      </c>
      <c r="AA551" s="45">
        <f>OrdersRawTable9[[#This Row],[Net_Sales]]-OrdersRawTable9[[#This Row],[Total_Cost]]</f>
        <v>93.669999999999987</v>
      </c>
      <c r="AB551" s="48">
        <f>IF(OrdersRawTable9[[#This Row],[Net_Sales]]=0,0,OrdersRawTable9[[#This Row],[Profit]]/OrdersRawTable9[[#This Row],[Net_Sales]])</f>
        <v>0.39605090693839579</v>
      </c>
      <c r="AC551" s="45" t="str">
        <f>IF(COUNTIF(ReturnsRawTable[Order_Line_ID],OrdersRawTable9[[#This Row],[Order_Line_ID]])&gt;0,"Yes","No")</f>
        <v>Yes</v>
      </c>
      <c r="AD551" s="45" t="str">
        <f>IFERROR(VLOOKUP(OrdersRawTable9[[#This Row],[Order_Line_ID]],ReturnsRawTable[[#All],[Order_Line_ID]:[Return_Reason_Raw]],3,FALSE),"")</f>
        <v>Not as Described</v>
      </c>
      <c r="AE551" s="49">
        <f>IFERROR(VLOOKUP(OrdersRawTable9[[#This Row],[Order_Line_ID]],ReturnsRawTable[[#All],[Order_Line_ID]:[Return_Date]],2,FALSE),"")</f>
        <v>45758</v>
      </c>
      <c r="AF551" s="45" t="str">
        <f>IFERROR(VLOOKUP(OrdersRawTable9[[#This Row],[Order_Line_ID]],ReturnsRawTable[[Order_Line_ID]:[Refund_Status]],4,FALSE),"")</f>
        <v>Pending</v>
      </c>
      <c r="AG551" s="45" t="str">
        <f>VLOOKUP(OrdersRawTable9[[#This Row],[Order_ID]],ShipmentsTable[],6,FALSE)</f>
        <v>Late</v>
      </c>
      <c r="AH551" s="49">
        <f>VLOOKUP(OrdersRawTable9[[#This Row],[Order_ID]],ShipmentsTable[],3,FALSE)</f>
        <v>45746.041666666664</v>
      </c>
    </row>
    <row r="552" spans="1:34" ht="15" customHeight="1">
      <c r="A552" s="14" t="s">
        <v>1140</v>
      </c>
      <c r="B552" s="10" t="s">
        <v>1141</v>
      </c>
      <c r="C552" s="20">
        <v>45679</v>
      </c>
      <c r="D552" s="10" t="s">
        <v>300</v>
      </c>
      <c r="E552" s="10" t="s">
        <v>301</v>
      </c>
      <c r="F552" s="10" t="str">
        <f>TRIM(LEFT(OrdersRawTable9[[#This Row],[Customer_Info]],FIND(",",OrdersRawTable9[[#This Row],[Customer_Info]])-1))</f>
        <v>Daniel Khan</v>
      </c>
      <c r="G55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552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52" s="10">
        <f>LEN(OrdersRawTable9[[#This Row],[Customer_Info]])-LEN(SUBSTITUTE(OrdersRawTable9[[#This Row],[Customer_Info]],",",""))</f>
        <v>2</v>
      </c>
      <c r="J552" s="10" t="s">
        <v>112</v>
      </c>
      <c r="K552" s="23">
        <v>4</v>
      </c>
      <c r="L552" s="26">
        <v>88.61</v>
      </c>
      <c r="M552" s="29">
        <v>0.05</v>
      </c>
      <c r="N552" s="10" t="s">
        <v>70</v>
      </c>
      <c r="O552" s="10" t="str">
        <f>IF(TRIM(OrdersRawTable9[[#This Row],[Sales_Channel_Raw]])="Market place","Marketplace",TRIM(OrdersRawTable9[[#This Row],[Sales_Channel_Raw]]))</f>
        <v>online</v>
      </c>
      <c r="P552" s="10" t="s">
        <v>41</v>
      </c>
      <c r="Q552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52" s="15" t="s">
        <v>67</v>
      </c>
      <c r="S552" t="str">
        <f>VLOOKUP(OrdersRawTable9[[#This Row],[Customer_ID_Raw]],CustomersTable11[],4,FALSE)</f>
        <v>Nova Scotia</v>
      </c>
      <c r="T552" t="str">
        <f>VLOOKUP(OrdersRawTable9[[#This Row],[Customer_ID_Raw]],CustomersTable11[],5,FALSE)</f>
        <v>Small Business</v>
      </c>
      <c r="U552" s="45">
        <f>VLOOKUP(OrdersRawTable9[[#This Row],[Product_ID]],ProductsTable10[],4,FALSE)</f>
        <v>49.75</v>
      </c>
      <c r="V552" t="str">
        <f>VLOOKUP(OrdersRawTable9[[#This Row],[Product_ID]],ProductsTable10[],3,FALSE)</f>
        <v>Electronics</v>
      </c>
      <c r="W552" s="45">
        <f>OrdersRawTable9[[#This Row],[Unit_Price]]*OrdersRawTable9[[#This Row],[Quantity]]</f>
        <v>354.44</v>
      </c>
      <c r="X552" s="47">
        <f>OrdersRawTable9[[#This Row],[Gross_Sales]]*OrdersRawTable9[[#This Row],[Discount_Pct]]</f>
        <v>17.722000000000001</v>
      </c>
      <c r="Y552" s="45">
        <f>OrdersRawTable9[[#This Row],[Gross_Sales]]-OrdersRawTable9[[#This Row],[Discount_Amount]]</f>
        <v>336.71800000000002</v>
      </c>
      <c r="Z552" s="45">
        <f>OrdersRawTable9[[#This Row],[Unit_Cost]]*OrdersRawTable9[[#This Row],[Quantity]]</f>
        <v>199</v>
      </c>
      <c r="AA552" s="45">
        <f>OrdersRawTable9[[#This Row],[Net_Sales]]-OrdersRawTable9[[#This Row],[Total_Cost]]</f>
        <v>137.71800000000002</v>
      </c>
      <c r="AB552" s="48">
        <f>IF(OrdersRawTable9[[#This Row],[Net_Sales]]=0,0,OrdersRawTable9[[#This Row],[Profit]]/OrdersRawTable9[[#This Row],[Net_Sales]])</f>
        <v>0.40900100380734028</v>
      </c>
      <c r="AC552" s="45" t="str">
        <f>IF(COUNTIF(ReturnsRawTable[Order_Line_ID],OrdersRawTable9[[#This Row],[Order_Line_ID]])&gt;0,"Yes","No")</f>
        <v>Yes</v>
      </c>
      <c r="AD552" s="45" t="str">
        <f>IFERROR(VLOOKUP(OrdersRawTable9[[#This Row],[Order_Line_ID]],ReturnsRawTable[[#All],[Order_Line_ID]:[Return_Reason_Raw]],3,FALSE),"")</f>
        <v>Wrong Item</v>
      </c>
      <c r="AE552" s="49">
        <f>IFERROR(VLOOKUP(OrdersRawTable9[[#This Row],[Order_Line_ID]],ReturnsRawTable[[#All],[Order_Line_ID]:[Return_Date]],2,FALSE),"")</f>
        <v>45702</v>
      </c>
      <c r="AF552" s="45" t="str">
        <f>IFERROR(VLOOKUP(OrdersRawTable9[[#This Row],[Order_Line_ID]],ReturnsRawTable[[Order_Line_ID]:[Refund_Status]],4,FALSE),"")</f>
        <v>Refunded</v>
      </c>
      <c r="AG552" s="45" t="str">
        <f>VLOOKUP(OrdersRawTable9[[#This Row],[Order_ID]],ShipmentsTable[],6,FALSE)</f>
        <v>Late</v>
      </c>
      <c r="AH552" s="49">
        <f>VLOOKUP(OrdersRawTable9[[#This Row],[Order_ID]],ShipmentsTable[],3,FALSE)</f>
        <v>45687</v>
      </c>
    </row>
    <row r="553" spans="1:34" ht="15" customHeight="1">
      <c r="A553" s="14" t="s">
        <v>1142</v>
      </c>
      <c r="B553" s="10" t="s">
        <v>1141</v>
      </c>
      <c r="C553" s="20">
        <v>45679</v>
      </c>
      <c r="D553" s="10" t="s">
        <v>300</v>
      </c>
      <c r="E553" s="10" t="s">
        <v>301</v>
      </c>
      <c r="F553" s="10" t="str">
        <f>TRIM(LEFT(OrdersRawTable9[[#This Row],[Customer_Info]],FIND(",",OrdersRawTable9[[#This Row],[Customer_Info]])-1))</f>
        <v>Daniel Khan</v>
      </c>
      <c r="G55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553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53" s="10">
        <f>LEN(OrdersRawTable9[[#This Row],[Customer_Info]])-LEN(SUBSTITUTE(OrdersRawTable9[[#This Row],[Customer_Info]],",",""))</f>
        <v>2</v>
      </c>
      <c r="J553" s="10" t="s">
        <v>119</v>
      </c>
      <c r="K553" s="23">
        <v>3</v>
      </c>
      <c r="L553" s="26">
        <v>103.3</v>
      </c>
      <c r="M553" s="29">
        <v>0.15</v>
      </c>
      <c r="N553" s="10" t="s">
        <v>45</v>
      </c>
      <c r="O553" s="10" t="str">
        <f>IF(TRIM(OrdersRawTable9[[#This Row],[Sales_Channel_Raw]])="Market place","Marketplace",TRIM(OrdersRawTable9[[#This Row],[Sales_Channel_Raw]]))</f>
        <v>Retail Store</v>
      </c>
      <c r="P553" s="10" t="s">
        <v>98</v>
      </c>
      <c r="Q553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553" s="15" t="s">
        <v>42</v>
      </c>
      <c r="S553" t="str">
        <f>VLOOKUP(OrdersRawTable9[[#This Row],[Customer_ID_Raw]],CustomersTable11[],4,FALSE)</f>
        <v>Nova Scotia</v>
      </c>
      <c r="T553" t="str">
        <f>VLOOKUP(OrdersRawTable9[[#This Row],[Customer_ID_Raw]],CustomersTable11[],5,FALSE)</f>
        <v>Small Business</v>
      </c>
      <c r="U553" s="45">
        <f>VLOOKUP(OrdersRawTable9[[#This Row],[Product_ID]],ProductsTable10[],4,FALSE)</f>
        <v>70.180000000000007</v>
      </c>
      <c r="V553" t="str">
        <f>VLOOKUP(OrdersRawTable9[[#This Row],[Product_ID]],ProductsTable10[],3,FALSE)</f>
        <v>Home</v>
      </c>
      <c r="W553" s="45">
        <f>OrdersRawTable9[[#This Row],[Unit_Price]]*OrdersRawTable9[[#This Row],[Quantity]]</f>
        <v>309.89999999999998</v>
      </c>
      <c r="X553" s="47">
        <f>OrdersRawTable9[[#This Row],[Gross_Sales]]*OrdersRawTable9[[#This Row],[Discount_Pct]]</f>
        <v>46.484999999999992</v>
      </c>
      <c r="Y553" s="45">
        <f>OrdersRawTable9[[#This Row],[Gross_Sales]]-OrdersRawTable9[[#This Row],[Discount_Amount]]</f>
        <v>263.41499999999996</v>
      </c>
      <c r="Z553" s="45">
        <f>OrdersRawTable9[[#This Row],[Unit_Cost]]*OrdersRawTable9[[#This Row],[Quantity]]</f>
        <v>210.54000000000002</v>
      </c>
      <c r="AA553" s="45">
        <f>OrdersRawTable9[[#This Row],[Net_Sales]]-OrdersRawTable9[[#This Row],[Total_Cost]]</f>
        <v>52.874999999999943</v>
      </c>
      <c r="AB553" s="48">
        <f>IF(OrdersRawTable9[[#This Row],[Net_Sales]]=0,0,OrdersRawTable9[[#This Row],[Profit]]/OrdersRawTable9[[#This Row],[Net_Sales]])</f>
        <v>0.20072888787654442</v>
      </c>
      <c r="AC553" s="45" t="str">
        <f>IF(COUNTIF(ReturnsRawTable[Order_Line_ID],OrdersRawTable9[[#This Row],[Order_Line_ID]])&gt;0,"Yes","No")</f>
        <v>No</v>
      </c>
      <c r="AD553" s="45" t="str">
        <f>IFERROR(VLOOKUP(OrdersRawTable9[[#This Row],[Order_Line_ID]],ReturnsRawTable[[#All],[Order_Line_ID]:[Return_Reason_Raw]],3,FALSE),"")</f>
        <v/>
      </c>
      <c r="AE553" s="49" t="str">
        <f>IFERROR(VLOOKUP(OrdersRawTable9[[#This Row],[Order_Line_ID]],ReturnsRawTable[[#All],[Order_Line_ID]:[Return_Date]],2,FALSE),"")</f>
        <v/>
      </c>
      <c r="AF553" s="45" t="str">
        <f>IFERROR(VLOOKUP(OrdersRawTable9[[#This Row],[Order_Line_ID]],ReturnsRawTable[[Order_Line_ID]:[Refund_Status]],4,FALSE),"")</f>
        <v/>
      </c>
      <c r="AG553" s="45" t="str">
        <f>VLOOKUP(OrdersRawTable9[[#This Row],[Order_ID]],ShipmentsTable[],6,FALSE)</f>
        <v>Late</v>
      </c>
      <c r="AH553" s="49">
        <f>VLOOKUP(OrdersRawTable9[[#This Row],[Order_ID]],ShipmentsTable[],3,FALSE)</f>
        <v>45687</v>
      </c>
    </row>
    <row r="554" spans="1:34" ht="15" customHeight="1">
      <c r="A554" s="14" t="s">
        <v>1143</v>
      </c>
      <c r="B554" s="10" t="s">
        <v>1144</v>
      </c>
      <c r="C554" s="20">
        <v>45847</v>
      </c>
      <c r="D554" s="10" t="s">
        <v>398</v>
      </c>
      <c r="E554" s="10" t="s">
        <v>399</v>
      </c>
      <c r="F554" s="10" t="str">
        <f>TRIM(LEFT(OrdersRawTable9[[#This Row],[Customer_Info]],FIND(",",OrdersRawTable9[[#This Row],[Customer_Info]])-1))</f>
        <v>Sofia Singh</v>
      </c>
      <c r="G55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554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554" s="10">
        <f>LEN(OrdersRawTable9[[#This Row],[Customer_Info]])-LEN(SUBSTITUTE(OrdersRawTable9[[#This Row],[Customer_Info]],",",""))</f>
        <v>2</v>
      </c>
      <c r="J554" s="10" t="s">
        <v>136</v>
      </c>
      <c r="K554" s="23">
        <v>4</v>
      </c>
      <c r="L554" s="26">
        <v>141.46</v>
      </c>
      <c r="M554" s="29">
        <v>0</v>
      </c>
      <c r="N554" s="10" t="s">
        <v>40</v>
      </c>
      <c r="O554" s="10" t="str">
        <f>IF(TRIM(OrdersRawTable9[[#This Row],[Sales_Channel_Raw]])="Market place","Marketplace",TRIM(OrdersRawTable9[[#This Row],[Sales_Channel_Raw]]))</f>
        <v>Online</v>
      </c>
      <c r="P554" s="10" t="s">
        <v>51</v>
      </c>
      <c r="Q554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554" s="15" t="s">
        <v>52</v>
      </c>
      <c r="S554" t="str">
        <f>VLOOKUP(OrdersRawTable9[[#This Row],[Customer_ID_Raw]],CustomersTable11[],4,FALSE)</f>
        <v>British Columbia</v>
      </c>
      <c r="T554" t="str">
        <f>VLOOKUP(OrdersRawTable9[[#This Row],[Customer_ID_Raw]],CustomersTable11[],5,FALSE)</f>
        <v>Consumer</v>
      </c>
      <c r="U554" s="45">
        <f>VLOOKUP(OrdersRawTable9[[#This Row],[Product_ID]],ProductsTable10[],4,FALSE)</f>
        <v>78.650000000000006</v>
      </c>
      <c r="V554" t="str">
        <f>VLOOKUP(OrdersRawTable9[[#This Row],[Product_ID]],ProductsTable10[],3,FALSE)</f>
        <v>Fitness</v>
      </c>
      <c r="W554" s="45">
        <f>OrdersRawTable9[[#This Row],[Unit_Price]]*OrdersRawTable9[[#This Row],[Quantity]]</f>
        <v>565.84</v>
      </c>
      <c r="X554" s="47">
        <f>OrdersRawTable9[[#This Row],[Gross_Sales]]*OrdersRawTable9[[#This Row],[Discount_Pct]]</f>
        <v>0</v>
      </c>
      <c r="Y554" s="45">
        <f>OrdersRawTable9[[#This Row],[Gross_Sales]]-OrdersRawTable9[[#This Row],[Discount_Amount]]</f>
        <v>565.84</v>
      </c>
      <c r="Z554" s="45">
        <f>OrdersRawTable9[[#This Row],[Unit_Cost]]*OrdersRawTable9[[#This Row],[Quantity]]</f>
        <v>314.60000000000002</v>
      </c>
      <c r="AA554" s="45">
        <f>OrdersRawTable9[[#This Row],[Net_Sales]]-OrdersRawTable9[[#This Row],[Total_Cost]]</f>
        <v>251.24</v>
      </c>
      <c r="AB554" s="48">
        <f>IF(OrdersRawTable9[[#This Row],[Net_Sales]]=0,0,OrdersRawTable9[[#This Row],[Profit]]/OrdersRawTable9[[#This Row],[Net_Sales]])</f>
        <v>0.44401244167962672</v>
      </c>
      <c r="AC554" s="45" t="str">
        <f>IF(COUNTIF(ReturnsRawTable[Order_Line_ID],OrdersRawTable9[[#This Row],[Order_Line_ID]])&gt;0,"Yes","No")</f>
        <v>Yes</v>
      </c>
      <c r="AD554" s="45" t="str">
        <f>IFERROR(VLOOKUP(OrdersRawTable9[[#This Row],[Order_Line_ID]],ReturnsRawTable[[#All],[Order_Line_ID]:[Return_Reason_Raw]],3,FALSE),"")</f>
        <v>Damaged</v>
      </c>
      <c r="AE554" s="49">
        <f>IFERROR(VLOOKUP(OrdersRawTable9[[#This Row],[Order_Line_ID]],ReturnsRawTable[[#All],[Order_Line_ID]:[Return_Date]],2,FALSE),"")</f>
        <v>45869</v>
      </c>
      <c r="AF554" s="45" t="str">
        <f>IFERROR(VLOOKUP(OrdersRawTable9[[#This Row],[Order_Line_ID]],ReturnsRawTable[[Order_Line_ID]:[Refund_Status]],4,FALSE),"")</f>
        <v>Refunded</v>
      </c>
      <c r="AG554" s="45" t="str">
        <f>VLOOKUP(OrdersRawTable9[[#This Row],[Order_ID]],ShipmentsTable[],6,FALSE)</f>
        <v>Late</v>
      </c>
      <c r="AH554" s="49">
        <f>VLOOKUP(OrdersRawTable9[[#This Row],[Order_ID]],ShipmentsTable[],3,FALSE)</f>
        <v>45854</v>
      </c>
    </row>
    <row r="555" spans="1:34" ht="15" customHeight="1">
      <c r="A555" s="14" t="s">
        <v>1145</v>
      </c>
      <c r="B555" s="10" t="s">
        <v>1144</v>
      </c>
      <c r="C555" s="20">
        <v>45847</v>
      </c>
      <c r="D555" s="10" t="s">
        <v>398</v>
      </c>
      <c r="E555" s="10" t="s">
        <v>399</v>
      </c>
      <c r="F555" s="10" t="str">
        <f>TRIM(LEFT(OrdersRawTable9[[#This Row],[Customer_Info]],FIND(",",OrdersRawTable9[[#This Row],[Customer_Info]])-1))</f>
        <v>Sofia Singh</v>
      </c>
      <c r="G55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555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555" s="10">
        <f>LEN(OrdersRawTable9[[#This Row],[Customer_Info]])-LEN(SUBSTITUTE(OrdersRawTable9[[#This Row],[Customer_Info]],",",""))</f>
        <v>2</v>
      </c>
      <c r="J555" s="10" t="s">
        <v>150</v>
      </c>
      <c r="K555" s="23">
        <v>2</v>
      </c>
      <c r="L555" s="26">
        <v>263.04000000000002</v>
      </c>
      <c r="M555" s="29">
        <v>0.1</v>
      </c>
      <c r="N555" s="10" t="s">
        <v>70</v>
      </c>
      <c r="O555" s="10" t="str">
        <f>IF(TRIM(OrdersRawTable9[[#This Row],[Sales_Channel_Raw]])="Market place","Marketplace",TRIM(OrdersRawTable9[[#This Row],[Sales_Channel_Raw]]))</f>
        <v>online</v>
      </c>
      <c r="P555" s="10" t="s">
        <v>51</v>
      </c>
      <c r="Q555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555" s="15" t="s">
        <v>42</v>
      </c>
      <c r="S555" t="str">
        <f>VLOOKUP(OrdersRawTable9[[#This Row],[Customer_ID_Raw]],CustomersTable11[],4,FALSE)</f>
        <v>British Columbia</v>
      </c>
      <c r="T555" t="str">
        <f>VLOOKUP(OrdersRawTable9[[#This Row],[Customer_ID_Raw]],CustomersTable11[],5,FALSE)</f>
        <v>Consumer</v>
      </c>
      <c r="U555" s="45">
        <f>VLOOKUP(OrdersRawTable9[[#This Row],[Product_ID]],ProductsTable10[],4,FALSE)</f>
        <v>161.84</v>
      </c>
      <c r="V555" t="str">
        <f>VLOOKUP(OrdersRawTable9[[#This Row],[Product_ID]],ProductsTable10[],3,FALSE)</f>
        <v>Office</v>
      </c>
      <c r="W555" s="45">
        <f>OrdersRawTable9[[#This Row],[Unit_Price]]*OrdersRawTable9[[#This Row],[Quantity]]</f>
        <v>526.08000000000004</v>
      </c>
      <c r="X555" s="47">
        <f>OrdersRawTable9[[#This Row],[Gross_Sales]]*OrdersRawTable9[[#This Row],[Discount_Pct]]</f>
        <v>52.608000000000004</v>
      </c>
      <c r="Y555" s="45">
        <f>OrdersRawTable9[[#This Row],[Gross_Sales]]-OrdersRawTable9[[#This Row],[Discount_Amount]]</f>
        <v>473.47200000000004</v>
      </c>
      <c r="Z555" s="45">
        <f>OrdersRawTable9[[#This Row],[Unit_Cost]]*OrdersRawTable9[[#This Row],[Quantity]]</f>
        <v>323.68</v>
      </c>
      <c r="AA555" s="45">
        <f>OrdersRawTable9[[#This Row],[Net_Sales]]-OrdersRawTable9[[#This Row],[Total_Cost]]</f>
        <v>149.79200000000003</v>
      </c>
      <c r="AB555" s="48">
        <f>IF(OrdersRawTable9[[#This Row],[Net_Sales]]=0,0,OrdersRawTable9[[#This Row],[Profit]]/OrdersRawTable9[[#This Row],[Net_Sales]])</f>
        <v>0.31636928899702627</v>
      </c>
      <c r="AC555" s="45" t="str">
        <f>IF(COUNTIF(ReturnsRawTable[Order_Line_ID],OrdersRawTable9[[#This Row],[Order_Line_ID]])&gt;0,"Yes","No")</f>
        <v>Yes</v>
      </c>
      <c r="AD555" s="45" t="str">
        <f>IFERROR(VLOOKUP(OrdersRawTable9[[#This Row],[Order_Line_ID]],ReturnsRawTable[[#All],[Order_Line_ID]:[Return_Reason_Raw]],3,FALSE),"")</f>
        <v>Late Delivery</v>
      </c>
      <c r="AE555" s="49">
        <f>IFERROR(VLOOKUP(OrdersRawTable9[[#This Row],[Order_Line_ID]],ReturnsRawTable[[#All],[Order_Line_ID]:[Return_Date]],2,FALSE),"")</f>
        <v>45868</v>
      </c>
      <c r="AF555" s="45" t="str">
        <f>IFERROR(VLOOKUP(OrdersRawTable9[[#This Row],[Order_Line_ID]],ReturnsRawTable[[Order_Line_ID]:[Refund_Status]],4,FALSE),"")</f>
        <v>Pending</v>
      </c>
      <c r="AG555" s="45" t="str">
        <f>VLOOKUP(OrdersRawTable9[[#This Row],[Order_ID]],ShipmentsTable[],6,FALSE)</f>
        <v>Late</v>
      </c>
      <c r="AH555" s="49">
        <f>VLOOKUP(OrdersRawTable9[[#This Row],[Order_ID]],ShipmentsTable[],3,FALSE)</f>
        <v>45854</v>
      </c>
    </row>
    <row r="556" spans="1:34" ht="15" customHeight="1">
      <c r="A556" s="14" t="s">
        <v>1146</v>
      </c>
      <c r="B556" s="10" t="s">
        <v>1144</v>
      </c>
      <c r="C556" s="20">
        <v>45847</v>
      </c>
      <c r="D556" s="10" t="s">
        <v>398</v>
      </c>
      <c r="E556" s="10" t="s">
        <v>399</v>
      </c>
      <c r="F556" s="10" t="str">
        <f>TRIM(LEFT(OrdersRawTable9[[#This Row],[Customer_Info]],FIND(",",OrdersRawTable9[[#This Row],[Customer_Info]])-1))</f>
        <v>Sofia Singh</v>
      </c>
      <c r="G55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556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556" s="10">
        <f>LEN(OrdersRawTable9[[#This Row],[Customer_Info]])-LEN(SUBSTITUTE(OrdersRawTable9[[#This Row],[Customer_Info]],",",""))</f>
        <v>2</v>
      </c>
      <c r="J556" s="10" t="s">
        <v>238</v>
      </c>
      <c r="K556" s="23">
        <v>3</v>
      </c>
      <c r="L556" s="26">
        <v>82.77</v>
      </c>
      <c r="M556" s="29">
        <v>0.1</v>
      </c>
      <c r="N556" s="10" t="s">
        <v>40</v>
      </c>
      <c r="O556" s="10" t="str">
        <f>IF(TRIM(OrdersRawTable9[[#This Row],[Sales_Channel_Raw]])="Market place","Marketplace",TRIM(OrdersRawTable9[[#This Row],[Sales_Channel_Raw]]))</f>
        <v>Online</v>
      </c>
      <c r="P556" s="10" t="s">
        <v>58</v>
      </c>
      <c r="Q556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556" s="15" t="s">
        <v>42</v>
      </c>
      <c r="S556" t="str">
        <f>VLOOKUP(OrdersRawTable9[[#This Row],[Customer_ID_Raw]],CustomersTable11[],4,FALSE)</f>
        <v>British Columbia</v>
      </c>
      <c r="T556" t="str">
        <f>VLOOKUP(OrdersRawTable9[[#This Row],[Customer_ID_Raw]],CustomersTable11[],5,FALSE)</f>
        <v>Consumer</v>
      </c>
      <c r="U556" s="45">
        <f>VLOOKUP(OrdersRawTable9[[#This Row],[Product_ID]],ProductsTable10[],4,FALSE)</f>
        <v>46.51</v>
      </c>
      <c r="V556" t="str">
        <f>VLOOKUP(OrdersRawTable9[[#This Row],[Product_ID]],ProductsTable10[],3,FALSE)</f>
        <v>Office</v>
      </c>
      <c r="W556" s="45">
        <f>OrdersRawTable9[[#This Row],[Unit_Price]]*OrdersRawTable9[[#This Row],[Quantity]]</f>
        <v>248.31</v>
      </c>
      <c r="X556" s="47">
        <f>OrdersRawTable9[[#This Row],[Gross_Sales]]*OrdersRawTable9[[#This Row],[Discount_Pct]]</f>
        <v>24.831000000000003</v>
      </c>
      <c r="Y556" s="45">
        <f>OrdersRawTable9[[#This Row],[Gross_Sales]]-OrdersRawTable9[[#This Row],[Discount_Amount]]</f>
        <v>223.47899999999998</v>
      </c>
      <c r="Z556" s="45">
        <f>OrdersRawTable9[[#This Row],[Unit_Cost]]*OrdersRawTable9[[#This Row],[Quantity]]</f>
        <v>139.53</v>
      </c>
      <c r="AA556" s="45">
        <f>OrdersRawTable9[[#This Row],[Net_Sales]]-OrdersRawTable9[[#This Row],[Total_Cost]]</f>
        <v>83.948999999999984</v>
      </c>
      <c r="AB556" s="48">
        <f>IF(OrdersRawTable9[[#This Row],[Net_Sales]]=0,0,OrdersRawTable9[[#This Row],[Profit]]/OrdersRawTable9[[#This Row],[Net_Sales]])</f>
        <v>0.37564603385553003</v>
      </c>
      <c r="AC556" s="45" t="str">
        <f>IF(COUNTIF(ReturnsRawTable[Order_Line_ID],OrdersRawTable9[[#This Row],[Order_Line_ID]])&gt;0,"Yes","No")</f>
        <v>Yes</v>
      </c>
      <c r="AD556" s="45" t="str">
        <f>IFERROR(VLOOKUP(OrdersRawTable9[[#This Row],[Order_Line_ID]],ReturnsRawTable[[#All],[Order_Line_ID]:[Return_Reason_Raw]],3,FALSE),"")</f>
        <v>Late Delivery</v>
      </c>
      <c r="AE556" s="49">
        <f>IFERROR(VLOOKUP(OrdersRawTable9[[#This Row],[Order_Line_ID]],ReturnsRawTable[[#All],[Order_Line_ID]:[Return_Date]],2,FALSE),"")</f>
        <v>45855</v>
      </c>
      <c r="AF556" s="45" t="str">
        <f>IFERROR(VLOOKUP(OrdersRawTable9[[#This Row],[Order_Line_ID]],ReturnsRawTable[[Order_Line_ID]:[Refund_Status]],4,FALSE),"")</f>
        <v>Pending</v>
      </c>
      <c r="AG556" s="45" t="str">
        <f>VLOOKUP(OrdersRawTable9[[#This Row],[Order_ID]],ShipmentsTable[],6,FALSE)</f>
        <v>Late</v>
      </c>
      <c r="AH556" s="49">
        <f>VLOOKUP(OrdersRawTable9[[#This Row],[Order_ID]],ShipmentsTable[],3,FALSE)</f>
        <v>45854</v>
      </c>
    </row>
    <row r="557" spans="1:34" ht="15" customHeight="1">
      <c r="A557" s="14" t="s">
        <v>1147</v>
      </c>
      <c r="B557" s="10" t="s">
        <v>1144</v>
      </c>
      <c r="C557" s="20">
        <v>45847</v>
      </c>
      <c r="D557" s="10" t="s">
        <v>398</v>
      </c>
      <c r="E557" s="10" t="s">
        <v>399</v>
      </c>
      <c r="F557" s="10" t="str">
        <f>TRIM(LEFT(OrdersRawTable9[[#This Row],[Customer_Info]],FIND(",",OrdersRawTable9[[#This Row],[Customer_Info]])-1))</f>
        <v>Sofia Singh</v>
      </c>
      <c r="G55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557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557" s="10">
        <f>LEN(OrdersRawTable9[[#This Row],[Customer_Info]])-LEN(SUBSTITUTE(OrdersRawTable9[[#This Row],[Customer_Info]],",",""))</f>
        <v>2</v>
      </c>
      <c r="J557" s="10" t="s">
        <v>456</v>
      </c>
      <c r="K557" s="23">
        <v>2</v>
      </c>
      <c r="L557" s="26">
        <v>275.76</v>
      </c>
      <c r="M557" s="29">
        <v>0.15</v>
      </c>
      <c r="N557" s="10" t="s">
        <v>50</v>
      </c>
      <c r="O557" s="10" t="str">
        <f>IF(TRIM(OrdersRawTable9[[#This Row],[Sales_Channel_Raw]])="Market place","Marketplace",TRIM(OrdersRawTable9[[#This Row],[Sales_Channel_Raw]]))</f>
        <v>Marketplace</v>
      </c>
      <c r="P557" s="10" t="s">
        <v>51</v>
      </c>
      <c r="Q557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557" s="15" t="s">
        <v>42</v>
      </c>
      <c r="S557" t="str">
        <f>VLOOKUP(OrdersRawTable9[[#This Row],[Customer_ID_Raw]],CustomersTable11[],4,FALSE)</f>
        <v>British Columbia</v>
      </c>
      <c r="T557" t="str">
        <f>VLOOKUP(OrdersRawTable9[[#This Row],[Customer_ID_Raw]],CustomersTable11[],5,FALSE)</f>
        <v>Consumer</v>
      </c>
      <c r="U557" s="45">
        <f>VLOOKUP(OrdersRawTable9[[#This Row],[Product_ID]],ProductsTable10[],4,FALSE)</f>
        <v>156.97</v>
      </c>
      <c r="V557" t="str">
        <f>VLOOKUP(OrdersRawTable9[[#This Row],[Product_ID]],ProductsTable10[],3,FALSE)</f>
        <v>Home</v>
      </c>
      <c r="W557" s="45">
        <f>OrdersRawTable9[[#This Row],[Unit_Price]]*OrdersRawTable9[[#This Row],[Quantity]]</f>
        <v>551.52</v>
      </c>
      <c r="X557" s="47">
        <f>OrdersRawTable9[[#This Row],[Gross_Sales]]*OrdersRawTable9[[#This Row],[Discount_Pct]]</f>
        <v>82.727999999999994</v>
      </c>
      <c r="Y557" s="45">
        <f>OrdersRawTable9[[#This Row],[Gross_Sales]]-OrdersRawTable9[[#This Row],[Discount_Amount]]</f>
        <v>468.79199999999997</v>
      </c>
      <c r="Z557" s="45">
        <f>OrdersRawTable9[[#This Row],[Unit_Cost]]*OrdersRawTable9[[#This Row],[Quantity]]</f>
        <v>313.94</v>
      </c>
      <c r="AA557" s="45">
        <f>OrdersRawTable9[[#This Row],[Net_Sales]]-OrdersRawTable9[[#This Row],[Total_Cost]]</f>
        <v>154.85199999999998</v>
      </c>
      <c r="AB557" s="48">
        <f>IF(OrdersRawTable9[[#This Row],[Net_Sales]]=0,0,OrdersRawTable9[[#This Row],[Profit]]/OrdersRawTable9[[#This Row],[Net_Sales]])</f>
        <v>0.33032133654157919</v>
      </c>
      <c r="AC557" s="45" t="str">
        <f>IF(COUNTIF(ReturnsRawTable[Order_Line_ID],OrdersRawTable9[[#This Row],[Order_Line_ID]])&gt;0,"Yes","No")</f>
        <v>Yes</v>
      </c>
      <c r="AD557" s="45" t="str">
        <f>IFERROR(VLOOKUP(OrdersRawTable9[[#This Row],[Order_Line_ID]],ReturnsRawTable[[#All],[Order_Line_ID]:[Return_Reason_Raw]],3,FALSE),"")</f>
        <v>Changed Mind</v>
      </c>
      <c r="AE557" s="49">
        <f>IFERROR(VLOOKUP(OrdersRawTable9[[#This Row],[Order_Line_ID]],ReturnsRawTable[[#All],[Order_Line_ID]:[Return_Date]],2,FALSE),"")</f>
        <v>45858</v>
      </c>
      <c r="AF557" s="45" t="str">
        <f>IFERROR(VLOOKUP(OrdersRawTable9[[#This Row],[Order_Line_ID]],ReturnsRawTable[[Order_Line_ID]:[Refund_Status]],4,FALSE),"")</f>
        <v>Pending</v>
      </c>
      <c r="AG557" s="45" t="str">
        <f>VLOOKUP(OrdersRawTable9[[#This Row],[Order_ID]],ShipmentsTable[],6,FALSE)</f>
        <v>Late</v>
      </c>
      <c r="AH557" s="49">
        <f>VLOOKUP(OrdersRawTable9[[#This Row],[Order_ID]],ShipmentsTable[],3,FALSE)</f>
        <v>45854</v>
      </c>
    </row>
    <row r="558" spans="1:34" ht="15" customHeight="1">
      <c r="A558" s="14" t="s">
        <v>1148</v>
      </c>
      <c r="B558" s="10" t="s">
        <v>1149</v>
      </c>
      <c r="C558" s="20">
        <v>45746.041666666664</v>
      </c>
      <c r="D558" s="10" t="s">
        <v>927</v>
      </c>
      <c r="E558" s="10" t="s">
        <v>928</v>
      </c>
      <c r="F558" s="10" t="str">
        <f>TRIM(LEFT(OrdersRawTable9[[#This Row],[Customer_Info]],FIND(",",OrdersRawTable9[[#This Row],[Customer_Info]])-1))</f>
        <v>Daniel Wilson</v>
      </c>
      <c r="G55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558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558" s="10">
        <f>LEN(OrdersRawTable9[[#This Row],[Customer_Info]])-LEN(SUBSTITUTE(OrdersRawTable9[[#This Row],[Customer_Info]],",",""))</f>
        <v>2</v>
      </c>
      <c r="J558" s="10" t="s">
        <v>332</v>
      </c>
      <c r="K558" s="23">
        <v>3</v>
      </c>
      <c r="L558" s="26">
        <v>273.89</v>
      </c>
      <c r="M558" s="29">
        <v>0</v>
      </c>
      <c r="N558" s="10" t="s">
        <v>40</v>
      </c>
      <c r="O558" s="10" t="str">
        <f>IF(TRIM(OrdersRawTable9[[#This Row],[Sales_Channel_Raw]])="Market place","Marketplace",TRIM(OrdersRawTable9[[#This Row],[Sales_Channel_Raw]]))</f>
        <v>Online</v>
      </c>
      <c r="P558" s="10" t="s">
        <v>46</v>
      </c>
      <c r="Q558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58" s="15" t="s">
        <v>52</v>
      </c>
      <c r="S558" t="str">
        <f>VLOOKUP(OrdersRawTable9[[#This Row],[Customer_ID_Raw]],CustomersTable11[],4,FALSE)</f>
        <v>British Columbia</v>
      </c>
      <c r="T558" t="str">
        <f>VLOOKUP(OrdersRawTable9[[#This Row],[Customer_ID_Raw]],CustomersTable11[],5,FALSE)</f>
        <v>Consumer</v>
      </c>
      <c r="U558" s="45">
        <f>VLOOKUP(OrdersRawTable9[[#This Row],[Product_ID]],ProductsTable10[],4,FALSE)</f>
        <v>140.66999999999999</v>
      </c>
      <c r="V558" t="str">
        <f>VLOOKUP(OrdersRawTable9[[#This Row],[Product_ID]],ProductsTable10[],3,FALSE)</f>
        <v>Home</v>
      </c>
      <c r="W558" s="45">
        <f>OrdersRawTable9[[#This Row],[Unit_Price]]*OrdersRawTable9[[#This Row],[Quantity]]</f>
        <v>821.67</v>
      </c>
      <c r="X558" s="47">
        <f>OrdersRawTable9[[#This Row],[Gross_Sales]]*OrdersRawTable9[[#This Row],[Discount_Pct]]</f>
        <v>0</v>
      </c>
      <c r="Y558" s="45">
        <f>OrdersRawTable9[[#This Row],[Gross_Sales]]-OrdersRawTable9[[#This Row],[Discount_Amount]]</f>
        <v>821.67</v>
      </c>
      <c r="Z558" s="45">
        <f>OrdersRawTable9[[#This Row],[Unit_Cost]]*OrdersRawTable9[[#This Row],[Quantity]]</f>
        <v>422.01</v>
      </c>
      <c r="AA558" s="45">
        <f>OrdersRawTable9[[#This Row],[Net_Sales]]-OrdersRawTable9[[#This Row],[Total_Cost]]</f>
        <v>399.65999999999997</v>
      </c>
      <c r="AB558" s="48">
        <f>IF(OrdersRawTable9[[#This Row],[Net_Sales]]=0,0,OrdersRawTable9[[#This Row],[Profit]]/OrdersRawTable9[[#This Row],[Net_Sales]])</f>
        <v>0.48639964949432252</v>
      </c>
      <c r="AC558" s="45" t="str">
        <f>IF(COUNTIF(ReturnsRawTable[Order_Line_ID],OrdersRawTable9[[#This Row],[Order_Line_ID]])&gt;0,"Yes","No")</f>
        <v>No</v>
      </c>
      <c r="AD558" s="45" t="str">
        <f>IFERROR(VLOOKUP(OrdersRawTable9[[#This Row],[Order_Line_ID]],ReturnsRawTable[[#All],[Order_Line_ID]:[Return_Reason_Raw]],3,FALSE),"")</f>
        <v/>
      </c>
      <c r="AE558" s="49" t="str">
        <f>IFERROR(VLOOKUP(OrdersRawTable9[[#This Row],[Order_Line_ID]],ReturnsRawTable[[#All],[Order_Line_ID]:[Return_Date]],2,FALSE),"")</f>
        <v/>
      </c>
      <c r="AF558" s="45" t="str">
        <f>IFERROR(VLOOKUP(OrdersRawTable9[[#This Row],[Order_Line_ID]],ReturnsRawTable[[Order_Line_ID]:[Refund_Status]],4,FALSE),"")</f>
        <v/>
      </c>
      <c r="AG558" s="45" t="str">
        <f>VLOOKUP(OrdersRawTable9[[#This Row],[Order_ID]],ShipmentsTable[],6,FALSE)</f>
        <v>Late</v>
      </c>
      <c r="AH558" s="49">
        <f>VLOOKUP(OrdersRawTable9[[#This Row],[Order_ID]],ShipmentsTable[],3,FALSE)</f>
        <v>45751.041666666664</v>
      </c>
    </row>
    <row r="559" spans="1:34" ht="15" customHeight="1">
      <c r="A559" s="14" t="s">
        <v>1150</v>
      </c>
      <c r="B559" s="10" t="s">
        <v>1149</v>
      </c>
      <c r="C559" s="20">
        <v>45746.041666666664</v>
      </c>
      <c r="D559" s="10" t="s">
        <v>927</v>
      </c>
      <c r="E559" s="10" t="s">
        <v>928</v>
      </c>
      <c r="F559" s="10" t="str">
        <f>TRIM(LEFT(OrdersRawTable9[[#This Row],[Customer_Info]],FIND(",",OrdersRawTable9[[#This Row],[Customer_Info]])-1))</f>
        <v>Daniel Wilson</v>
      </c>
      <c r="G55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559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559" s="10">
        <f>LEN(OrdersRawTable9[[#This Row],[Customer_Info]])-LEN(SUBSTITUTE(OrdersRawTable9[[#This Row],[Customer_Info]],",",""))</f>
        <v>2</v>
      </c>
      <c r="J559" s="10" t="s">
        <v>110</v>
      </c>
      <c r="K559" s="23">
        <v>3</v>
      </c>
      <c r="L559" s="26">
        <v>133.24</v>
      </c>
      <c r="M559" s="29">
        <v>0.15</v>
      </c>
      <c r="N559" s="10" t="s">
        <v>45</v>
      </c>
      <c r="O559" s="10" t="str">
        <f>IF(TRIM(OrdersRawTable9[[#This Row],[Sales_Channel_Raw]])="Market place","Marketplace",TRIM(OrdersRawTable9[[#This Row],[Sales_Channel_Raw]]))</f>
        <v>Retail Store</v>
      </c>
      <c r="P559" s="10" t="s">
        <v>41</v>
      </c>
      <c r="Q559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59" s="15" t="s">
        <v>101</v>
      </c>
      <c r="S559" t="str">
        <f>VLOOKUP(OrdersRawTable9[[#This Row],[Customer_ID_Raw]],CustomersTable11[],4,FALSE)</f>
        <v>British Columbia</v>
      </c>
      <c r="T559" t="str">
        <f>VLOOKUP(OrdersRawTable9[[#This Row],[Customer_ID_Raw]],CustomersTable11[],5,FALSE)</f>
        <v>Consumer</v>
      </c>
      <c r="U559" s="45">
        <f>VLOOKUP(OrdersRawTable9[[#This Row],[Product_ID]],ProductsTable10[],4,FALSE)</f>
        <v>77.540000000000006</v>
      </c>
      <c r="V559" t="str">
        <f>VLOOKUP(OrdersRawTable9[[#This Row],[Product_ID]],ProductsTable10[],3,FALSE)</f>
        <v>Electronics</v>
      </c>
      <c r="W559" s="45">
        <f>OrdersRawTable9[[#This Row],[Unit_Price]]*OrdersRawTable9[[#This Row],[Quantity]]</f>
        <v>399.72</v>
      </c>
      <c r="X559" s="47">
        <f>OrdersRawTable9[[#This Row],[Gross_Sales]]*OrdersRawTable9[[#This Row],[Discount_Pct]]</f>
        <v>59.957999999999998</v>
      </c>
      <c r="Y559" s="45">
        <f>OrdersRawTable9[[#This Row],[Gross_Sales]]-OrdersRawTable9[[#This Row],[Discount_Amount]]</f>
        <v>339.76200000000006</v>
      </c>
      <c r="Z559" s="45">
        <f>OrdersRawTable9[[#This Row],[Unit_Cost]]*OrdersRawTable9[[#This Row],[Quantity]]</f>
        <v>232.62</v>
      </c>
      <c r="AA559" s="45">
        <f>OrdersRawTable9[[#This Row],[Net_Sales]]-OrdersRawTable9[[#This Row],[Total_Cost]]</f>
        <v>107.14200000000005</v>
      </c>
      <c r="AB559" s="48">
        <f>IF(OrdersRawTable9[[#This Row],[Net_Sales]]=0,0,OrdersRawTable9[[#This Row],[Profit]]/OrdersRawTable9[[#This Row],[Net_Sales]])</f>
        <v>0.31534427040104551</v>
      </c>
      <c r="AC559" s="45" t="str">
        <f>IF(COUNTIF(ReturnsRawTable[Order_Line_ID],OrdersRawTable9[[#This Row],[Order_Line_ID]])&gt;0,"Yes","No")</f>
        <v>No</v>
      </c>
      <c r="AD559" s="45" t="str">
        <f>IFERROR(VLOOKUP(OrdersRawTable9[[#This Row],[Order_Line_ID]],ReturnsRawTable[[#All],[Order_Line_ID]:[Return_Reason_Raw]],3,FALSE),"")</f>
        <v/>
      </c>
      <c r="AE559" s="49" t="str">
        <f>IFERROR(VLOOKUP(OrdersRawTable9[[#This Row],[Order_Line_ID]],ReturnsRawTable[[#All],[Order_Line_ID]:[Return_Date]],2,FALSE),"")</f>
        <v/>
      </c>
      <c r="AF559" s="45" t="str">
        <f>IFERROR(VLOOKUP(OrdersRawTable9[[#This Row],[Order_Line_ID]],ReturnsRawTable[[Order_Line_ID]:[Refund_Status]],4,FALSE),"")</f>
        <v/>
      </c>
      <c r="AG559" s="45" t="str">
        <f>VLOOKUP(OrdersRawTable9[[#This Row],[Order_ID]],ShipmentsTable[],6,FALSE)</f>
        <v>Late</v>
      </c>
      <c r="AH559" s="49">
        <f>VLOOKUP(OrdersRawTable9[[#This Row],[Order_ID]],ShipmentsTable[],3,FALSE)</f>
        <v>45751.041666666664</v>
      </c>
    </row>
    <row r="560" spans="1:34" ht="15" customHeight="1">
      <c r="A560" s="14" t="s">
        <v>1151</v>
      </c>
      <c r="B560" s="10" t="s">
        <v>1149</v>
      </c>
      <c r="C560" s="20">
        <v>45746.041666666664</v>
      </c>
      <c r="D560" s="10" t="s">
        <v>927</v>
      </c>
      <c r="E560" s="10" t="s">
        <v>928</v>
      </c>
      <c r="F560" s="10" t="str">
        <f>TRIM(LEFT(OrdersRawTable9[[#This Row],[Customer_Info]],FIND(",",OrdersRawTable9[[#This Row],[Customer_Info]])-1))</f>
        <v>Daniel Wilson</v>
      </c>
      <c r="G56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560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560" s="10">
        <f>LEN(OrdersRawTable9[[#This Row],[Customer_Info]])-LEN(SUBSTITUTE(OrdersRawTable9[[#This Row],[Customer_Info]],",",""))</f>
        <v>2</v>
      </c>
      <c r="J560" s="10" t="s">
        <v>150</v>
      </c>
      <c r="K560" s="23">
        <v>3</v>
      </c>
      <c r="L560" s="26">
        <v>263.04000000000002</v>
      </c>
      <c r="M560" s="29">
        <v>0</v>
      </c>
      <c r="N560" s="10" t="s">
        <v>40</v>
      </c>
      <c r="O560" s="10" t="str">
        <f>IF(TRIM(OrdersRawTable9[[#This Row],[Sales_Channel_Raw]])="Market place","Marketplace",TRIM(OrdersRawTable9[[#This Row],[Sales_Channel_Raw]]))</f>
        <v>Online</v>
      </c>
      <c r="P560" s="10" t="s">
        <v>51</v>
      </c>
      <c r="Q560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560" s="15" t="s">
        <v>101</v>
      </c>
      <c r="S560" t="str">
        <f>VLOOKUP(OrdersRawTable9[[#This Row],[Customer_ID_Raw]],CustomersTable11[],4,FALSE)</f>
        <v>British Columbia</v>
      </c>
      <c r="T560" t="str">
        <f>VLOOKUP(OrdersRawTable9[[#This Row],[Customer_ID_Raw]],CustomersTable11[],5,FALSE)</f>
        <v>Consumer</v>
      </c>
      <c r="U560" s="45">
        <f>VLOOKUP(OrdersRawTable9[[#This Row],[Product_ID]],ProductsTable10[],4,FALSE)</f>
        <v>161.84</v>
      </c>
      <c r="V560" t="str">
        <f>VLOOKUP(OrdersRawTable9[[#This Row],[Product_ID]],ProductsTable10[],3,FALSE)</f>
        <v>Office</v>
      </c>
      <c r="W560" s="45">
        <f>OrdersRawTable9[[#This Row],[Unit_Price]]*OrdersRawTable9[[#This Row],[Quantity]]</f>
        <v>789.12000000000012</v>
      </c>
      <c r="X560" s="47">
        <f>OrdersRawTable9[[#This Row],[Gross_Sales]]*OrdersRawTable9[[#This Row],[Discount_Pct]]</f>
        <v>0</v>
      </c>
      <c r="Y560" s="45">
        <f>OrdersRawTable9[[#This Row],[Gross_Sales]]-OrdersRawTable9[[#This Row],[Discount_Amount]]</f>
        <v>789.12000000000012</v>
      </c>
      <c r="Z560" s="45">
        <f>OrdersRawTable9[[#This Row],[Unit_Cost]]*OrdersRawTable9[[#This Row],[Quantity]]</f>
        <v>485.52</v>
      </c>
      <c r="AA560" s="45">
        <f>OrdersRawTable9[[#This Row],[Net_Sales]]-OrdersRawTable9[[#This Row],[Total_Cost]]</f>
        <v>303.60000000000014</v>
      </c>
      <c r="AB560" s="48">
        <f>IF(OrdersRawTable9[[#This Row],[Net_Sales]]=0,0,OrdersRawTable9[[#This Row],[Profit]]/OrdersRawTable9[[#This Row],[Net_Sales]])</f>
        <v>0.3847323600973237</v>
      </c>
      <c r="AC560" s="45" t="str">
        <f>IF(COUNTIF(ReturnsRawTable[Order_Line_ID],OrdersRawTable9[[#This Row],[Order_Line_ID]])&gt;0,"Yes","No")</f>
        <v>No</v>
      </c>
      <c r="AD560" s="45" t="str">
        <f>IFERROR(VLOOKUP(OrdersRawTable9[[#This Row],[Order_Line_ID]],ReturnsRawTable[[#All],[Order_Line_ID]:[Return_Reason_Raw]],3,FALSE),"")</f>
        <v/>
      </c>
      <c r="AE560" s="49" t="str">
        <f>IFERROR(VLOOKUP(OrdersRawTable9[[#This Row],[Order_Line_ID]],ReturnsRawTable[[#All],[Order_Line_ID]:[Return_Date]],2,FALSE),"")</f>
        <v/>
      </c>
      <c r="AF560" s="45" t="str">
        <f>IFERROR(VLOOKUP(OrdersRawTable9[[#This Row],[Order_Line_ID]],ReturnsRawTable[[Order_Line_ID]:[Refund_Status]],4,FALSE),"")</f>
        <v/>
      </c>
      <c r="AG560" s="45" t="str">
        <f>VLOOKUP(OrdersRawTable9[[#This Row],[Order_ID]],ShipmentsTable[],6,FALSE)</f>
        <v>Late</v>
      </c>
      <c r="AH560" s="49">
        <f>VLOOKUP(OrdersRawTable9[[#This Row],[Order_ID]],ShipmentsTable[],3,FALSE)</f>
        <v>45751.041666666664</v>
      </c>
    </row>
    <row r="561" spans="1:34" ht="15" customHeight="1">
      <c r="A561" s="14" t="s">
        <v>1152</v>
      </c>
      <c r="B561" s="10" t="s">
        <v>1149</v>
      </c>
      <c r="C561" s="20">
        <v>45746.041666666664</v>
      </c>
      <c r="D561" s="10" t="s">
        <v>927</v>
      </c>
      <c r="E561" s="10" t="s">
        <v>928</v>
      </c>
      <c r="F561" s="10" t="str">
        <f>TRIM(LEFT(OrdersRawTable9[[#This Row],[Customer_Info]],FIND(",",OrdersRawTable9[[#This Row],[Customer_Info]])-1))</f>
        <v>Daniel Wilson</v>
      </c>
      <c r="G56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561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561" s="10">
        <f>LEN(OrdersRawTable9[[#This Row],[Customer_Info]])-LEN(SUBSTITUTE(OrdersRawTable9[[#This Row],[Customer_Info]],",",""))</f>
        <v>2</v>
      </c>
      <c r="J561" s="10" t="s">
        <v>180</v>
      </c>
      <c r="K561" s="23">
        <v>3</v>
      </c>
      <c r="L561" s="26">
        <v>91.75</v>
      </c>
      <c r="M561" s="29">
        <v>0.1</v>
      </c>
      <c r="N561" s="10" t="s">
        <v>66</v>
      </c>
      <c r="O561" s="10" t="str">
        <f>IF(TRIM(OrdersRawTable9[[#This Row],[Sales_Channel_Raw]])="Market place","Marketplace",TRIM(OrdersRawTable9[[#This Row],[Sales_Channel_Raw]]))</f>
        <v>Marketplace</v>
      </c>
      <c r="P561" s="10" t="s">
        <v>46</v>
      </c>
      <c r="Q561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61" s="15" t="s">
        <v>42</v>
      </c>
      <c r="S561" t="str">
        <f>VLOOKUP(OrdersRawTable9[[#This Row],[Customer_ID_Raw]],CustomersTable11[],4,FALSE)</f>
        <v>British Columbia</v>
      </c>
      <c r="T561" t="str">
        <f>VLOOKUP(OrdersRawTable9[[#This Row],[Customer_ID_Raw]],CustomersTable11[],5,FALSE)</f>
        <v>Consumer</v>
      </c>
      <c r="U561" s="45">
        <f>VLOOKUP(OrdersRawTable9[[#This Row],[Product_ID]],ProductsTable10[],4,FALSE)</f>
        <v>58.27</v>
      </c>
      <c r="V561" t="str">
        <f>VLOOKUP(OrdersRawTable9[[#This Row],[Product_ID]],ProductsTable10[],3,FALSE)</f>
        <v>Home</v>
      </c>
      <c r="W561" s="45">
        <f>OrdersRawTable9[[#This Row],[Unit_Price]]*OrdersRawTable9[[#This Row],[Quantity]]</f>
        <v>275.25</v>
      </c>
      <c r="X561" s="47">
        <f>OrdersRawTable9[[#This Row],[Gross_Sales]]*OrdersRawTable9[[#This Row],[Discount_Pct]]</f>
        <v>27.525000000000002</v>
      </c>
      <c r="Y561" s="45">
        <f>OrdersRawTable9[[#This Row],[Gross_Sales]]-OrdersRawTable9[[#This Row],[Discount_Amount]]</f>
        <v>247.72499999999999</v>
      </c>
      <c r="Z561" s="45">
        <f>OrdersRawTable9[[#This Row],[Unit_Cost]]*OrdersRawTable9[[#This Row],[Quantity]]</f>
        <v>174.81</v>
      </c>
      <c r="AA561" s="45">
        <f>OrdersRawTable9[[#This Row],[Net_Sales]]-OrdersRawTable9[[#This Row],[Total_Cost]]</f>
        <v>72.914999999999992</v>
      </c>
      <c r="AB561" s="48">
        <f>IF(OrdersRawTable9[[#This Row],[Net_Sales]]=0,0,OrdersRawTable9[[#This Row],[Profit]]/OrdersRawTable9[[#This Row],[Net_Sales]])</f>
        <v>0.29433848016954284</v>
      </c>
      <c r="AC561" s="45" t="str">
        <f>IF(COUNTIF(ReturnsRawTable[Order_Line_ID],OrdersRawTable9[[#This Row],[Order_Line_ID]])&gt;0,"Yes","No")</f>
        <v>No</v>
      </c>
      <c r="AD561" s="45" t="str">
        <f>IFERROR(VLOOKUP(OrdersRawTable9[[#This Row],[Order_Line_ID]],ReturnsRawTable[[#All],[Order_Line_ID]:[Return_Reason_Raw]],3,FALSE),"")</f>
        <v/>
      </c>
      <c r="AE561" s="49" t="str">
        <f>IFERROR(VLOOKUP(OrdersRawTable9[[#This Row],[Order_Line_ID]],ReturnsRawTable[[#All],[Order_Line_ID]:[Return_Date]],2,FALSE),"")</f>
        <v/>
      </c>
      <c r="AF561" s="45" t="str">
        <f>IFERROR(VLOOKUP(OrdersRawTable9[[#This Row],[Order_Line_ID]],ReturnsRawTable[[Order_Line_ID]:[Refund_Status]],4,FALSE),"")</f>
        <v/>
      </c>
      <c r="AG561" s="45" t="str">
        <f>VLOOKUP(OrdersRawTable9[[#This Row],[Order_ID]],ShipmentsTable[],6,FALSE)</f>
        <v>Late</v>
      </c>
      <c r="AH561" s="49">
        <f>VLOOKUP(OrdersRawTable9[[#This Row],[Order_ID]],ShipmentsTable[],3,FALSE)</f>
        <v>45751.041666666664</v>
      </c>
    </row>
    <row r="562" spans="1:34" ht="15" customHeight="1">
      <c r="A562" s="14" t="s">
        <v>1153</v>
      </c>
      <c r="B562" s="10" t="s">
        <v>1154</v>
      </c>
      <c r="C562" s="20">
        <v>45768</v>
      </c>
      <c r="D562" s="10" t="s">
        <v>394</v>
      </c>
      <c r="E562" s="10" t="s">
        <v>395</v>
      </c>
      <c r="F562" s="10" t="str">
        <f>TRIM(LEFT(OrdersRawTable9[[#This Row],[Customer_Info]],FIND(",",OrdersRawTable9[[#This Row],[Customer_Info]])-1))</f>
        <v>Maya Martin</v>
      </c>
      <c r="G56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562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62" s="10">
        <f>LEN(OrdersRawTable9[[#This Row],[Customer_Info]])-LEN(SUBSTITUTE(OrdersRawTable9[[#This Row],[Customer_Info]],",",""))</f>
        <v>2</v>
      </c>
      <c r="J562" s="10" t="s">
        <v>303</v>
      </c>
      <c r="K562" s="23">
        <v>3</v>
      </c>
      <c r="L562" s="26">
        <v>72.81</v>
      </c>
      <c r="M562" s="29">
        <v>0</v>
      </c>
      <c r="N562" s="10" t="s">
        <v>64</v>
      </c>
      <c r="O562" s="10" t="str">
        <f>IF(TRIM(OrdersRawTable9[[#This Row],[Sales_Channel_Raw]])="Market place","Marketplace",TRIM(OrdersRawTable9[[#This Row],[Sales_Channel_Raw]]))</f>
        <v>Retail Store</v>
      </c>
      <c r="P562" s="10" t="s">
        <v>41</v>
      </c>
      <c r="Q562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62" s="15" t="s">
        <v>101</v>
      </c>
      <c r="S562" t="str">
        <f>VLOOKUP(OrdersRawTable9[[#This Row],[Customer_ID_Raw]],CustomersTable11[],4,FALSE)</f>
        <v>British Columbia</v>
      </c>
      <c r="T562" t="str">
        <f>VLOOKUP(OrdersRawTable9[[#This Row],[Customer_ID_Raw]],CustomersTable11[],5,FALSE)</f>
        <v>Small Business</v>
      </c>
      <c r="U562" s="45">
        <f>VLOOKUP(OrdersRawTable9[[#This Row],[Product_ID]],ProductsTable10[],4,FALSE)</f>
        <v>37.99</v>
      </c>
      <c r="V562" t="str">
        <f>VLOOKUP(OrdersRawTable9[[#This Row],[Product_ID]],ProductsTable10[],3,FALSE)</f>
        <v>Accessories</v>
      </c>
      <c r="W562" s="45">
        <f>OrdersRawTable9[[#This Row],[Unit_Price]]*OrdersRawTable9[[#This Row],[Quantity]]</f>
        <v>218.43</v>
      </c>
      <c r="X562" s="47">
        <f>OrdersRawTable9[[#This Row],[Gross_Sales]]*OrdersRawTable9[[#This Row],[Discount_Pct]]</f>
        <v>0</v>
      </c>
      <c r="Y562" s="45">
        <f>OrdersRawTable9[[#This Row],[Gross_Sales]]-OrdersRawTable9[[#This Row],[Discount_Amount]]</f>
        <v>218.43</v>
      </c>
      <c r="Z562" s="45">
        <f>OrdersRawTable9[[#This Row],[Unit_Cost]]*OrdersRawTable9[[#This Row],[Quantity]]</f>
        <v>113.97</v>
      </c>
      <c r="AA562" s="45">
        <f>OrdersRawTable9[[#This Row],[Net_Sales]]-OrdersRawTable9[[#This Row],[Total_Cost]]</f>
        <v>104.46000000000001</v>
      </c>
      <c r="AB562" s="48">
        <f>IF(OrdersRawTable9[[#This Row],[Net_Sales]]=0,0,OrdersRawTable9[[#This Row],[Profit]]/OrdersRawTable9[[#This Row],[Net_Sales]])</f>
        <v>0.47823101222359571</v>
      </c>
      <c r="AC562" s="45" t="str">
        <f>IF(COUNTIF(ReturnsRawTable[Order_Line_ID],OrdersRawTable9[[#This Row],[Order_Line_ID]])&gt;0,"Yes","No")</f>
        <v>No</v>
      </c>
      <c r="AD562" s="45" t="str">
        <f>IFERROR(VLOOKUP(OrdersRawTable9[[#This Row],[Order_Line_ID]],ReturnsRawTable[[#All],[Order_Line_ID]:[Return_Reason_Raw]],3,FALSE),"")</f>
        <v/>
      </c>
      <c r="AE562" s="49" t="str">
        <f>IFERROR(VLOOKUP(OrdersRawTable9[[#This Row],[Order_Line_ID]],ReturnsRawTable[[#All],[Order_Line_ID]:[Return_Date]],2,FALSE),"")</f>
        <v/>
      </c>
      <c r="AF562" s="45" t="str">
        <f>IFERROR(VLOOKUP(OrdersRawTable9[[#This Row],[Order_Line_ID]],ReturnsRawTable[[Order_Line_ID]:[Refund_Status]],4,FALSE),"")</f>
        <v/>
      </c>
      <c r="AG562" s="45" t="str">
        <f>VLOOKUP(OrdersRawTable9[[#This Row],[Order_ID]],ShipmentsTable[],6,FALSE)</f>
        <v>Late</v>
      </c>
      <c r="AH562" s="49">
        <f>VLOOKUP(OrdersRawTable9[[#This Row],[Order_ID]],ShipmentsTable[],3,FALSE)</f>
        <v>45775</v>
      </c>
    </row>
    <row r="563" spans="1:34" ht="15" customHeight="1">
      <c r="A563" s="14" t="s">
        <v>1155</v>
      </c>
      <c r="B563" s="10" t="s">
        <v>1154</v>
      </c>
      <c r="C563" s="20">
        <v>45768</v>
      </c>
      <c r="D563" s="10" t="s">
        <v>394</v>
      </c>
      <c r="E563" s="10" t="s">
        <v>395</v>
      </c>
      <c r="F563" s="10" t="str">
        <f>TRIM(LEFT(OrdersRawTable9[[#This Row],[Customer_Info]],FIND(",",OrdersRawTable9[[#This Row],[Customer_Info]])-1))</f>
        <v>Maya Martin</v>
      </c>
      <c r="G56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563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63" s="10">
        <f>LEN(OrdersRawTable9[[#This Row],[Customer_Info]])-LEN(SUBSTITUTE(OrdersRawTable9[[#This Row],[Customer_Info]],",",""))</f>
        <v>2</v>
      </c>
      <c r="J563" s="10" t="s">
        <v>49</v>
      </c>
      <c r="K563" s="23">
        <v>3</v>
      </c>
      <c r="L563" s="26">
        <v>300.16000000000003</v>
      </c>
      <c r="M563" s="29">
        <v>0</v>
      </c>
      <c r="N563" s="10" t="s">
        <v>50</v>
      </c>
      <c r="O563" s="10" t="str">
        <f>IF(TRIM(OrdersRawTable9[[#This Row],[Sales_Channel_Raw]])="Market place","Marketplace",TRIM(OrdersRawTable9[[#This Row],[Sales_Channel_Raw]]))</f>
        <v>Marketplace</v>
      </c>
      <c r="P563" s="10" t="s">
        <v>46</v>
      </c>
      <c r="Q563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63" s="15" t="s">
        <v>47</v>
      </c>
      <c r="S563" t="str">
        <f>VLOOKUP(OrdersRawTable9[[#This Row],[Customer_ID_Raw]],CustomersTable11[],4,FALSE)</f>
        <v>British Columbia</v>
      </c>
      <c r="T563" t="str">
        <f>VLOOKUP(OrdersRawTable9[[#This Row],[Customer_ID_Raw]],CustomersTable11[],5,FALSE)</f>
        <v>Small Business</v>
      </c>
      <c r="U563" s="45">
        <f>VLOOKUP(OrdersRawTable9[[#This Row],[Product_ID]],ProductsTable10[],4,FALSE)</f>
        <v>158.46</v>
      </c>
      <c r="V563" t="str">
        <f>VLOOKUP(OrdersRawTable9[[#This Row],[Product_ID]],ProductsTable10[],3,FALSE)</f>
        <v>Office</v>
      </c>
      <c r="W563" s="45">
        <f>OrdersRawTable9[[#This Row],[Unit_Price]]*OrdersRawTable9[[#This Row],[Quantity]]</f>
        <v>900.48</v>
      </c>
      <c r="X563" s="47">
        <f>OrdersRawTable9[[#This Row],[Gross_Sales]]*OrdersRawTable9[[#This Row],[Discount_Pct]]</f>
        <v>0</v>
      </c>
      <c r="Y563" s="45">
        <f>OrdersRawTable9[[#This Row],[Gross_Sales]]-OrdersRawTable9[[#This Row],[Discount_Amount]]</f>
        <v>900.48</v>
      </c>
      <c r="Z563" s="45">
        <f>OrdersRawTable9[[#This Row],[Unit_Cost]]*OrdersRawTable9[[#This Row],[Quantity]]</f>
        <v>475.38</v>
      </c>
      <c r="AA563" s="45">
        <f>OrdersRawTable9[[#This Row],[Net_Sales]]-OrdersRawTable9[[#This Row],[Total_Cost]]</f>
        <v>425.1</v>
      </c>
      <c r="AB563" s="48">
        <f>IF(OrdersRawTable9[[#This Row],[Net_Sales]]=0,0,OrdersRawTable9[[#This Row],[Profit]]/OrdersRawTable9[[#This Row],[Net_Sales]])</f>
        <v>0.47208155650319833</v>
      </c>
      <c r="AC563" s="45" t="str">
        <f>IF(COUNTIF(ReturnsRawTable[Order_Line_ID],OrdersRawTable9[[#This Row],[Order_Line_ID]])&gt;0,"Yes","No")</f>
        <v>No</v>
      </c>
      <c r="AD563" s="45" t="str">
        <f>IFERROR(VLOOKUP(OrdersRawTable9[[#This Row],[Order_Line_ID]],ReturnsRawTable[[#All],[Order_Line_ID]:[Return_Reason_Raw]],3,FALSE),"")</f>
        <v/>
      </c>
      <c r="AE563" s="49" t="str">
        <f>IFERROR(VLOOKUP(OrdersRawTable9[[#This Row],[Order_Line_ID]],ReturnsRawTable[[#All],[Order_Line_ID]:[Return_Date]],2,FALSE),"")</f>
        <v/>
      </c>
      <c r="AF563" s="45" t="str">
        <f>IFERROR(VLOOKUP(OrdersRawTable9[[#This Row],[Order_Line_ID]],ReturnsRawTable[[Order_Line_ID]:[Refund_Status]],4,FALSE),"")</f>
        <v/>
      </c>
      <c r="AG563" s="45" t="str">
        <f>VLOOKUP(OrdersRawTable9[[#This Row],[Order_ID]],ShipmentsTable[],6,FALSE)</f>
        <v>Late</v>
      </c>
      <c r="AH563" s="49">
        <f>VLOOKUP(OrdersRawTable9[[#This Row],[Order_ID]],ShipmentsTable[],3,FALSE)</f>
        <v>45775</v>
      </c>
    </row>
    <row r="564" spans="1:34" ht="15" customHeight="1">
      <c r="A564" s="14" t="s">
        <v>1156</v>
      </c>
      <c r="B564" s="10" t="s">
        <v>1157</v>
      </c>
      <c r="C564" s="20">
        <v>45825</v>
      </c>
      <c r="D564" s="10" t="s">
        <v>421</v>
      </c>
      <c r="E564" s="10" t="s">
        <v>422</v>
      </c>
      <c r="F564" s="10" t="str">
        <f>TRIM(LEFT(OrdersRawTable9[[#This Row],[Customer_Info]],FIND(",",OrdersRawTable9[[#This Row],[Customer_Info]])-1))</f>
        <v>Yara Dubois</v>
      </c>
      <c r="G56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564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564" s="10">
        <f>LEN(OrdersRawTable9[[#This Row],[Customer_Info]])-LEN(SUBSTITUTE(OrdersRawTable9[[#This Row],[Customer_Info]],",",""))</f>
        <v>2</v>
      </c>
      <c r="J564" s="10" t="s">
        <v>80</v>
      </c>
      <c r="K564" s="23">
        <v>2</v>
      </c>
      <c r="L564" s="26">
        <v>142.16</v>
      </c>
      <c r="M564" s="29">
        <v>0.1</v>
      </c>
      <c r="N564" s="10" t="s">
        <v>64</v>
      </c>
      <c r="O564" s="10" t="str">
        <f>IF(TRIM(OrdersRawTable9[[#This Row],[Sales_Channel_Raw]])="Market place","Marketplace",TRIM(OrdersRawTable9[[#This Row],[Sales_Channel_Raw]]))</f>
        <v>Retail Store</v>
      </c>
      <c r="P564" s="10" t="s">
        <v>41</v>
      </c>
      <c r="Q564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64" s="15" t="s">
        <v>42</v>
      </c>
      <c r="S564" t="str">
        <f>VLOOKUP(OrdersRawTable9[[#This Row],[Customer_ID_Raw]],CustomersTable11[],4,FALSE)</f>
        <v>Ontario</v>
      </c>
      <c r="T564" t="str">
        <f>VLOOKUP(OrdersRawTable9[[#This Row],[Customer_ID_Raw]],CustomersTable11[],5,FALSE)</f>
        <v>Consumer</v>
      </c>
      <c r="U564" s="45">
        <f>VLOOKUP(OrdersRawTable9[[#This Row],[Product_ID]],ProductsTable10[],4,FALSE)</f>
        <v>85.34</v>
      </c>
      <c r="V564" t="str">
        <f>VLOOKUP(OrdersRawTable9[[#This Row],[Product_ID]],ProductsTable10[],3,FALSE)</f>
        <v>Home</v>
      </c>
      <c r="W564" s="45">
        <f>OrdersRawTable9[[#This Row],[Unit_Price]]*OrdersRawTable9[[#This Row],[Quantity]]</f>
        <v>284.32</v>
      </c>
      <c r="X564" s="47">
        <f>OrdersRawTable9[[#This Row],[Gross_Sales]]*OrdersRawTable9[[#This Row],[Discount_Pct]]</f>
        <v>28.432000000000002</v>
      </c>
      <c r="Y564" s="45">
        <f>OrdersRawTable9[[#This Row],[Gross_Sales]]-OrdersRawTable9[[#This Row],[Discount_Amount]]</f>
        <v>255.88799999999998</v>
      </c>
      <c r="Z564" s="45">
        <f>OrdersRawTable9[[#This Row],[Unit_Cost]]*OrdersRawTable9[[#This Row],[Quantity]]</f>
        <v>170.68</v>
      </c>
      <c r="AA564" s="45">
        <f>OrdersRawTable9[[#This Row],[Net_Sales]]-OrdersRawTable9[[#This Row],[Total_Cost]]</f>
        <v>85.20799999999997</v>
      </c>
      <c r="AB564" s="48">
        <f>IF(OrdersRawTable9[[#This Row],[Net_Sales]]=0,0,OrdersRawTable9[[#This Row],[Profit]]/OrdersRawTable9[[#This Row],[Net_Sales]])</f>
        <v>0.33298943287688354</v>
      </c>
      <c r="AC564" s="45" t="str">
        <f>IF(COUNTIF(ReturnsRawTable[Order_Line_ID],OrdersRawTable9[[#This Row],[Order_Line_ID]])&gt;0,"Yes","No")</f>
        <v>No</v>
      </c>
      <c r="AD564" s="45" t="str">
        <f>IFERROR(VLOOKUP(OrdersRawTable9[[#This Row],[Order_Line_ID]],ReturnsRawTable[[#All],[Order_Line_ID]:[Return_Reason_Raw]],3,FALSE),"")</f>
        <v/>
      </c>
      <c r="AE564" s="49" t="str">
        <f>IFERROR(VLOOKUP(OrdersRawTable9[[#This Row],[Order_Line_ID]],ReturnsRawTable[[#All],[Order_Line_ID]:[Return_Date]],2,FALSE),"")</f>
        <v/>
      </c>
      <c r="AF564" s="45" t="str">
        <f>IFERROR(VLOOKUP(OrdersRawTable9[[#This Row],[Order_Line_ID]],ReturnsRawTable[[Order_Line_ID]:[Refund_Status]],4,FALSE),"")</f>
        <v/>
      </c>
      <c r="AG564" s="45" t="str">
        <f>VLOOKUP(OrdersRawTable9[[#This Row],[Order_ID]],ShipmentsTable[],6,FALSE)</f>
        <v>Late</v>
      </c>
      <c r="AH564" s="49">
        <f>VLOOKUP(OrdersRawTable9[[#This Row],[Order_ID]],ShipmentsTable[],3,FALSE)</f>
        <v>45834</v>
      </c>
    </row>
    <row r="565" spans="1:34" ht="15" customHeight="1">
      <c r="A565" s="14" t="s">
        <v>1158</v>
      </c>
      <c r="B565" s="10" t="s">
        <v>1157</v>
      </c>
      <c r="C565" s="20">
        <v>45825</v>
      </c>
      <c r="D565" s="10" t="s">
        <v>421</v>
      </c>
      <c r="E565" s="10" t="s">
        <v>422</v>
      </c>
      <c r="F565" s="10" t="str">
        <f>TRIM(LEFT(OrdersRawTable9[[#This Row],[Customer_Info]],FIND(",",OrdersRawTable9[[#This Row],[Customer_Info]])-1))</f>
        <v>Yara Dubois</v>
      </c>
      <c r="G56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565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565" s="10">
        <f>LEN(OrdersRawTable9[[#This Row],[Customer_Info]])-LEN(SUBSTITUTE(OrdersRawTable9[[#This Row],[Customer_Info]],",",""))</f>
        <v>2</v>
      </c>
      <c r="J565" s="10" t="s">
        <v>121</v>
      </c>
      <c r="K565" s="23">
        <v>2</v>
      </c>
      <c r="L565" s="26">
        <v>287.16000000000003</v>
      </c>
      <c r="M565" s="29">
        <v>0</v>
      </c>
      <c r="N565" s="10" t="s">
        <v>70</v>
      </c>
      <c r="O565" s="10" t="str">
        <f>IF(TRIM(OrdersRawTable9[[#This Row],[Sales_Channel_Raw]])="Market place","Marketplace",TRIM(OrdersRawTable9[[#This Row],[Sales_Channel_Raw]]))</f>
        <v>online</v>
      </c>
      <c r="P565" s="10" t="s">
        <v>46</v>
      </c>
      <c r="Q565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65" s="15" t="s">
        <v>67</v>
      </c>
      <c r="S565" t="str">
        <f>VLOOKUP(OrdersRawTable9[[#This Row],[Customer_ID_Raw]],CustomersTable11[],4,FALSE)</f>
        <v>Ontario</v>
      </c>
      <c r="T565" t="str">
        <f>VLOOKUP(OrdersRawTable9[[#This Row],[Customer_ID_Raw]],CustomersTable11[],5,FALSE)</f>
        <v>Consumer</v>
      </c>
      <c r="U565" s="45">
        <f>VLOOKUP(OrdersRawTable9[[#This Row],[Product_ID]],ProductsTable10[],4,FALSE)</f>
        <v>148.21</v>
      </c>
      <c r="V565" t="str">
        <f>VLOOKUP(OrdersRawTable9[[#This Row],[Product_ID]],ProductsTable10[],3,FALSE)</f>
        <v>Accessories</v>
      </c>
      <c r="W565" s="45">
        <f>OrdersRawTable9[[#This Row],[Unit_Price]]*OrdersRawTable9[[#This Row],[Quantity]]</f>
        <v>574.32000000000005</v>
      </c>
      <c r="X565" s="47">
        <f>OrdersRawTable9[[#This Row],[Gross_Sales]]*OrdersRawTable9[[#This Row],[Discount_Pct]]</f>
        <v>0</v>
      </c>
      <c r="Y565" s="45">
        <f>OrdersRawTable9[[#This Row],[Gross_Sales]]-OrdersRawTable9[[#This Row],[Discount_Amount]]</f>
        <v>574.32000000000005</v>
      </c>
      <c r="Z565" s="45">
        <f>OrdersRawTable9[[#This Row],[Unit_Cost]]*OrdersRawTable9[[#This Row],[Quantity]]</f>
        <v>296.42</v>
      </c>
      <c r="AA565" s="45">
        <f>OrdersRawTable9[[#This Row],[Net_Sales]]-OrdersRawTable9[[#This Row],[Total_Cost]]</f>
        <v>277.90000000000003</v>
      </c>
      <c r="AB565" s="48">
        <f>IF(OrdersRawTable9[[#This Row],[Net_Sales]]=0,0,OrdersRawTable9[[#This Row],[Profit]]/OrdersRawTable9[[#This Row],[Net_Sales]])</f>
        <v>0.48387658448251847</v>
      </c>
      <c r="AC565" s="45" t="str">
        <f>IF(COUNTIF(ReturnsRawTable[Order_Line_ID],OrdersRawTable9[[#This Row],[Order_Line_ID]])&gt;0,"Yes","No")</f>
        <v>No</v>
      </c>
      <c r="AD565" s="45" t="str">
        <f>IFERROR(VLOOKUP(OrdersRawTable9[[#This Row],[Order_Line_ID]],ReturnsRawTable[[#All],[Order_Line_ID]:[Return_Reason_Raw]],3,FALSE),"")</f>
        <v/>
      </c>
      <c r="AE565" s="49" t="str">
        <f>IFERROR(VLOOKUP(OrdersRawTable9[[#This Row],[Order_Line_ID]],ReturnsRawTable[[#All],[Order_Line_ID]:[Return_Date]],2,FALSE),"")</f>
        <v/>
      </c>
      <c r="AF565" s="45" t="str">
        <f>IFERROR(VLOOKUP(OrdersRawTable9[[#This Row],[Order_Line_ID]],ReturnsRawTable[[Order_Line_ID]:[Refund_Status]],4,FALSE),"")</f>
        <v/>
      </c>
      <c r="AG565" s="45" t="str">
        <f>VLOOKUP(OrdersRawTable9[[#This Row],[Order_ID]],ShipmentsTable[],6,FALSE)</f>
        <v>Late</v>
      </c>
      <c r="AH565" s="49">
        <f>VLOOKUP(OrdersRawTable9[[#This Row],[Order_ID]],ShipmentsTable[],3,FALSE)</f>
        <v>45834</v>
      </c>
    </row>
    <row r="566" spans="1:34" ht="15" customHeight="1">
      <c r="A566" s="14" t="s">
        <v>1159</v>
      </c>
      <c r="B566" s="10" t="s">
        <v>1157</v>
      </c>
      <c r="C566" s="20">
        <v>45825</v>
      </c>
      <c r="D566" s="10" t="s">
        <v>421</v>
      </c>
      <c r="E566" s="10" t="s">
        <v>422</v>
      </c>
      <c r="F566" s="10" t="str">
        <f>TRIM(LEFT(OrdersRawTable9[[#This Row],[Customer_Info]],FIND(",",OrdersRawTable9[[#This Row],[Customer_Info]])-1))</f>
        <v>Yara Dubois</v>
      </c>
      <c r="G56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566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566" s="10">
        <f>LEN(OrdersRawTable9[[#This Row],[Customer_Info]])-LEN(SUBSTITUTE(OrdersRawTable9[[#This Row],[Customer_Info]],",",""))</f>
        <v>2</v>
      </c>
      <c r="J566" s="10" t="s">
        <v>150</v>
      </c>
      <c r="K566" s="23">
        <v>3</v>
      </c>
      <c r="L566" s="26">
        <v>263.04000000000002</v>
      </c>
      <c r="M566" s="29">
        <v>0</v>
      </c>
      <c r="N566" s="10" t="s">
        <v>45</v>
      </c>
      <c r="O566" s="10" t="str">
        <f>IF(TRIM(OrdersRawTable9[[#This Row],[Sales_Channel_Raw]])="Market place","Marketplace",TRIM(OrdersRawTable9[[#This Row],[Sales_Channel_Raw]]))</f>
        <v>Retail Store</v>
      </c>
      <c r="P566" s="10" t="s">
        <v>46</v>
      </c>
      <c r="Q566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66" s="15" t="s">
        <v>101</v>
      </c>
      <c r="S566" t="str">
        <f>VLOOKUP(OrdersRawTable9[[#This Row],[Customer_ID_Raw]],CustomersTable11[],4,FALSE)</f>
        <v>Ontario</v>
      </c>
      <c r="T566" t="str">
        <f>VLOOKUP(OrdersRawTable9[[#This Row],[Customer_ID_Raw]],CustomersTable11[],5,FALSE)</f>
        <v>Consumer</v>
      </c>
      <c r="U566" s="45">
        <f>VLOOKUP(OrdersRawTable9[[#This Row],[Product_ID]],ProductsTable10[],4,FALSE)</f>
        <v>161.84</v>
      </c>
      <c r="V566" t="str">
        <f>VLOOKUP(OrdersRawTable9[[#This Row],[Product_ID]],ProductsTable10[],3,FALSE)</f>
        <v>Office</v>
      </c>
      <c r="W566" s="45">
        <f>OrdersRawTable9[[#This Row],[Unit_Price]]*OrdersRawTable9[[#This Row],[Quantity]]</f>
        <v>789.12000000000012</v>
      </c>
      <c r="X566" s="47">
        <f>OrdersRawTable9[[#This Row],[Gross_Sales]]*OrdersRawTable9[[#This Row],[Discount_Pct]]</f>
        <v>0</v>
      </c>
      <c r="Y566" s="45">
        <f>OrdersRawTable9[[#This Row],[Gross_Sales]]-OrdersRawTable9[[#This Row],[Discount_Amount]]</f>
        <v>789.12000000000012</v>
      </c>
      <c r="Z566" s="45">
        <f>OrdersRawTable9[[#This Row],[Unit_Cost]]*OrdersRawTable9[[#This Row],[Quantity]]</f>
        <v>485.52</v>
      </c>
      <c r="AA566" s="45">
        <f>OrdersRawTable9[[#This Row],[Net_Sales]]-OrdersRawTable9[[#This Row],[Total_Cost]]</f>
        <v>303.60000000000014</v>
      </c>
      <c r="AB566" s="48">
        <f>IF(OrdersRawTable9[[#This Row],[Net_Sales]]=0,0,OrdersRawTable9[[#This Row],[Profit]]/OrdersRawTable9[[#This Row],[Net_Sales]])</f>
        <v>0.3847323600973237</v>
      </c>
      <c r="AC566" s="45" t="str">
        <f>IF(COUNTIF(ReturnsRawTable[Order_Line_ID],OrdersRawTable9[[#This Row],[Order_Line_ID]])&gt;0,"Yes","No")</f>
        <v>Yes</v>
      </c>
      <c r="AD566" s="45" t="str">
        <f>IFERROR(VLOOKUP(OrdersRawTable9[[#This Row],[Order_Line_ID]],ReturnsRawTable[[#All],[Order_Line_ID]:[Return_Reason_Raw]],3,FALSE),"")</f>
        <v>Late Delivery</v>
      </c>
      <c r="AE566" s="49">
        <f>IFERROR(VLOOKUP(OrdersRawTable9[[#This Row],[Order_Line_ID]],ReturnsRawTable[[#All],[Order_Line_ID]:[Return_Date]],2,FALSE),"")</f>
        <v>45845</v>
      </c>
      <c r="AF566" s="45" t="str">
        <f>IFERROR(VLOOKUP(OrdersRawTable9[[#This Row],[Order_Line_ID]],ReturnsRawTable[[Order_Line_ID]:[Refund_Status]],4,FALSE),"")</f>
        <v>Refunded</v>
      </c>
      <c r="AG566" s="45" t="str">
        <f>VLOOKUP(OrdersRawTable9[[#This Row],[Order_ID]],ShipmentsTable[],6,FALSE)</f>
        <v>Late</v>
      </c>
      <c r="AH566" s="49">
        <f>VLOOKUP(OrdersRawTable9[[#This Row],[Order_ID]],ShipmentsTable[],3,FALSE)</f>
        <v>45834</v>
      </c>
    </row>
    <row r="567" spans="1:34" ht="15" customHeight="1">
      <c r="A567" s="14" t="s">
        <v>1160</v>
      </c>
      <c r="B567" s="10" t="s">
        <v>1157</v>
      </c>
      <c r="C567" s="20">
        <v>45825</v>
      </c>
      <c r="D567" s="10" t="s">
        <v>421</v>
      </c>
      <c r="E567" s="10" t="s">
        <v>422</v>
      </c>
      <c r="F567" s="10" t="str">
        <f>TRIM(LEFT(OrdersRawTable9[[#This Row],[Customer_Info]],FIND(",",OrdersRawTable9[[#This Row],[Customer_Info]])-1))</f>
        <v>Yara Dubois</v>
      </c>
      <c r="G56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567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567" s="10">
        <f>LEN(OrdersRawTable9[[#This Row],[Customer_Info]])-LEN(SUBSTITUTE(OrdersRawTable9[[#This Row],[Customer_Info]],",",""))</f>
        <v>2</v>
      </c>
      <c r="J567" s="10" t="s">
        <v>270</v>
      </c>
      <c r="K567" s="23">
        <v>1</v>
      </c>
      <c r="L567" s="26">
        <v>214.38</v>
      </c>
      <c r="M567" s="29">
        <v>0</v>
      </c>
      <c r="N567" s="10" t="s">
        <v>66</v>
      </c>
      <c r="O567" s="10" t="str">
        <f>IF(TRIM(OrdersRawTable9[[#This Row],[Sales_Channel_Raw]])="Market place","Marketplace",TRIM(OrdersRawTable9[[#This Row],[Sales_Channel_Raw]]))</f>
        <v>Marketplace</v>
      </c>
      <c r="P567" s="10" t="s">
        <v>58</v>
      </c>
      <c r="Q567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567" s="15" t="s">
        <v>47</v>
      </c>
      <c r="S567" t="str">
        <f>VLOOKUP(OrdersRawTable9[[#This Row],[Customer_ID_Raw]],CustomersTable11[],4,FALSE)</f>
        <v>Ontario</v>
      </c>
      <c r="T567" t="str">
        <f>VLOOKUP(OrdersRawTable9[[#This Row],[Customer_ID_Raw]],CustomersTable11[],5,FALSE)</f>
        <v>Consumer</v>
      </c>
      <c r="U567" s="45">
        <f>VLOOKUP(OrdersRawTable9[[#This Row],[Product_ID]],ProductsTable10[],4,FALSE)</f>
        <v>131.51</v>
      </c>
      <c r="V567" t="str">
        <f>VLOOKUP(OrdersRawTable9[[#This Row],[Product_ID]],ProductsTable10[],3,FALSE)</f>
        <v>Fitness</v>
      </c>
      <c r="W567" s="45">
        <f>OrdersRawTable9[[#This Row],[Unit_Price]]*OrdersRawTable9[[#This Row],[Quantity]]</f>
        <v>214.38</v>
      </c>
      <c r="X567" s="47">
        <f>OrdersRawTable9[[#This Row],[Gross_Sales]]*OrdersRawTable9[[#This Row],[Discount_Pct]]</f>
        <v>0</v>
      </c>
      <c r="Y567" s="45">
        <f>OrdersRawTable9[[#This Row],[Gross_Sales]]-OrdersRawTable9[[#This Row],[Discount_Amount]]</f>
        <v>214.38</v>
      </c>
      <c r="Z567" s="45">
        <f>OrdersRawTable9[[#This Row],[Unit_Cost]]*OrdersRawTable9[[#This Row],[Quantity]]</f>
        <v>131.51</v>
      </c>
      <c r="AA567" s="45">
        <f>OrdersRawTable9[[#This Row],[Net_Sales]]-OrdersRawTable9[[#This Row],[Total_Cost]]</f>
        <v>82.87</v>
      </c>
      <c r="AB567" s="48">
        <f>IF(OrdersRawTable9[[#This Row],[Net_Sales]]=0,0,OrdersRawTable9[[#This Row],[Profit]]/OrdersRawTable9[[#This Row],[Net_Sales]])</f>
        <v>0.38655658177068758</v>
      </c>
      <c r="AC567" s="45" t="str">
        <f>IF(COUNTIF(ReturnsRawTable[Order_Line_ID],OrdersRawTable9[[#This Row],[Order_Line_ID]])&gt;0,"Yes","No")</f>
        <v>Yes</v>
      </c>
      <c r="AD567" s="45" t="str">
        <f>IFERROR(VLOOKUP(OrdersRawTable9[[#This Row],[Order_Line_ID]],ReturnsRawTable[[#All],[Order_Line_ID]:[Return_Reason_Raw]],3,FALSE),"")</f>
        <v>Wrong item</v>
      </c>
      <c r="AE567" s="49">
        <f>IFERROR(VLOOKUP(OrdersRawTable9[[#This Row],[Order_Line_ID]],ReturnsRawTable[[#All],[Order_Line_ID]:[Return_Date]],2,FALSE),"")</f>
        <v>45854</v>
      </c>
      <c r="AF567" s="45" t="str">
        <f>IFERROR(VLOOKUP(OrdersRawTable9[[#This Row],[Order_Line_ID]],ReturnsRawTable[[Order_Line_ID]:[Refund_Status]],4,FALSE),"")</f>
        <v>Refunded</v>
      </c>
      <c r="AG567" s="45" t="str">
        <f>VLOOKUP(OrdersRawTable9[[#This Row],[Order_ID]],ShipmentsTable[],6,FALSE)</f>
        <v>Late</v>
      </c>
      <c r="AH567" s="49">
        <f>VLOOKUP(OrdersRawTable9[[#This Row],[Order_ID]],ShipmentsTable[],3,FALSE)</f>
        <v>45834</v>
      </c>
    </row>
    <row r="568" spans="1:34" ht="15" customHeight="1">
      <c r="A568" s="14" t="s">
        <v>1161</v>
      </c>
      <c r="B568" s="10" t="s">
        <v>1162</v>
      </c>
      <c r="C568" s="20">
        <v>45682</v>
      </c>
      <c r="D568" s="10" t="s">
        <v>432</v>
      </c>
      <c r="E568" s="10" t="s">
        <v>433</v>
      </c>
      <c r="F568" s="10" t="str">
        <f>TRIM(LEFT(OrdersRawTable9[[#This Row],[Customer_Info]],FIND(",",OrdersRawTable9[[#This Row],[Customer_Info]])-1))</f>
        <v>Yara Gagnon</v>
      </c>
      <c r="G56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568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568" s="10">
        <f>LEN(OrdersRawTable9[[#This Row],[Customer_Info]])-LEN(SUBSTITUTE(OrdersRawTable9[[#This Row],[Customer_Info]],",",""))</f>
        <v>2</v>
      </c>
      <c r="J568" s="10" t="s">
        <v>270</v>
      </c>
      <c r="K568" s="23">
        <v>2</v>
      </c>
      <c r="L568" s="26">
        <v>214.38</v>
      </c>
      <c r="M568" s="29">
        <v>0</v>
      </c>
      <c r="N568" s="10" t="s">
        <v>64</v>
      </c>
      <c r="O568" s="10" t="str">
        <f>IF(TRIM(OrdersRawTable9[[#This Row],[Sales_Channel_Raw]])="Market place","Marketplace",TRIM(OrdersRawTable9[[#This Row],[Sales_Channel_Raw]]))</f>
        <v>Retail Store</v>
      </c>
      <c r="P568" s="10" t="s">
        <v>98</v>
      </c>
      <c r="Q568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568" s="15" t="s">
        <v>52</v>
      </c>
      <c r="S568" t="str">
        <f>VLOOKUP(OrdersRawTable9[[#This Row],[Customer_ID_Raw]],CustomersTable11[],4,FALSE)</f>
        <v>Manitoba</v>
      </c>
      <c r="T568" t="str">
        <f>VLOOKUP(OrdersRawTable9[[#This Row],[Customer_ID_Raw]],CustomersTable11[],5,FALSE)</f>
        <v>Corporate</v>
      </c>
      <c r="U568" s="45">
        <f>VLOOKUP(OrdersRawTable9[[#This Row],[Product_ID]],ProductsTable10[],4,FALSE)</f>
        <v>131.51</v>
      </c>
      <c r="V568" t="str">
        <f>VLOOKUP(OrdersRawTable9[[#This Row],[Product_ID]],ProductsTable10[],3,FALSE)</f>
        <v>Fitness</v>
      </c>
      <c r="W568" s="45">
        <f>OrdersRawTable9[[#This Row],[Unit_Price]]*OrdersRawTable9[[#This Row],[Quantity]]</f>
        <v>428.76</v>
      </c>
      <c r="X568" s="47">
        <f>OrdersRawTable9[[#This Row],[Gross_Sales]]*OrdersRawTable9[[#This Row],[Discount_Pct]]</f>
        <v>0</v>
      </c>
      <c r="Y568" s="45">
        <f>OrdersRawTable9[[#This Row],[Gross_Sales]]-OrdersRawTable9[[#This Row],[Discount_Amount]]</f>
        <v>428.76</v>
      </c>
      <c r="Z568" s="45">
        <f>OrdersRawTable9[[#This Row],[Unit_Cost]]*OrdersRawTable9[[#This Row],[Quantity]]</f>
        <v>263.02</v>
      </c>
      <c r="AA568" s="45">
        <f>OrdersRawTable9[[#This Row],[Net_Sales]]-OrdersRawTable9[[#This Row],[Total_Cost]]</f>
        <v>165.74</v>
      </c>
      <c r="AB568" s="48">
        <f>IF(OrdersRawTable9[[#This Row],[Net_Sales]]=0,0,OrdersRawTable9[[#This Row],[Profit]]/OrdersRawTable9[[#This Row],[Net_Sales]])</f>
        <v>0.38655658177068758</v>
      </c>
      <c r="AC568" s="45" t="str">
        <f>IF(COUNTIF(ReturnsRawTable[Order_Line_ID],OrdersRawTable9[[#This Row],[Order_Line_ID]])&gt;0,"Yes","No")</f>
        <v>No</v>
      </c>
      <c r="AD568" s="45" t="str">
        <f>IFERROR(VLOOKUP(OrdersRawTable9[[#This Row],[Order_Line_ID]],ReturnsRawTable[[#All],[Order_Line_ID]:[Return_Reason_Raw]],3,FALSE),"")</f>
        <v/>
      </c>
      <c r="AE568" s="49" t="str">
        <f>IFERROR(VLOOKUP(OrdersRawTable9[[#This Row],[Order_Line_ID]],ReturnsRawTable[[#All],[Order_Line_ID]:[Return_Date]],2,FALSE),"")</f>
        <v/>
      </c>
      <c r="AF568" s="45" t="str">
        <f>IFERROR(VLOOKUP(OrdersRawTable9[[#This Row],[Order_Line_ID]],ReturnsRawTable[[Order_Line_ID]:[Refund_Status]],4,FALSE),"")</f>
        <v/>
      </c>
      <c r="AG568" s="45" t="str">
        <f>VLOOKUP(OrdersRawTable9[[#This Row],[Order_ID]],ShipmentsTable[],6,FALSE)</f>
        <v>On time</v>
      </c>
      <c r="AH568" s="49">
        <f>VLOOKUP(OrdersRawTable9[[#This Row],[Order_ID]],ShipmentsTable[],3,FALSE)</f>
        <v>45683</v>
      </c>
    </row>
    <row r="569" spans="1:34" ht="15" customHeight="1">
      <c r="A569" s="14" t="s">
        <v>1163</v>
      </c>
      <c r="B569" s="10" t="s">
        <v>1162</v>
      </c>
      <c r="C569" s="20">
        <v>45682</v>
      </c>
      <c r="D569" s="10" t="s">
        <v>432</v>
      </c>
      <c r="E569" s="10" t="s">
        <v>433</v>
      </c>
      <c r="F569" s="10" t="str">
        <f>TRIM(LEFT(OrdersRawTable9[[#This Row],[Customer_Info]],FIND(",",OrdersRawTable9[[#This Row],[Customer_Info]])-1))</f>
        <v>Yara Gagnon</v>
      </c>
      <c r="G56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569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569" s="10">
        <f>LEN(OrdersRawTable9[[#This Row],[Customer_Info]])-LEN(SUBSTITUTE(OrdersRawTable9[[#This Row],[Customer_Info]],",",""))</f>
        <v>2</v>
      </c>
      <c r="J569" s="10" t="s">
        <v>468</v>
      </c>
      <c r="K569" s="23">
        <v>4</v>
      </c>
      <c r="L569" s="26">
        <v>160</v>
      </c>
      <c r="M569" s="29">
        <v>0.15</v>
      </c>
      <c r="N569" s="10" t="s">
        <v>40</v>
      </c>
      <c r="O569" s="10" t="str">
        <f>IF(TRIM(OrdersRawTable9[[#This Row],[Sales_Channel_Raw]])="Market place","Marketplace",TRIM(OrdersRawTable9[[#This Row],[Sales_Channel_Raw]]))</f>
        <v>Online</v>
      </c>
      <c r="P569" s="10" t="s">
        <v>98</v>
      </c>
      <c r="Q569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569" s="15" t="s">
        <v>101</v>
      </c>
      <c r="S569" t="str">
        <f>VLOOKUP(OrdersRawTable9[[#This Row],[Customer_ID_Raw]],CustomersTable11[],4,FALSE)</f>
        <v>Manitoba</v>
      </c>
      <c r="T569" t="str">
        <f>VLOOKUP(OrdersRawTable9[[#This Row],[Customer_ID_Raw]],CustomersTable11[],5,FALSE)</f>
        <v>Corporate</v>
      </c>
      <c r="U569" s="45">
        <f>VLOOKUP(OrdersRawTable9[[#This Row],[Product_ID]],ProductsTable10[],4,FALSE)</f>
        <v>101.58</v>
      </c>
      <c r="V569" t="str">
        <f>VLOOKUP(OrdersRawTable9[[#This Row],[Product_ID]],ProductsTable10[],3,FALSE)</f>
        <v>Fitness</v>
      </c>
      <c r="W569" s="45">
        <f>OrdersRawTable9[[#This Row],[Unit_Price]]*OrdersRawTable9[[#This Row],[Quantity]]</f>
        <v>640</v>
      </c>
      <c r="X569" s="47">
        <f>OrdersRawTable9[[#This Row],[Gross_Sales]]*OrdersRawTable9[[#This Row],[Discount_Pct]]</f>
        <v>96</v>
      </c>
      <c r="Y569" s="45">
        <f>OrdersRawTable9[[#This Row],[Gross_Sales]]-OrdersRawTable9[[#This Row],[Discount_Amount]]</f>
        <v>544</v>
      </c>
      <c r="Z569" s="45">
        <f>OrdersRawTable9[[#This Row],[Unit_Cost]]*OrdersRawTable9[[#This Row],[Quantity]]</f>
        <v>406.32</v>
      </c>
      <c r="AA569" s="45">
        <f>OrdersRawTable9[[#This Row],[Net_Sales]]-OrdersRawTable9[[#This Row],[Total_Cost]]</f>
        <v>137.68</v>
      </c>
      <c r="AB569" s="48">
        <f>IF(OrdersRawTable9[[#This Row],[Net_Sales]]=0,0,OrdersRawTable9[[#This Row],[Profit]]/OrdersRawTable9[[#This Row],[Net_Sales]])</f>
        <v>0.25308823529411767</v>
      </c>
      <c r="AC569" s="45" t="str">
        <f>IF(COUNTIF(ReturnsRawTable[Order_Line_ID],OrdersRawTable9[[#This Row],[Order_Line_ID]])&gt;0,"Yes","No")</f>
        <v>Yes</v>
      </c>
      <c r="AD569" s="45" t="str">
        <f>IFERROR(VLOOKUP(OrdersRawTable9[[#This Row],[Order_Line_ID]],ReturnsRawTable[[#All],[Order_Line_ID]:[Return_Reason_Raw]],3,FALSE),"")</f>
        <v>Damaged</v>
      </c>
      <c r="AE569" s="49">
        <f>IFERROR(VLOOKUP(OrdersRawTable9[[#This Row],[Order_Line_ID]],ReturnsRawTable[[#All],[Order_Line_ID]:[Return_Date]],2,FALSE),"")</f>
        <v>45684</v>
      </c>
      <c r="AF569" s="45" t="str">
        <f>IFERROR(VLOOKUP(OrdersRawTable9[[#This Row],[Order_Line_ID]],ReturnsRawTable[[Order_Line_ID]:[Refund_Status]],4,FALSE),"")</f>
        <v>Refunded</v>
      </c>
      <c r="AG569" s="45" t="str">
        <f>VLOOKUP(OrdersRawTable9[[#This Row],[Order_ID]],ShipmentsTable[],6,FALSE)</f>
        <v>On time</v>
      </c>
      <c r="AH569" s="49">
        <f>VLOOKUP(OrdersRawTable9[[#This Row],[Order_ID]],ShipmentsTable[],3,FALSE)</f>
        <v>45683</v>
      </c>
    </row>
    <row r="570" spans="1:34" ht="15" customHeight="1">
      <c r="A570" s="14" t="s">
        <v>1164</v>
      </c>
      <c r="B570" s="10" t="s">
        <v>1162</v>
      </c>
      <c r="C570" s="20">
        <v>45682</v>
      </c>
      <c r="D570" s="10" t="s">
        <v>432</v>
      </c>
      <c r="E570" s="10" t="s">
        <v>433</v>
      </c>
      <c r="F570" s="10" t="str">
        <f>TRIM(LEFT(OrdersRawTable9[[#This Row],[Customer_Info]],FIND(",",OrdersRawTable9[[#This Row],[Customer_Info]])-1))</f>
        <v>Yara Gagnon</v>
      </c>
      <c r="G57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570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570" s="10">
        <f>LEN(OrdersRawTable9[[#This Row],[Customer_Info]])-LEN(SUBSTITUTE(OrdersRawTable9[[#This Row],[Customer_Info]],",",""))</f>
        <v>2</v>
      </c>
      <c r="J570" s="10" t="s">
        <v>428</v>
      </c>
      <c r="K570" s="23">
        <v>4</v>
      </c>
      <c r="L570" s="26">
        <v>110.88</v>
      </c>
      <c r="M570" s="29">
        <v>0.15</v>
      </c>
      <c r="N570" s="10" t="s">
        <v>40</v>
      </c>
      <c r="O570" s="10" t="str">
        <f>IF(TRIM(OrdersRawTable9[[#This Row],[Sales_Channel_Raw]])="Market place","Marketplace",TRIM(OrdersRawTable9[[#This Row],[Sales_Channel_Raw]]))</f>
        <v>Online</v>
      </c>
      <c r="P570" s="10" t="s">
        <v>98</v>
      </c>
      <c r="Q570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570" s="15" t="s">
        <v>42</v>
      </c>
      <c r="S570" t="str">
        <f>VLOOKUP(OrdersRawTable9[[#This Row],[Customer_ID_Raw]],CustomersTable11[],4,FALSE)</f>
        <v>Manitoba</v>
      </c>
      <c r="T570" t="str">
        <f>VLOOKUP(OrdersRawTable9[[#This Row],[Customer_ID_Raw]],CustomersTable11[],5,FALSE)</f>
        <v>Corporate</v>
      </c>
      <c r="U570" s="45">
        <f>VLOOKUP(OrdersRawTable9[[#This Row],[Product_ID]],ProductsTable10[],4,FALSE)</f>
        <v>57.09</v>
      </c>
      <c r="V570" t="str">
        <f>VLOOKUP(OrdersRawTable9[[#This Row],[Product_ID]],ProductsTable10[],3,FALSE)</f>
        <v>Electronics</v>
      </c>
      <c r="W570" s="45">
        <f>OrdersRawTable9[[#This Row],[Unit_Price]]*OrdersRawTable9[[#This Row],[Quantity]]</f>
        <v>443.52</v>
      </c>
      <c r="X570" s="47">
        <f>OrdersRawTable9[[#This Row],[Gross_Sales]]*OrdersRawTable9[[#This Row],[Discount_Pct]]</f>
        <v>66.527999999999992</v>
      </c>
      <c r="Y570" s="45">
        <f>OrdersRawTable9[[#This Row],[Gross_Sales]]-OrdersRawTable9[[#This Row],[Discount_Amount]]</f>
        <v>376.99199999999996</v>
      </c>
      <c r="Z570" s="45">
        <f>OrdersRawTable9[[#This Row],[Unit_Cost]]*OrdersRawTable9[[#This Row],[Quantity]]</f>
        <v>228.36</v>
      </c>
      <c r="AA570" s="45">
        <f>OrdersRawTable9[[#This Row],[Net_Sales]]-OrdersRawTable9[[#This Row],[Total_Cost]]</f>
        <v>148.63199999999995</v>
      </c>
      <c r="AB570" s="48">
        <f>IF(OrdersRawTable9[[#This Row],[Net_Sales]]=0,0,OrdersRawTable9[[#This Row],[Profit]]/OrdersRawTable9[[#This Row],[Net_Sales]])</f>
        <v>0.39425770308123237</v>
      </c>
      <c r="AC570" s="45" t="str">
        <f>IF(COUNTIF(ReturnsRawTable[Order_Line_ID],OrdersRawTable9[[#This Row],[Order_Line_ID]])&gt;0,"Yes","No")</f>
        <v>Yes</v>
      </c>
      <c r="AD570" s="45" t="str">
        <f>IFERROR(VLOOKUP(OrdersRawTable9[[#This Row],[Order_Line_ID]],ReturnsRawTable[[#All],[Order_Line_ID]:[Return_Reason_Raw]],3,FALSE),"")</f>
        <v>Damaged</v>
      </c>
      <c r="AE570" s="49">
        <f>IFERROR(VLOOKUP(OrdersRawTable9[[#This Row],[Order_Line_ID]],ReturnsRawTable[[#All],[Order_Line_ID]:[Return_Date]],2,FALSE),"")</f>
        <v>45688</v>
      </c>
      <c r="AF570" s="45" t="str">
        <f>IFERROR(VLOOKUP(OrdersRawTable9[[#This Row],[Order_Line_ID]],ReturnsRawTable[[Order_Line_ID]:[Refund_Status]],4,FALSE),"")</f>
        <v>Pending</v>
      </c>
      <c r="AG570" s="45" t="str">
        <f>VLOOKUP(OrdersRawTable9[[#This Row],[Order_ID]],ShipmentsTable[],6,FALSE)</f>
        <v>On time</v>
      </c>
      <c r="AH570" s="49">
        <f>VLOOKUP(OrdersRawTable9[[#This Row],[Order_ID]],ShipmentsTable[],3,FALSE)</f>
        <v>45683</v>
      </c>
    </row>
    <row r="571" spans="1:34" ht="15" customHeight="1">
      <c r="A571" s="14" t="s">
        <v>1165</v>
      </c>
      <c r="B571" s="10" t="s">
        <v>1166</v>
      </c>
      <c r="C571" s="20">
        <v>45901</v>
      </c>
      <c r="D571" s="10" t="s">
        <v>382</v>
      </c>
      <c r="E571" s="10" t="s">
        <v>383</v>
      </c>
      <c r="F571" s="10" t="str">
        <f>TRIM(LEFT(OrdersRawTable9[[#This Row],[Customer_Info]],FIND(",",OrdersRawTable9[[#This Row],[Customer_Info]])-1))</f>
        <v>Ethan Brown</v>
      </c>
      <c r="G57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Regina</v>
      </c>
      <c r="H571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571" s="10">
        <f>LEN(OrdersRawTable9[[#This Row],[Customer_Info]])-LEN(SUBSTITUTE(OrdersRawTable9[[#This Row],[Customer_Info]],",",""))</f>
        <v>2</v>
      </c>
      <c r="J571" s="10" t="s">
        <v>69</v>
      </c>
      <c r="K571" s="23">
        <v>4</v>
      </c>
      <c r="L571" s="26">
        <v>75.75</v>
      </c>
      <c r="M571" s="29">
        <v>0.05</v>
      </c>
      <c r="N571" s="10" t="s">
        <v>40</v>
      </c>
      <c r="O571" s="10" t="str">
        <f>IF(TRIM(OrdersRawTable9[[#This Row],[Sales_Channel_Raw]])="Market place","Marketplace",TRIM(OrdersRawTable9[[#This Row],[Sales_Channel_Raw]]))</f>
        <v>Online</v>
      </c>
      <c r="P571" s="10" t="s">
        <v>51</v>
      </c>
      <c r="Q571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571" s="15" t="s">
        <v>101</v>
      </c>
      <c r="S571" t="str">
        <f>VLOOKUP(OrdersRawTable9[[#This Row],[Customer_ID_Raw]],CustomersTable11[],4,FALSE)</f>
        <v>Saskatchewan</v>
      </c>
      <c r="T571" t="str">
        <f>VLOOKUP(OrdersRawTable9[[#This Row],[Customer_ID_Raw]],CustomersTable11[],5,FALSE)</f>
        <v>Corporate</v>
      </c>
      <c r="U571" s="45">
        <f>VLOOKUP(OrdersRawTable9[[#This Row],[Product_ID]],ProductsTable10[],4,FALSE)</f>
        <v>42.37</v>
      </c>
      <c r="V571" t="str">
        <f>VLOOKUP(OrdersRawTable9[[#This Row],[Product_ID]],ProductsTable10[],3,FALSE)</f>
        <v>Office</v>
      </c>
      <c r="W571" s="45">
        <f>OrdersRawTable9[[#This Row],[Unit_Price]]*OrdersRawTable9[[#This Row],[Quantity]]</f>
        <v>303</v>
      </c>
      <c r="X571" s="47">
        <f>OrdersRawTable9[[#This Row],[Gross_Sales]]*OrdersRawTable9[[#This Row],[Discount_Pct]]</f>
        <v>15.15</v>
      </c>
      <c r="Y571" s="45">
        <f>OrdersRawTable9[[#This Row],[Gross_Sales]]-OrdersRawTable9[[#This Row],[Discount_Amount]]</f>
        <v>287.85000000000002</v>
      </c>
      <c r="Z571" s="45">
        <f>OrdersRawTable9[[#This Row],[Unit_Cost]]*OrdersRawTable9[[#This Row],[Quantity]]</f>
        <v>169.48</v>
      </c>
      <c r="AA571" s="45">
        <f>OrdersRawTable9[[#This Row],[Net_Sales]]-OrdersRawTable9[[#This Row],[Total_Cost]]</f>
        <v>118.37000000000003</v>
      </c>
      <c r="AB571" s="48">
        <f>IF(OrdersRawTable9[[#This Row],[Net_Sales]]=0,0,OrdersRawTable9[[#This Row],[Profit]]/OrdersRawTable9[[#This Row],[Net_Sales]])</f>
        <v>0.41122112211221129</v>
      </c>
      <c r="AC571" s="45" t="str">
        <f>IF(COUNTIF(ReturnsRawTable[Order_Line_ID],OrdersRawTable9[[#This Row],[Order_Line_ID]])&gt;0,"Yes","No")</f>
        <v>Yes</v>
      </c>
      <c r="AD571" s="45" t="str">
        <f>IFERROR(VLOOKUP(OrdersRawTable9[[#This Row],[Order_Line_ID]],ReturnsRawTable[[#All],[Order_Line_ID]:[Return_Reason_Raw]],3,FALSE),"")</f>
        <v>Changed Mind</v>
      </c>
      <c r="AE571" s="49">
        <f>IFERROR(VLOOKUP(OrdersRawTable9[[#This Row],[Order_Line_ID]],ReturnsRawTable[[#All],[Order_Line_ID]:[Return_Date]],2,FALSE),"")</f>
        <v>45906</v>
      </c>
      <c r="AF571" s="45" t="str">
        <f>IFERROR(VLOOKUP(OrdersRawTable9[[#This Row],[Order_Line_ID]],ReturnsRawTable[[Order_Line_ID]:[Refund_Status]],4,FALSE),"")</f>
        <v>Pending</v>
      </c>
      <c r="AG571" s="45" t="str">
        <f>VLOOKUP(OrdersRawTable9[[#This Row],[Order_ID]],ShipmentsTable[],6,FALSE)</f>
        <v>On time</v>
      </c>
      <c r="AH571" s="49">
        <f>VLOOKUP(OrdersRawTable9[[#This Row],[Order_ID]],ShipmentsTable[],3,FALSE)</f>
        <v>45905</v>
      </c>
    </row>
    <row r="572" spans="1:34" ht="15" customHeight="1">
      <c r="A572" s="14" t="s">
        <v>1167</v>
      </c>
      <c r="B572" s="10" t="s">
        <v>1168</v>
      </c>
      <c r="C572" s="20">
        <v>45887</v>
      </c>
      <c r="D572" s="10" t="s">
        <v>351</v>
      </c>
      <c r="E572" s="10" t="s">
        <v>352</v>
      </c>
      <c r="F572" s="10" t="str">
        <f>TRIM(LEFT(OrdersRawTable9[[#This Row],[Customer_Info]],FIND(",",OrdersRawTable9[[#This Row],[Customer_Info]])-1))</f>
        <v>Sofia Tremblay</v>
      </c>
      <c r="G57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572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572" s="10">
        <f>LEN(OrdersRawTable9[[#This Row],[Customer_Info]])-LEN(SUBSTITUTE(OrdersRawTable9[[#This Row],[Customer_Info]],",",""))</f>
        <v>2</v>
      </c>
      <c r="J572" s="10" t="s">
        <v>110</v>
      </c>
      <c r="K572" s="23">
        <v>4</v>
      </c>
      <c r="L572" s="26">
        <v>133.24</v>
      </c>
      <c r="M572" s="29">
        <v>0</v>
      </c>
      <c r="N572" s="10" t="s">
        <v>50</v>
      </c>
      <c r="O572" s="10" t="str">
        <f>IF(TRIM(OrdersRawTable9[[#This Row],[Sales_Channel_Raw]])="Market place","Marketplace",TRIM(OrdersRawTable9[[#This Row],[Sales_Channel_Raw]]))</f>
        <v>Marketplace</v>
      </c>
      <c r="P572" s="10" t="s">
        <v>98</v>
      </c>
      <c r="Q572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572" s="15" t="s">
        <v>101</v>
      </c>
      <c r="S572" t="str">
        <f>VLOOKUP(OrdersRawTable9[[#This Row],[Customer_ID_Raw]],CustomersTable11[],4,FALSE)</f>
        <v>Alberta</v>
      </c>
      <c r="T572" t="str">
        <f>VLOOKUP(OrdersRawTable9[[#This Row],[Customer_ID_Raw]],CustomersTable11[],5,FALSE)</f>
        <v>Corporate</v>
      </c>
      <c r="U572" s="45">
        <f>VLOOKUP(OrdersRawTable9[[#This Row],[Product_ID]],ProductsTable10[],4,FALSE)</f>
        <v>77.540000000000006</v>
      </c>
      <c r="V572" t="str">
        <f>VLOOKUP(OrdersRawTable9[[#This Row],[Product_ID]],ProductsTable10[],3,FALSE)</f>
        <v>Electronics</v>
      </c>
      <c r="W572" s="45">
        <f>OrdersRawTable9[[#This Row],[Unit_Price]]*OrdersRawTable9[[#This Row],[Quantity]]</f>
        <v>532.96</v>
      </c>
      <c r="X572" s="47">
        <f>OrdersRawTable9[[#This Row],[Gross_Sales]]*OrdersRawTable9[[#This Row],[Discount_Pct]]</f>
        <v>0</v>
      </c>
      <c r="Y572" s="45">
        <f>OrdersRawTable9[[#This Row],[Gross_Sales]]-OrdersRawTable9[[#This Row],[Discount_Amount]]</f>
        <v>532.96</v>
      </c>
      <c r="Z572" s="45">
        <f>OrdersRawTable9[[#This Row],[Unit_Cost]]*OrdersRawTable9[[#This Row],[Quantity]]</f>
        <v>310.16000000000003</v>
      </c>
      <c r="AA572" s="45">
        <f>OrdersRawTable9[[#This Row],[Net_Sales]]-OrdersRawTable9[[#This Row],[Total_Cost]]</f>
        <v>222.8</v>
      </c>
      <c r="AB572" s="48">
        <f>IF(OrdersRawTable9[[#This Row],[Net_Sales]]=0,0,OrdersRawTable9[[#This Row],[Profit]]/OrdersRawTable9[[#This Row],[Net_Sales]])</f>
        <v>0.41804262984088864</v>
      </c>
      <c r="AC572" s="45" t="str">
        <f>IF(COUNTIF(ReturnsRawTable[Order_Line_ID],OrdersRawTable9[[#This Row],[Order_Line_ID]])&gt;0,"Yes","No")</f>
        <v>Yes</v>
      </c>
      <c r="AD572" s="45" t="str">
        <f>IFERROR(VLOOKUP(OrdersRawTable9[[#This Row],[Order_Line_ID]],ReturnsRawTable[[#All],[Order_Line_ID]:[Return_Reason_Raw]],3,FALSE),"")</f>
        <v>Not as Described</v>
      </c>
      <c r="AE572" s="49">
        <f>IFERROR(VLOOKUP(OrdersRawTable9[[#This Row],[Order_Line_ID]],ReturnsRawTable[[#All],[Order_Line_ID]:[Return_Date]],2,FALSE),"")</f>
        <v>45895</v>
      </c>
      <c r="AF572" s="45" t="str">
        <f>IFERROR(VLOOKUP(OrdersRawTable9[[#This Row],[Order_Line_ID]],ReturnsRawTable[[Order_Line_ID]:[Refund_Status]],4,FALSE),"")</f>
        <v>Refunded</v>
      </c>
      <c r="AG572" s="45" t="str">
        <f>VLOOKUP(OrdersRawTable9[[#This Row],[Order_ID]],ShipmentsTable[],6,FALSE)</f>
        <v>Late</v>
      </c>
      <c r="AH572" s="49">
        <f>VLOOKUP(OrdersRawTable9[[#This Row],[Order_ID]],ShipmentsTable[],3,FALSE)</f>
        <v>45894</v>
      </c>
    </row>
    <row r="573" spans="1:34" ht="15" customHeight="1">
      <c r="A573" s="14" t="s">
        <v>1169</v>
      </c>
      <c r="B573" s="10" t="s">
        <v>1170</v>
      </c>
      <c r="C573" s="20">
        <v>45819</v>
      </c>
      <c r="D573" s="10" t="s">
        <v>866</v>
      </c>
      <c r="E573" s="10" t="s">
        <v>867</v>
      </c>
      <c r="F573" s="10" t="str">
        <f>TRIM(LEFT(OrdersRawTable9[[#This Row],[Customer_Info]],FIND(",",OrdersRawTable9[[#This Row],[Customer_Info]])-1))</f>
        <v>Maya Singh</v>
      </c>
      <c r="G57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573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73" s="10">
        <f>LEN(OrdersRawTable9[[#This Row],[Customer_Info]])-LEN(SUBSTITUTE(OrdersRawTable9[[#This Row],[Customer_Info]],",",""))</f>
        <v>2</v>
      </c>
      <c r="J573" s="10" t="s">
        <v>196</v>
      </c>
      <c r="K573" s="23">
        <v>3</v>
      </c>
      <c r="L573" s="26">
        <v>183.73</v>
      </c>
      <c r="M573" s="29">
        <v>0.05</v>
      </c>
      <c r="N573" s="10" t="s">
        <v>64</v>
      </c>
      <c r="O573" s="10" t="str">
        <f>IF(TRIM(OrdersRawTable9[[#This Row],[Sales_Channel_Raw]])="Market place","Marketplace",TRIM(OrdersRawTable9[[#This Row],[Sales_Channel_Raw]]))</f>
        <v>Retail Store</v>
      </c>
      <c r="P573" s="10" t="s">
        <v>98</v>
      </c>
      <c r="Q573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573" s="15" t="s">
        <v>67</v>
      </c>
      <c r="S573" t="str">
        <f>VLOOKUP(OrdersRawTable9[[#This Row],[Customer_ID_Raw]],CustomersTable11[],4,FALSE)</f>
        <v>Alberta</v>
      </c>
      <c r="T573" t="str">
        <f>VLOOKUP(OrdersRawTable9[[#This Row],[Customer_ID_Raw]],CustomersTable11[],5,FALSE)</f>
        <v>Small Business</v>
      </c>
      <c r="U573" s="45">
        <f>VLOOKUP(OrdersRawTable9[[#This Row],[Product_ID]],ProductsTable10[],4,FALSE)</f>
        <v>98.11</v>
      </c>
      <c r="V573" t="str">
        <f>VLOOKUP(OrdersRawTable9[[#This Row],[Product_ID]],ProductsTable10[],3,FALSE)</f>
        <v>Home</v>
      </c>
      <c r="W573" s="45">
        <f>OrdersRawTable9[[#This Row],[Unit_Price]]*OrdersRawTable9[[#This Row],[Quantity]]</f>
        <v>551.18999999999994</v>
      </c>
      <c r="X573" s="47">
        <f>OrdersRawTable9[[#This Row],[Gross_Sales]]*OrdersRawTable9[[#This Row],[Discount_Pct]]</f>
        <v>27.5595</v>
      </c>
      <c r="Y573" s="45">
        <f>OrdersRawTable9[[#This Row],[Gross_Sales]]-OrdersRawTable9[[#This Row],[Discount_Amount]]</f>
        <v>523.63049999999998</v>
      </c>
      <c r="Z573" s="45">
        <f>OrdersRawTable9[[#This Row],[Unit_Cost]]*OrdersRawTable9[[#This Row],[Quantity]]</f>
        <v>294.33</v>
      </c>
      <c r="AA573" s="45">
        <f>OrdersRawTable9[[#This Row],[Net_Sales]]-OrdersRawTable9[[#This Row],[Total_Cost]]</f>
        <v>229.3005</v>
      </c>
      <c r="AB573" s="48">
        <f>IF(OrdersRawTable9[[#This Row],[Net_Sales]]=0,0,OrdersRawTable9[[#This Row],[Profit]]/OrdersRawTable9[[#This Row],[Net_Sales]])</f>
        <v>0.43790516404220153</v>
      </c>
      <c r="AC573" s="45" t="str">
        <f>IF(COUNTIF(ReturnsRawTable[Order_Line_ID],OrdersRawTable9[[#This Row],[Order_Line_ID]])&gt;0,"Yes","No")</f>
        <v>No</v>
      </c>
      <c r="AD573" s="45" t="str">
        <f>IFERROR(VLOOKUP(OrdersRawTable9[[#This Row],[Order_Line_ID]],ReturnsRawTable[[#All],[Order_Line_ID]:[Return_Reason_Raw]],3,FALSE),"")</f>
        <v/>
      </c>
      <c r="AE573" s="49" t="str">
        <f>IFERROR(VLOOKUP(OrdersRawTable9[[#This Row],[Order_Line_ID]],ReturnsRawTable[[#All],[Order_Line_ID]:[Return_Date]],2,FALSE),"")</f>
        <v/>
      </c>
      <c r="AF573" s="45" t="str">
        <f>IFERROR(VLOOKUP(OrdersRawTable9[[#This Row],[Order_Line_ID]],ReturnsRawTable[[Order_Line_ID]:[Refund_Status]],4,FALSE),"")</f>
        <v/>
      </c>
      <c r="AG573" s="45" t="str">
        <f>VLOOKUP(OrdersRawTable9[[#This Row],[Order_ID]],ShipmentsTable[],6,FALSE)</f>
        <v>Late</v>
      </c>
      <c r="AH573" s="49">
        <f>VLOOKUP(OrdersRawTable9[[#This Row],[Order_ID]],ShipmentsTable[],3,FALSE)</f>
        <v>45825</v>
      </c>
    </row>
    <row r="574" spans="1:34" ht="15" customHeight="1">
      <c r="A574" s="14" t="s">
        <v>1171</v>
      </c>
      <c r="B574" s="10" t="s">
        <v>1170</v>
      </c>
      <c r="C574" s="20">
        <v>45819</v>
      </c>
      <c r="D574" s="10" t="s">
        <v>866</v>
      </c>
      <c r="E574" s="10" t="s">
        <v>867</v>
      </c>
      <c r="F574" s="10" t="str">
        <f>TRIM(LEFT(OrdersRawTable9[[#This Row],[Customer_Info]],FIND(",",OrdersRawTable9[[#This Row],[Customer_Info]])-1))</f>
        <v>Maya Singh</v>
      </c>
      <c r="G57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574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74" s="10">
        <f>LEN(OrdersRawTable9[[#This Row],[Customer_Info]])-LEN(SUBSTITUTE(OrdersRawTable9[[#This Row],[Customer_Info]],",",""))</f>
        <v>2</v>
      </c>
      <c r="J574" s="10" t="s">
        <v>456</v>
      </c>
      <c r="K574" s="23">
        <v>3</v>
      </c>
      <c r="L574" s="26">
        <v>275.76</v>
      </c>
      <c r="M574" s="29">
        <v>0</v>
      </c>
      <c r="N574" s="10" t="s">
        <v>50</v>
      </c>
      <c r="O574" s="10" t="str">
        <f>IF(TRIM(OrdersRawTable9[[#This Row],[Sales_Channel_Raw]])="Market place","Marketplace",TRIM(OrdersRawTable9[[#This Row],[Sales_Channel_Raw]]))</f>
        <v>Marketplace</v>
      </c>
      <c r="P574" s="10" t="s">
        <v>51</v>
      </c>
      <c r="Q574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574" s="15" t="s">
        <v>67</v>
      </c>
      <c r="S574" t="str">
        <f>VLOOKUP(OrdersRawTable9[[#This Row],[Customer_ID_Raw]],CustomersTable11[],4,FALSE)</f>
        <v>Alberta</v>
      </c>
      <c r="T574" t="str">
        <f>VLOOKUP(OrdersRawTable9[[#This Row],[Customer_ID_Raw]],CustomersTable11[],5,FALSE)</f>
        <v>Small Business</v>
      </c>
      <c r="U574" s="45">
        <f>VLOOKUP(OrdersRawTable9[[#This Row],[Product_ID]],ProductsTable10[],4,FALSE)</f>
        <v>156.97</v>
      </c>
      <c r="V574" t="str">
        <f>VLOOKUP(OrdersRawTable9[[#This Row],[Product_ID]],ProductsTable10[],3,FALSE)</f>
        <v>Home</v>
      </c>
      <c r="W574" s="45">
        <f>OrdersRawTable9[[#This Row],[Unit_Price]]*OrdersRawTable9[[#This Row],[Quantity]]</f>
        <v>827.28</v>
      </c>
      <c r="X574" s="47">
        <f>OrdersRawTable9[[#This Row],[Gross_Sales]]*OrdersRawTable9[[#This Row],[Discount_Pct]]</f>
        <v>0</v>
      </c>
      <c r="Y574" s="45">
        <f>OrdersRawTable9[[#This Row],[Gross_Sales]]-OrdersRawTable9[[#This Row],[Discount_Amount]]</f>
        <v>827.28</v>
      </c>
      <c r="Z574" s="45">
        <f>OrdersRawTable9[[#This Row],[Unit_Cost]]*OrdersRawTable9[[#This Row],[Quantity]]</f>
        <v>470.90999999999997</v>
      </c>
      <c r="AA574" s="45">
        <f>OrdersRawTable9[[#This Row],[Net_Sales]]-OrdersRawTable9[[#This Row],[Total_Cost]]</f>
        <v>356.37</v>
      </c>
      <c r="AB574" s="48">
        <f>IF(OrdersRawTable9[[#This Row],[Net_Sales]]=0,0,OrdersRawTable9[[#This Row],[Profit]]/OrdersRawTable9[[#This Row],[Net_Sales]])</f>
        <v>0.43077313606034234</v>
      </c>
      <c r="AC574" s="45" t="str">
        <f>IF(COUNTIF(ReturnsRawTable[Order_Line_ID],OrdersRawTable9[[#This Row],[Order_Line_ID]])&gt;0,"Yes","No")</f>
        <v>No</v>
      </c>
      <c r="AD574" s="45" t="str">
        <f>IFERROR(VLOOKUP(OrdersRawTable9[[#This Row],[Order_Line_ID]],ReturnsRawTable[[#All],[Order_Line_ID]:[Return_Reason_Raw]],3,FALSE),"")</f>
        <v/>
      </c>
      <c r="AE574" s="49" t="str">
        <f>IFERROR(VLOOKUP(OrdersRawTable9[[#This Row],[Order_Line_ID]],ReturnsRawTable[[#All],[Order_Line_ID]:[Return_Date]],2,FALSE),"")</f>
        <v/>
      </c>
      <c r="AF574" s="45" t="str">
        <f>IFERROR(VLOOKUP(OrdersRawTable9[[#This Row],[Order_Line_ID]],ReturnsRawTable[[Order_Line_ID]:[Refund_Status]],4,FALSE),"")</f>
        <v/>
      </c>
      <c r="AG574" s="45" t="str">
        <f>VLOOKUP(OrdersRawTable9[[#This Row],[Order_ID]],ShipmentsTable[],6,FALSE)</f>
        <v>Late</v>
      </c>
      <c r="AH574" s="49">
        <f>VLOOKUP(OrdersRawTable9[[#This Row],[Order_ID]],ShipmentsTable[],3,FALSE)</f>
        <v>45825</v>
      </c>
    </row>
    <row r="575" spans="1:34" ht="15" customHeight="1">
      <c r="A575" s="14" t="s">
        <v>1172</v>
      </c>
      <c r="B575" s="10" t="s">
        <v>1170</v>
      </c>
      <c r="C575" s="20">
        <v>45819</v>
      </c>
      <c r="D575" s="10" t="s">
        <v>866</v>
      </c>
      <c r="E575" s="10" t="s">
        <v>867</v>
      </c>
      <c r="F575" s="10" t="str">
        <f>TRIM(LEFT(OrdersRawTable9[[#This Row],[Customer_Info]],FIND(",",OrdersRawTable9[[#This Row],[Customer_Info]])-1))</f>
        <v>Maya Singh</v>
      </c>
      <c r="G57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575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75" s="10">
        <f>LEN(OrdersRawTable9[[#This Row],[Customer_Info]])-LEN(SUBSTITUTE(OrdersRawTable9[[#This Row],[Customer_Info]],",",""))</f>
        <v>2</v>
      </c>
      <c r="J575" s="10" t="s">
        <v>279</v>
      </c>
      <c r="K575" s="23">
        <v>1</v>
      </c>
      <c r="L575" s="26">
        <v>52.79</v>
      </c>
      <c r="M575" s="29">
        <v>0.15</v>
      </c>
      <c r="N575" s="10" t="s">
        <v>70</v>
      </c>
      <c r="O575" s="10" t="str">
        <f>IF(TRIM(OrdersRawTable9[[#This Row],[Sales_Channel_Raw]])="Market place","Marketplace",TRIM(OrdersRawTable9[[#This Row],[Sales_Channel_Raw]]))</f>
        <v>online</v>
      </c>
      <c r="P575" s="10" t="s">
        <v>58</v>
      </c>
      <c r="Q575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575" s="15" t="s">
        <v>42</v>
      </c>
      <c r="S575" t="str">
        <f>VLOOKUP(OrdersRawTable9[[#This Row],[Customer_ID_Raw]],CustomersTable11[],4,FALSE)</f>
        <v>Alberta</v>
      </c>
      <c r="T575" t="str">
        <f>VLOOKUP(OrdersRawTable9[[#This Row],[Customer_ID_Raw]],CustomersTable11[],5,FALSE)</f>
        <v>Small Business</v>
      </c>
      <c r="U575" s="45">
        <f>VLOOKUP(OrdersRawTable9[[#This Row],[Product_ID]],ProductsTable10[],4,FALSE)</f>
        <v>28.17</v>
      </c>
      <c r="V575" t="str">
        <f>VLOOKUP(OrdersRawTable9[[#This Row],[Product_ID]],ProductsTable10[],3,FALSE)</f>
        <v>Office</v>
      </c>
      <c r="W575" s="45">
        <f>OrdersRawTable9[[#This Row],[Unit_Price]]*OrdersRawTable9[[#This Row],[Quantity]]</f>
        <v>52.79</v>
      </c>
      <c r="X575" s="47">
        <f>OrdersRawTable9[[#This Row],[Gross_Sales]]*OrdersRawTable9[[#This Row],[Discount_Pct]]</f>
        <v>7.9184999999999999</v>
      </c>
      <c r="Y575" s="45">
        <f>OrdersRawTable9[[#This Row],[Gross_Sales]]-OrdersRawTable9[[#This Row],[Discount_Amount]]</f>
        <v>44.871499999999997</v>
      </c>
      <c r="Z575" s="45">
        <f>OrdersRawTable9[[#This Row],[Unit_Cost]]*OrdersRawTable9[[#This Row],[Quantity]]</f>
        <v>28.17</v>
      </c>
      <c r="AA575" s="45">
        <f>OrdersRawTable9[[#This Row],[Net_Sales]]-OrdersRawTable9[[#This Row],[Total_Cost]]</f>
        <v>16.701499999999996</v>
      </c>
      <c r="AB575" s="48">
        <f>IF(OrdersRawTable9[[#This Row],[Net_Sales]]=0,0,OrdersRawTable9[[#This Row],[Profit]]/OrdersRawTable9[[#This Row],[Net_Sales]])</f>
        <v>0.37220730307656302</v>
      </c>
      <c r="AC575" s="45" t="str">
        <f>IF(COUNTIF(ReturnsRawTable[Order_Line_ID],OrdersRawTable9[[#This Row],[Order_Line_ID]])&gt;0,"Yes","No")</f>
        <v>No</v>
      </c>
      <c r="AD575" s="45" t="str">
        <f>IFERROR(VLOOKUP(OrdersRawTable9[[#This Row],[Order_Line_ID]],ReturnsRawTable[[#All],[Order_Line_ID]:[Return_Reason_Raw]],3,FALSE),"")</f>
        <v/>
      </c>
      <c r="AE575" s="49" t="str">
        <f>IFERROR(VLOOKUP(OrdersRawTable9[[#This Row],[Order_Line_ID]],ReturnsRawTable[[#All],[Order_Line_ID]:[Return_Date]],2,FALSE),"")</f>
        <v/>
      </c>
      <c r="AF575" s="45" t="str">
        <f>IFERROR(VLOOKUP(OrdersRawTable9[[#This Row],[Order_Line_ID]],ReturnsRawTable[[Order_Line_ID]:[Refund_Status]],4,FALSE),"")</f>
        <v/>
      </c>
      <c r="AG575" s="45" t="str">
        <f>VLOOKUP(OrdersRawTable9[[#This Row],[Order_ID]],ShipmentsTable[],6,FALSE)</f>
        <v>Late</v>
      </c>
      <c r="AH575" s="49">
        <f>VLOOKUP(OrdersRawTable9[[#This Row],[Order_ID]],ShipmentsTable[],3,FALSE)</f>
        <v>45825</v>
      </c>
    </row>
    <row r="576" spans="1:34" ht="15" customHeight="1">
      <c r="A576" s="14" t="s">
        <v>1173</v>
      </c>
      <c r="B576" s="10" t="s">
        <v>1170</v>
      </c>
      <c r="C576" s="20">
        <v>45819</v>
      </c>
      <c r="D576" s="10" t="s">
        <v>866</v>
      </c>
      <c r="E576" s="10" t="s">
        <v>867</v>
      </c>
      <c r="F576" s="10" t="str">
        <f>TRIM(LEFT(OrdersRawTable9[[#This Row],[Customer_Info]],FIND(",",OrdersRawTable9[[#This Row],[Customer_Info]])-1))</f>
        <v>Maya Singh</v>
      </c>
      <c r="G57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576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76" s="10">
        <f>LEN(OrdersRawTable9[[#This Row],[Customer_Info]])-LEN(SUBSTITUTE(OrdersRawTable9[[#This Row],[Customer_Info]],",",""))</f>
        <v>2</v>
      </c>
      <c r="J576" s="10" t="s">
        <v>276</v>
      </c>
      <c r="K576" s="23">
        <v>4</v>
      </c>
      <c r="L576" s="26">
        <v>182.94</v>
      </c>
      <c r="M576" s="29">
        <v>0</v>
      </c>
      <c r="N576" s="10" t="s">
        <v>70</v>
      </c>
      <c r="O576" s="10" t="str">
        <f>IF(TRIM(OrdersRawTable9[[#This Row],[Sales_Channel_Raw]])="Market place","Marketplace",TRIM(OrdersRawTable9[[#This Row],[Sales_Channel_Raw]]))</f>
        <v>online</v>
      </c>
      <c r="P576" s="10" t="s">
        <v>58</v>
      </c>
      <c r="Q576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576" s="15" t="s">
        <v>101</v>
      </c>
      <c r="S576" t="str">
        <f>VLOOKUP(OrdersRawTable9[[#This Row],[Customer_ID_Raw]],CustomersTable11[],4,FALSE)</f>
        <v>Alberta</v>
      </c>
      <c r="T576" t="str">
        <f>VLOOKUP(OrdersRawTable9[[#This Row],[Customer_ID_Raw]],CustomersTable11[],5,FALSE)</f>
        <v>Small Business</v>
      </c>
      <c r="U576" s="45">
        <f>VLOOKUP(OrdersRawTable9[[#This Row],[Product_ID]],ProductsTable10[],4,FALSE)</f>
        <v>118.95</v>
      </c>
      <c r="V576" t="str">
        <f>VLOOKUP(OrdersRawTable9[[#This Row],[Product_ID]],ProductsTable10[],3,FALSE)</f>
        <v>Fitness</v>
      </c>
      <c r="W576" s="45">
        <f>OrdersRawTable9[[#This Row],[Unit_Price]]*OrdersRawTable9[[#This Row],[Quantity]]</f>
        <v>731.76</v>
      </c>
      <c r="X576" s="47">
        <f>OrdersRawTable9[[#This Row],[Gross_Sales]]*OrdersRawTable9[[#This Row],[Discount_Pct]]</f>
        <v>0</v>
      </c>
      <c r="Y576" s="45">
        <f>OrdersRawTable9[[#This Row],[Gross_Sales]]-OrdersRawTable9[[#This Row],[Discount_Amount]]</f>
        <v>731.76</v>
      </c>
      <c r="Z576" s="45">
        <f>OrdersRawTable9[[#This Row],[Unit_Cost]]*OrdersRawTable9[[#This Row],[Quantity]]</f>
        <v>475.8</v>
      </c>
      <c r="AA576" s="45">
        <f>OrdersRawTable9[[#This Row],[Net_Sales]]-OrdersRawTable9[[#This Row],[Total_Cost]]</f>
        <v>255.95999999999998</v>
      </c>
      <c r="AB576" s="48">
        <f>IF(OrdersRawTable9[[#This Row],[Net_Sales]]=0,0,OrdersRawTable9[[#This Row],[Profit]]/OrdersRawTable9[[#This Row],[Net_Sales]])</f>
        <v>0.34978681534929484</v>
      </c>
      <c r="AC576" s="45" t="str">
        <f>IF(COUNTIF(ReturnsRawTable[Order_Line_ID],OrdersRawTable9[[#This Row],[Order_Line_ID]])&gt;0,"Yes","No")</f>
        <v>Yes</v>
      </c>
      <c r="AD576" s="45" t="str">
        <f>IFERROR(VLOOKUP(OrdersRawTable9[[#This Row],[Order_Line_ID]],ReturnsRawTable[[#All],[Order_Line_ID]:[Return_Reason_Raw]],3,FALSE),"")</f>
        <v>Wrong item</v>
      </c>
      <c r="AE576" s="49">
        <f>IFERROR(VLOOKUP(OrdersRawTable9[[#This Row],[Order_Line_ID]],ReturnsRawTable[[#All],[Order_Line_ID]:[Return_Date]],2,FALSE),"")</f>
        <v>45833</v>
      </c>
      <c r="AF576" s="45" t="str">
        <f>IFERROR(VLOOKUP(OrdersRawTable9[[#This Row],[Order_Line_ID]],ReturnsRawTable[[Order_Line_ID]:[Refund_Status]],4,FALSE),"")</f>
        <v>Refunded</v>
      </c>
      <c r="AG576" s="45" t="str">
        <f>VLOOKUP(OrdersRawTable9[[#This Row],[Order_ID]],ShipmentsTable[],6,FALSE)</f>
        <v>Late</v>
      </c>
      <c r="AH576" s="49">
        <f>VLOOKUP(OrdersRawTable9[[#This Row],[Order_ID]],ShipmentsTable[],3,FALSE)</f>
        <v>45825</v>
      </c>
    </row>
    <row r="577" spans="1:34" ht="15" customHeight="1">
      <c r="A577" s="14" t="s">
        <v>1174</v>
      </c>
      <c r="B577" s="10" t="s">
        <v>1175</v>
      </c>
      <c r="C577" s="20">
        <v>45744.041666666664</v>
      </c>
      <c r="D577" s="10" t="s">
        <v>672</v>
      </c>
      <c r="E577" s="10" t="s">
        <v>673</v>
      </c>
      <c r="F577" s="10" t="str">
        <f>TRIM(LEFT(OrdersRawTable9[[#This Row],[Customer_Info]],FIND(",",OrdersRawTable9[[#This Row],[Customer_Info]])-1))</f>
        <v>Adam Tremblay</v>
      </c>
      <c r="G57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577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77" s="10">
        <f>LEN(OrdersRawTable9[[#This Row],[Customer_Info]])-LEN(SUBSTITUTE(OrdersRawTable9[[#This Row],[Customer_Info]],",",""))</f>
        <v>2</v>
      </c>
      <c r="J577" s="10" t="s">
        <v>49</v>
      </c>
      <c r="K577" s="23">
        <v>4</v>
      </c>
      <c r="L577" s="26">
        <v>300.16000000000003</v>
      </c>
      <c r="M577" s="29">
        <v>0.15</v>
      </c>
      <c r="N577" s="10" t="s">
        <v>45</v>
      </c>
      <c r="O577" s="10" t="str">
        <f>IF(TRIM(OrdersRawTable9[[#This Row],[Sales_Channel_Raw]])="Market place","Marketplace",TRIM(OrdersRawTable9[[#This Row],[Sales_Channel_Raw]]))</f>
        <v>Retail Store</v>
      </c>
      <c r="P577" s="10"/>
      <c r="Q577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577" s="15" t="s">
        <v>101</v>
      </c>
      <c r="S577" t="str">
        <f>VLOOKUP(OrdersRawTable9[[#This Row],[Customer_ID_Raw]],CustomersTable11[],4,FALSE)</f>
        <v>Alberta</v>
      </c>
      <c r="T577" t="str">
        <f>VLOOKUP(OrdersRawTable9[[#This Row],[Customer_ID_Raw]],CustomersTable11[],5,FALSE)</f>
        <v>Small Business</v>
      </c>
      <c r="U577" s="45">
        <f>VLOOKUP(OrdersRawTable9[[#This Row],[Product_ID]],ProductsTable10[],4,FALSE)</f>
        <v>158.46</v>
      </c>
      <c r="V577" t="str">
        <f>VLOOKUP(OrdersRawTable9[[#This Row],[Product_ID]],ProductsTable10[],3,FALSE)</f>
        <v>Office</v>
      </c>
      <c r="W577" s="45">
        <f>OrdersRawTable9[[#This Row],[Unit_Price]]*OrdersRawTable9[[#This Row],[Quantity]]</f>
        <v>1200.6400000000001</v>
      </c>
      <c r="X577" s="47">
        <f>OrdersRawTable9[[#This Row],[Gross_Sales]]*OrdersRawTable9[[#This Row],[Discount_Pct]]</f>
        <v>180.096</v>
      </c>
      <c r="Y577" s="45">
        <f>OrdersRawTable9[[#This Row],[Gross_Sales]]-OrdersRawTable9[[#This Row],[Discount_Amount]]</f>
        <v>1020.5440000000001</v>
      </c>
      <c r="Z577" s="45">
        <f>OrdersRawTable9[[#This Row],[Unit_Cost]]*OrdersRawTable9[[#This Row],[Quantity]]</f>
        <v>633.84</v>
      </c>
      <c r="AA577" s="45">
        <f>OrdersRawTable9[[#This Row],[Net_Sales]]-OrdersRawTable9[[#This Row],[Total_Cost]]</f>
        <v>386.70400000000006</v>
      </c>
      <c r="AB577" s="48">
        <f>IF(OrdersRawTable9[[#This Row],[Net_Sales]]=0,0,OrdersRawTable9[[#This Row],[Profit]]/OrdersRawTable9[[#This Row],[Net_Sales]])</f>
        <v>0.37891947823905686</v>
      </c>
      <c r="AC577" s="45" t="str">
        <f>IF(COUNTIF(ReturnsRawTable[Order_Line_ID],OrdersRawTable9[[#This Row],[Order_Line_ID]])&gt;0,"Yes","No")</f>
        <v>No</v>
      </c>
      <c r="AD577" s="45" t="str">
        <f>IFERROR(VLOOKUP(OrdersRawTable9[[#This Row],[Order_Line_ID]],ReturnsRawTable[[#All],[Order_Line_ID]:[Return_Reason_Raw]],3,FALSE),"")</f>
        <v/>
      </c>
      <c r="AE577" s="49" t="str">
        <f>IFERROR(VLOOKUP(OrdersRawTable9[[#This Row],[Order_Line_ID]],ReturnsRawTable[[#All],[Order_Line_ID]:[Return_Date]],2,FALSE),"")</f>
        <v/>
      </c>
      <c r="AF577" s="45" t="str">
        <f>IFERROR(VLOOKUP(OrdersRawTable9[[#This Row],[Order_Line_ID]],ReturnsRawTable[[Order_Line_ID]:[Refund_Status]],4,FALSE),"")</f>
        <v/>
      </c>
      <c r="AG577" s="45" t="str">
        <f>VLOOKUP(OrdersRawTable9[[#This Row],[Order_ID]],ShipmentsTable[],6,FALSE)</f>
        <v>Late</v>
      </c>
      <c r="AH577" s="49">
        <f>VLOOKUP(OrdersRawTable9[[#This Row],[Order_ID]],ShipmentsTable[],3,FALSE)</f>
        <v>45754</v>
      </c>
    </row>
    <row r="578" spans="1:34" ht="15" customHeight="1">
      <c r="A578" s="14" t="s">
        <v>1176</v>
      </c>
      <c r="B578" s="10" t="s">
        <v>1175</v>
      </c>
      <c r="C578" s="20">
        <v>45744.041666666664</v>
      </c>
      <c r="D578" s="10" t="s">
        <v>672</v>
      </c>
      <c r="E578" s="10" t="s">
        <v>673</v>
      </c>
      <c r="F578" s="10" t="str">
        <f>TRIM(LEFT(OrdersRawTable9[[#This Row],[Customer_Info]],FIND(",",OrdersRawTable9[[#This Row],[Customer_Info]])-1))</f>
        <v>Adam Tremblay</v>
      </c>
      <c r="G57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578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78" s="10">
        <f>LEN(OrdersRawTable9[[#This Row],[Customer_Info]])-LEN(SUBSTITUTE(OrdersRawTable9[[#This Row],[Customer_Info]],",",""))</f>
        <v>2</v>
      </c>
      <c r="J578" s="10" t="s">
        <v>80</v>
      </c>
      <c r="K578" s="23">
        <v>4</v>
      </c>
      <c r="L578" s="26">
        <v>142.16</v>
      </c>
      <c r="M578" s="29">
        <v>0</v>
      </c>
      <c r="N578" s="10" t="s">
        <v>64</v>
      </c>
      <c r="O578" s="10" t="str">
        <f>IF(TRIM(OrdersRawTable9[[#This Row],[Sales_Channel_Raw]])="Market place","Marketplace",TRIM(OrdersRawTable9[[#This Row],[Sales_Channel_Raw]]))</f>
        <v>Retail Store</v>
      </c>
      <c r="P578" s="10" t="s">
        <v>98</v>
      </c>
      <c r="Q578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578" s="15" t="s">
        <v>47</v>
      </c>
      <c r="S578" t="str">
        <f>VLOOKUP(OrdersRawTable9[[#This Row],[Customer_ID_Raw]],CustomersTable11[],4,FALSE)</f>
        <v>Alberta</v>
      </c>
      <c r="T578" t="str">
        <f>VLOOKUP(OrdersRawTable9[[#This Row],[Customer_ID_Raw]],CustomersTable11[],5,FALSE)</f>
        <v>Small Business</v>
      </c>
      <c r="U578" s="45">
        <f>VLOOKUP(OrdersRawTable9[[#This Row],[Product_ID]],ProductsTable10[],4,FALSE)</f>
        <v>85.34</v>
      </c>
      <c r="V578" t="str">
        <f>VLOOKUP(OrdersRawTable9[[#This Row],[Product_ID]],ProductsTable10[],3,FALSE)</f>
        <v>Home</v>
      </c>
      <c r="W578" s="45">
        <f>OrdersRawTable9[[#This Row],[Unit_Price]]*OrdersRawTable9[[#This Row],[Quantity]]</f>
        <v>568.64</v>
      </c>
      <c r="X578" s="47">
        <f>OrdersRawTable9[[#This Row],[Gross_Sales]]*OrdersRawTable9[[#This Row],[Discount_Pct]]</f>
        <v>0</v>
      </c>
      <c r="Y578" s="45">
        <f>OrdersRawTable9[[#This Row],[Gross_Sales]]-OrdersRawTable9[[#This Row],[Discount_Amount]]</f>
        <v>568.64</v>
      </c>
      <c r="Z578" s="45">
        <f>OrdersRawTable9[[#This Row],[Unit_Cost]]*OrdersRawTable9[[#This Row],[Quantity]]</f>
        <v>341.36</v>
      </c>
      <c r="AA578" s="45">
        <f>OrdersRawTable9[[#This Row],[Net_Sales]]-OrdersRawTable9[[#This Row],[Total_Cost]]</f>
        <v>227.27999999999997</v>
      </c>
      <c r="AB578" s="48">
        <f>IF(OrdersRawTable9[[#This Row],[Net_Sales]]=0,0,OrdersRawTable9[[#This Row],[Profit]]/OrdersRawTable9[[#This Row],[Net_Sales]])</f>
        <v>0.39969048958919523</v>
      </c>
      <c r="AC578" s="45" t="str">
        <f>IF(COUNTIF(ReturnsRawTable[Order_Line_ID],OrdersRawTable9[[#This Row],[Order_Line_ID]])&gt;0,"Yes","No")</f>
        <v>Yes</v>
      </c>
      <c r="AD578" s="45" t="str">
        <f>IFERROR(VLOOKUP(OrdersRawTable9[[#This Row],[Order_Line_ID]],ReturnsRawTable[[#All],[Order_Line_ID]:[Return_Reason_Raw]],3,FALSE),"")</f>
        <v>Wrong Item</v>
      </c>
      <c r="AE578" s="49">
        <f>IFERROR(VLOOKUP(OrdersRawTable9[[#This Row],[Order_Line_ID]],ReturnsRawTable[[#All],[Order_Line_ID]:[Return_Date]],2,FALSE),"")</f>
        <v>45767</v>
      </c>
      <c r="AF578" s="45" t="str">
        <f>IFERROR(VLOOKUP(OrdersRawTable9[[#This Row],[Order_Line_ID]],ReturnsRawTable[[Order_Line_ID]:[Refund_Status]],4,FALSE),"")</f>
        <v>Pending</v>
      </c>
      <c r="AG578" s="45" t="str">
        <f>VLOOKUP(OrdersRawTable9[[#This Row],[Order_ID]],ShipmentsTable[],6,FALSE)</f>
        <v>Late</v>
      </c>
      <c r="AH578" s="49">
        <f>VLOOKUP(OrdersRawTable9[[#This Row],[Order_ID]],ShipmentsTable[],3,FALSE)</f>
        <v>45754</v>
      </c>
    </row>
    <row r="579" spans="1:34" ht="15" customHeight="1">
      <c r="A579" s="14" t="s">
        <v>1177</v>
      </c>
      <c r="B579" s="10" t="s">
        <v>1175</v>
      </c>
      <c r="C579" s="20">
        <v>45744.041666666664</v>
      </c>
      <c r="D579" s="10" t="s">
        <v>672</v>
      </c>
      <c r="E579" s="10" t="s">
        <v>673</v>
      </c>
      <c r="F579" s="10" t="str">
        <f>TRIM(LEFT(OrdersRawTable9[[#This Row],[Customer_Info]],FIND(",",OrdersRawTable9[[#This Row],[Customer_Info]])-1))</f>
        <v>Adam Tremblay</v>
      </c>
      <c r="G57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579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79" s="10">
        <f>LEN(OrdersRawTable9[[#This Row],[Customer_Info]])-LEN(SUBSTITUTE(OrdersRawTable9[[#This Row],[Customer_Info]],",",""))</f>
        <v>2</v>
      </c>
      <c r="J579" s="10" t="s">
        <v>456</v>
      </c>
      <c r="K579" s="23">
        <v>3</v>
      </c>
      <c r="L579" s="26">
        <v>275.76</v>
      </c>
      <c r="M579" s="29">
        <v>0</v>
      </c>
      <c r="N579" s="10" t="s">
        <v>66</v>
      </c>
      <c r="O579" s="10" t="str">
        <f>IF(TRIM(OrdersRawTable9[[#This Row],[Sales_Channel_Raw]])="Market place","Marketplace",TRIM(OrdersRawTable9[[#This Row],[Sales_Channel_Raw]]))</f>
        <v>Marketplace</v>
      </c>
      <c r="P579" s="10"/>
      <c r="Q579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579" s="15" t="s">
        <v>42</v>
      </c>
      <c r="S579" t="str">
        <f>VLOOKUP(OrdersRawTable9[[#This Row],[Customer_ID_Raw]],CustomersTable11[],4,FALSE)</f>
        <v>Alberta</v>
      </c>
      <c r="T579" t="str">
        <f>VLOOKUP(OrdersRawTable9[[#This Row],[Customer_ID_Raw]],CustomersTable11[],5,FALSE)</f>
        <v>Small Business</v>
      </c>
      <c r="U579" s="45">
        <f>VLOOKUP(OrdersRawTable9[[#This Row],[Product_ID]],ProductsTable10[],4,FALSE)</f>
        <v>156.97</v>
      </c>
      <c r="V579" t="str">
        <f>VLOOKUP(OrdersRawTable9[[#This Row],[Product_ID]],ProductsTable10[],3,FALSE)</f>
        <v>Home</v>
      </c>
      <c r="W579" s="45">
        <f>OrdersRawTable9[[#This Row],[Unit_Price]]*OrdersRawTable9[[#This Row],[Quantity]]</f>
        <v>827.28</v>
      </c>
      <c r="X579" s="47">
        <f>OrdersRawTable9[[#This Row],[Gross_Sales]]*OrdersRawTable9[[#This Row],[Discount_Pct]]</f>
        <v>0</v>
      </c>
      <c r="Y579" s="45">
        <f>OrdersRawTable9[[#This Row],[Gross_Sales]]-OrdersRawTable9[[#This Row],[Discount_Amount]]</f>
        <v>827.28</v>
      </c>
      <c r="Z579" s="45">
        <f>OrdersRawTable9[[#This Row],[Unit_Cost]]*OrdersRawTable9[[#This Row],[Quantity]]</f>
        <v>470.90999999999997</v>
      </c>
      <c r="AA579" s="45">
        <f>OrdersRawTable9[[#This Row],[Net_Sales]]-OrdersRawTable9[[#This Row],[Total_Cost]]</f>
        <v>356.37</v>
      </c>
      <c r="AB579" s="48">
        <f>IF(OrdersRawTable9[[#This Row],[Net_Sales]]=0,0,OrdersRawTable9[[#This Row],[Profit]]/OrdersRawTable9[[#This Row],[Net_Sales]])</f>
        <v>0.43077313606034234</v>
      </c>
      <c r="AC579" s="45" t="str">
        <f>IF(COUNTIF(ReturnsRawTable[Order_Line_ID],OrdersRawTable9[[#This Row],[Order_Line_ID]])&gt;0,"Yes","No")</f>
        <v>No</v>
      </c>
      <c r="AD579" s="45" t="str">
        <f>IFERROR(VLOOKUP(OrdersRawTable9[[#This Row],[Order_Line_ID]],ReturnsRawTable[[#All],[Order_Line_ID]:[Return_Reason_Raw]],3,FALSE),"")</f>
        <v/>
      </c>
      <c r="AE579" s="49" t="str">
        <f>IFERROR(VLOOKUP(OrdersRawTable9[[#This Row],[Order_Line_ID]],ReturnsRawTable[[#All],[Order_Line_ID]:[Return_Date]],2,FALSE),"")</f>
        <v/>
      </c>
      <c r="AF579" s="45" t="str">
        <f>IFERROR(VLOOKUP(OrdersRawTable9[[#This Row],[Order_Line_ID]],ReturnsRawTable[[Order_Line_ID]:[Refund_Status]],4,FALSE),"")</f>
        <v/>
      </c>
      <c r="AG579" s="45" t="str">
        <f>VLOOKUP(OrdersRawTable9[[#This Row],[Order_ID]],ShipmentsTable[],6,FALSE)</f>
        <v>Late</v>
      </c>
      <c r="AH579" s="49">
        <f>VLOOKUP(OrdersRawTable9[[#This Row],[Order_ID]],ShipmentsTable[],3,FALSE)</f>
        <v>45754</v>
      </c>
    </row>
    <row r="580" spans="1:34" ht="15" customHeight="1">
      <c r="A580" s="14" t="s">
        <v>1178</v>
      </c>
      <c r="B580" s="10" t="s">
        <v>1175</v>
      </c>
      <c r="C580" s="20">
        <v>45744.041666666664</v>
      </c>
      <c r="D580" s="10" t="s">
        <v>672</v>
      </c>
      <c r="E580" s="10" t="s">
        <v>673</v>
      </c>
      <c r="F580" s="10" t="str">
        <f>TRIM(LEFT(OrdersRawTable9[[#This Row],[Customer_Info]],FIND(",",OrdersRawTable9[[#This Row],[Customer_Info]])-1))</f>
        <v>Adam Tremblay</v>
      </c>
      <c r="G58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580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80" s="10">
        <f>LEN(OrdersRawTable9[[#This Row],[Customer_Info]])-LEN(SUBSTITUTE(OrdersRawTable9[[#This Row],[Customer_Info]],",",""))</f>
        <v>2</v>
      </c>
      <c r="J580" s="10" t="s">
        <v>112</v>
      </c>
      <c r="K580" s="23">
        <v>1</v>
      </c>
      <c r="L580" s="26">
        <v>88.61</v>
      </c>
      <c r="M580" s="29">
        <v>0.1</v>
      </c>
      <c r="N580" s="10" t="s">
        <v>50</v>
      </c>
      <c r="O580" s="10" t="str">
        <f>IF(TRIM(OrdersRawTable9[[#This Row],[Sales_Channel_Raw]])="Market place","Marketplace",TRIM(OrdersRawTable9[[#This Row],[Sales_Channel_Raw]]))</f>
        <v>Marketplace</v>
      </c>
      <c r="P580" s="10" t="s">
        <v>58</v>
      </c>
      <c r="Q580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580" s="15" t="s">
        <v>47</v>
      </c>
      <c r="S580" t="str">
        <f>VLOOKUP(OrdersRawTable9[[#This Row],[Customer_ID_Raw]],CustomersTable11[],4,FALSE)</f>
        <v>Alberta</v>
      </c>
      <c r="T580" t="str">
        <f>VLOOKUP(OrdersRawTable9[[#This Row],[Customer_ID_Raw]],CustomersTable11[],5,FALSE)</f>
        <v>Small Business</v>
      </c>
      <c r="U580" s="45">
        <f>VLOOKUP(OrdersRawTable9[[#This Row],[Product_ID]],ProductsTable10[],4,FALSE)</f>
        <v>49.75</v>
      </c>
      <c r="V580" t="str">
        <f>VLOOKUP(OrdersRawTable9[[#This Row],[Product_ID]],ProductsTable10[],3,FALSE)</f>
        <v>Electronics</v>
      </c>
      <c r="W580" s="45">
        <f>OrdersRawTable9[[#This Row],[Unit_Price]]*OrdersRawTable9[[#This Row],[Quantity]]</f>
        <v>88.61</v>
      </c>
      <c r="X580" s="47">
        <f>OrdersRawTable9[[#This Row],[Gross_Sales]]*OrdersRawTable9[[#This Row],[Discount_Pct]]</f>
        <v>8.8610000000000007</v>
      </c>
      <c r="Y580" s="45">
        <f>OrdersRawTable9[[#This Row],[Gross_Sales]]-OrdersRawTable9[[#This Row],[Discount_Amount]]</f>
        <v>79.748999999999995</v>
      </c>
      <c r="Z580" s="45">
        <f>OrdersRawTable9[[#This Row],[Unit_Cost]]*OrdersRawTable9[[#This Row],[Quantity]]</f>
        <v>49.75</v>
      </c>
      <c r="AA580" s="45">
        <f>OrdersRawTable9[[#This Row],[Net_Sales]]-OrdersRawTable9[[#This Row],[Total_Cost]]</f>
        <v>29.998999999999995</v>
      </c>
      <c r="AB580" s="48">
        <f>IF(OrdersRawTable9[[#This Row],[Net_Sales]]=0,0,OrdersRawTable9[[#This Row],[Profit]]/OrdersRawTable9[[#This Row],[Net_Sales]])</f>
        <v>0.37616772624108136</v>
      </c>
      <c r="AC580" s="45" t="str">
        <f>IF(COUNTIF(ReturnsRawTable[Order_Line_ID],OrdersRawTable9[[#This Row],[Order_Line_ID]])&gt;0,"Yes","No")</f>
        <v>No</v>
      </c>
      <c r="AD580" s="45" t="str">
        <f>IFERROR(VLOOKUP(OrdersRawTable9[[#This Row],[Order_Line_ID]],ReturnsRawTable[[#All],[Order_Line_ID]:[Return_Reason_Raw]],3,FALSE),"")</f>
        <v/>
      </c>
      <c r="AE580" s="49" t="str">
        <f>IFERROR(VLOOKUP(OrdersRawTable9[[#This Row],[Order_Line_ID]],ReturnsRawTable[[#All],[Order_Line_ID]:[Return_Date]],2,FALSE),"")</f>
        <v/>
      </c>
      <c r="AF580" s="45" t="str">
        <f>IFERROR(VLOOKUP(OrdersRawTable9[[#This Row],[Order_Line_ID]],ReturnsRawTable[[Order_Line_ID]:[Refund_Status]],4,FALSE),"")</f>
        <v/>
      </c>
      <c r="AG580" s="45" t="str">
        <f>VLOOKUP(OrdersRawTable9[[#This Row],[Order_ID]],ShipmentsTable[],6,FALSE)</f>
        <v>Late</v>
      </c>
      <c r="AH580" s="49">
        <f>VLOOKUP(OrdersRawTable9[[#This Row],[Order_ID]],ShipmentsTable[],3,FALSE)</f>
        <v>45754</v>
      </c>
    </row>
    <row r="581" spans="1:34" ht="15" customHeight="1">
      <c r="A581" s="14" t="s">
        <v>1179</v>
      </c>
      <c r="B581" s="10" t="s">
        <v>1180</v>
      </c>
      <c r="C581" s="20">
        <v>45683</v>
      </c>
      <c r="D581" s="10" t="s">
        <v>1181</v>
      </c>
      <c r="E581" s="10" t="s">
        <v>1182</v>
      </c>
      <c r="F581" s="10" t="str">
        <f>TRIM(LEFT(OrdersRawTable9[[#This Row],[Customer_Info]],FIND(",",OrdersRawTable9[[#This Row],[Customer_Info]])-1))</f>
        <v>Noah Gagnon</v>
      </c>
      <c r="G58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581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81" s="10">
        <f>LEN(OrdersRawTable9[[#This Row],[Customer_Info]])-LEN(SUBSTITUTE(OrdersRawTable9[[#This Row],[Customer_Info]],",",""))</f>
        <v>2</v>
      </c>
      <c r="J581" s="10" t="s">
        <v>112</v>
      </c>
      <c r="K581" s="23">
        <v>4</v>
      </c>
      <c r="L581" s="26">
        <v>88.61</v>
      </c>
      <c r="M581" s="29">
        <v>0.05</v>
      </c>
      <c r="N581" s="10" t="s">
        <v>45</v>
      </c>
      <c r="O581" s="10" t="str">
        <f>IF(TRIM(OrdersRawTable9[[#This Row],[Sales_Channel_Raw]])="Market place","Marketplace",TRIM(OrdersRawTable9[[#This Row],[Sales_Channel_Raw]]))</f>
        <v>Retail Store</v>
      </c>
      <c r="P581" s="10" t="s">
        <v>41</v>
      </c>
      <c r="Q581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81" s="15" t="s">
        <v>101</v>
      </c>
      <c r="S581" t="str">
        <f>VLOOKUP(OrdersRawTable9[[#This Row],[Customer_ID_Raw]],CustomersTable11[],4,FALSE)</f>
        <v>Ontario</v>
      </c>
      <c r="T581" t="str">
        <f>VLOOKUP(OrdersRawTable9[[#This Row],[Customer_ID_Raw]],CustomersTable11[],5,FALSE)</f>
        <v>Small Business</v>
      </c>
      <c r="U581" s="45">
        <f>VLOOKUP(OrdersRawTable9[[#This Row],[Product_ID]],ProductsTable10[],4,FALSE)</f>
        <v>49.75</v>
      </c>
      <c r="V581" t="str">
        <f>VLOOKUP(OrdersRawTable9[[#This Row],[Product_ID]],ProductsTable10[],3,FALSE)</f>
        <v>Electronics</v>
      </c>
      <c r="W581" s="45">
        <f>OrdersRawTable9[[#This Row],[Unit_Price]]*OrdersRawTable9[[#This Row],[Quantity]]</f>
        <v>354.44</v>
      </c>
      <c r="X581" s="47">
        <f>OrdersRawTable9[[#This Row],[Gross_Sales]]*OrdersRawTable9[[#This Row],[Discount_Pct]]</f>
        <v>17.722000000000001</v>
      </c>
      <c r="Y581" s="45">
        <f>OrdersRawTable9[[#This Row],[Gross_Sales]]-OrdersRawTable9[[#This Row],[Discount_Amount]]</f>
        <v>336.71800000000002</v>
      </c>
      <c r="Z581" s="45">
        <f>OrdersRawTable9[[#This Row],[Unit_Cost]]*OrdersRawTable9[[#This Row],[Quantity]]</f>
        <v>199</v>
      </c>
      <c r="AA581" s="45">
        <f>OrdersRawTable9[[#This Row],[Net_Sales]]-OrdersRawTable9[[#This Row],[Total_Cost]]</f>
        <v>137.71800000000002</v>
      </c>
      <c r="AB581" s="48">
        <f>IF(OrdersRawTable9[[#This Row],[Net_Sales]]=0,0,OrdersRawTable9[[#This Row],[Profit]]/OrdersRawTable9[[#This Row],[Net_Sales]])</f>
        <v>0.40900100380734028</v>
      </c>
      <c r="AC581" s="45" t="str">
        <f>IF(COUNTIF(ReturnsRawTable[Order_Line_ID],OrdersRawTable9[[#This Row],[Order_Line_ID]])&gt;0,"Yes","No")</f>
        <v>No</v>
      </c>
      <c r="AD581" s="45" t="str">
        <f>IFERROR(VLOOKUP(OrdersRawTable9[[#This Row],[Order_Line_ID]],ReturnsRawTable[[#All],[Order_Line_ID]:[Return_Reason_Raw]],3,FALSE),"")</f>
        <v/>
      </c>
      <c r="AE581" s="49" t="str">
        <f>IFERROR(VLOOKUP(OrdersRawTable9[[#This Row],[Order_Line_ID]],ReturnsRawTable[[#All],[Order_Line_ID]:[Return_Date]],2,FALSE),"")</f>
        <v/>
      </c>
      <c r="AF581" s="45" t="str">
        <f>IFERROR(VLOOKUP(OrdersRawTable9[[#This Row],[Order_Line_ID]],ReturnsRawTable[[Order_Line_ID]:[Refund_Status]],4,FALSE),"")</f>
        <v/>
      </c>
      <c r="AG581" s="45" t="str">
        <f>VLOOKUP(OrdersRawTable9[[#This Row],[Order_ID]],ShipmentsTable[],6,FALSE)</f>
        <v>Late</v>
      </c>
      <c r="AH581" s="49">
        <f>VLOOKUP(OrdersRawTable9[[#This Row],[Order_ID]],ShipmentsTable[],3,FALSE)</f>
        <v>45692</v>
      </c>
    </row>
    <row r="582" spans="1:34" ht="15" customHeight="1">
      <c r="A582" s="14" t="s">
        <v>1183</v>
      </c>
      <c r="B582" s="10" t="s">
        <v>1180</v>
      </c>
      <c r="C582" s="20">
        <v>45683</v>
      </c>
      <c r="D582" s="10" t="s">
        <v>1181</v>
      </c>
      <c r="E582" s="10" t="s">
        <v>1182</v>
      </c>
      <c r="F582" s="10" t="str">
        <f>TRIM(LEFT(OrdersRawTable9[[#This Row],[Customer_Info]],FIND(",",OrdersRawTable9[[#This Row],[Customer_Info]])-1))</f>
        <v>Noah Gagnon</v>
      </c>
      <c r="G58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582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82" s="10">
        <f>LEN(OrdersRawTable9[[#This Row],[Customer_Info]])-LEN(SUBSTITUTE(OrdersRawTable9[[#This Row],[Customer_Info]],",",""))</f>
        <v>2</v>
      </c>
      <c r="J582" s="10" t="s">
        <v>69</v>
      </c>
      <c r="K582" s="23">
        <v>3</v>
      </c>
      <c r="L582" s="26">
        <v>75.75</v>
      </c>
      <c r="M582" s="29">
        <v>0.1</v>
      </c>
      <c r="N582" s="10" t="s">
        <v>66</v>
      </c>
      <c r="O582" s="10" t="str">
        <f>IF(TRIM(OrdersRawTable9[[#This Row],[Sales_Channel_Raw]])="Market place","Marketplace",TRIM(OrdersRawTable9[[#This Row],[Sales_Channel_Raw]]))</f>
        <v>Marketplace</v>
      </c>
      <c r="P582" s="10" t="s">
        <v>46</v>
      </c>
      <c r="Q582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82" s="15" t="s">
        <v>42</v>
      </c>
      <c r="S582" t="str">
        <f>VLOOKUP(OrdersRawTable9[[#This Row],[Customer_ID_Raw]],CustomersTable11[],4,FALSE)</f>
        <v>Ontario</v>
      </c>
      <c r="T582" t="str">
        <f>VLOOKUP(OrdersRawTable9[[#This Row],[Customer_ID_Raw]],CustomersTable11[],5,FALSE)</f>
        <v>Small Business</v>
      </c>
      <c r="U582" s="45">
        <f>VLOOKUP(OrdersRawTable9[[#This Row],[Product_ID]],ProductsTable10[],4,FALSE)</f>
        <v>42.37</v>
      </c>
      <c r="V582" t="str">
        <f>VLOOKUP(OrdersRawTable9[[#This Row],[Product_ID]],ProductsTable10[],3,FALSE)</f>
        <v>Office</v>
      </c>
      <c r="W582" s="45">
        <f>OrdersRawTable9[[#This Row],[Unit_Price]]*OrdersRawTable9[[#This Row],[Quantity]]</f>
        <v>227.25</v>
      </c>
      <c r="X582" s="47">
        <f>OrdersRawTable9[[#This Row],[Gross_Sales]]*OrdersRawTable9[[#This Row],[Discount_Pct]]</f>
        <v>22.725000000000001</v>
      </c>
      <c r="Y582" s="45">
        <f>OrdersRawTable9[[#This Row],[Gross_Sales]]-OrdersRawTable9[[#This Row],[Discount_Amount]]</f>
        <v>204.52500000000001</v>
      </c>
      <c r="Z582" s="45">
        <f>OrdersRawTable9[[#This Row],[Unit_Cost]]*OrdersRawTable9[[#This Row],[Quantity]]</f>
        <v>127.10999999999999</v>
      </c>
      <c r="AA582" s="45">
        <f>OrdersRawTable9[[#This Row],[Net_Sales]]-OrdersRawTable9[[#This Row],[Total_Cost]]</f>
        <v>77.41500000000002</v>
      </c>
      <c r="AB582" s="48">
        <f>IF(OrdersRawTable9[[#This Row],[Net_Sales]]=0,0,OrdersRawTable9[[#This Row],[Profit]]/OrdersRawTable9[[#This Row],[Net_Sales]])</f>
        <v>0.37851118445177862</v>
      </c>
      <c r="AC582" s="45" t="str">
        <f>IF(COUNTIF(ReturnsRawTable[Order_Line_ID],OrdersRawTable9[[#This Row],[Order_Line_ID]])&gt;0,"Yes","No")</f>
        <v>No</v>
      </c>
      <c r="AD582" s="45" t="str">
        <f>IFERROR(VLOOKUP(OrdersRawTable9[[#This Row],[Order_Line_ID]],ReturnsRawTable[[#All],[Order_Line_ID]:[Return_Reason_Raw]],3,FALSE),"")</f>
        <v/>
      </c>
      <c r="AE582" s="49" t="str">
        <f>IFERROR(VLOOKUP(OrdersRawTable9[[#This Row],[Order_Line_ID]],ReturnsRawTable[[#All],[Order_Line_ID]:[Return_Date]],2,FALSE),"")</f>
        <v/>
      </c>
      <c r="AF582" s="45" t="str">
        <f>IFERROR(VLOOKUP(OrdersRawTable9[[#This Row],[Order_Line_ID]],ReturnsRawTable[[Order_Line_ID]:[Refund_Status]],4,FALSE),"")</f>
        <v/>
      </c>
      <c r="AG582" s="45" t="str">
        <f>VLOOKUP(OrdersRawTable9[[#This Row],[Order_ID]],ShipmentsTable[],6,FALSE)</f>
        <v>Late</v>
      </c>
      <c r="AH582" s="49">
        <f>VLOOKUP(OrdersRawTable9[[#This Row],[Order_ID]],ShipmentsTable[],3,FALSE)</f>
        <v>45692</v>
      </c>
    </row>
    <row r="583" spans="1:34" ht="15" customHeight="1">
      <c r="A583" s="14" t="s">
        <v>1184</v>
      </c>
      <c r="B583" s="10" t="s">
        <v>1180</v>
      </c>
      <c r="C583" s="20">
        <v>45683</v>
      </c>
      <c r="D583" s="10" t="s">
        <v>1181</v>
      </c>
      <c r="E583" s="10" t="s">
        <v>1182</v>
      </c>
      <c r="F583" s="10" t="str">
        <f>TRIM(LEFT(OrdersRawTable9[[#This Row],[Customer_Info]],FIND(",",OrdersRawTable9[[#This Row],[Customer_Info]])-1))</f>
        <v>Noah Gagnon</v>
      </c>
      <c r="G58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583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83" s="10">
        <f>LEN(OrdersRawTable9[[#This Row],[Customer_Info]])-LEN(SUBSTITUTE(OrdersRawTable9[[#This Row],[Customer_Info]],",",""))</f>
        <v>2</v>
      </c>
      <c r="J583" s="10" t="s">
        <v>495</v>
      </c>
      <c r="K583" s="23">
        <v>4</v>
      </c>
      <c r="L583" s="26">
        <v>207.71</v>
      </c>
      <c r="M583" s="29">
        <v>0</v>
      </c>
      <c r="N583" s="10" t="s">
        <v>50</v>
      </c>
      <c r="O583" s="10" t="str">
        <f>IF(TRIM(OrdersRawTable9[[#This Row],[Sales_Channel_Raw]])="Market place","Marketplace",TRIM(OrdersRawTable9[[#This Row],[Sales_Channel_Raw]]))</f>
        <v>Marketplace</v>
      </c>
      <c r="P583" s="10"/>
      <c r="Q583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583" s="15" t="s">
        <v>42</v>
      </c>
      <c r="S583" t="str">
        <f>VLOOKUP(OrdersRawTable9[[#This Row],[Customer_ID_Raw]],CustomersTable11[],4,FALSE)</f>
        <v>Ontario</v>
      </c>
      <c r="T583" t="str">
        <f>VLOOKUP(OrdersRawTable9[[#This Row],[Customer_ID_Raw]],CustomersTable11[],5,FALSE)</f>
        <v>Small Business</v>
      </c>
      <c r="U583" s="45">
        <f>VLOOKUP(OrdersRawTable9[[#This Row],[Product_ID]],ProductsTable10[],4,FALSE)</f>
        <v>132.97</v>
      </c>
      <c r="V583" t="str">
        <f>VLOOKUP(OrdersRawTable9[[#This Row],[Product_ID]],ProductsTable10[],3,FALSE)</f>
        <v>Home</v>
      </c>
      <c r="W583" s="45">
        <f>OrdersRawTable9[[#This Row],[Unit_Price]]*OrdersRawTable9[[#This Row],[Quantity]]</f>
        <v>830.84</v>
      </c>
      <c r="X583" s="47">
        <f>OrdersRawTable9[[#This Row],[Gross_Sales]]*OrdersRawTable9[[#This Row],[Discount_Pct]]</f>
        <v>0</v>
      </c>
      <c r="Y583" s="45">
        <f>OrdersRawTable9[[#This Row],[Gross_Sales]]-OrdersRawTable9[[#This Row],[Discount_Amount]]</f>
        <v>830.84</v>
      </c>
      <c r="Z583" s="45">
        <f>OrdersRawTable9[[#This Row],[Unit_Cost]]*OrdersRawTable9[[#This Row],[Quantity]]</f>
        <v>531.88</v>
      </c>
      <c r="AA583" s="45">
        <f>OrdersRawTable9[[#This Row],[Net_Sales]]-OrdersRawTable9[[#This Row],[Total_Cost]]</f>
        <v>298.96000000000004</v>
      </c>
      <c r="AB583" s="48">
        <f>IF(OrdersRawTable9[[#This Row],[Net_Sales]]=0,0,OrdersRawTable9[[#This Row],[Profit]]/OrdersRawTable9[[#This Row],[Net_Sales]])</f>
        <v>0.35982860719272064</v>
      </c>
      <c r="AC583" s="45" t="str">
        <f>IF(COUNTIF(ReturnsRawTable[Order_Line_ID],OrdersRawTable9[[#This Row],[Order_Line_ID]])&gt;0,"Yes","No")</f>
        <v>No</v>
      </c>
      <c r="AD583" s="45" t="str">
        <f>IFERROR(VLOOKUP(OrdersRawTable9[[#This Row],[Order_Line_ID]],ReturnsRawTable[[#All],[Order_Line_ID]:[Return_Reason_Raw]],3,FALSE),"")</f>
        <v/>
      </c>
      <c r="AE583" s="49" t="str">
        <f>IFERROR(VLOOKUP(OrdersRawTable9[[#This Row],[Order_Line_ID]],ReturnsRawTable[[#All],[Order_Line_ID]:[Return_Date]],2,FALSE),"")</f>
        <v/>
      </c>
      <c r="AF583" s="45" t="str">
        <f>IFERROR(VLOOKUP(OrdersRawTable9[[#This Row],[Order_Line_ID]],ReturnsRawTable[[Order_Line_ID]:[Refund_Status]],4,FALSE),"")</f>
        <v/>
      </c>
      <c r="AG583" s="45" t="str">
        <f>VLOOKUP(OrdersRawTable9[[#This Row],[Order_ID]],ShipmentsTable[],6,FALSE)</f>
        <v>Late</v>
      </c>
      <c r="AH583" s="49">
        <f>VLOOKUP(OrdersRawTable9[[#This Row],[Order_ID]],ShipmentsTable[],3,FALSE)</f>
        <v>45692</v>
      </c>
    </row>
    <row r="584" spans="1:34" ht="15" customHeight="1">
      <c r="A584" s="14" t="s">
        <v>1185</v>
      </c>
      <c r="B584" s="10" t="s">
        <v>1186</v>
      </c>
      <c r="C584" s="20">
        <v>45811</v>
      </c>
      <c r="D584" s="10" t="s">
        <v>437</v>
      </c>
      <c r="E584" s="10" t="s">
        <v>438</v>
      </c>
      <c r="F584" s="10" t="str">
        <f>TRIM(LEFT(OrdersRawTable9[[#This Row],[Customer_Info]],FIND(",",OrdersRawTable9[[#This Row],[Customer_Info]])-1))</f>
        <v>Sara Dubois</v>
      </c>
      <c r="G58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584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584" s="10">
        <f>LEN(OrdersRawTable9[[#This Row],[Customer_Info]])-LEN(SUBSTITUTE(OrdersRawTable9[[#This Row],[Customer_Info]],",",""))</f>
        <v>2</v>
      </c>
      <c r="J584" s="10" t="s">
        <v>80</v>
      </c>
      <c r="K584" s="23">
        <v>2</v>
      </c>
      <c r="L584" s="26">
        <v>142.16</v>
      </c>
      <c r="M584" s="29">
        <v>0</v>
      </c>
      <c r="N584" s="10" t="s">
        <v>70</v>
      </c>
      <c r="O584" s="10" t="str">
        <f>IF(TRIM(OrdersRawTable9[[#This Row],[Sales_Channel_Raw]])="Market place","Marketplace",TRIM(OrdersRawTable9[[#This Row],[Sales_Channel_Raw]]))</f>
        <v>online</v>
      </c>
      <c r="P584" s="10" t="s">
        <v>41</v>
      </c>
      <c r="Q584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84" s="15" t="s">
        <v>42</v>
      </c>
      <c r="S584" t="str">
        <f>VLOOKUP(OrdersRawTable9[[#This Row],[Customer_ID_Raw]],CustomersTable11[],4,FALSE)</f>
        <v>Alberta</v>
      </c>
      <c r="T584" t="str">
        <f>VLOOKUP(OrdersRawTable9[[#This Row],[Customer_ID_Raw]],CustomersTable11[],5,FALSE)</f>
        <v>Consumer</v>
      </c>
      <c r="U584" s="45">
        <f>VLOOKUP(OrdersRawTable9[[#This Row],[Product_ID]],ProductsTable10[],4,FALSE)</f>
        <v>85.34</v>
      </c>
      <c r="V584" t="str">
        <f>VLOOKUP(OrdersRawTable9[[#This Row],[Product_ID]],ProductsTable10[],3,FALSE)</f>
        <v>Home</v>
      </c>
      <c r="W584" s="45">
        <f>OrdersRawTable9[[#This Row],[Unit_Price]]*OrdersRawTable9[[#This Row],[Quantity]]</f>
        <v>284.32</v>
      </c>
      <c r="X584" s="47">
        <f>OrdersRawTable9[[#This Row],[Gross_Sales]]*OrdersRawTable9[[#This Row],[Discount_Pct]]</f>
        <v>0</v>
      </c>
      <c r="Y584" s="45">
        <f>OrdersRawTable9[[#This Row],[Gross_Sales]]-OrdersRawTable9[[#This Row],[Discount_Amount]]</f>
        <v>284.32</v>
      </c>
      <c r="Z584" s="45">
        <f>OrdersRawTable9[[#This Row],[Unit_Cost]]*OrdersRawTable9[[#This Row],[Quantity]]</f>
        <v>170.68</v>
      </c>
      <c r="AA584" s="45">
        <f>OrdersRawTable9[[#This Row],[Net_Sales]]-OrdersRawTable9[[#This Row],[Total_Cost]]</f>
        <v>113.63999999999999</v>
      </c>
      <c r="AB584" s="48">
        <f>IF(OrdersRawTable9[[#This Row],[Net_Sales]]=0,0,OrdersRawTable9[[#This Row],[Profit]]/OrdersRawTable9[[#This Row],[Net_Sales]])</f>
        <v>0.39969048958919523</v>
      </c>
      <c r="AC584" s="45" t="str">
        <f>IF(COUNTIF(ReturnsRawTable[Order_Line_ID],OrdersRawTable9[[#This Row],[Order_Line_ID]])&gt;0,"Yes","No")</f>
        <v>No</v>
      </c>
      <c r="AD584" s="45" t="str">
        <f>IFERROR(VLOOKUP(OrdersRawTable9[[#This Row],[Order_Line_ID]],ReturnsRawTable[[#All],[Order_Line_ID]:[Return_Reason_Raw]],3,FALSE),"")</f>
        <v/>
      </c>
      <c r="AE584" s="49" t="str">
        <f>IFERROR(VLOOKUP(OrdersRawTable9[[#This Row],[Order_Line_ID]],ReturnsRawTable[[#All],[Order_Line_ID]:[Return_Date]],2,FALSE),"")</f>
        <v/>
      </c>
      <c r="AF584" s="45" t="str">
        <f>IFERROR(VLOOKUP(OrdersRawTable9[[#This Row],[Order_Line_ID]],ReturnsRawTable[[Order_Line_ID]:[Refund_Status]],4,FALSE),"")</f>
        <v/>
      </c>
      <c r="AG584" s="45" t="str">
        <f>VLOOKUP(OrdersRawTable9[[#This Row],[Order_ID]],ShipmentsTable[],6,FALSE)</f>
        <v>On time</v>
      </c>
      <c r="AH584" s="49">
        <f>VLOOKUP(OrdersRawTable9[[#This Row],[Order_ID]],ShipmentsTable[],3,FALSE)</f>
        <v>45814</v>
      </c>
    </row>
    <row r="585" spans="1:34" ht="15" customHeight="1">
      <c r="A585" s="14" t="s">
        <v>1187</v>
      </c>
      <c r="B585" s="10" t="s">
        <v>1186</v>
      </c>
      <c r="C585" s="20">
        <v>45811</v>
      </c>
      <c r="D585" s="10" t="s">
        <v>437</v>
      </c>
      <c r="E585" s="10" t="s">
        <v>438</v>
      </c>
      <c r="F585" s="10" t="str">
        <f>TRIM(LEFT(OrdersRawTable9[[#This Row],[Customer_Info]],FIND(",",OrdersRawTable9[[#This Row],[Customer_Info]])-1))</f>
        <v>Sara Dubois</v>
      </c>
      <c r="G58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585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585" s="10">
        <f>LEN(OrdersRawTable9[[#This Row],[Customer_Info]])-LEN(SUBSTITUTE(OrdersRawTable9[[#This Row],[Customer_Info]],",",""))</f>
        <v>2</v>
      </c>
      <c r="J585" s="10" t="s">
        <v>108</v>
      </c>
      <c r="K585" s="23">
        <v>4</v>
      </c>
      <c r="L585" s="26">
        <v>33.369999999999997</v>
      </c>
      <c r="M585" s="29">
        <v>0</v>
      </c>
      <c r="N585" s="10" t="s">
        <v>66</v>
      </c>
      <c r="O585" s="10" t="str">
        <f>IF(TRIM(OrdersRawTable9[[#This Row],[Sales_Channel_Raw]])="Market place","Marketplace",TRIM(OrdersRawTable9[[#This Row],[Sales_Channel_Raw]]))</f>
        <v>Marketplace</v>
      </c>
      <c r="P585" s="10" t="s">
        <v>58</v>
      </c>
      <c r="Q585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585" s="15" t="s">
        <v>47</v>
      </c>
      <c r="S585" t="str">
        <f>VLOOKUP(OrdersRawTable9[[#This Row],[Customer_ID_Raw]],CustomersTable11[],4,FALSE)</f>
        <v>Alberta</v>
      </c>
      <c r="T585" t="str">
        <f>VLOOKUP(OrdersRawTable9[[#This Row],[Customer_ID_Raw]],CustomersTable11[],5,FALSE)</f>
        <v>Consumer</v>
      </c>
      <c r="U585" s="45">
        <f>VLOOKUP(OrdersRawTable9[[#This Row],[Product_ID]],ProductsTable10[],4,FALSE)</f>
        <v>18.670000000000002</v>
      </c>
      <c r="V585" t="str">
        <f>VLOOKUP(OrdersRawTable9[[#This Row],[Product_ID]],ProductsTable10[],3,FALSE)</f>
        <v>Fitness</v>
      </c>
      <c r="W585" s="45">
        <f>OrdersRawTable9[[#This Row],[Unit_Price]]*OrdersRawTable9[[#This Row],[Quantity]]</f>
        <v>133.47999999999999</v>
      </c>
      <c r="X585" s="47">
        <f>OrdersRawTable9[[#This Row],[Gross_Sales]]*OrdersRawTable9[[#This Row],[Discount_Pct]]</f>
        <v>0</v>
      </c>
      <c r="Y585" s="45">
        <f>OrdersRawTable9[[#This Row],[Gross_Sales]]-OrdersRawTable9[[#This Row],[Discount_Amount]]</f>
        <v>133.47999999999999</v>
      </c>
      <c r="Z585" s="45">
        <f>OrdersRawTable9[[#This Row],[Unit_Cost]]*OrdersRawTable9[[#This Row],[Quantity]]</f>
        <v>74.680000000000007</v>
      </c>
      <c r="AA585" s="45">
        <f>OrdersRawTable9[[#This Row],[Net_Sales]]-OrdersRawTable9[[#This Row],[Total_Cost]]</f>
        <v>58.799999999999983</v>
      </c>
      <c r="AB585" s="48">
        <f>IF(OrdersRawTable9[[#This Row],[Net_Sales]]=0,0,OrdersRawTable9[[#This Row],[Profit]]/OrdersRawTable9[[#This Row],[Net_Sales]])</f>
        <v>0.44051543302367385</v>
      </c>
      <c r="AC585" s="45" t="str">
        <f>IF(COUNTIF(ReturnsRawTable[Order_Line_ID],OrdersRawTable9[[#This Row],[Order_Line_ID]])&gt;0,"Yes","No")</f>
        <v>No</v>
      </c>
      <c r="AD585" s="45" t="str">
        <f>IFERROR(VLOOKUP(OrdersRawTable9[[#This Row],[Order_Line_ID]],ReturnsRawTable[[#All],[Order_Line_ID]:[Return_Reason_Raw]],3,FALSE),"")</f>
        <v/>
      </c>
      <c r="AE585" s="49" t="str">
        <f>IFERROR(VLOOKUP(OrdersRawTable9[[#This Row],[Order_Line_ID]],ReturnsRawTable[[#All],[Order_Line_ID]:[Return_Date]],2,FALSE),"")</f>
        <v/>
      </c>
      <c r="AF585" s="45" t="str">
        <f>IFERROR(VLOOKUP(OrdersRawTable9[[#This Row],[Order_Line_ID]],ReturnsRawTable[[Order_Line_ID]:[Refund_Status]],4,FALSE),"")</f>
        <v/>
      </c>
      <c r="AG585" s="45" t="str">
        <f>VLOOKUP(OrdersRawTable9[[#This Row],[Order_ID]],ShipmentsTable[],6,FALSE)</f>
        <v>On time</v>
      </c>
      <c r="AH585" s="49">
        <f>VLOOKUP(OrdersRawTable9[[#This Row],[Order_ID]],ShipmentsTable[],3,FALSE)</f>
        <v>45814</v>
      </c>
    </row>
    <row r="586" spans="1:34" ht="15" customHeight="1">
      <c r="A586" s="14" t="s">
        <v>1188</v>
      </c>
      <c r="B586" s="10" t="s">
        <v>1189</v>
      </c>
      <c r="C586" s="20">
        <v>45924</v>
      </c>
      <c r="D586" s="10" t="s">
        <v>598</v>
      </c>
      <c r="E586" s="10" t="s">
        <v>599</v>
      </c>
      <c r="F586" s="10" t="str">
        <f>TRIM(LEFT(OrdersRawTable9[[#This Row],[Customer_Info]],FIND(",",OrdersRawTable9[[#This Row],[Customer_Info]])-1))</f>
        <v>Yara Dubois</v>
      </c>
      <c r="G58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586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86" s="10">
        <f>LEN(OrdersRawTable9[[#This Row],[Customer_Info]])-LEN(SUBSTITUTE(OrdersRawTable9[[#This Row],[Customer_Info]],",",""))</f>
        <v>2</v>
      </c>
      <c r="J586" s="10" t="s">
        <v>128</v>
      </c>
      <c r="K586" s="23">
        <v>4</v>
      </c>
      <c r="L586" s="26">
        <v>25.15</v>
      </c>
      <c r="M586" s="29">
        <v>0.15</v>
      </c>
      <c r="N586" s="10" t="s">
        <v>45</v>
      </c>
      <c r="O586" s="10" t="str">
        <f>IF(TRIM(OrdersRawTable9[[#This Row],[Sales_Channel_Raw]])="Market place","Marketplace",TRIM(OrdersRawTable9[[#This Row],[Sales_Channel_Raw]]))</f>
        <v>Retail Store</v>
      </c>
      <c r="P586" s="10" t="s">
        <v>41</v>
      </c>
      <c r="Q586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86" s="15" t="s">
        <v>42</v>
      </c>
      <c r="S586" t="str">
        <f>VLOOKUP(OrdersRawTable9[[#This Row],[Customer_ID_Raw]],CustomersTable11[],4,FALSE)</f>
        <v>Quebec</v>
      </c>
      <c r="T586" t="str">
        <f>VLOOKUP(OrdersRawTable9[[#This Row],[Customer_ID_Raw]],CustomersTable11[],5,FALSE)</f>
        <v>Small Business</v>
      </c>
      <c r="U586" s="45">
        <f>VLOOKUP(OrdersRawTable9[[#This Row],[Product_ID]],ProductsTable10[],4,FALSE)</f>
        <v>14.24</v>
      </c>
      <c r="V586" t="str">
        <f>VLOOKUP(OrdersRawTable9[[#This Row],[Product_ID]],ProductsTable10[],3,FALSE)</f>
        <v>Electronics</v>
      </c>
      <c r="W586" s="45">
        <f>OrdersRawTable9[[#This Row],[Unit_Price]]*OrdersRawTable9[[#This Row],[Quantity]]</f>
        <v>100.6</v>
      </c>
      <c r="X586" s="47">
        <f>OrdersRawTable9[[#This Row],[Gross_Sales]]*OrdersRawTable9[[#This Row],[Discount_Pct]]</f>
        <v>15.089999999999998</v>
      </c>
      <c r="Y586" s="45">
        <f>OrdersRawTable9[[#This Row],[Gross_Sales]]-OrdersRawTable9[[#This Row],[Discount_Amount]]</f>
        <v>85.509999999999991</v>
      </c>
      <c r="Z586" s="45">
        <f>OrdersRawTable9[[#This Row],[Unit_Cost]]*OrdersRawTable9[[#This Row],[Quantity]]</f>
        <v>56.96</v>
      </c>
      <c r="AA586" s="45">
        <f>OrdersRawTable9[[#This Row],[Net_Sales]]-OrdersRawTable9[[#This Row],[Total_Cost]]</f>
        <v>28.54999999999999</v>
      </c>
      <c r="AB586" s="48">
        <f>IF(OrdersRawTable9[[#This Row],[Net_Sales]]=0,0,OrdersRawTable9[[#This Row],[Profit]]/OrdersRawTable9[[#This Row],[Net_Sales]])</f>
        <v>0.33387907847035425</v>
      </c>
      <c r="AC586" s="45" t="str">
        <f>IF(COUNTIF(ReturnsRawTable[Order_Line_ID],OrdersRawTable9[[#This Row],[Order_Line_ID]])&gt;0,"Yes","No")</f>
        <v>No</v>
      </c>
      <c r="AD586" s="45" t="str">
        <f>IFERROR(VLOOKUP(OrdersRawTable9[[#This Row],[Order_Line_ID]],ReturnsRawTable[[#All],[Order_Line_ID]:[Return_Reason_Raw]],3,FALSE),"")</f>
        <v/>
      </c>
      <c r="AE586" s="49" t="str">
        <f>IFERROR(VLOOKUP(OrdersRawTable9[[#This Row],[Order_Line_ID]],ReturnsRawTable[[#All],[Order_Line_ID]:[Return_Date]],2,FALSE),"")</f>
        <v/>
      </c>
      <c r="AF586" s="45" t="str">
        <f>IFERROR(VLOOKUP(OrdersRawTable9[[#This Row],[Order_Line_ID]],ReturnsRawTable[[Order_Line_ID]:[Refund_Status]],4,FALSE),"")</f>
        <v/>
      </c>
      <c r="AG586" s="45" t="str">
        <f>VLOOKUP(OrdersRawTable9[[#This Row],[Order_ID]],ShipmentsTable[],6,FALSE)</f>
        <v>Late</v>
      </c>
      <c r="AH586" s="49">
        <f>VLOOKUP(OrdersRawTable9[[#This Row],[Order_ID]],ShipmentsTable[],3,FALSE)</f>
        <v>45929</v>
      </c>
    </row>
    <row r="587" spans="1:34" ht="15" customHeight="1">
      <c r="A587" s="14" t="s">
        <v>1190</v>
      </c>
      <c r="B587" s="10" t="s">
        <v>1189</v>
      </c>
      <c r="C587" s="20">
        <v>45924</v>
      </c>
      <c r="D587" s="10" t="s">
        <v>598</v>
      </c>
      <c r="E587" s="10" t="s">
        <v>599</v>
      </c>
      <c r="F587" s="10" t="str">
        <f>TRIM(LEFT(OrdersRawTable9[[#This Row],[Customer_Info]],FIND(",",OrdersRawTable9[[#This Row],[Customer_Info]])-1))</f>
        <v>Yara Dubois</v>
      </c>
      <c r="G58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587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87" s="10">
        <f>LEN(OrdersRawTable9[[#This Row],[Customer_Info]])-LEN(SUBSTITUTE(OrdersRawTable9[[#This Row],[Customer_Info]],",",""))</f>
        <v>2</v>
      </c>
      <c r="J587" s="10" t="s">
        <v>130</v>
      </c>
      <c r="K587" s="23">
        <v>3</v>
      </c>
      <c r="L587" s="26">
        <v>265.73</v>
      </c>
      <c r="M587" s="29">
        <v>0.15</v>
      </c>
      <c r="N587" s="10" t="s">
        <v>66</v>
      </c>
      <c r="O587" s="10" t="str">
        <f>IF(TRIM(OrdersRawTable9[[#This Row],[Sales_Channel_Raw]])="Market place","Marketplace",TRIM(OrdersRawTable9[[#This Row],[Sales_Channel_Raw]]))</f>
        <v>Marketplace</v>
      </c>
      <c r="P587" s="10" t="s">
        <v>46</v>
      </c>
      <c r="Q587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87" s="15" t="s">
        <v>101</v>
      </c>
      <c r="S587" t="str">
        <f>VLOOKUP(OrdersRawTable9[[#This Row],[Customer_ID_Raw]],CustomersTable11[],4,FALSE)</f>
        <v>Quebec</v>
      </c>
      <c r="T587" t="str">
        <f>VLOOKUP(OrdersRawTable9[[#This Row],[Customer_ID_Raw]],CustomersTable11[],5,FALSE)</f>
        <v>Small Business</v>
      </c>
      <c r="U587" s="45">
        <f>VLOOKUP(OrdersRawTable9[[#This Row],[Product_ID]],ProductsTable10[],4,FALSE)</f>
        <v>154.16999999999999</v>
      </c>
      <c r="V587" t="str">
        <f>VLOOKUP(OrdersRawTable9[[#This Row],[Product_ID]],ProductsTable10[],3,FALSE)</f>
        <v>Electronics</v>
      </c>
      <c r="W587" s="45">
        <f>OrdersRawTable9[[#This Row],[Unit_Price]]*OrdersRawTable9[[#This Row],[Quantity]]</f>
        <v>797.19</v>
      </c>
      <c r="X587" s="47">
        <f>OrdersRawTable9[[#This Row],[Gross_Sales]]*OrdersRawTable9[[#This Row],[Discount_Pct]]</f>
        <v>119.57850000000001</v>
      </c>
      <c r="Y587" s="45">
        <f>OrdersRawTable9[[#This Row],[Gross_Sales]]-OrdersRawTable9[[#This Row],[Discount_Amount]]</f>
        <v>677.61150000000009</v>
      </c>
      <c r="Z587" s="45">
        <f>OrdersRawTable9[[#This Row],[Unit_Cost]]*OrdersRawTable9[[#This Row],[Quantity]]</f>
        <v>462.51</v>
      </c>
      <c r="AA587" s="45">
        <f>OrdersRawTable9[[#This Row],[Net_Sales]]-OrdersRawTable9[[#This Row],[Total_Cost]]</f>
        <v>215.1015000000001</v>
      </c>
      <c r="AB587" s="48">
        <f>IF(OrdersRawTable9[[#This Row],[Net_Sales]]=0,0,OrdersRawTable9[[#This Row],[Profit]]/OrdersRawTable9[[#This Row],[Net_Sales]])</f>
        <v>0.31744074591414118</v>
      </c>
      <c r="AC587" s="45" t="str">
        <f>IF(COUNTIF(ReturnsRawTable[Order_Line_ID],OrdersRawTable9[[#This Row],[Order_Line_ID]])&gt;0,"Yes","No")</f>
        <v>No</v>
      </c>
      <c r="AD587" s="45" t="str">
        <f>IFERROR(VLOOKUP(OrdersRawTable9[[#This Row],[Order_Line_ID]],ReturnsRawTable[[#All],[Order_Line_ID]:[Return_Reason_Raw]],3,FALSE),"")</f>
        <v/>
      </c>
      <c r="AE587" s="49" t="str">
        <f>IFERROR(VLOOKUP(OrdersRawTable9[[#This Row],[Order_Line_ID]],ReturnsRawTable[[#All],[Order_Line_ID]:[Return_Date]],2,FALSE),"")</f>
        <v/>
      </c>
      <c r="AF587" s="45" t="str">
        <f>IFERROR(VLOOKUP(OrdersRawTable9[[#This Row],[Order_Line_ID]],ReturnsRawTable[[Order_Line_ID]:[Refund_Status]],4,FALSE),"")</f>
        <v/>
      </c>
      <c r="AG587" s="45" t="str">
        <f>VLOOKUP(OrdersRawTable9[[#This Row],[Order_ID]],ShipmentsTable[],6,FALSE)</f>
        <v>Late</v>
      </c>
      <c r="AH587" s="49">
        <f>VLOOKUP(OrdersRawTable9[[#This Row],[Order_ID]],ShipmentsTable[],3,FALSE)</f>
        <v>45929</v>
      </c>
    </row>
    <row r="588" spans="1:34" ht="15" customHeight="1">
      <c r="A588" s="14" t="s">
        <v>1191</v>
      </c>
      <c r="B588" s="10" t="s">
        <v>1189</v>
      </c>
      <c r="C588" s="20">
        <v>45924</v>
      </c>
      <c r="D588" s="10" t="s">
        <v>598</v>
      </c>
      <c r="E588" s="10" t="s">
        <v>599</v>
      </c>
      <c r="F588" s="10" t="str">
        <f>TRIM(LEFT(OrdersRawTable9[[#This Row],[Customer_Info]],FIND(",",OrdersRawTable9[[#This Row],[Customer_Info]])-1))</f>
        <v>Yara Dubois</v>
      </c>
      <c r="G58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588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88" s="10">
        <f>LEN(OrdersRawTable9[[#This Row],[Customer_Info]])-LEN(SUBSTITUTE(OrdersRawTable9[[#This Row],[Customer_Info]],",",""))</f>
        <v>2</v>
      </c>
      <c r="J588" s="10" t="s">
        <v>80</v>
      </c>
      <c r="K588" s="23">
        <v>4</v>
      </c>
      <c r="L588" s="26">
        <v>142.16</v>
      </c>
      <c r="M588" s="29">
        <v>0</v>
      </c>
      <c r="N588" s="10" t="s">
        <v>45</v>
      </c>
      <c r="O588" s="10" t="str">
        <f>IF(TRIM(OrdersRawTable9[[#This Row],[Sales_Channel_Raw]])="Market place","Marketplace",TRIM(OrdersRawTable9[[#This Row],[Sales_Channel_Raw]]))</f>
        <v>Retail Store</v>
      </c>
      <c r="P588" s="10" t="s">
        <v>46</v>
      </c>
      <c r="Q588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88" s="15" t="s">
        <v>67</v>
      </c>
      <c r="S588" t="str">
        <f>VLOOKUP(OrdersRawTable9[[#This Row],[Customer_ID_Raw]],CustomersTable11[],4,FALSE)</f>
        <v>Quebec</v>
      </c>
      <c r="T588" t="str">
        <f>VLOOKUP(OrdersRawTable9[[#This Row],[Customer_ID_Raw]],CustomersTable11[],5,FALSE)</f>
        <v>Small Business</v>
      </c>
      <c r="U588" s="45">
        <f>VLOOKUP(OrdersRawTable9[[#This Row],[Product_ID]],ProductsTable10[],4,FALSE)</f>
        <v>85.34</v>
      </c>
      <c r="V588" t="str">
        <f>VLOOKUP(OrdersRawTable9[[#This Row],[Product_ID]],ProductsTable10[],3,FALSE)</f>
        <v>Home</v>
      </c>
      <c r="W588" s="45">
        <f>OrdersRawTable9[[#This Row],[Unit_Price]]*OrdersRawTable9[[#This Row],[Quantity]]</f>
        <v>568.64</v>
      </c>
      <c r="X588" s="47">
        <f>OrdersRawTable9[[#This Row],[Gross_Sales]]*OrdersRawTable9[[#This Row],[Discount_Pct]]</f>
        <v>0</v>
      </c>
      <c r="Y588" s="45">
        <f>OrdersRawTable9[[#This Row],[Gross_Sales]]-OrdersRawTable9[[#This Row],[Discount_Amount]]</f>
        <v>568.64</v>
      </c>
      <c r="Z588" s="45">
        <f>OrdersRawTable9[[#This Row],[Unit_Cost]]*OrdersRawTable9[[#This Row],[Quantity]]</f>
        <v>341.36</v>
      </c>
      <c r="AA588" s="45">
        <f>OrdersRawTable9[[#This Row],[Net_Sales]]-OrdersRawTable9[[#This Row],[Total_Cost]]</f>
        <v>227.27999999999997</v>
      </c>
      <c r="AB588" s="48">
        <f>IF(OrdersRawTable9[[#This Row],[Net_Sales]]=0,0,OrdersRawTable9[[#This Row],[Profit]]/OrdersRawTable9[[#This Row],[Net_Sales]])</f>
        <v>0.39969048958919523</v>
      </c>
      <c r="AC588" s="45" t="str">
        <f>IF(COUNTIF(ReturnsRawTable[Order_Line_ID],OrdersRawTable9[[#This Row],[Order_Line_ID]])&gt;0,"Yes","No")</f>
        <v>No</v>
      </c>
      <c r="AD588" s="45" t="str">
        <f>IFERROR(VLOOKUP(OrdersRawTable9[[#This Row],[Order_Line_ID]],ReturnsRawTable[[#All],[Order_Line_ID]:[Return_Reason_Raw]],3,FALSE),"")</f>
        <v/>
      </c>
      <c r="AE588" s="49" t="str">
        <f>IFERROR(VLOOKUP(OrdersRawTable9[[#This Row],[Order_Line_ID]],ReturnsRawTable[[#All],[Order_Line_ID]:[Return_Date]],2,FALSE),"")</f>
        <v/>
      </c>
      <c r="AF588" s="45" t="str">
        <f>IFERROR(VLOOKUP(OrdersRawTable9[[#This Row],[Order_Line_ID]],ReturnsRawTable[[Order_Line_ID]:[Refund_Status]],4,FALSE),"")</f>
        <v/>
      </c>
      <c r="AG588" s="45" t="str">
        <f>VLOOKUP(OrdersRawTable9[[#This Row],[Order_ID]],ShipmentsTable[],6,FALSE)</f>
        <v>Late</v>
      </c>
      <c r="AH588" s="49">
        <f>VLOOKUP(OrdersRawTable9[[#This Row],[Order_ID]],ShipmentsTable[],3,FALSE)</f>
        <v>45929</v>
      </c>
    </row>
    <row r="589" spans="1:34" ht="15" customHeight="1">
      <c r="A589" s="14" t="s">
        <v>1192</v>
      </c>
      <c r="B589" s="10" t="s">
        <v>1193</v>
      </c>
      <c r="C589" s="20">
        <v>45705</v>
      </c>
      <c r="D589" s="10" t="s">
        <v>927</v>
      </c>
      <c r="E589" s="10" t="s">
        <v>928</v>
      </c>
      <c r="F589" s="10" t="str">
        <f>TRIM(LEFT(OrdersRawTable9[[#This Row],[Customer_Info]],FIND(",",OrdersRawTable9[[#This Row],[Customer_Info]])-1))</f>
        <v>Daniel Wilson</v>
      </c>
      <c r="G58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589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589" s="10">
        <f>LEN(OrdersRawTable9[[#This Row],[Customer_Info]])-LEN(SUBSTITUTE(OrdersRawTable9[[#This Row],[Customer_Info]],",",""))</f>
        <v>2</v>
      </c>
      <c r="J589" s="10" t="s">
        <v>72</v>
      </c>
      <c r="K589" s="23">
        <v>3</v>
      </c>
      <c r="L589" s="26">
        <v>210.2</v>
      </c>
      <c r="M589" s="29">
        <v>0.1</v>
      </c>
      <c r="N589" s="10" t="s">
        <v>64</v>
      </c>
      <c r="O589" s="10" t="str">
        <f>IF(TRIM(OrdersRawTable9[[#This Row],[Sales_Channel_Raw]])="Market place","Marketplace",TRIM(OrdersRawTable9[[#This Row],[Sales_Channel_Raw]]))</f>
        <v>Retail Store</v>
      </c>
      <c r="P589" s="10"/>
      <c r="Q589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589" s="15" t="s">
        <v>67</v>
      </c>
      <c r="S589" t="str">
        <f>VLOOKUP(OrdersRawTable9[[#This Row],[Customer_ID_Raw]],CustomersTable11[],4,FALSE)</f>
        <v>British Columbia</v>
      </c>
      <c r="T589" t="str">
        <f>VLOOKUP(OrdersRawTable9[[#This Row],[Customer_ID_Raw]],CustomersTable11[],5,FALSE)</f>
        <v>Consumer</v>
      </c>
      <c r="U589" s="45">
        <f>VLOOKUP(OrdersRawTable9[[#This Row],[Product_ID]],ProductsTable10[],4,FALSE)</f>
        <v>136.25</v>
      </c>
      <c r="V589" t="str">
        <f>VLOOKUP(OrdersRawTable9[[#This Row],[Product_ID]],ProductsTable10[],3,FALSE)</f>
        <v>Fitness</v>
      </c>
      <c r="W589" s="45">
        <f>OrdersRawTable9[[#This Row],[Unit_Price]]*OrdersRawTable9[[#This Row],[Quantity]]</f>
        <v>630.59999999999991</v>
      </c>
      <c r="X589" s="47">
        <f>OrdersRawTable9[[#This Row],[Gross_Sales]]*OrdersRawTable9[[#This Row],[Discount_Pct]]</f>
        <v>63.059999999999995</v>
      </c>
      <c r="Y589" s="45">
        <f>OrdersRawTable9[[#This Row],[Gross_Sales]]-OrdersRawTable9[[#This Row],[Discount_Amount]]</f>
        <v>567.54</v>
      </c>
      <c r="Z589" s="45">
        <f>OrdersRawTable9[[#This Row],[Unit_Cost]]*OrdersRawTable9[[#This Row],[Quantity]]</f>
        <v>408.75</v>
      </c>
      <c r="AA589" s="45">
        <f>OrdersRawTable9[[#This Row],[Net_Sales]]-OrdersRawTable9[[#This Row],[Total_Cost]]</f>
        <v>158.78999999999996</v>
      </c>
      <c r="AB589" s="48">
        <f>IF(OrdersRawTable9[[#This Row],[Net_Sales]]=0,0,OrdersRawTable9[[#This Row],[Profit]]/OrdersRawTable9[[#This Row],[Net_Sales]])</f>
        <v>0.27978644677027165</v>
      </c>
      <c r="AC589" s="45" t="str">
        <f>IF(COUNTIF(ReturnsRawTable[Order_Line_ID],OrdersRawTable9[[#This Row],[Order_Line_ID]])&gt;0,"Yes","No")</f>
        <v>No</v>
      </c>
      <c r="AD589" s="45" t="str">
        <f>IFERROR(VLOOKUP(OrdersRawTable9[[#This Row],[Order_Line_ID]],ReturnsRawTable[[#All],[Order_Line_ID]:[Return_Reason_Raw]],3,FALSE),"")</f>
        <v/>
      </c>
      <c r="AE589" s="49" t="str">
        <f>IFERROR(VLOOKUP(OrdersRawTable9[[#This Row],[Order_Line_ID]],ReturnsRawTable[[#All],[Order_Line_ID]:[Return_Date]],2,FALSE),"")</f>
        <v/>
      </c>
      <c r="AF589" s="45" t="str">
        <f>IFERROR(VLOOKUP(OrdersRawTable9[[#This Row],[Order_Line_ID]],ReturnsRawTable[[Order_Line_ID]:[Refund_Status]],4,FALSE),"")</f>
        <v/>
      </c>
      <c r="AG589" s="45" t="str">
        <f>VLOOKUP(OrdersRawTable9[[#This Row],[Order_ID]],ShipmentsTable[],6,FALSE)</f>
        <v>On time</v>
      </c>
      <c r="AH589" s="49">
        <f>VLOOKUP(OrdersRawTable9[[#This Row],[Order_ID]],ShipmentsTable[],3,FALSE)</f>
        <v>45708</v>
      </c>
    </row>
    <row r="590" spans="1:34" ht="15" customHeight="1">
      <c r="A590" s="14" t="s">
        <v>1194</v>
      </c>
      <c r="B590" s="10" t="s">
        <v>1193</v>
      </c>
      <c r="C590" s="20">
        <v>45705</v>
      </c>
      <c r="D590" s="10" t="s">
        <v>927</v>
      </c>
      <c r="E590" s="10" t="s">
        <v>928</v>
      </c>
      <c r="F590" s="10" t="str">
        <f>TRIM(LEFT(OrdersRawTable9[[#This Row],[Customer_Info]],FIND(",",OrdersRawTable9[[#This Row],[Customer_Info]])-1))</f>
        <v>Daniel Wilson</v>
      </c>
      <c r="G59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590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590" s="10">
        <f>LEN(OrdersRawTable9[[#This Row],[Customer_Info]])-LEN(SUBSTITUTE(OrdersRawTable9[[#This Row],[Customer_Info]],",",""))</f>
        <v>2</v>
      </c>
      <c r="J590" s="10" t="s">
        <v>180</v>
      </c>
      <c r="K590" s="23">
        <v>3</v>
      </c>
      <c r="L590" s="26">
        <v>91.75</v>
      </c>
      <c r="M590" s="29">
        <v>0</v>
      </c>
      <c r="N590" s="10" t="s">
        <v>45</v>
      </c>
      <c r="O590" s="10" t="str">
        <f>IF(TRIM(OrdersRawTable9[[#This Row],[Sales_Channel_Raw]])="Market place","Marketplace",TRIM(OrdersRawTable9[[#This Row],[Sales_Channel_Raw]]))</f>
        <v>Retail Store</v>
      </c>
      <c r="P590" s="10" t="s">
        <v>51</v>
      </c>
      <c r="Q590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590" s="15" t="s">
        <v>67</v>
      </c>
      <c r="S590" t="str">
        <f>VLOOKUP(OrdersRawTable9[[#This Row],[Customer_ID_Raw]],CustomersTable11[],4,FALSE)</f>
        <v>British Columbia</v>
      </c>
      <c r="T590" t="str">
        <f>VLOOKUP(OrdersRawTable9[[#This Row],[Customer_ID_Raw]],CustomersTable11[],5,FALSE)</f>
        <v>Consumer</v>
      </c>
      <c r="U590" s="45">
        <f>VLOOKUP(OrdersRawTable9[[#This Row],[Product_ID]],ProductsTable10[],4,FALSE)</f>
        <v>58.27</v>
      </c>
      <c r="V590" t="str">
        <f>VLOOKUP(OrdersRawTable9[[#This Row],[Product_ID]],ProductsTable10[],3,FALSE)</f>
        <v>Home</v>
      </c>
      <c r="W590" s="45">
        <f>OrdersRawTable9[[#This Row],[Unit_Price]]*OrdersRawTable9[[#This Row],[Quantity]]</f>
        <v>275.25</v>
      </c>
      <c r="X590" s="47">
        <f>OrdersRawTable9[[#This Row],[Gross_Sales]]*OrdersRawTable9[[#This Row],[Discount_Pct]]</f>
        <v>0</v>
      </c>
      <c r="Y590" s="45">
        <f>OrdersRawTable9[[#This Row],[Gross_Sales]]-OrdersRawTable9[[#This Row],[Discount_Amount]]</f>
        <v>275.25</v>
      </c>
      <c r="Z590" s="45">
        <f>OrdersRawTable9[[#This Row],[Unit_Cost]]*OrdersRawTable9[[#This Row],[Quantity]]</f>
        <v>174.81</v>
      </c>
      <c r="AA590" s="45">
        <f>OrdersRawTable9[[#This Row],[Net_Sales]]-OrdersRawTable9[[#This Row],[Total_Cost]]</f>
        <v>100.44</v>
      </c>
      <c r="AB590" s="48">
        <f>IF(OrdersRawTable9[[#This Row],[Net_Sales]]=0,0,OrdersRawTable9[[#This Row],[Profit]]/OrdersRawTable9[[#This Row],[Net_Sales]])</f>
        <v>0.36490463215258856</v>
      </c>
      <c r="AC590" s="45" t="str">
        <f>IF(COUNTIF(ReturnsRawTable[Order_Line_ID],OrdersRawTable9[[#This Row],[Order_Line_ID]])&gt;0,"Yes","No")</f>
        <v>No</v>
      </c>
      <c r="AD590" s="45" t="str">
        <f>IFERROR(VLOOKUP(OrdersRawTable9[[#This Row],[Order_Line_ID]],ReturnsRawTable[[#All],[Order_Line_ID]:[Return_Reason_Raw]],3,FALSE),"")</f>
        <v/>
      </c>
      <c r="AE590" s="49" t="str">
        <f>IFERROR(VLOOKUP(OrdersRawTable9[[#This Row],[Order_Line_ID]],ReturnsRawTable[[#All],[Order_Line_ID]:[Return_Date]],2,FALSE),"")</f>
        <v/>
      </c>
      <c r="AF590" s="45" t="str">
        <f>IFERROR(VLOOKUP(OrdersRawTable9[[#This Row],[Order_Line_ID]],ReturnsRawTable[[Order_Line_ID]:[Refund_Status]],4,FALSE),"")</f>
        <v/>
      </c>
      <c r="AG590" s="45" t="str">
        <f>VLOOKUP(OrdersRawTable9[[#This Row],[Order_ID]],ShipmentsTable[],6,FALSE)</f>
        <v>On time</v>
      </c>
      <c r="AH590" s="49">
        <f>VLOOKUP(OrdersRawTable9[[#This Row],[Order_ID]],ShipmentsTable[],3,FALSE)</f>
        <v>45708</v>
      </c>
    </row>
    <row r="591" spans="1:34" ht="15" customHeight="1">
      <c r="A591" s="14" t="s">
        <v>1195</v>
      </c>
      <c r="B591" s="10" t="s">
        <v>1196</v>
      </c>
      <c r="C591" s="20">
        <v>46002</v>
      </c>
      <c r="D591" s="10" t="s">
        <v>1197</v>
      </c>
      <c r="E591" s="10" t="s">
        <v>1198</v>
      </c>
      <c r="F591" s="10" t="str">
        <f>TRIM(LEFT(OrdersRawTable9[[#This Row],[Customer_Info]],FIND(",",OrdersRawTable9[[#This Row],[Customer_Info]])-1))</f>
        <v>Emma Khan</v>
      </c>
      <c r="G59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Regina</v>
      </c>
      <c r="H591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591" s="10">
        <f>LEN(OrdersRawTable9[[#This Row],[Customer_Info]])-LEN(SUBSTITUTE(OrdersRawTable9[[#This Row],[Customer_Info]],",",""))</f>
        <v>2</v>
      </c>
      <c r="J591" s="10" t="s">
        <v>303</v>
      </c>
      <c r="K591" s="23">
        <v>3</v>
      </c>
      <c r="L591" s="26">
        <v>72.81</v>
      </c>
      <c r="M591" s="29">
        <v>0.15</v>
      </c>
      <c r="N591" s="10" t="s">
        <v>66</v>
      </c>
      <c r="O591" s="10" t="str">
        <f>IF(TRIM(OrdersRawTable9[[#This Row],[Sales_Channel_Raw]])="Market place","Marketplace",TRIM(OrdersRawTable9[[#This Row],[Sales_Channel_Raw]]))</f>
        <v>Marketplace</v>
      </c>
      <c r="P591" s="10" t="s">
        <v>41</v>
      </c>
      <c r="Q591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91" s="15" t="s">
        <v>67</v>
      </c>
      <c r="S591" t="str">
        <f>VLOOKUP(OrdersRawTable9[[#This Row],[Customer_ID_Raw]],CustomersTable11[],4,FALSE)</f>
        <v>Saskatchewan</v>
      </c>
      <c r="T591" t="str">
        <f>VLOOKUP(OrdersRawTable9[[#This Row],[Customer_ID_Raw]],CustomersTable11[],5,FALSE)</f>
        <v>Consumer</v>
      </c>
      <c r="U591" s="45">
        <f>VLOOKUP(OrdersRawTable9[[#This Row],[Product_ID]],ProductsTable10[],4,FALSE)</f>
        <v>37.99</v>
      </c>
      <c r="V591" t="str">
        <f>VLOOKUP(OrdersRawTable9[[#This Row],[Product_ID]],ProductsTable10[],3,FALSE)</f>
        <v>Accessories</v>
      </c>
      <c r="W591" s="45">
        <f>OrdersRawTable9[[#This Row],[Unit_Price]]*OrdersRawTable9[[#This Row],[Quantity]]</f>
        <v>218.43</v>
      </c>
      <c r="X591" s="47">
        <f>OrdersRawTable9[[#This Row],[Gross_Sales]]*OrdersRawTable9[[#This Row],[Discount_Pct]]</f>
        <v>32.764499999999998</v>
      </c>
      <c r="Y591" s="45">
        <f>OrdersRawTable9[[#This Row],[Gross_Sales]]-OrdersRawTable9[[#This Row],[Discount_Amount]]</f>
        <v>185.66550000000001</v>
      </c>
      <c r="Z591" s="45">
        <f>OrdersRawTable9[[#This Row],[Unit_Cost]]*OrdersRawTable9[[#This Row],[Quantity]]</f>
        <v>113.97</v>
      </c>
      <c r="AA591" s="45">
        <f>OrdersRawTable9[[#This Row],[Net_Sales]]-OrdersRawTable9[[#This Row],[Total_Cost]]</f>
        <v>71.69550000000001</v>
      </c>
      <c r="AB591" s="48">
        <f>IF(OrdersRawTable9[[#This Row],[Net_Sales]]=0,0,OrdersRawTable9[[#This Row],[Profit]]/OrdersRawTable9[[#This Row],[Net_Sales]])</f>
        <v>0.38615413202775961</v>
      </c>
      <c r="AC591" s="45" t="str">
        <f>IF(COUNTIF(ReturnsRawTable[Order_Line_ID],OrdersRawTable9[[#This Row],[Order_Line_ID]])&gt;0,"Yes","No")</f>
        <v>No</v>
      </c>
      <c r="AD591" s="45" t="str">
        <f>IFERROR(VLOOKUP(OrdersRawTable9[[#This Row],[Order_Line_ID]],ReturnsRawTable[[#All],[Order_Line_ID]:[Return_Reason_Raw]],3,FALSE),"")</f>
        <v/>
      </c>
      <c r="AE591" s="49" t="str">
        <f>IFERROR(VLOOKUP(OrdersRawTable9[[#This Row],[Order_Line_ID]],ReturnsRawTable[[#All],[Order_Line_ID]:[Return_Date]],2,FALSE),"")</f>
        <v/>
      </c>
      <c r="AF591" s="45" t="str">
        <f>IFERROR(VLOOKUP(OrdersRawTable9[[#This Row],[Order_Line_ID]],ReturnsRawTable[[Order_Line_ID]:[Refund_Status]],4,FALSE),"")</f>
        <v/>
      </c>
      <c r="AG591" s="45" t="str">
        <f>VLOOKUP(OrdersRawTable9[[#This Row],[Order_ID]],ShipmentsTable[],6,FALSE)</f>
        <v>Late</v>
      </c>
      <c r="AH591" s="49">
        <f>VLOOKUP(OrdersRawTable9[[#This Row],[Order_ID]],ShipmentsTable[],3,FALSE)</f>
        <v>46007</v>
      </c>
    </row>
    <row r="592" spans="1:34" ht="15" customHeight="1">
      <c r="A592" s="14" t="s">
        <v>1199</v>
      </c>
      <c r="B592" s="10" t="s">
        <v>1196</v>
      </c>
      <c r="C592" s="20">
        <v>46002</v>
      </c>
      <c r="D592" s="10" t="s">
        <v>1197</v>
      </c>
      <c r="E592" s="10" t="s">
        <v>1198</v>
      </c>
      <c r="F592" s="10" t="str">
        <f>TRIM(LEFT(OrdersRawTable9[[#This Row],[Customer_Info]],FIND(",",OrdersRawTable9[[#This Row],[Customer_Info]])-1))</f>
        <v>Emma Khan</v>
      </c>
      <c r="G59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Regina</v>
      </c>
      <c r="H592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592" s="10">
        <f>LEN(OrdersRawTable9[[#This Row],[Customer_Info]])-LEN(SUBSTITUTE(OrdersRawTable9[[#This Row],[Customer_Info]],",",""))</f>
        <v>2</v>
      </c>
      <c r="J592" s="10" t="s">
        <v>39</v>
      </c>
      <c r="K592" s="23">
        <v>2</v>
      </c>
      <c r="L592" s="26">
        <v>236.51</v>
      </c>
      <c r="M592" s="29">
        <v>0</v>
      </c>
      <c r="N592" s="10" t="s">
        <v>66</v>
      </c>
      <c r="O592" s="10" t="str">
        <f>IF(TRIM(OrdersRawTable9[[#This Row],[Sales_Channel_Raw]])="Market place","Marketplace",TRIM(OrdersRawTable9[[#This Row],[Sales_Channel_Raw]]))</f>
        <v>Marketplace</v>
      </c>
      <c r="P592" s="10" t="s">
        <v>58</v>
      </c>
      <c r="Q592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592" s="15" t="s">
        <v>67</v>
      </c>
      <c r="S592" t="str">
        <f>VLOOKUP(OrdersRawTable9[[#This Row],[Customer_ID_Raw]],CustomersTable11[],4,FALSE)</f>
        <v>Saskatchewan</v>
      </c>
      <c r="T592" t="str">
        <f>VLOOKUP(OrdersRawTable9[[#This Row],[Customer_ID_Raw]],CustomersTable11[],5,FALSE)</f>
        <v>Consumer</v>
      </c>
      <c r="U592" s="45">
        <f>VLOOKUP(OrdersRawTable9[[#This Row],[Product_ID]],ProductsTable10[],4,FALSE)</f>
        <v>142.84</v>
      </c>
      <c r="V592" t="str">
        <f>VLOOKUP(OrdersRawTable9[[#This Row],[Product_ID]],ProductsTable10[],3,FALSE)</f>
        <v>Fitness</v>
      </c>
      <c r="W592" s="45">
        <f>OrdersRawTable9[[#This Row],[Unit_Price]]*OrdersRawTable9[[#This Row],[Quantity]]</f>
        <v>473.02</v>
      </c>
      <c r="X592" s="47">
        <f>OrdersRawTable9[[#This Row],[Gross_Sales]]*OrdersRawTable9[[#This Row],[Discount_Pct]]</f>
        <v>0</v>
      </c>
      <c r="Y592" s="45">
        <f>OrdersRawTable9[[#This Row],[Gross_Sales]]-OrdersRawTable9[[#This Row],[Discount_Amount]]</f>
        <v>473.02</v>
      </c>
      <c r="Z592" s="45">
        <f>OrdersRawTable9[[#This Row],[Unit_Cost]]*OrdersRawTable9[[#This Row],[Quantity]]</f>
        <v>285.68</v>
      </c>
      <c r="AA592" s="45">
        <f>OrdersRawTable9[[#This Row],[Net_Sales]]-OrdersRawTable9[[#This Row],[Total_Cost]]</f>
        <v>187.33999999999997</v>
      </c>
      <c r="AB592" s="48">
        <f>IF(OrdersRawTable9[[#This Row],[Net_Sales]]=0,0,OrdersRawTable9[[#This Row],[Profit]]/OrdersRawTable9[[#This Row],[Net_Sales]])</f>
        <v>0.39605090693839579</v>
      </c>
      <c r="AC592" s="45" t="str">
        <f>IF(COUNTIF(ReturnsRawTable[Order_Line_ID],OrdersRawTable9[[#This Row],[Order_Line_ID]])&gt;0,"Yes","No")</f>
        <v>No</v>
      </c>
      <c r="AD592" s="45" t="str">
        <f>IFERROR(VLOOKUP(OrdersRawTable9[[#This Row],[Order_Line_ID]],ReturnsRawTable[[#All],[Order_Line_ID]:[Return_Reason_Raw]],3,FALSE),"")</f>
        <v/>
      </c>
      <c r="AE592" s="49" t="str">
        <f>IFERROR(VLOOKUP(OrdersRawTable9[[#This Row],[Order_Line_ID]],ReturnsRawTable[[#All],[Order_Line_ID]:[Return_Date]],2,FALSE),"")</f>
        <v/>
      </c>
      <c r="AF592" s="45" t="str">
        <f>IFERROR(VLOOKUP(OrdersRawTable9[[#This Row],[Order_Line_ID]],ReturnsRawTable[[Order_Line_ID]:[Refund_Status]],4,FALSE),"")</f>
        <v/>
      </c>
      <c r="AG592" s="45" t="str">
        <f>VLOOKUP(OrdersRawTable9[[#This Row],[Order_ID]],ShipmentsTable[],6,FALSE)</f>
        <v>Late</v>
      </c>
      <c r="AH592" s="49">
        <f>VLOOKUP(OrdersRawTable9[[#This Row],[Order_ID]],ShipmentsTable[],3,FALSE)</f>
        <v>46007</v>
      </c>
    </row>
    <row r="593" spans="1:34" ht="15" customHeight="1">
      <c r="A593" s="14" t="s">
        <v>1200</v>
      </c>
      <c r="B593" s="10" t="s">
        <v>1201</v>
      </c>
      <c r="C593" s="20">
        <v>45986</v>
      </c>
      <c r="D593" s="10" t="s">
        <v>672</v>
      </c>
      <c r="E593" s="10" t="s">
        <v>673</v>
      </c>
      <c r="F593" s="10" t="str">
        <f>TRIM(LEFT(OrdersRawTable9[[#This Row],[Customer_Info]],FIND(",",OrdersRawTable9[[#This Row],[Customer_Info]])-1))</f>
        <v>Adam Tremblay</v>
      </c>
      <c r="G59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593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93" s="10">
        <f>LEN(OrdersRawTable9[[#This Row],[Customer_Info]])-LEN(SUBSTITUTE(OrdersRawTable9[[#This Row],[Customer_Info]],",",""))</f>
        <v>2</v>
      </c>
      <c r="J593" s="10" t="s">
        <v>456</v>
      </c>
      <c r="K593" s="23">
        <v>2</v>
      </c>
      <c r="L593" s="26">
        <v>275.76</v>
      </c>
      <c r="M593" s="29">
        <v>0.1</v>
      </c>
      <c r="N593" s="10" t="s">
        <v>66</v>
      </c>
      <c r="O593" s="10" t="str">
        <f>IF(TRIM(OrdersRawTable9[[#This Row],[Sales_Channel_Raw]])="Market place","Marketplace",TRIM(OrdersRawTable9[[#This Row],[Sales_Channel_Raw]]))</f>
        <v>Marketplace</v>
      </c>
      <c r="P593" s="10" t="s">
        <v>51</v>
      </c>
      <c r="Q593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593" s="15" t="s">
        <v>67</v>
      </c>
      <c r="S593" t="str">
        <f>VLOOKUP(OrdersRawTable9[[#This Row],[Customer_ID_Raw]],CustomersTable11[],4,FALSE)</f>
        <v>Alberta</v>
      </c>
      <c r="T593" t="str">
        <f>VLOOKUP(OrdersRawTable9[[#This Row],[Customer_ID_Raw]],CustomersTable11[],5,FALSE)</f>
        <v>Small Business</v>
      </c>
      <c r="U593" s="45">
        <f>VLOOKUP(OrdersRawTable9[[#This Row],[Product_ID]],ProductsTable10[],4,FALSE)</f>
        <v>156.97</v>
      </c>
      <c r="V593" t="str">
        <f>VLOOKUP(OrdersRawTable9[[#This Row],[Product_ID]],ProductsTable10[],3,FALSE)</f>
        <v>Home</v>
      </c>
      <c r="W593" s="45">
        <f>OrdersRawTable9[[#This Row],[Unit_Price]]*OrdersRawTable9[[#This Row],[Quantity]]</f>
        <v>551.52</v>
      </c>
      <c r="X593" s="47">
        <f>OrdersRawTable9[[#This Row],[Gross_Sales]]*OrdersRawTable9[[#This Row],[Discount_Pct]]</f>
        <v>55.152000000000001</v>
      </c>
      <c r="Y593" s="45">
        <f>OrdersRawTable9[[#This Row],[Gross_Sales]]-OrdersRawTable9[[#This Row],[Discount_Amount]]</f>
        <v>496.36799999999999</v>
      </c>
      <c r="Z593" s="45">
        <f>OrdersRawTable9[[#This Row],[Unit_Cost]]*OrdersRawTable9[[#This Row],[Quantity]]</f>
        <v>313.94</v>
      </c>
      <c r="AA593" s="45">
        <f>OrdersRawTable9[[#This Row],[Net_Sales]]-OrdersRawTable9[[#This Row],[Total_Cost]]</f>
        <v>182.428</v>
      </c>
      <c r="AB593" s="48">
        <f>IF(OrdersRawTable9[[#This Row],[Net_Sales]]=0,0,OrdersRawTable9[[#This Row],[Profit]]/OrdersRawTable9[[#This Row],[Net_Sales]])</f>
        <v>0.36752570673371371</v>
      </c>
      <c r="AC593" s="45" t="str">
        <f>IF(COUNTIF(ReturnsRawTable[Order_Line_ID],OrdersRawTable9[[#This Row],[Order_Line_ID]])&gt;0,"Yes","No")</f>
        <v>No</v>
      </c>
      <c r="AD593" s="45" t="str">
        <f>IFERROR(VLOOKUP(OrdersRawTable9[[#This Row],[Order_Line_ID]],ReturnsRawTable[[#All],[Order_Line_ID]:[Return_Reason_Raw]],3,FALSE),"")</f>
        <v/>
      </c>
      <c r="AE593" s="49" t="str">
        <f>IFERROR(VLOOKUP(OrdersRawTable9[[#This Row],[Order_Line_ID]],ReturnsRawTable[[#All],[Order_Line_ID]:[Return_Date]],2,FALSE),"")</f>
        <v/>
      </c>
      <c r="AF593" s="45" t="str">
        <f>IFERROR(VLOOKUP(OrdersRawTable9[[#This Row],[Order_Line_ID]],ReturnsRawTable[[Order_Line_ID]:[Refund_Status]],4,FALSE),"")</f>
        <v/>
      </c>
      <c r="AG593" s="45" t="str">
        <f>VLOOKUP(OrdersRawTable9[[#This Row],[Order_ID]],ShipmentsTable[],6,FALSE)</f>
        <v>On time</v>
      </c>
      <c r="AH593" s="49">
        <f>VLOOKUP(OrdersRawTable9[[#This Row],[Order_ID]],ShipmentsTable[],3,FALSE)</f>
        <v>45989</v>
      </c>
    </row>
    <row r="594" spans="1:34" ht="15" customHeight="1">
      <c r="A594" s="14" t="s">
        <v>1202</v>
      </c>
      <c r="B594" s="10" t="s">
        <v>1201</v>
      </c>
      <c r="C594" s="20">
        <v>45986</v>
      </c>
      <c r="D594" s="10" t="s">
        <v>672</v>
      </c>
      <c r="E594" s="10" t="s">
        <v>673</v>
      </c>
      <c r="F594" s="10" t="str">
        <f>TRIM(LEFT(OrdersRawTable9[[#This Row],[Customer_Info]],FIND(",",OrdersRawTable9[[#This Row],[Customer_Info]])-1))</f>
        <v>Adam Tremblay</v>
      </c>
      <c r="G59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594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94" s="10">
        <f>LEN(OrdersRawTable9[[#This Row],[Customer_Info]])-LEN(SUBSTITUTE(OrdersRawTable9[[#This Row],[Customer_Info]],",",""))</f>
        <v>2</v>
      </c>
      <c r="J594" s="10" t="s">
        <v>150</v>
      </c>
      <c r="K594" s="23">
        <v>1</v>
      </c>
      <c r="L594" s="26">
        <v>263.04000000000002</v>
      </c>
      <c r="M594" s="29">
        <v>0.15</v>
      </c>
      <c r="N594" s="10" t="s">
        <v>66</v>
      </c>
      <c r="O594" s="10" t="str">
        <f>IF(TRIM(OrdersRawTable9[[#This Row],[Sales_Channel_Raw]])="Market place","Marketplace",TRIM(OrdersRawTable9[[#This Row],[Sales_Channel_Raw]]))</f>
        <v>Marketplace</v>
      </c>
      <c r="P594" s="10" t="s">
        <v>51</v>
      </c>
      <c r="Q594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594" s="15" t="s">
        <v>47</v>
      </c>
      <c r="S594" t="str">
        <f>VLOOKUP(OrdersRawTable9[[#This Row],[Customer_ID_Raw]],CustomersTable11[],4,FALSE)</f>
        <v>Alberta</v>
      </c>
      <c r="T594" t="str">
        <f>VLOOKUP(OrdersRawTable9[[#This Row],[Customer_ID_Raw]],CustomersTable11[],5,FALSE)</f>
        <v>Small Business</v>
      </c>
      <c r="U594" s="45">
        <f>VLOOKUP(OrdersRawTable9[[#This Row],[Product_ID]],ProductsTable10[],4,FALSE)</f>
        <v>161.84</v>
      </c>
      <c r="V594" t="str">
        <f>VLOOKUP(OrdersRawTable9[[#This Row],[Product_ID]],ProductsTable10[],3,FALSE)</f>
        <v>Office</v>
      </c>
      <c r="W594" s="45">
        <f>OrdersRawTable9[[#This Row],[Unit_Price]]*OrdersRawTable9[[#This Row],[Quantity]]</f>
        <v>263.04000000000002</v>
      </c>
      <c r="X594" s="47">
        <f>OrdersRawTable9[[#This Row],[Gross_Sales]]*OrdersRawTable9[[#This Row],[Discount_Pct]]</f>
        <v>39.456000000000003</v>
      </c>
      <c r="Y594" s="45">
        <f>OrdersRawTable9[[#This Row],[Gross_Sales]]-OrdersRawTable9[[#This Row],[Discount_Amount]]</f>
        <v>223.584</v>
      </c>
      <c r="Z594" s="45">
        <f>OrdersRawTable9[[#This Row],[Unit_Cost]]*OrdersRawTable9[[#This Row],[Quantity]]</f>
        <v>161.84</v>
      </c>
      <c r="AA594" s="45">
        <f>OrdersRawTable9[[#This Row],[Net_Sales]]-OrdersRawTable9[[#This Row],[Total_Cost]]</f>
        <v>61.744</v>
      </c>
      <c r="AB594" s="48">
        <f>IF(OrdersRawTable9[[#This Row],[Net_Sales]]=0,0,OrdersRawTable9[[#This Row],[Profit]]/OrdersRawTable9[[#This Row],[Net_Sales]])</f>
        <v>0.27615571776155717</v>
      </c>
      <c r="AC594" s="45" t="str">
        <f>IF(COUNTIF(ReturnsRawTable[Order_Line_ID],OrdersRawTable9[[#This Row],[Order_Line_ID]])&gt;0,"Yes","No")</f>
        <v>Yes</v>
      </c>
      <c r="AD594" s="45" t="str">
        <f>IFERROR(VLOOKUP(OrdersRawTable9[[#This Row],[Order_Line_ID]],ReturnsRawTable[[#All],[Order_Line_ID]:[Return_Reason_Raw]],3,FALSE),"")</f>
        <v>Changed Mind</v>
      </c>
      <c r="AE594" s="49">
        <f>IFERROR(VLOOKUP(OrdersRawTable9[[#This Row],[Order_Line_ID]],ReturnsRawTable[[#All],[Order_Line_ID]:[Return_Date]],2,FALSE),"")</f>
        <v>45993</v>
      </c>
      <c r="AF594" s="45" t="str">
        <f>IFERROR(VLOOKUP(OrdersRawTable9[[#This Row],[Order_Line_ID]],ReturnsRawTable[[Order_Line_ID]:[Refund_Status]],4,FALSE),"")</f>
        <v>Refunded</v>
      </c>
      <c r="AG594" s="45" t="str">
        <f>VLOOKUP(OrdersRawTable9[[#This Row],[Order_ID]],ShipmentsTable[],6,FALSE)</f>
        <v>On time</v>
      </c>
      <c r="AH594" s="49">
        <f>VLOOKUP(OrdersRawTable9[[#This Row],[Order_ID]],ShipmentsTable[],3,FALSE)</f>
        <v>45989</v>
      </c>
    </row>
    <row r="595" spans="1:34" ht="15" customHeight="1">
      <c r="A595" s="14" t="s">
        <v>1203</v>
      </c>
      <c r="B595" s="10" t="s">
        <v>1201</v>
      </c>
      <c r="C595" s="20">
        <v>45986</v>
      </c>
      <c r="D595" s="10" t="s">
        <v>672</v>
      </c>
      <c r="E595" s="10" t="s">
        <v>673</v>
      </c>
      <c r="F595" s="10" t="str">
        <f>TRIM(LEFT(OrdersRawTable9[[#This Row],[Customer_Info]],FIND(",",OrdersRawTable9[[#This Row],[Customer_Info]])-1))</f>
        <v>Adam Tremblay</v>
      </c>
      <c r="G59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595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95" s="10">
        <f>LEN(OrdersRawTable9[[#This Row],[Customer_Info]])-LEN(SUBSTITUTE(OrdersRawTable9[[#This Row],[Customer_Info]],",",""))</f>
        <v>2</v>
      </c>
      <c r="J595" s="10" t="s">
        <v>180</v>
      </c>
      <c r="K595" s="23">
        <v>3</v>
      </c>
      <c r="L595" s="26">
        <v>91.75</v>
      </c>
      <c r="M595" s="29">
        <v>0.1</v>
      </c>
      <c r="N595" s="10" t="s">
        <v>45</v>
      </c>
      <c r="O595" s="10" t="str">
        <f>IF(TRIM(OrdersRawTable9[[#This Row],[Sales_Channel_Raw]])="Market place","Marketplace",TRIM(OrdersRawTable9[[#This Row],[Sales_Channel_Raw]]))</f>
        <v>Retail Store</v>
      </c>
      <c r="P595" s="10" t="s">
        <v>41</v>
      </c>
      <c r="Q595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95" s="15" t="s">
        <v>52</v>
      </c>
      <c r="S595" t="str">
        <f>VLOOKUP(OrdersRawTable9[[#This Row],[Customer_ID_Raw]],CustomersTable11[],4,FALSE)</f>
        <v>Alberta</v>
      </c>
      <c r="T595" t="str">
        <f>VLOOKUP(OrdersRawTable9[[#This Row],[Customer_ID_Raw]],CustomersTable11[],5,FALSE)</f>
        <v>Small Business</v>
      </c>
      <c r="U595" s="45">
        <f>VLOOKUP(OrdersRawTable9[[#This Row],[Product_ID]],ProductsTable10[],4,FALSE)</f>
        <v>58.27</v>
      </c>
      <c r="V595" t="str">
        <f>VLOOKUP(OrdersRawTable9[[#This Row],[Product_ID]],ProductsTable10[],3,FALSE)</f>
        <v>Home</v>
      </c>
      <c r="W595" s="45">
        <f>OrdersRawTable9[[#This Row],[Unit_Price]]*OrdersRawTable9[[#This Row],[Quantity]]</f>
        <v>275.25</v>
      </c>
      <c r="X595" s="47">
        <f>OrdersRawTable9[[#This Row],[Gross_Sales]]*OrdersRawTable9[[#This Row],[Discount_Pct]]</f>
        <v>27.525000000000002</v>
      </c>
      <c r="Y595" s="45">
        <f>OrdersRawTable9[[#This Row],[Gross_Sales]]-OrdersRawTable9[[#This Row],[Discount_Amount]]</f>
        <v>247.72499999999999</v>
      </c>
      <c r="Z595" s="45">
        <f>OrdersRawTable9[[#This Row],[Unit_Cost]]*OrdersRawTable9[[#This Row],[Quantity]]</f>
        <v>174.81</v>
      </c>
      <c r="AA595" s="45">
        <f>OrdersRawTable9[[#This Row],[Net_Sales]]-OrdersRawTable9[[#This Row],[Total_Cost]]</f>
        <v>72.914999999999992</v>
      </c>
      <c r="AB595" s="48">
        <f>IF(OrdersRawTable9[[#This Row],[Net_Sales]]=0,0,OrdersRawTable9[[#This Row],[Profit]]/OrdersRawTable9[[#This Row],[Net_Sales]])</f>
        <v>0.29433848016954284</v>
      </c>
      <c r="AC595" s="45" t="str">
        <f>IF(COUNTIF(ReturnsRawTable[Order_Line_ID],OrdersRawTable9[[#This Row],[Order_Line_ID]])&gt;0,"Yes","No")</f>
        <v>No</v>
      </c>
      <c r="AD595" s="45" t="str">
        <f>IFERROR(VLOOKUP(OrdersRawTable9[[#This Row],[Order_Line_ID]],ReturnsRawTable[[#All],[Order_Line_ID]:[Return_Reason_Raw]],3,FALSE),"")</f>
        <v/>
      </c>
      <c r="AE595" s="49" t="str">
        <f>IFERROR(VLOOKUP(OrdersRawTable9[[#This Row],[Order_Line_ID]],ReturnsRawTable[[#All],[Order_Line_ID]:[Return_Date]],2,FALSE),"")</f>
        <v/>
      </c>
      <c r="AF595" s="45" t="str">
        <f>IFERROR(VLOOKUP(OrdersRawTable9[[#This Row],[Order_Line_ID]],ReturnsRawTable[[Order_Line_ID]:[Refund_Status]],4,FALSE),"")</f>
        <v/>
      </c>
      <c r="AG595" s="45" t="str">
        <f>VLOOKUP(OrdersRawTable9[[#This Row],[Order_ID]],ShipmentsTable[],6,FALSE)</f>
        <v>On time</v>
      </c>
      <c r="AH595" s="49">
        <f>VLOOKUP(OrdersRawTable9[[#This Row],[Order_ID]],ShipmentsTable[],3,FALSE)</f>
        <v>45989</v>
      </c>
    </row>
    <row r="596" spans="1:34" ht="15" customHeight="1">
      <c r="A596" s="14" t="s">
        <v>1204</v>
      </c>
      <c r="B596" s="10" t="s">
        <v>1201</v>
      </c>
      <c r="C596" s="20">
        <v>45986</v>
      </c>
      <c r="D596" s="10" t="s">
        <v>672</v>
      </c>
      <c r="E596" s="10" t="s">
        <v>673</v>
      </c>
      <c r="F596" s="10" t="str">
        <f>TRIM(LEFT(OrdersRawTable9[[#This Row],[Customer_Info]],FIND(",",OrdersRawTable9[[#This Row],[Customer_Info]])-1))</f>
        <v>Adam Tremblay</v>
      </c>
      <c r="G59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596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96" s="10">
        <f>LEN(OrdersRawTable9[[#This Row],[Customer_Info]])-LEN(SUBSTITUTE(OrdersRawTable9[[#This Row],[Customer_Info]],",",""))</f>
        <v>2</v>
      </c>
      <c r="J596" s="10" t="s">
        <v>241</v>
      </c>
      <c r="K596" s="23">
        <v>4</v>
      </c>
      <c r="L596" s="26">
        <v>300.56</v>
      </c>
      <c r="M596" s="29">
        <v>0.15</v>
      </c>
      <c r="N596" s="10" t="s">
        <v>66</v>
      </c>
      <c r="O596" s="10" t="str">
        <f>IF(TRIM(OrdersRawTable9[[#This Row],[Sales_Channel_Raw]])="Market place","Marketplace",TRIM(OrdersRawTable9[[#This Row],[Sales_Channel_Raw]]))</f>
        <v>Marketplace</v>
      </c>
      <c r="P596" s="10" t="s">
        <v>41</v>
      </c>
      <c r="Q596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96" s="15" t="s">
        <v>52</v>
      </c>
      <c r="S596" t="str">
        <f>VLOOKUP(OrdersRawTable9[[#This Row],[Customer_ID_Raw]],CustomersTable11[],4,FALSE)</f>
        <v>Alberta</v>
      </c>
      <c r="T596" t="str">
        <f>VLOOKUP(OrdersRawTable9[[#This Row],[Customer_ID_Raw]],CustomersTable11[],5,FALSE)</f>
        <v>Small Business</v>
      </c>
      <c r="U596" s="45">
        <f>VLOOKUP(OrdersRawTable9[[#This Row],[Product_ID]],ProductsTable10[],4,FALSE)</f>
        <v>158.86000000000001</v>
      </c>
      <c r="V596" t="str">
        <f>VLOOKUP(OrdersRawTable9[[#This Row],[Product_ID]],ProductsTable10[],3,FALSE)</f>
        <v>Accessories</v>
      </c>
      <c r="W596" s="45">
        <f>OrdersRawTable9[[#This Row],[Unit_Price]]*OrdersRawTable9[[#This Row],[Quantity]]</f>
        <v>1202.24</v>
      </c>
      <c r="X596" s="47">
        <f>OrdersRawTable9[[#This Row],[Gross_Sales]]*OrdersRawTable9[[#This Row],[Discount_Pct]]</f>
        <v>180.33599999999998</v>
      </c>
      <c r="Y596" s="45">
        <f>OrdersRawTable9[[#This Row],[Gross_Sales]]-OrdersRawTable9[[#This Row],[Discount_Amount]]</f>
        <v>1021.904</v>
      </c>
      <c r="Z596" s="45">
        <f>OrdersRawTable9[[#This Row],[Unit_Cost]]*OrdersRawTable9[[#This Row],[Quantity]]</f>
        <v>635.44000000000005</v>
      </c>
      <c r="AA596" s="45">
        <f>OrdersRawTable9[[#This Row],[Net_Sales]]-OrdersRawTable9[[#This Row],[Total_Cost]]</f>
        <v>386.46399999999994</v>
      </c>
      <c r="AB596" s="48">
        <f>IF(OrdersRawTable9[[#This Row],[Net_Sales]]=0,0,OrdersRawTable9[[#This Row],[Profit]]/OrdersRawTable9[[#This Row],[Net_Sales]])</f>
        <v>0.37818033787909622</v>
      </c>
      <c r="AC596" s="45" t="str">
        <f>IF(COUNTIF(ReturnsRawTable[Order_Line_ID],OrdersRawTable9[[#This Row],[Order_Line_ID]])&gt;0,"Yes","No")</f>
        <v>No</v>
      </c>
      <c r="AD596" s="45" t="str">
        <f>IFERROR(VLOOKUP(OrdersRawTable9[[#This Row],[Order_Line_ID]],ReturnsRawTable[[#All],[Order_Line_ID]:[Return_Reason_Raw]],3,FALSE),"")</f>
        <v/>
      </c>
      <c r="AE596" s="49" t="str">
        <f>IFERROR(VLOOKUP(OrdersRawTable9[[#This Row],[Order_Line_ID]],ReturnsRawTable[[#All],[Order_Line_ID]:[Return_Date]],2,FALSE),"")</f>
        <v/>
      </c>
      <c r="AF596" s="45" t="str">
        <f>IFERROR(VLOOKUP(OrdersRawTable9[[#This Row],[Order_Line_ID]],ReturnsRawTable[[Order_Line_ID]:[Refund_Status]],4,FALSE),"")</f>
        <v/>
      </c>
      <c r="AG596" s="45" t="str">
        <f>VLOOKUP(OrdersRawTable9[[#This Row],[Order_ID]],ShipmentsTable[],6,FALSE)</f>
        <v>On time</v>
      </c>
      <c r="AH596" s="49">
        <f>VLOOKUP(OrdersRawTable9[[#This Row],[Order_ID]],ShipmentsTable[],3,FALSE)</f>
        <v>45989</v>
      </c>
    </row>
    <row r="597" spans="1:34" ht="15" customHeight="1">
      <c r="A597" s="14" t="s">
        <v>1205</v>
      </c>
      <c r="B597" s="10" t="s">
        <v>1206</v>
      </c>
      <c r="C597" s="20">
        <v>45703</v>
      </c>
      <c r="D597" s="10" t="s">
        <v>340</v>
      </c>
      <c r="E597" s="10" t="s">
        <v>341</v>
      </c>
      <c r="F597" s="10" t="str">
        <f>TRIM(LEFT(OrdersRawTable9[[#This Row],[Customer_Info]],FIND(",",OrdersRawTable9[[#This Row],[Customer_Info]])-1))</f>
        <v>Emma Ali</v>
      </c>
      <c r="G59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597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97" s="10">
        <f>LEN(OrdersRawTable9[[#This Row],[Customer_Info]])-LEN(SUBSTITUTE(OrdersRawTable9[[#This Row],[Customer_Info]],",",""))</f>
        <v>2</v>
      </c>
      <c r="J597" s="10" t="s">
        <v>495</v>
      </c>
      <c r="K597" s="23">
        <v>3</v>
      </c>
      <c r="L597" s="26">
        <v>207.71</v>
      </c>
      <c r="M597" s="29">
        <v>0.15</v>
      </c>
      <c r="N597" s="10" t="s">
        <v>40</v>
      </c>
      <c r="O597" s="10" t="str">
        <f>IF(TRIM(OrdersRawTable9[[#This Row],[Sales_Channel_Raw]])="Market place","Marketplace",TRIM(OrdersRawTable9[[#This Row],[Sales_Channel_Raw]]))</f>
        <v>Online</v>
      </c>
      <c r="P597" s="10" t="s">
        <v>98</v>
      </c>
      <c r="Q597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597" s="15" t="s">
        <v>42</v>
      </c>
      <c r="S597" t="str">
        <f>VLOOKUP(OrdersRawTable9[[#This Row],[Customer_ID_Raw]],CustomersTable11[],4,FALSE)</f>
        <v>Alberta</v>
      </c>
      <c r="T597" t="str">
        <f>VLOOKUP(OrdersRawTable9[[#This Row],[Customer_ID_Raw]],CustomersTable11[],5,FALSE)</f>
        <v>Small Business</v>
      </c>
      <c r="U597" s="45">
        <f>VLOOKUP(OrdersRawTable9[[#This Row],[Product_ID]],ProductsTable10[],4,FALSE)</f>
        <v>132.97</v>
      </c>
      <c r="V597" t="str">
        <f>VLOOKUP(OrdersRawTable9[[#This Row],[Product_ID]],ProductsTable10[],3,FALSE)</f>
        <v>Home</v>
      </c>
      <c r="W597" s="45">
        <f>OrdersRawTable9[[#This Row],[Unit_Price]]*OrdersRawTable9[[#This Row],[Quantity]]</f>
        <v>623.13</v>
      </c>
      <c r="X597" s="47">
        <f>OrdersRawTable9[[#This Row],[Gross_Sales]]*OrdersRawTable9[[#This Row],[Discount_Pct]]</f>
        <v>93.469499999999996</v>
      </c>
      <c r="Y597" s="45">
        <f>OrdersRawTable9[[#This Row],[Gross_Sales]]-OrdersRawTable9[[#This Row],[Discount_Amount]]</f>
        <v>529.66049999999996</v>
      </c>
      <c r="Z597" s="45">
        <f>OrdersRawTable9[[#This Row],[Unit_Cost]]*OrdersRawTable9[[#This Row],[Quantity]]</f>
        <v>398.90999999999997</v>
      </c>
      <c r="AA597" s="45">
        <f>OrdersRawTable9[[#This Row],[Net_Sales]]-OrdersRawTable9[[#This Row],[Total_Cost]]</f>
        <v>130.75049999999999</v>
      </c>
      <c r="AB597" s="48">
        <f>IF(OrdersRawTable9[[#This Row],[Net_Sales]]=0,0,OrdersRawTable9[[#This Row],[Profit]]/OrdersRawTable9[[#This Row],[Net_Sales]])</f>
        <v>0.24685718493261249</v>
      </c>
      <c r="AC597" s="45" t="str">
        <f>IF(COUNTIF(ReturnsRawTable[Order_Line_ID],OrdersRawTable9[[#This Row],[Order_Line_ID]])&gt;0,"Yes","No")</f>
        <v>No</v>
      </c>
      <c r="AD597" s="45" t="str">
        <f>IFERROR(VLOOKUP(OrdersRawTable9[[#This Row],[Order_Line_ID]],ReturnsRawTable[[#All],[Order_Line_ID]:[Return_Reason_Raw]],3,FALSE),"")</f>
        <v/>
      </c>
      <c r="AE597" s="49" t="str">
        <f>IFERROR(VLOOKUP(OrdersRawTable9[[#This Row],[Order_Line_ID]],ReturnsRawTable[[#All],[Order_Line_ID]:[Return_Date]],2,FALSE),"")</f>
        <v/>
      </c>
      <c r="AF597" s="45" t="str">
        <f>IFERROR(VLOOKUP(OrdersRawTable9[[#This Row],[Order_Line_ID]],ReturnsRawTable[[Order_Line_ID]:[Refund_Status]],4,FALSE),"")</f>
        <v/>
      </c>
      <c r="AG597" s="45" t="str">
        <f>VLOOKUP(OrdersRawTable9[[#This Row],[Order_ID]],ShipmentsTable[],6,FALSE)</f>
        <v>Late</v>
      </c>
      <c r="AH597" s="49">
        <f>VLOOKUP(OrdersRawTable9[[#This Row],[Order_ID]],ShipmentsTable[],3,FALSE)</f>
        <v>45712.041666666664</v>
      </c>
    </row>
    <row r="598" spans="1:34" ht="15" customHeight="1">
      <c r="A598" s="14" t="s">
        <v>1207</v>
      </c>
      <c r="B598" s="10" t="s">
        <v>1206</v>
      </c>
      <c r="C598" s="20">
        <v>45703</v>
      </c>
      <c r="D598" s="10" t="s">
        <v>340</v>
      </c>
      <c r="E598" s="10" t="s">
        <v>341</v>
      </c>
      <c r="F598" s="10" t="str">
        <f>TRIM(LEFT(OrdersRawTable9[[#This Row],[Customer_Info]],FIND(",",OrdersRawTable9[[#This Row],[Customer_Info]])-1))</f>
        <v>Emma Ali</v>
      </c>
      <c r="G59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598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98" s="10">
        <f>LEN(OrdersRawTable9[[#This Row],[Customer_Info]])-LEN(SUBSTITUTE(OrdersRawTable9[[#This Row],[Customer_Info]],",",""))</f>
        <v>2</v>
      </c>
      <c r="J598" s="10" t="s">
        <v>44</v>
      </c>
      <c r="K598" s="23">
        <v>4</v>
      </c>
      <c r="L598" s="26">
        <v>238.47</v>
      </c>
      <c r="M598" s="29">
        <v>0.1</v>
      </c>
      <c r="N598" s="10" t="s">
        <v>70</v>
      </c>
      <c r="O598" s="10" t="str">
        <f>IF(TRIM(OrdersRawTable9[[#This Row],[Sales_Channel_Raw]])="Market place","Marketplace",TRIM(OrdersRawTable9[[#This Row],[Sales_Channel_Raw]]))</f>
        <v>online</v>
      </c>
      <c r="P598" s="10" t="s">
        <v>46</v>
      </c>
      <c r="Q598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98" s="15" t="s">
        <v>52</v>
      </c>
      <c r="S598" t="str">
        <f>VLOOKUP(OrdersRawTable9[[#This Row],[Customer_ID_Raw]],CustomersTable11[],4,FALSE)</f>
        <v>Alberta</v>
      </c>
      <c r="T598" t="str">
        <f>VLOOKUP(OrdersRawTable9[[#This Row],[Customer_ID_Raw]],CustomersTable11[],5,FALSE)</f>
        <v>Small Business</v>
      </c>
      <c r="U598" s="45">
        <f>VLOOKUP(OrdersRawTable9[[#This Row],[Product_ID]],ProductsTable10[],4,FALSE)</f>
        <v>127.65</v>
      </c>
      <c r="V598" t="str">
        <f>VLOOKUP(OrdersRawTable9[[#This Row],[Product_ID]],ProductsTable10[],3,FALSE)</f>
        <v>Accessories</v>
      </c>
      <c r="W598" s="45">
        <f>OrdersRawTable9[[#This Row],[Unit_Price]]*OrdersRawTable9[[#This Row],[Quantity]]</f>
        <v>953.88</v>
      </c>
      <c r="X598" s="47">
        <f>OrdersRawTable9[[#This Row],[Gross_Sales]]*OrdersRawTable9[[#This Row],[Discount_Pct]]</f>
        <v>95.388000000000005</v>
      </c>
      <c r="Y598" s="45">
        <f>OrdersRawTable9[[#This Row],[Gross_Sales]]-OrdersRawTable9[[#This Row],[Discount_Amount]]</f>
        <v>858.49199999999996</v>
      </c>
      <c r="Z598" s="45">
        <f>OrdersRawTable9[[#This Row],[Unit_Cost]]*OrdersRawTable9[[#This Row],[Quantity]]</f>
        <v>510.6</v>
      </c>
      <c r="AA598" s="45">
        <f>OrdersRawTable9[[#This Row],[Net_Sales]]-OrdersRawTable9[[#This Row],[Total_Cost]]</f>
        <v>347.89199999999994</v>
      </c>
      <c r="AB598" s="48">
        <f>IF(OrdersRawTable9[[#This Row],[Net_Sales]]=0,0,OrdersRawTable9[[#This Row],[Profit]]/OrdersRawTable9[[#This Row],[Net_Sales]])</f>
        <v>0.40523615828685644</v>
      </c>
      <c r="AC598" s="45" t="str">
        <f>IF(COUNTIF(ReturnsRawTable[Order_Line_ID],OrdersRawTable9[[#This Row],[Order_Line_ID]])&gt;0,"Yes","No")</f>
        <v>No</v>
      </c>
      <c r="AD598" s="45" t="str">
        <f>IFERROR(VLOOKUP(OrdersRawTable9[[#This Row],[Order_Line_ID]],ReturnsRawTable[[#All],[Order_Line_ID]:[Return_Reason_Raw]],3,FALSE),"")</f>
        <v/>
      </c>
      <c r="AE598" s="49" t="str">
        <f>IFERROR(VLOOKUP(OrdersRawTable9[[#This Row],[Order_Line_ID]],ReturnsRawTable[[#All],[Order_Line_ID]:[Return_Date]],2,FALSE),"")</f>
        <v/>
      </c>
      <c r="AF598" s="45" t="str">
        <f>IFERROR(VLOOKUP(OrdersRawTable9[[#This Row],[Order_Line_ID]],ReturnsRawTable[[Order_Line_ID]:[Refund_Status]],4,FALSE),"")</f>
        <v/>
      </c>
      <c r="AG598" s="45" t="str">
        <f>VLOOKUP(OrdersRawTable9[[#This Row],[Order_ID]],ShipmentsTable[],6,FALSE)</f>
        <v>Late</v>
      </c>
      <c r="AH598" s="49">
        <f>VLOOKUP(OrdersRawTable9[[#This Row],[Order_ID]],ShipmentsTable[],3,FALSE)</f>
        <v>45712.041666666664</v>
      </c>
    </row>
    <row r="599" spans="1:34" ht="15" customHeight="1">
      <c r="A599" s="14" t="s">
        <v>1208</v>
      </c>
      <c r="B599" s="10" t="s">
        <v>1206</v>
      </c>
      <c r="C599" s="20">
        <v>45703</v>
      </c>
      <c r="D599" s="10" t="s">
        <v>340</v>
      </c>
      <c r="E599" s="10" t="s">
        <v>341</v>
      </c>
      <c r="F599" s="10" t="str">
        <f>TRIM(LEFT(OrdersRawTable9[[#This Row],[Customer_Info]],FIND(",",OrdersRawTable9[[#This Row],[Customer_Info]])-1))</f>
        <v>Emma Ali</v>
      </c>
      <c r="G59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599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599" s="10">
        <f>LEN(OrdersRawTable9[[#This Row],[Customer_Info]])-LEN(SUBSTITUTE(OrdersRawTable9[[#This Row],[Customer_Info]],",",""))</f>
        <v>2</v>
      </c>
      <c r="J599" s="10" t="s">
        <v>784</v>
      </c>
      <c r="K599" s="23">
        <v>4</v>
      </c>
      <c r="L599" s="26">
        <v>96.33</v>
      </c>
      <c r="M599" s="29">
        <v>0</v>
      </c>
      <c r="N599" s="10" t="s">
        <v>40</v>
      </c>
      <c r="O599" s="10" t="str">
        <f>IF(TRIM(OrdersRawTable9[[#This Row],[Sales_Channel_Raw]])="Market place","Marketplace",TRIM(OrdersRawTable9[[#This Row],[Sales_Channel_Raw]]))</f>
        <v>Online</v>
      </c>
      <c r="P599" s="10" t="s">
        <v>46</v>
      </c>
      <c r="Q599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599" s="15" t="s">
        <v>52</v>
      </c>
      <c r="S599" t="str">
        <f>VLOOKUP(OrdersRawTable9[[#This Row],[Customer_ID_Raw]],CustomersTable11[],4,FALSE)</f>
        <v>Alberta</v>
      </c>
      <c r="T599" t="str">
        <f>VLOOKUP(OrdersRawTable9[[#This Row],[Customer_ID_Raw]],CustomersTable11[],5,FALSE)</f>
        <v>Small Business</v>
      </c>
      <c r="U599" s="45">
        <f>VLOOKUP(OrdersRawTable9[[#This Row],[Product_ID]],ProductsTable10[],4,FALSE)</f>
        <v>57.85</v>
      </c>
      <c r="V599" t="str">
        <f>VLOOKUP(OrdersRawTable9[[#This Row],[Product_ID]],ProductsTable10[],3,FALSE)</f>
        <v>Accessories</v>
      </c>
      <c r="W599" s="45">
        <f>OrdersRawTable9[[#This Row],[Unit_Price]]*OrdersRawTable9[[#This Row],[Quantity]]</f>
        <v>385.32</v>
      </c>
      <c r="X599" s="47">
        <f>OrdersRawTable9[[#This Row],[Gross_Sales]]*OrdersRawTable9[[#This Row],[Discount_Pct]]</f>
        <v>0</v>
      </c>
      <c r="Y599" s="45">
        <f>OrdersRawTable9[[#This Row],[Gross_Sales]]-OrdersRawTable9[[#This Row],[Discount_Amount]]</f>
        <v>385.32</v>
      </c>
      <c r="Z599" s="45">
        <f>OrdersRawTable9[[#This Row],[Unit_Cost]]*OrdersRawTable9[[#This Row],[Quantity]]</f>
        <v>231.4</v>
      </c>
      <c r="AA599" s="45">
        <f>OrdersRawTable9[[#This Row],[Net_Sales]]-OrdersRawTable9[[#This Row],[Total_Cost]]</f>
        <v>153.91999999999999</v>
      </c>
      <c r="AB599" s="48">
        <f>IF(OrdersRawTable9[[#This Row],[Net_Sales]]=0,0,OrdersRawTable9[[#This Row],[Profit]]/OrdersRawTable9[[#This Row],[Net_Sales]])</f>
        <v>0.39946018893387314</v>
      </c>
      <c r="AC599" s="45" t="str">
        <f>IF(COUNTIF(ReturnsRawTable[Order_Line_ID],OrdersRawTable9[[#This Row],[Order_Line_ID]])&gt;0,"Yes","No")</f>
        <v>No</v>
      </c>
      <c r="AD599" s="45" t="str">
        <f>IFERROR(VLOOKUP(OrdersRawTable9[[#This Row],[Order_Line_ID]],ReturnsRawTable[[#All],[Order_Line_ID]:[Return_Reason_Raw]],3,FALSE),"")</f>
        <v/>
      </c>
      <c r="AE599" s="49" t="str">
        <f>IFERROR(VLOOKUP(OrdersRawTable9[[#This Row],[Order_Line_ID]],ReturnsRawTable[[#All],[Order_Line_ID]:[Return_Date]],2,FALSE),"")</f>
        <v/>
      </c>
      <c r="AF599" s="45" t="str">
        <f>IFERROR(VLOOKUP(OrdersRawTable9[[#This Row],[Order_Line_ID]],ReturnsRawTable[[Order_Line_ID]:[Refund_Status]],4,FALSE),"")</f>
        <v/>
      </c>
      <c r="AG599" s="45" t="str">
        <f>VLOOKUP(OrdersRawTable9[[#This Row],[Order_ID]],ShipmentsTable[],6,FALSE)</f>
        <v>Late</v>
      </c>
      <c r="AH599" s="49">
        <f>VLOOKUP(OrdersRawTable9[[#This Row],[Order_ID]],ShipmentsTable[],3,FALSE)</f>
        <v>45712.041666666664</v>
      </c>
    </row>
    <row r="600" spans="1:34" ht="15" customHeight="1">
      <c r="A600" s="14" t="s">
        <v>1209</v>
      </c>
      <c r="B600" s="10" t="s">
        <v>1210</v>
      </c>
      <c r="C600" s="20">
        <v>45687</v>
      </c>
      <c r="D600" s="10" t="s">
        <v>244</v>
      </c>
      <c r="E600" s="10" t="s">
        <v>245</v>
      </c>
      <c r="F600" s="10" t="str">
        <f>TRIM(LEFT(OrdersRawTable9[[#This Row],[Customer_Info]],FIND(",",OrdersRawTable9[[#This Row],[Customer_Info]])-1))</f>
        <v>Omar Gagnon</v>
      </c>
      <c r="G60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600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600" s="10">
        <f>LEN(OrdersRawTable9[[#This Row],[Customer_Info]])-LEN(SUBSTITUTE(OrdersRawTable9[[#This Row],[Customer_Info]],",",""))</f>
        <v>2</v>
      </c>
      <c r="J600" s="10" t="s">
        <v>80</v>
      </c>
      <c r="K600" s="23">
        <v>1</v>
      </c>
      <c r="L600" s="26">
        <v>142.16</v>
      </c>
      <c r="M600" s="29">
        <v>0.05</v>
      </c>
      <c r="N600" s="10" t="s">
        <v>40</v>
      </c>
      <c r="O600" s="10" t="str">
        <f>IF(TRIM(OrdersRawTable9[[#This Row],[Sales_Channel_Raw]])="Market place","Marketplace",TRIM(OrdersRawTable9[[#This Row],[Sales_Channel_Raw]]))</f>
        <v>Online</v>
      </c>
      <c r="P600" s="10" t="s">
        <v>51</v>
      </c>
      <c r="Q600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600" s="15" t="s">
        <v>42</v>
      </c>
      <c r="S600" t="str">
        <f>VLOOKUP(OrdersRawTable9[[#This Row],[Customer_ID_Raw]],CustomersTable11[],4,FALSE)</f>
        <v>Quebec</v>
      </c>
      <c r="T600" t="str">
        <f>VLOOKUP(OrdersRawTable9[[#This Row],[Customer_ID_Raw]],CustomersTable11[],5,FALSE)</f>
        <v>Consumer</v>
      </c>
      <c r="U600" s="45">
        <f>VLOOKUP(OrdersRawTable9[[#This Row],[Product_ID]],ProductsTable10[],4,FALSE)</f>
        <v>85.34</v>
      </c>
      <c r="V600" t="str">
        <f>VLOOKUP(OrdersRawTable9[[#This Row],[Product_ID]],ProductsTable10[],3,FALSE)</f>
        <v>Home</v>
      </c>
      <c r="W600" s="45">
        <f>OrdersRawTable9[[#This Row],[Unit_Price]]*OrdersRawTable9[[#This Row],[Quantity]]</f>
        <v>142.16</v>
      </c>
      <c r="X600" s="47">
        <f>OrdersRawTable9[[#This Row],[Gross_Sales]]*OrdersRawTable9[[#This Row],[Discount_Pct]]</f>
        <v>7.1080000000000005</v>
      </c>
      <c r="Y600" s="45">
        <f>OrdersRawTable9[[#This Row],[Gross_Sales]]-OrdersRawTable9[[#This Row],[Discount_Amount]]</f>
        <v>135.05199999999999</v>
      </c>
      <c r="Z600" s="45">
        <f>OrdersRawTable9[[#This Row],[Unit_Cost]]*OrdersRawTable9[[#This Row],[Quantity]]</f>
        <v>85.34</v>
      </c>
      <c r="AA600" s="45">
        <f>OrdersRawTable9[[#This Row],[Net_Sales]]-OrdersRawTable9[[#This Row],[Total_Cost]]</f>
        <v>49.711999999999989</v>
      </c>
      <c r="AB600" s="48">
        <f>IF(OrdersRawTable9[[#This Row],[Net_Sales]]=0,0,OrdersRawTable9[[#This Row],[Profit]]/OrdersRawTable9[[#This Row],[Net_Sales]])</f>
        <v>0.36809525219915284</v>
      </c>
      <c r="AC600" s="45" t="str">
        <f>IF(COUNTIF(ReturnsRawTable[Order_Line_ID],OrdersRawTable9[[#This Row],[Order_Line_ID]])&gt;0,"Yes","No")</f>
        <v>Yes</v>
      </c>
      <c r="AD600" s="45" t="str">
        <f>IFERROR(VLOOKUP(OrdersRawTable9[[#This Row],[Order_Line_ID]],ReturnsRawTable[[#All],[Order_Line_ID]:[Return_Reason_Raw]],3,FALSE),"")</f>
        <v>damaged</v>
      </c>
      <c r="AE600" s="49">
        <f>IFERROR(VLOOKUP(OrdersRawTable9[[#This Row],[Order_Line_ID]],ReturnsRawTable[[#All],[Order_Line_ID]:[Return_Date]],2,FALSE),"")</f>
        <v>45713.041666666664</v>
      </c>
      <c r="AF600" s="45" t="str">
        <f>IFERROR(VLOOKUP(OrdersRawTable9[[#This Row],[Order_Line_ID]],ReturnsRawTable[[Order_Line_ID]:[Refund_Status]],4,FALSE),"")</f>
        <v>Pending</v>
      </c>
      <c r="AG600" s="45" t="str">
        <f>VLOOKUP(OrdersRawTable9[[#This Row],[Order_ID]],ShipmentsTable[],6,FALSE)</f>
        <v>Late</v>
      </c>
      <c r="AH600" s="49">
        <f>VLOOKUP(OrdersRawTable9[[#This Row],[Order_ID]],ShipmentsTable[],3,FALSE)</f>
        <v>45695</v>
      </c>
    </row>
    <row r="601" spans="1:34" ht="15" customHeight="1">
      <c r="A601" s="14" t="s">
        <v>1211</v>
      </c>
      <c r="B601" s="10" t="s">
        <v>1212</v>
      </c>
      <c r="C601" s="20">
        <v>45763</v>
      </c>
      <c r="D601" s="10" t="s">
        <v>910</v>
      </c>
      <c r="E601" s="10" t="s">
        <v>911</v>
      </c>
      <c r="F601" s="10" t="str">
        <f>TRIM(LEFT(OrdersRawTable9[[#This Row],[Customer_Info]],FIND(",",OrdersRawTable9[[#This Row],[Customer_Info]])-1))</f>
        <v>Ethan Martin</v>
      </c>
      <c r="G60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601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601" s="10">
        <f>LEN(OrdersRawTable9[[#This Row],[Customer_Info]])-LEN(SUBSTITUTE(OrdersRawTable9[[#This Row],[Customer_Info]],",",""))</f>
        <v>2</v>
      </c>
      <c r="J601" s="10" t="s">
        <v>428</v>
      </c>
      <c r="K601" s="23">
        <v>4</v>
      </c>
      <c r="L601" s="26">
        <v>110.88</v>
      </c>
      <c r="M601" s="29">
        <v>0.15</v>
      </c>
      <c r="N601" s="10" t="s">
        <v>45</v>
      </c>
      <c r="O601" s="10" t="str">
        <f>IF(TRIM(OrdersRawTable9[[#This Row],[Sales_Channel_Raw]])="Market place","Marketplace",TRIM(OrdersRawTable9[[#This Row],[Sales_Channel_Raw]]))</f>
        <v>Retail Store</v>
      </c>
      <c r="P601" s="10" t="s">
        <v>46</v>
      </c>
      <c r="Q601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601" s="15" t="s">
        <v>52</v>
      </c>
      <c r="S601" t="str">
        <f>VLOOKUP(OrdersRawTable9[[#This Row],[Customer_ID_Raw]],CustomersTable11[],4,FALSE)</f>
        <v>Quebec</v>
      </c>
      <c r="T601" t="str">
        <f>VLOOKUP(OrdersRawTable9[[#This Row],[Customer_ID_Raw]],CustomersTable11[],5,FALSE)</f>
        <v>Consumer</v>
      </c>
      <c r="U601" s="45">
        <f>VLOOKUP(OrdersRawTable9[[#This Row],[Product_ID]],ProductsTable10[],4,FALSE)</f>
        <v>57.09</v>
      </c>
      <c r="V601" t="str">
        <f>VLOOKUP(OrdersRawTable9[[#This Row],[Product_ID]],ProductsTable10[],3,FALSE)</f>
        <v>Electronics</v>
      </c>
      <c r="W601" s="45">
        <f>OrdersRawTable9[[#This Row],[Unit_Price]]*OrdersRawTable9[[#This Row],[Quantity]]</f>
        <v>443.52</v>
      </c>
      <c r="X601" s="47">
        <f>OrdersRawTable9[[#This Row],[Gross_Sales]]*OrdersRawTable9[[#This Row],[Discount_Pct]]</f>
        <v>66.527999999999992</v>
      </c>
      <c r="Y601" s="45">
        <f>OrdersRawTable9[[#This Row],[Gross_Sales]]-OrdersRawTable9[[#This Row],[Discount_Amount]]</f>
        <v>376.99199999999996</v>
      </c>
      <c r="Z601" s="45">
        <f>OrdersRawTable9[[#This Row],[Unit_Cost]]*OrdersRawTable9[[#This Row],[Quantity]]</f>
        <v>228.36</v>
      </c>
      <c r="AA601" s="45">
        <f>OrdersRawTable9[[#This Row],[Net_Sales]]-OrdersRawTable9[[#This Row],[Total_Cost]]</f>
        <v>148.63199999999995</v>
      </c>
      <c r="AB601" s="48">
        <f>IF(OrdersRawTable9[[#This Row],[Net_Sales]]=0,0,OrdersRawTable9[[#This Row],[Profit]]/OrdersRawTable9[[#This Row],[Net_Sales]])</f>
        <v>0.39425770308123237</v>
      </c>
      <c r="AC601" s="45" t="str">
        <f>IF(COUNTIF(ReturnsRawTable[Order_Line_ID],OrdersRawTable9[[#This Row],[Order_Line_ID]])&gt;0,"Yes","No")</f>
        <v>No</v>
      </c>
      <c r="AD601" s="45" t="str">
        <f>IFERROR(VLOOKUP(OrdersRawTable9[[#This Row],[Order_Line_ID]],ReturnsRawTable[[#All],[Order_Line_ID]:[Return_Reason_Raw]],3,FALSE),"")</f>
        <v/>
      </c>
      <c r="AE601" s="49" t="str">
        <f>IFERROR(VLOOKUP(OrdersRawTable9[[#This Row],[Order_Line_ID]],ReturnsRawTable[[#All],[Order_Line_ID]:[Return_Date]],2,FALSE),"")</f>
        <v/>
      </c>
      <c r="AF601" s="45" t="str">
        <f>IFERROR(VLOOKUP(OrdersRawTable9[[#This Row],[Order_Line_ID]],ReturnsRawTable[[Order_Line_ID]:[Refund_Status]],4,FALSE),"")</f>
        <v/>
      </c>
      <c r="AG601" s="45" t="str">
        <f>VLOOKUP(OrdersRawTable9[[#This Row],[Order_ID]],ShipmentsTable[],6,FALSE)</f>
        <v>On time</v>
      </c>
      <c r="AH601" s="49">
        <f>VLOOKUP(OrdersRawTable9[[#This Row],[Order_ID]],ShipmentsTable[],3,FALSE)</f>
        <v>45766</v>
      </c>
    </row>
    <row r="602" spans="1:34" ht="15" customHeight="1">
      <c r="A602" s="14" t="s">
        <v>1213</v>
      </c>
      <c r="B602" s="10" t="s">
        <v>1212</v>
      </c>
      <c r="C602" s="20">
        <v>45763</v>
      </c>
      <c r="D602" s="10" t="s">
        <v>910</v>
      </c>
      <c r="E602" s="10" t="s">
        <v>911</v>
      </c>
      <c r="F602" s="10" t="str">
        <f>TRIM(LEFT(OrdersRawTable9[[#This Row],[Customer_Info]],FIND(",",OrdersRawTable9[[#This Row],[Customer_Info]])-1))</f>
        <v>Ethan Martin</v>
      </c>
      <c r="G60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602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602" s="10">
        <f>LEN(OrdersRawTable9[[#This Row],[Customer_Info]])-LEN(SUBSTITUTE(OrdersRawTable9[[#This Row],[Customer_Info]],",",""))</f>
        <v>2</v>
      </c>
      <c r="J602" s="10" t="s">
        <v>279</v>
      </c>
      <c r="K602" s="23">
        <v>2</v>
      </c>
      <c r="L602" s="26">
        <v>52.79</v>
      </c>
      <c r="M602" s="29">
        <v>0.1</v>
      </c>
      <c r="N602" s="10" t="s">
        <v>64</v>
      </c>
      <c r="O602" s="10" t="str">
        <f>IF(TRIM(OrdersRawTable9[[#This Row],[Sales_Channel_Raw]])="Market place","Marketplace",TRIM(OrdersRawTable9[[#This Row],[Sales_Channel_Raw]]))</f>
        <v>Retail Store</v>
      </c>
      <c r="P602" s="10" t="s">
        <v>41</v>
      </c>
      <c r="Q602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602" s="15" t="s">
        <v>101</v>
      </c>
      <c r="S602" t="str">
        <f>VLOOKUP(OrdersRawTable9[[#This Row],[Customer_ID_Raw]],CustomersTable11[],4,FALSE)</f>
        <v>Quebec</v>
      </c>
      <c r="T602" t="str">
        <f>VLOOKUP(OrdersRawTable9[[#This Row],[Customer_ID_Raw]],CustomersTable11[],5,FALSE)</f>
        <v>Consumer</v>
      </c>
      <c r="U602" s="45">
        <f>VLOOKUP(OrdersRawTable9[[#This Row],[Product_ID]],ProductsTable10[],4,FALSE)</f>
        <v>28.17</v>
      </c>
      <c r="V602" t="str">
        <f>VLOOKUP(OrdersRawTable9[[#This Row],[Product_ID]],ProductsTable10[],3,FALSE)</f>
        <v>Office</v>
      </c>
      <c r="W602" s="45">
        <f>OrdersRawTable9[[#This Row],[Unit_Price]]*OrdersRawTable9[[#This Row],[Quantity]]</f>
        <v>105.58</v>
      </c>
      <c r="X602" s="47">
        <f>OrdersRawTable9[[#This Row],[Gross_Sales]]*OrdersRawTable9[[#This Row],[Discount_Pct]]</f>
        <v>10.558</v>
      </c>
      <c r="Y602" s="45">
        <f>OrdersRawTable9[[#This Row],[Gross_Sales]]-OrdersRawTable9[[#This Row],[Discount_Amount]]</f>
        <v>95.021999999999991</v>
      </c>
      <c r="Z602" s="45">
        <f>OrdersRawTable9[[#This Row],[Unit_Cost]]*OrdersRawTable9[[#This Row],[Quantity]]</f>
        <v>56.34</v>
      </c>
      <c r="AA602" s="45">
        <f>OrdersRawTable9[[#This Row],[Net_Sales]]-OrdersRawTable9[[#This Row],[Total_Cost]]</f>
        <v>38.681999999999988</v>
      </c>
      <c r="AB602" s="48">
        <f>IF(OrdersRawTable9[[#This Row],[Net_Sales]]=0,0,OrdersRawTable9[[#This Row],[Profit]]/OrdersRawTable9[[#This Row],[Net_Sales]])</f>
        <v>0.40708467512786506</v>
      </c>
      <c r="AC602" s="45" t="str">
        <f>IF(COUNTIF(ReturnsRawTable[Order_Line_ID],OrdersRawTable9[[#This Row],[Order_Line_ID]])&gt;0,"Yes","No")</f>
        <v>No</v>
      </c>
      <c r="AD602" s="45" t="str">
        <f>IFERROR(VLOOKUP(OrdersRawTable9[[#This Row],[Order_Line_ID]],ReturnsRawTable[[#All],[Order_Line_ID]:[Return_Reason_Raw]],3,FALSE),"")</f>
        <v/>
      </c>
      <c r="AE602" s="49" t="str">
        <f>IFERROR(VLOOKUP(OrdersRawTable9[[#This Row],[Order_Line_ID]],ReturnsRawTable[[#All],[Order_Line_ID]:[Return_Date]],2,FALSE),"")</f>
        <v/>
      </c>
      <c r="AF602" s="45" t="str">
        <f>IFERROR(VLOOKUP(OrdersRawTable9[[#This Row],[Order_Line_ID]],ReturnsRawTable[[Order_Line_ID]:[Refund_Status]],4,FALSE),"")</f>
        <v/>
      </c>
      <c r="AG602" s="45" t="str">
        <f>VLOOKUP(OrdersRawTable9[[#This Row],[Order_ID]],ShipmentsTable[],6,FALSE)</f>
        <v>On time</v>
      </c>
      <c r="AH602" s="49">
        <f>VLOOKUP(OrdersRawTable9[[#This Row],[Order_ID]],ShipmentsTable[],3,FALSE)</f>
        <v>45766</v>
      </c>
    </row>
    <row r="603" spans="1:34" ht="15" customHeight="1">
      <c r="A603" s="14" t="s">
        <v>1214</v>
      </c>
      <c r="B603" s="10" t="s">
        <v>1212</v>
      </c>
      <c r="C603" s="20">
        <v>45763</v>
      </c>
      <c r="D603" s="10" t="s">
        <v>910</v>
      </c>
      <c r="E603" s="10" t="s">
        <v>911</v>
      </c>
      <c r="F603" s="10" t="str">
        <f>TRIM(LEFT(OrdersRawTable9[[#This Row],[Customer_Info]],FIND(",",OrdersRawTable9[[#This Row],[Customer_Info]])-1))</f>
        <v>Ethan Martin</v>
      </c>
      <c r="G60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603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603" s="10">
        <f>LEN(OrdersRawTable9[[#This Row],[Customer_Info]])-LEN(SUBSTITUTE(OrdersRawTable9[[#This Row],[Customer_Info]],",",""))</f>
        <v>2</v>
      </c>
      <c r="J603" s="10" t="s">
        <v>180</v>
      </c>
      <c r="K603" s="23">
        <v>3</v>
      </c>
      <c r="L603" s="26">
        <v>91.75</v>
      </c>
      <c r="M603" s="29">
        <v>0.1</v>
      </c>
      <c r="N603" s="10" t="s">
        <v>50</v>
      </c>
      <c r="O603" s="10" t="str">
        <f>IF(TRIM(OrdersRawTable9[[#This Row],[Sales_Channel_Raw]])="Market place","Marketplace",TRIM(OrdersRawTable9[[#This Row],[Sales_Channel_Raw]]))</f>
        <v>Marketplace</v>
      </c>
      <c r="P603" s="10" t="s">
        <v>58</v>
      </c>
      <c r="Q603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603" s="15" t="s">
        <v>101</v>
      </c>
      <c r="S603" t="str">
        <f>VLOOKUP(OrdersRawTable9[[#This Row],[Customer_ID_Raw]],CustomersTable11[],4,FALSE)</f>
        <v>Quebec</v>
      </c>
      <c r="T603" t="str">
        <f>VLOOKUP(OrdersRawTable9[[#This Row],[Customer_ID_Raw]],CustomersTable11[],5,FALSE)</f>
        <v>Consumer</v>
      </c>
      <c r="U603" s="45">
        <f>VLOOKUP(OrdersRawTable9[[#This Row],[Product_ID]],ProductsTable10[],4,FALSE)</f>
        <v>58.27</v>
      </c>
      <c r="V603" t="str">
        <f>VLOOKUP(OrdersRawTable9[[#This Row],[Product_ID]],ProductsTable10[],3,FALSE)</f>
        <v>Home</v>
      </c>
      <c r="W603" s="45">
        <f>OrdersRawTable9[[#This Row],[Unit_Price]]*OrdersRawTable9[[#This Row],[Quantity]]</f>
        <v>275.25</v>
      </c>
      <c r="X603" s="47">
        <f>OrdersRawTable9[[#This Row],[Gross_Sales]]*OrdersRawTable9[[#This Row],[Discount_Pct]]</f>
        <v>27.525000000000002</v>
      </c>
      <c r="Y603" s="45">
        <f>OrdersRawTable9[[#This Row],[Gross_Sales]]-OrdersRawTable9[[#This Row],[Discount_Amount]]</f>
        <v>247.72499999999999</v>
      </c>
      <c r="Z603" s="45">
        <f>OrdersRawTable9[[#This Row],[Unit_Cost]]*OrdersRawTable9[[#This Row],[Quantity]]</f>
        <v>174.81</v>
      </c>
      <c r="AA603" s="45">
        <f>OrdersRawTable9[[#This Row],[Net_Sales]]-OrdersRawTable9[[#This Row],[Total_Cost]]</f>
        <v>72.914999999999992</v>
      </c>
      <c r="AB603" s="48">
        <f>IF(OrdersRawTable9[[#This Row],[Net_Sales]]=0,0,OrdersRawTable9[[#This Row],[Profit]]/OrdersRawTable9[[#This Row],[Net_Sales]])</f>
        <v>0.29433848016954284</v>
      </c>
      <c r="AC603" s="45" t="str">
        <f>IF(COUNTIF(ReturnsRawTable[Order_Line_ID],OrdersRawTable9[[#This Row],[Order_Line_ID]])&gt;0,"Yes","No")</f>
        <v>No</v>
      </c>
      <c r="AD603" s="45" t="str">
        <f>IFERROR(VLOOKUP(OrdersRawTable9[[#This Row],[Order_Line_ID]],ReturnsRawTable[[#All],[Order_Line_ID]:[Return_Reason_Raw]],3,FALSE),"")</f>
        <v/>
      </c>
      <c r="AE603" s="49" t="str">
        <f>IFERROR(VLOOKUP(OrdersRawTable9[[#This Row],[Order_Line_ID]],ReturnsRawTable[[#All],[Order_Line_ID]:[Return_Date]],2,FALSE),"")</f>
        <v/>
      </c>
      <c r="AF603" s="45" t="str">
        <f>IFERROR(VLOOKUP(OrdersRawTable9[[#This Row],[Order_Line_ID]],ReturnsRawTable[[Order_Line_ID]:[Refund_Status]],4,FALSE),"")</f>
        <v/>
      </c>
      <c r="AG603" s="45" t="str">
        <f>VLOOKUP(OrdersRawTable9[[#This Row],[Order_ID]],ShipmentsTable[],6,FALSE)</f>
        <v>On time</v>
      </c>
      <c r="AH603" s="49">
        <f>VLOOKUP(OrdersRawTable9[[#This Row],[Order_ID]],ShipmentsTable[],3,FALSE)</f>
        <v>45766</v>
      </c>
    </row>
    <row r="604" spans="1:34" ht="15" customHeight="1">
      <c r="A604" s="14" t="s">
        <v>1215</v>
      </c>
      <c r="B604" s="10" t="s">
        <v>1212</v>
      </c>
      <c r="C604" s="20">
        <v>45763</v>
      </c>
      <c r="D604" s="10" t="s">
        <v>910</v>
      </c>
      <c r="E604" s="10" t="s">
        <v>911</v>
      </c>
      <c r="F604" s="10" t="str">
        <f>TRIM(LEFT(OrdersRawTable9[[#This Row],[Customer_Info]],FIND(",",OrdersRawTable9[[#This Row],[Customer_Info]])-1))</f>
        <v>Ethan Martin</v>
      </c>
      <c r="G60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604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604" s="10">
        <f>LEN(OrdersRawTable9[[#This Row],[Customer_Info]])-LEN(SUBSTITUTE(OrdersRawTable9[[#This Row],[Customer_Info]],",",""))</f>
        <v>2</v>
      </c>
      <c r="J604" s="10" t="s">
        <v>220</v>
      </c>
      <c r="K604" s="23">
        <v>4</v>
      </c>
      <c r="L604" s="26">
        <v>25.01</v>
      </c>
      <c r="M604" s="29">
        <v>0</v>
      </c>
      <c r="N604" s="10" t="s">
        <v>64</v>
      </c>
      <c r="O604" s="10" t="str">
        <f>IF(TRIM(OrdersRawTable9[[#This Row],[Sales_Channel_Raw]])="Market place","Marketplace",TRIM(OrdersRawTable9[[#This Row],[Sales_Channel_Raw]]))</f>
        <v>Retail Store</v>
      </c>
      <c r="P604" s="10" t="s">
        <v>41</v>
      </c>
      <c r="Q604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604" s="15" t="s">
        <v>52</v>
      </c>
      <c r="S604" t="str">
        <f>VLOOKUP(OrdersRawTable9[[#This Row],[Customer_ID_Raw]],CustomersTable11[],4,FALSE)</f>
        <v>Quebec</v>
      </c>
      <c r="T604" t="str">
        <f>VLOOKUP(OrdersRawTable9[[#This Row],[Customer_ID_Raw]],CustomersTable11[],5,FALSE)</f>
        <v>Consumer</v>
      </c>
      <c r="U604" s="45">
        <f>VLOOKUP(OrdersRawTable9[[#This Row],[Product_ID]],ProductsTable10[],4,FALSE)</f>
        <v>16.86</v>
      </c>
      <c r="V604" t="str">
        <f>VLOOKUP(OrdersRawTable9[[#This Row],[Product_ID]],ProductsTable10[],3,FALSE)</f>
        <v>Office</v>
      </c>
      <c r="W604" s="45">
        <f>OrdersRawTable9[[#This Row],[Unit_Price]]*OrdersRawTable9[[#This Row],[Quantity]]</f>
        <v>100.04</v>
      </c>
      <c r="X604" s="47">
        <f>OrdersRawTable9[[#This Row],[Gross_Sales]]*OrdersRawTable9[[#This Row],[Discount_Pct]]</f>
        <v>0</v>
      </c>
      <c r="Y604" s="45">
        <f>OrdersRawTable9[[#This Row],[Gross_Sales]]-OrdersRawTable9[[#This Row],[Discount_Amount]]</f>
        <v>100.04</v>
      </c>
      <c r="Z604" s="45">
        <f>OrdersRawTable9[[#This Row],[Unit_Cost]]*OrdersRawTable9[[#This Row],[Quantity]]</f>
        <v>67.44</v>
      </c>
      <c r="AA604" s="45">
        <f>OrdersRawTable9[[#This Row],[Net_Sales]]-OrdersRawTable9[[#This Row],[Total_Cost]]</f>
        <v>32.600000000000009</v>
      </c>
      <c r="AB604" s="48">
        <f>IF(OrdersRawTable9[[#This Row],[Net_Sales]]=0,0,OrdersRawTable9[[#This Row],[Profit]]/OrdersRawTable9[[#This Row],[Net_Sales]])</f>
        <v>0.32586965213914443</v>
      </c>
      <c r="AC604" s="45" t="str">
        <f>IF(COUNTIF(ReturnsRawTable[Order_Line_ID],OrdersRawTable9[[#This Row],[Order_Line_ID]])&gt;0,"Yes","No")</f>
        <v>No</v>
      </c>
      <c r="AD604" s="45" t="str">
        <f>IFERROR(VLOOKUP(OrdersRawTable9[[#This Row],[Order_Line_ID]],ReturnsRawTable[[#All],[Order_Line_ID]:[Return_Reason_Raw]],3,FALSE),"")</f>
        <v/>
      </c>
      <c r="AE604" s="49" t="str">
        <f>IFERROR(VLOOKUP(OrdersRawTable9[[#This Row],[Order_Line_ID]],ReturnsRawTable[[#All],[Order_Line_ID]:[Return_Date]],2,FALSE),"")</f>
        <v/>
      </c>
      <c r="AF604" s="45" t="str">
        <f>IFERROR(VLOOKUP(OrdersRawTable9[[#This Row],[Order_Line_ID]],ReturnsRawTable[[Order_Line_ID]:[Refund_Status]],4,FALSE),"")</f>
        <v/>
      </c>
      <c r="AG604" s="45" t="str">
        <f>VLOOKUP(OrdersRawTable9[[#This Row],[Order_ID]],ShipmentsTable[],6,FALSE)</f>
        <v>On time</v>
      </c>
      <c r="AH604" s="49">
        <f>VLOOKUP(OrdersRawTable9[[#This Row],[Order_ID]],ShipmentsTable[],3,FALSE)</f>
        <v>45766</v>
      </c>
    </row>
    <row r="605" spans="1:34" ht="15" customHeight="1">
      <c r="A605" s="14" t="s">
        <v>1216</v>
      </c>
      <c r="B605" s="10" t="s">
        <v>1217</v>
      </c>
      <c r="C605" s="20">
        <v>45809</v>
      </c>
      <c r="D605" s="10" t="s">
        <v>548</v>
      </c>
      <c r="E605" s="10" t="s">
        <v>549</v>
      </c>
      <c r="F605" s="10" t="str">
        <f>TRIM(LEFT(OrdersRawTable9[[#This Row],[Customer_Info]],FIND(",",OrdersRawTable9[[#This Row],[Customer_Info]])-1))</f>
        <v>Ethan Johnson</v>
      </c>
      <c r="G60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Regina</v>
      </c>
      <c r="H605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05" s="10">
        <f>LEN(OrdersRawTable9[[#This Row],[Customer_Info]])-LEN(SUBSTITUTE(OrdersRawTable9[[#This Row],[Customer_Info]],",",""))</f>
        <v>2</v>
      </c>
      <c r="J605" s="10" t="s">
        <v>130</v>
      </c>
      <c r="K605" s="23">
        <v>3</v>
      </c>
      <c r="L605" s="26">
        <v>265.73</v>
      </c>
      <c r="M605" s="29">
        <v>0</v>
      </c>
      <c r="N605" s="10" t="s">
        <v>40</v>
      </c>
      <c r="O605" s="10" t="str">
        <f>IF(TRIM(OrdersRawTable9[[#This Row],[Sales_Channel_Raw]])="Market place","Marketplace",TRIM(OrdersRawTable9[[#This Row],[Sales_Channel_Raw]]))</f>
        <v>Online</v>
      </c>
      <c r="P605" s="10" t="s">
        <v>98</v>
      </c>
      <c r="Q605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605" s="15" t="s">
        <v>52</v>
      </c>
      <c r="S605" t="str">
        <f>VLOOKUP(OrdersRawTable9[[#This Row],[Customer_ID_Raw]],CustomersTable11[],4,FALSE)</f>
        <v>Saskatchewan</v>
      </c>
      <c r="T605" t="str">
        <f>VLOOKUP(OrdersRawTable9[[#This Row],[Customer_ID_Raw]],CustomersTable11[],5,FALSE)</f>
        <v>Corporate</v>
      </c>
      <c r="U605" s="45">
        <f>VLOOKUP(OrdersRawTable9[[#This Row],[Product_ID]],ProductsTable10[],4,FALSE)</f>
        <v>154.16999999999999</v>
      </c>
      <c r="V605" t="str">
        <f>VLOOKUP(OrdersRawTable9[[#This Row],[Product_ID]],ProductsTable10[],3,FALSE)</f>
        <v>Electronics</v>
      </c>
      <c r="W605" s="45">
        <f>OrdersRawTable9[[#This Row],[Unit_Price]]*OrdersRawTable9[[#This Row],[Quantity]]</f>
        <v>797.19</v>
      </c>
      <c r="X605" s="47">
        <f>OrdersRawTable9[[#This Row],[Gross_Sales]]*OrdersRawTable9[[#This Row],[Discount_Pct]]</f>
        <v>0</v>
      </c>
      <c r="Y605" s="45">
        <f>OrdersRawTable9[[#This Row],[Gross_Sales]]-OrdersRawTable9[[#This Row],[Discount_Amount]]</f>
        <v>797.19</v>
      </c>
      <c r="Z605" s="45">
        <f>OrdersRawTable9[[#This Row],[Unit_Cost]]*OrdersRawTable9[[#This Row],[Quantity]]</f>
        <v>462.51</v>
      </c>
      <c r="AA605" s="45">
        <f>OrdersRawTable9[[#This Row],[Net_Sales]]-OrdersRawTable9[[#This Row],[Total_Cost]]</f>
        <v>334.68000000000006</v>
      </c>
      <c r="AB605" s="48">
        <f>IF(OrdersRawTable9[[#This Row],[Net_Sales]]=0,0,OrdersRawTable9[[#This Row],[Profit]]/OrdersRawTable9[[#This Row],[Net_Sales]])</f>
        <v>0.41982463402701997</v>
      </c>
      <c r="AC605" s="45" t="str">
        <f>IF(COUNTIF(ReturnsRawTable[Order_Line_ID],OrdersRawTable9[[#This Row],[Order_Line_ID]])&gt;0,"Yes","No")</f>
        <v>No</v>
      </c>
      <c r="AD605" s="45" t="str">
        <f>IFERROR(VLOOKUP(OrdersRawTable9[[#This Row],[Order_Line_ID]],ReturnsRawTable[[#All],[Order_Line_ID]:[Return_Reason_Raw]],3,FALSE),"")</f>
        <v/>
      </c>
      <c r="AE605" s="49" t="str">
        <f>IFERROR(VLOOKUP(OrdersRawTable9[[#This Row],[Order_Line_ID]],ReturnsRawTable[[#All],[Order_Line_ID]:[Return_Date]],2,FALSE),"")</f>
        <v/>
      </c>
      <c r="AF605" s="45" t="str">
        <f>IFERROR(VLOOKUP(OrdersRawTable9[[#This Row],[Order_Line_ID]],ReturnsRawTable[[Order_Line_ID]:[Refund_Status]],4,FALSE),"")</f>
        <v/>
      </c>
      <c r="AG605" s="45" t="str">
        <f>VLOOKUP(OrdersRawTable9[[#This Row],[Order_ID]],ShipmentsTable[],6,FALSE)</f>
        <v>On time</v>
      </c>
      <c r="AH605" s="49">
        <f>VLOOKUP(OrdersRawTable9[[#This Row],[Order_ID]],ShipmentsTable[],3,FALSE)</f>
        <v>45811</v>
      </c>
    </row>
    <row r="606" spans="1:34" ht="15" customHeight="1">
      <c r="A606" s="14" t="s">
        <v>1218</v>
      </c>
      <c r="B606" s="10" t="s">
        <v>1217</v>
      </c>
      <c r="C606" s="20">
        <v>45809</v>
      </c>
      <c r="D606" s="10" t="s">
        <v>548</v>
      </c>
      <c r="E606" s="10" t="s">
        <v>549</v>
      </c>
      <c r="F606" s="10" t="str">
        <f>TRIM(LEFT(OrdersRawTable9[[#This Row],[Customer_Info]],FIND(",",OrdersRawTable9[[#This Row],[Customer_Info]])-1))</f>
        <v>Ethan Johnson</v>
      </c>
      <c r="G60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Regina</v>
      </c>
      <c r="H606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06" s="10">
        <f>LEN(OrdersRawTable9[[#This Row],[Customer_Info]])-LEN(SUBSTITUTE(OrdersRawTable9[[#This Row],[Customer_Info]],",",""))</f>
        <v>2</v>
      </c>
      <c r="J606" s="10" t="s">
        <v>270</v>
      </c>
      <c r="K606" s="23">
        <v>3</v>
      </c>
      <c r="L606" s="26">
        <v>214.38</v>
      </c>
      <c r="M606" s="29">
        <v>0.15</v>
      </c>
      <c r="N606" s="10" t="s">
        <v>50</v>
      </c>
      <c r="O606" s="10" t="str">
        <f>IF(TRIM(OrdersRawTable9[[#This Row],[Sales_Channel_Raw]])="Market place","Marketplace",TRIM(OrdersRawTable9[[#This Row],[Sales_Channel_Raw]]))</f>
        <v>Marketplace</v>
      </c>
      <c r="P606" s="10" t="s">
        <v>41</v>
      </c>
      <c r="Q606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606" s="15" t="s">
        <v>42</v>
      </c>
      <c r="S606" t="str">
        <f>VLOOKUP(OrdersRawTable9[[#This Row],[Customer_ID_Raw]],CustomersTable11[],4,FALSE)</f>
        <v>Saskatchewan</v>
      </c>
      <c r="T606" t="str">
        <f>VLOOKUP(OrdersRawTable9[[#This Row],[Customer_ID_Raw]],CustomersTable11[],5,FALSE)</f>
        <v>Corporate</v>
      </c>
      <c r="U606" s="45">
        <f>VLOOKUP(OrdersRawTable9[[#This Row],[Product_ID]],ProductsTable10[],4,FALSE)</f>
        <v>131.51</v>
      </c>
      <c r="V606" t="str">
        <f>VLOOKUP(OrdersRawTable9[[#This Row],[Product_ID]],ProductsTable10[],3,FALSE)</f>
        <v>Fitness</v>
      </c>
      <c r="W606" s="45">
        <f>OrdersRawTable9[[#This Row],[Unit_Price]]*OrdersRawTable9[[#This Row],[Quantity]]</f>
        <v>643.14</v>
      </c>
      <c r="X606" s="47">
        <f>OrdersRawTable9[[#This Row],[Gross_Sales]]*OrdersRawTable9[[#This Row],[Discount_Pct]]</f>
        <v>96.470999999999989</v>
      </c>
      <c r="Y606" s="45">
        <f>OrdersRawTable9[[#This Row],[Gross_Sales]]-OrdersRawTable9[[#This Row],[Discount_Amount]]</f>
        <v>546.66899999999998</v>
      </c>
      <c r="Z606" s="45">
        <f>OrdersRawTable9[[#This Row],[Unit_Cost]]*OrdersRawTable9[[#This Row],[Quantity]]</f>
        <v>394.53</v>
      </c>
      <c r="AA606" s="45">
        <f>OrdersRawTable9[[#This Row],[Net_Sales]]-OrdersRawTable9[[#This Row],[Total_Cost]]</f>
        <v>152.13900000000001</v>
      </c>
      <c r="AB606" s="48">
        <f>IF(OrdersRawTable9[[#This Row],[Net_Sales]]=0,0,OrdersRawTable9[[#This Row],[Profit]]/OrdersRawTable9[[#This Row],[Net_Sales]])</f>
        <v>0.27830186090669129</v>
      </c>
      <c r="AC606" s="45" t="str">
        <f>IF(COUNTIF(ReturnsRawTable[Order_Line_ID],OrdersRawTable9[[#This Row],[Order_Line_ID]])&gt;0,"Yes","No")</f>
        <v>No</v>
      </c>
      <c r="AD606" s="45" t="str">
        <f>IFERROR(VLOOKUP(OrdersRawTable9[[#This Row],[Order_Line_ID]],ReturnsRawTable[[#All],[Order_Line_ID]:[Return_Reason_Raw]],3,FALSE),"")</f>
        <v/>
      </c>
      <c r="AE606" s="49" t="str">
        <f>IFERROR(VLOOKUP(OrdersRawTable9[[#This Row],[Order_Line_ID]],ReturnsRawTable[[#All],[Order_Line_ID]:[Return_Date]],2,FALSE),"")</f>
        <v/>
      </c>
      <c r="AF606" s="45" t="str">
        <f>IFERROR(VLOOKUP(OrdersRawTable9[[#This Row],[Order_Line_ID]],ReturnsRawTable[[Order_Line_ID]:[Refund_Status]],4,FALSE),"")</f>
        <v/>
      </c>
      <c r="AG606" s="45" t="str">
        <f>VLOOKUP(OrdersRawTable9[[#This Row],[Order_ID]],ShipmentsTable[],6,FALSE)</f>
        <v>On time</v>
      </c>
      <c r="AH606" s="49">
        <f>VLOOKUP(OrdersRawTable9[[#This Row],[Order_ID]],ShipmentsTable[],3,FALSE)</f>
        <v>45811</v>
      </c>
    </row>
    <row r="607" spans="1:34" ht="15" customHeight="1">
      <c r="A607" s="14" t="s">
        <v>1219</v>
      </c>
      <c r="B607" s="10" t="s">
        <v>1220</v>
      </c>
      <c r="C607" s="20">
        <v>45708</v>
      </c>
      <c r="D607" s="10" t="s">
        <v>890</v>
      </c>
      <c r="E607" s="10" t="s">
        <v>891</v>
      </c>
      <c r="F607" s="10" t="str">
        <f>TRIM(LEFT(OrdersRawTable9[[#This Row],[Customer_Info]],FIND(",",OrdersRawTable9[[#This Row],[Customer_Info]])-1))</f>
        <v>Daniel Martin</v>
      </c>
      <c r="G60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607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607" s="10">
        <f>LEN(OrdersRawTable9[[#This Row],[Customer_Info]])-LEN(SUBSTITUTE(OrdersRawTable9[[#This Row],[Customer_Info]],",",""))</f>
        <v>2</v>
      </c>
      <c r="J607" s="10" t="s">
        <v>150</v>
      </c>
      <c r="K607" s="23">
        <v>1</v>
      </c>
      <c r="L607" s="26">
        <v>263.04000000000002</v>
      </c>
      <c r="M607" s="29">
        <v>0.05</v>
      </c>
      <c r="N607" s="10" t="s">
        <v>50</v>
      </c>
      <c r="O607" s="10" t="str">
        <f>IF(TRIM(OrdersRawTable9[[#This Row],[Sales_Channel_Raw]])="Market place","Marketplace",TRIM(OrdersRawTable9[[#This Row],[Sales_Channel_Raw]]))</f>
        <v>Marketplace</v>
      </c>
      <c r="P607" s="10" t="s">
        <v>51</v>
      </c>
      <c r="Q607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607" s="15" t="s">
        <v>42</v>
      </c>
      <c r="S607" t="str">
        <f>VLOOKUP(OrdersRawTable9[[#This Row],[Customer_ID_Raw]],CustomersTable11[],4,FALSE)</f>
        <v>Alberta</v>
      </c>
      <c r="T607" t="str">
        <f>VLOOKUP(OrdersRawTable9[[#This Row],[Customer_ID_Raw]],CustomersTable11[],5,FALSE)</f>
        <v>Consumer</v>
      </c>
      <c r="U607" s="45">
        <f>VLOOKUP(OrdersRawTable9[[#This Row],[Product_ID]],ProductsTable10[],4,FALSE)</f>
        <v>161.84</v>
      </c>
      <c r="V607" t="str">
        <f>VLOOKUP(OrdersRawTable9[[#This Row],[Product_ID]],ProductsTable10[],3,FALSE)</f>
        <v>Office</v>
      </c>
      <c r="W607" s="45">
        <f>OrdersRawTable9[[#This Row],[Unit_Price]]*OrdersRawTable9[[#This Row],[Quantity]]</f>
        <v>263.04000000000002</v>
      </c>
      <c r="X607" s="47">
        <f>OrdersRawTable9[[#This Row],[Gross_Sales]]*OrdersRawTable9[[#This Row],[Discount_Pct]]</f>
        <v>13.152000000000001</v>
      </c>
      <c r="Y607" s="45">
        <f>OrdersRawTable9[[#This Row],[Gross_Sales]]-OrdersRawTable9[[#This Row],[Discount_Amount]]</f>
        <v>249.88800000000003</v>
      </c>
      <c r="Z607" s="45">
        <f>OrdersRawTable9[[#This Row],[Unit_Cost]]*OrdersRawTable9[[#This Row],[Quantity]]</f>
        <v>161.84</v>
      </c>
      <c r="AA607" s="45">
        <f>OrdersRawTable9[[#This Row],[Net_Sales]]-OrdersRawTable9[[#This Row],[Total_Cost]]</f>
        <v>88.04800000000003</v>
      </c>
      <c r="AB607" s="48">
        <f>IF(OrdersRawTable9[[#This Row],[Net_Sales]]=0,0,OrdersRawTable9[[#This Row],[Profit]]/OrdersRawTable9[[#This Row],[Net_Sales]])</f>
        <v>0.35234985273402492</v>
      </c>
      <c r="AC607" s="45" t="str">
        <f>IF(COUNTIF(ReturnsRawTable[Order_Line_ID],OrdersRawTable9[[#This Row],[Order_Line_ID]])&gt;0,"Yes","No")</f>
        <v>No</v>
      </c>
      <c r="AD607" s="45" t="str">
        <f>IFERROR(VLOOKUP(OrdersRawTable9[[#This Row],[Order_Line_ID]],ReturnsRawTable[[#All],[Order_Line_ID]:[Return_Reason_Raw]],3,FALSE),"")</f>
        <v/>
      </c>
      <c r="AE607" s="49" t="str">
        <f>IFERROR(VLOOKUP(OrdersRawTable9[[#This Row],[Order_Line_ID]],ReturnsRawTable[[#All],[Order_Line_ID]:[Return_Date]],2,FALSE),"")</f>
        <v/>
      </c>
      <c r="AF607" s="45" t="str">
        <f>IFERROR(VLOOKUP(OrdersRawTable9[[#This Row],[Order_Line_ID]],ReturnsRawTable[[Order_Line_ID]:[Refund_Status]],4,FALSE),"")</f>
        <v/>
      </c>
      <c r="AG607" s="45" t="str">
        <f>VLOOKUP(OrdersRawTable9[[#This Row],[Order_ID]],ShipmentsTable[],6,FALSE)</f>
        <v>On time</v>
      </c>
      <c r="AH607" s="49">
        <f>VLOOKUP(OrdersRawTable9[[#This Row],[Order_ID]],ShipmentsTable[],3,FALSE)</f>
        <v>45711</v>
      </c>
    </row>
    <row r="608" spans="1:34" ht="15" customHeight="1">
      <c r="A608" s="14" t="s">
        <v>1221</v>
      </c>
      <c r="B608" s="10" t="s">
        <v>1220</v>
      </c>
      <c r="C608" s="20">
        <v>45708</v>
      </c>
      <c r="D608" s="10" t="s">
        <v>890</v>
      </c>
      <c r="E608" s="10" t="s">
        <v>891</v>
      </c>
      <c r="F608" s="10" t="str">
        <f>TRIM(LEFT(OrdersRawTable9[[#This Row],[Customer_Info]],FIND(",",OrdersRawTable9[[#This Row],[Customer_Info]])-1))</f>
        <v>Daniel Martin</v>
      </c>
      <c r="G60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608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608" s="10">
        <f>LEN(OrdersRawTable9[[#This Row],[Customer_Info]])-LEN(SUBSTITUTE(OrdersRawTable9[[#This Row],[Customer_Info]],",",""))</f>
        <v>2</v>
      </c>
      <c r="J608" s="10" t="s">
        <v>117</v>
      </c>
      <c r="K608" s="23">
        <v>1</v>
      </c>
      <c r="L608" s="26">
        <v>251.17</v>
      </c>
      <c r="M608" s="29">
        <v>0</v>
      </c>
      <c r="N608" s="10" t="s">
        <v>40</v>
      </c>
      <c r="O608" s="10" t="str">
        <f>IF(TRIM(OrdersRawTable9[[#This Row],[Sales_Channel_Raw]])="Market place","Marketplace",TRIM(OrdersRawTable9[[#This Row],[Sales_Channel_Raw]]))</f>
        <v>Online</v>
      </c>
      <c r="P608" s="10" t="s">
        <v>58</v>
      </c>
      <c r="Q608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608" s="15" t="s">
        <v>101</v>
      </c>
      <c r="S608" t="str">
        <f>VLOOKUP(OrdersRawTable9[[#This Row],[Customer_ID_Raw]],CustomersTable11[],4,FALSE)</f>
        <v>Alberta</v>
      </c>
      <c r="T608" t="str">
        <f>VLOOKUP(OrdersRawTable9[[#This Row],[Customer_ID_Raw]],CustomersTable11[],5,FALSE)</f>
        <v>Consumer</v>
      </c>
      <c r="U608" s="45">
        <f>VLOOKUP(OrdersRawTable9[[#This Row],[Product_ID]],ProductsTable10[],4,FALSE)</f>
        <v>151.59</v>
      </c>
      <c r="V608" t="str">
        <f>VLOOKUP(OrdersRawTable9[[#This Row],[Product_ID]],ProductsTable10[],3,FALSE)</f>
        <v>Fitness</v>
      </c>
      <c r="W608" s="45">
        <f>OrdersRawTable9[[#This Row],[Unit_Price]]*OrdersRawTable9[[#This Row],[Quantity]]</f>
        <v>251.17</v>
      </c>
      <c r="X608" s="47">
        <f>OrdersRawTable9[[#This Row],[Gross_Sales]]*OrdersRawTable9[[#This Row],[Discount_Pct]]</f>
        <v>0</v>
      </c>
      <c r="Y608" s="45">
        <f>OrdersRawTable9[[#This Row],[Gross_Sales]]-OrdersRawTable9[[#This Row],[Discount_Amount]]</f>
        <v>251.17</v>
      </c>
      <c r="Z608" s="45">
        <f>OrdersRawTable9[[#This Row],[Unit_Cost]]*OrdersRawTable9[[#This Row],[Quantity]]</f>
        <v>151.59</v>
      </c>
      <c r="AA608" s="45">
        <f>OrdersRawTable9[[#This Row],[Net_Sales]]-OrdersRawTable9[[#This Row],[Total_Cost]]</f>
        <v>99.579999999999984</v>
      </c>
      <c r="AB608" s="48">
        <f>IF(OrdersRawTable9[[#This Row],[Net_Sales]]=0,0,OrdersRawTable9[[#This Row],[Profit]]/OrdersRawTable9[[#This Row],[Net_Sales]])</f>
        <v>0.39646454592507063</v>
      </c>
      <c r="AC608" s="45" t="str">
        <f>IF(COUNTIF(ReturnsRawTable[Order_Line_ID],OrdersRawTable9[[#This Row],[Order_Line_ID]])&gt;0,"Yes","No")</f>
        <v>No</v>
      </c>
      <c r="AD608" s="45" t="str">
        <f>IFERROR(VLOOKUP(OrdersRawTable9[[#This Row],[Order_Line_ID]],ReturnsRawTable[[#All],[Order_Line_ID]:[Return_Reason_Raw]],3,FALSE),"")</f>
        <v/>
      </c>
      <c r="AE608" s="49" t="str">
        <f>IFERROR(VLOOKUP(OrdersRawTable9[[#This Row],[Order_Line_ID]],ReturnsRawTable[[#All],[Order_Line_ID]:[Return_Date]],2,FALSE),"")</f>
        <v/>
      </c>
      <c r="AF608" s="45" t="str">
        <f>IFERROR(VLOOKUP(OrdersRawTable9[[#This Row],[Order_Line_ID]],ReturnsRawTable[[Order_Line_ID]:[Refund_Status]],4,FALSE),"")</f>
        <v/>
      </c>
      <c r="AG608" s="45" t="str">
        <f>VLOOKUP(OrdersRawTable9[[#This Row],[Order_ID]],ShipmentsTable[],6,FALSE)</f>
        <v>On time</v>
      </c>
      <c r="AH608" s="49">
        <f>VLOOKUP(OrdersRawTable9[[#This Row],[Order_ID]],ShipmentsTable[],3,FALSE)</f>
        <v>45711</v>
      </c>
    </row>
    <row r="609" spans="1:34" ht="15" customHeight="1">
      <c r="A609" s="14" t="s">
        <v>1222</v>
      </c>
      <c r="B609" s="10" t="s">
        <v>1220</v>
      </c>
      <c r="C609" s="20">
        <v>45708</v>
      </c>
      <c r="D609" s="10" t="s">
        <v>890</v>
      </c>
      <c r="E609" s="10" t="s">
        <v>891</v>
      </c>
      <c r="F609" s="10" t="str">
        <f>TRIM(LEFT(OrdersRawTable9[[#This Row],[Customer_Info]],FIND(",",OrdersRawTable9[[#This Row],[Customer_Info]])-1))</f>
        <v>Daniel Martin</v>
      </c>
      <c r="G60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609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609" s="10">
        <f>LEN(OrdersRawTable9[[#This Row],[Customer_Info]])-LEN(SUBSTITUTE(OrdersRawTable9[[#This Row],[Customer_Info]],",",""))</f>
        <v>2</v>
      </c>
      <c r="J609" s="10" t="s">
        <v>106</v>
      </c>
      <c r="K609" s="23">
        <v>3</v>
      </c>
      <c r="L609" s="26">
        <v>195.38</v>
      </c>
      <c r="M609" s="29">
        <v>0.15</v>
      </c>
      <c r="N609" s="10" t="s">
        <v>64</v>
      </c>
      <c r="O609" s="10" t="str">
        <f>IF(TRIM(OrdersRawTable9[[#This Row],[Sales_Channel_Raw]])="Market place","Marketplace",TRIM(OrdersRawTable9[[#This Row],[Sales_Channel_Raw]]))</f>
        <v>Retail Store</v>
      </c>
      <c r="P609" s="10" t="s">
        <v>46</v>
      </c>
      <c r="Q609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609" s="15" t="s">
        <v>101</v>
      </c>
      <c r="S609" t="str">
        <f>VLOOKUP(OrdersRawTable9[[#This Row],[Customer_ID_Raw]],CustomersTable11[],4,FALSE)</f>
        <v>Alberta</v>
      </c>
      <c r="T609" t="str">
        <f>VLOOKUP(OrdersRawTable9[[#This Row],[Customer_ID_Raw]],CustomersTable11[],5,FALSE)</f>
        <v>Consumer</v>
      </c>
      <c r="U609" s="45">
        <f>VLOOKUP(OrdersRawTable9[[#This Row],[Product_ID]],ProductsTable10[],4,FALSE)</f>
        <v>114.29</v>
      </c>
      <c r="V609" t="str">
        <f>VLOOKUP(OrdersRawTable9[[#This Row],[Product_ID]],ProductsTable10[],3,FALSE)</f>
        <v>Electronics</v>
      </c>
      <c r="W609" s="45">
        <f>OrdersRawTable9[[#This Row],[Unit_Price]]*OrdersRawTable9[[#This Row],[Quantity]]</f>
        <v>586.14</v>
      </c>
      <c r="X609" s="47">
        <f>OrdersRawTable9[[#This Row],[Gross_Sales]]*OrdersRawTable9[[#This Row],[Discount_Pct]]</f>
        <v>87.920999999999992</v>
      </c>
      <c r="Y609" s="45">
        <f>OrdersRawTable9[[#This Row],[Gross_Sales]]-OrdersRawTable9[[#This Row],[Discount_Amount]]</f>
        <v>498.21899999999999</v>
      </c>
      <c r="Z609" s="45">
        <f>OrdersRawTable9[[#This Row],[Unit_Cost]]*OrdersRawTable9[[#This Row],[Quantity]]</f>
        <v>342.87</v>
      </c>
      <c r="AA609" s="45">
        <f>OrdersRawTable9[[#This Row],[Net_Sales]]-OrdersRawTable9[[#This Row],[Total_Cost]]</f>
        <v>155.34899999999999</v>
      </c>
      <c r="AB609" s="48">
        <f>IF(OrdersRawTable9[[#This Row],[Net_Sales]]=0,0,OrdersRawTable9[[#This Row],[Profit]]/OrdersRawTable9[[#This Row],[Net_Sales]])</f>
        <v>0.31180866245566707</v>
      </c>
      <c r="AC609" s="45" t="str">
        <f>IF(COUNTIF(ReturnsRawTable[Order_Line_ID],OrdersRawTable9[[#This Row],[Order_Line_ID]])&gt;0,"Yes","No")</f>
        <v>No</v>
      </c>
      <c r="AD609" s="45" t="str">
        <f>IFERROR(VLOOKUP(OrdersRawTable9[[#This Row],[Order_Line_ID]],ReturnsRawTable[[#All],[Order_Line_ID]:[Return_Reason_Raw]],3,FALSE),"")</f>
        <v/>
      </c>
      <c r="AE609" s="49" t="str">
        <f>IFERROR(VLOOKUP(OrdersRawTable9[[#This Row],[Order_Line_ID]],ReturnsRawTable[[#All],[Order_Line_ID]:[Return_Date]],2,FALSE),"")</f>
        <v/>
      </c>
      <c r="AF609" s="45" t="str">
        <f>IFERROR(VLOOKUP(OrdersRawTable9[[#This Row],[Order_Line_ID]],ReturnsRawTable[[Order_Line_ID]:[Refund_Status]],4,FALSE),"")</f>
        <v/>
      </c>
      <c r="AG609" s="45" t="str">
        <f>VLOOKUP(OrdersRawTable9[[#This Row],[Order_ID]],ShipmentsTable[],6,FALSE)</f>
        <v>On time</v>
      </c>
      <c r="AH609" s="49">
        <f>VLOOKUP(OrdersRawTable9[[#This Row],[Order_ID]],ShipmentsTable[],3,FALSE)</f>
        <v>45711</v>
      </c>
    </row>
    <row r="610" spans="1:34" ht="15" customHeight="1">
      <c r="A610" s="14" t="s">
        <v>1223</v>
      </c>
      <c r="B610" s="10" t="s">
        <v>1220</v>
      </c>
      <c r="C610" s="20">
        <v>45708</v>
      </c>
      <c r="D610" s="10" t="s">
        <v>890</v>
      </c>
      <c r="E610" s="10" t="s">
        <v>891</v>
      </c>
      <c r="F610" s="10" t="str">
        <f>TRIM(LEFT(OrdersRawTable9[[#This Row],[Customer_Info]],FIND(",",OrdersRawTable9[[#This Row],[Customer_Info]])-1))</f>
        <v>Daniel Martin</v>
      </c>
      <c r="G61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610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610" s="10">
        <f>LEN(OrdersRawTable9[[#This Row],[Customer_Info]])-LEN(SUBSTITUTE(OrdersRawTable9[[#This Row],[Customer_Info]],",",""))</f>
        <v>2</v>
      </c>
      <c r="J610" s="10" t="s">
        <v>316</v>
      </c>
      <c r="K610" s="23">
        <v>3</v>
      </c>
      <c r="L610" s="26">
        <v>180.37</v>
      </c>
      <c r="M610" s="29">
        <v>0.1</v>
      </c>
      <c r="N610" s="10" t="s">
        <v>50</v>
      </c>
      <c r="O610" s="10" t="str">
        <f>IF(TRIM(OrdersRawTable9[[#This Row],[Sales_Channel_Raw]])="Market place","Marketplace",TRIM(OrdersRawTable9[[#This Row],[Sales_Channel_Raw]]))</f>
        <v>Marketplace</v>
      </c>
      <c r="P610" s="10"/>
      <c r="Q610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610" s="15" t="s">
        <v>47</v>
      </c>
      <c r="S610" t="str">
        <f>VLOOKUP(OrdersRawTable9[[#This Row],[Customer_ID_Raw]],CustomersTable11[],4,FALSE)</f>
        <v>Alberta</v>
      </c>
      <c r="T610" t="str">
        <f>VLOOKUP(OrdersRawTable9[[#This Row],[Customer_ID_Raw]],CustomersTable11[],5,FALSE)</f>
        <v>Consumer</v>
      </c>
      <c r="U610" s="45">
        <f>VLOOKUP(OrdersRawTable9[[#This Row],[Product_ID]],ProductsTable10[],4,FALSE)</f>
        <v>107.55</v>
      </c>
      <c r="V610" t="str">
        <f>VLOOKUP(OrdersRawTable9[[#This Row],[Product_ID]],ProductsTable10[],3,FALSE)</f>
        <v>Accessories</v>
      </c>
      <c r="W610" s="45">
        <f>OrdersRawTable9[[#This Row],[Unit_Price]]*OrdersRawTable9[[#This Row],[Quantity]]</f>
        <v>541.11</v>
      </c>
      <c r="X610" s="47">
        <f>OrdersRawTable9[[#This Row],[Gross_Sales]]*OrdersRawTable9[[#This Row],[Discount_Pct]]</f>
        <v>54.111000000000004</v>
      </c>
      <c r="Y610" s="45">
        <f>OrdersRawTable9[[#This Row],[Gross_Sales]]-OrdersRawTable9[[#This Row],[Discount_Amount]]</f>
        <v>486.99900000000002</v>
      </c>
      <c r="Z610" s="45">
        <f>OrdersRawTable9[[#This Row],[Unit_Cost]]*OrdersRawTable9[[#This Row],[Quantity]]</f>
        <v>322.64999999999998</v>
      </c>
      <c r="AA610" s="45">
        <f>OrdersRawTable9[[#This Row],[Net_Sales]]-OrdersRawTable9[[#This Row],[Total_Cost]]</f>
        <v>164.34900000000005</v>
      </c>
      <c r="AB610" s="48">
        <f>IF(OrdersRawTable9[[#This Row],[Net_Sales]]=0,0,OrdersRawTable9[[#This Row],[Profit]]/OrdersRawTable9[[#This Row],[Net_Sales]])</f>
        <v>0.33747297222376232</v>
      </c>
      <c r="AC610" s="45" t="str">
        <f>IF(COUNTIF(ReturnsRawTable[Order_Line_ID],OrdersRawTable9[[#This Row],[Order_Line_ID]])&gt;0,"Yes","No")</f>
        <v>No</v>
      </c>
      <c r="AD610" s="45" t="str">
        <f>IFERROR(VLOOKUP(OrdersRawTable9[[#This Row],[Order_Line_ID]],ReturnsRawTable[[#All],[Order_Line_ID]:[Return_Reason_Raw]],3,FALSE),"")</f>
        <v/>
      </c>
      <c r="AE610" s="49" t="str">
        <f>IFERROR(VLOOKUP(OrdersRawTable9[[#This Row],[Order_Line_ID]],ReturnsRawTable[[#All],[Order_Line_ID]:[Return_Date]],2,FALSE),"")</f>
        <v/>
      </c>
      <c r="AF610" s="45" t="str">
        <f>IFERROR(VLOOKUP(OrdersRawTable9[[#This Row],[Order_Line_ID]],ReturnsRawTable[[Order_Line_ID]:[Refund_Status]],4,FALSE),"")</f>
        <v/>
      </c>
      <c r="AG610" s="45" t="str">
        <f>VLOOKUP(OrdersRawTable9[[#This Row],[Order_ID]],ShipmentsTable[],6,FALSE)</f>
        <v>On time</v>
      </c>
      <c r="AH610" s="49">
        <f>VLOOKUP(OrdersRawTable9[[#This Row],[Order_ID]],ShipmentsTable[],3,FALSE)</f>
        <v>45711</v>
      </c>
    </row>
    <row r="611" spans="1:34" ht="15" customHeight="1">
      <c r="A611" s="14" t="s">
        <v>1224</v>
      </c>
      <c r="B611" s="10" t="s">
        <v>1225</v>
      </c>
      <c r="C611" s="20">
        <v>45856</v>
      </c>
      <c r="D611" s="10" t="s">
        <v>224</v>
      </c>
      <c r="E611" s="10" t="s">
        <v>225</v>
      </c>
      <c r="F611" s="10" t="str">
        <f>TRIM(LEFT(OrdersRawTable9[[#This Row],[Customer_Info]],FIND(",",OrdersRawTable9[[#This Row],[Customer_Info]])-1))</f>
        <v>Emma Tremblay</v>
      </c>
      <c r="G61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611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11" s="10">
        <f>LEN(OrdersRawTable9[[#This Row],[Customer_Info]])-LEN(SUBSTITUTE(OrdersRawTable9[[#This Row],[Customer_Info]],",",""))</f>
        <v>2</v>
      </c>
      <c r="J611" s="10" t="s">
        <v>136</v>
      </c>
      <c r="K611" s="23">
        <v>3</v>
      </c>
      <c r="L611" s="26">
        <v>141.46</v>
      </c>
      <c r="M611" s="29">
        <v>0</v>
      </c>
      <c r="N611" s="10" t="s">
        <v>45</v>
      </c>
      <c r="O611" s="10" t="str">
        <f>IF(TRIM(OrdersRawTable9[[#This Row],[Sales_Channel_Raw]])="Market place","Marketplace",TRIM(OrdersRawTable9[[#This Row],[Sales_Channel_Raw]]))</f>
        <v>Retail Store</v>
      </c>
      <c r="P611" s="10"/>
      <c r="Q611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611" s="15" t="s">
        <v>47</v>
      </c>
      <c r="S611" t="str">
        <f>VLOOKUP(OrdersRawTable9[[#This Row],[Customer_ID_Raw]],CustomersTable11[],4,FALSE)</f>
        <v>Quebec</v>
      </c>
      <c r="T611" t="str">
        <f>VLOOKUP(OrdersRawTable9[[#This Row],[Customer_ID_Raw]],CustomersTable11[],5,FALSE)</f>
        <v>Corporate</v>
      </c>
      <c r="U611" s="45">
        <f>VLOOKUP(OrdersRawTable9[[#This Row],[Product_ID]],ProductsTable10[],4,FALSE)</f>
        <v>78.650000000000006</v>
      </c>
      <c r="V611" t="str">
        <f>VLOOKUP(OrdersRawTable9[[#This Row],[Product_ID]],ProductsTable10[],3,FALSE)</f>
        <v>Fitness</v>
      </c>
      <c r="W611" s="45">
        <f>OrdersRawTable9[[#This Row],[Unit_Price]]*OrdersRawTable9[[#This Row],[Quantity]]</f>
        <v>424.38</v>
      </c>
      <c r="X611" s="47">
        <f>OrdersRawTable9[[#This Row],[Gross_Sales]]*OrdersRawTable9[[#This Row],[Discount_Pct]]</f>
        <v>0</v>
      </c>
      <c r="Y611" s="45">
        <f>OrdersRawTable9[[#This Row],[Gross_Sales]]-OrdersRawTable9[[#This Row],[Discount_Amount]]</f>
        <v>424.38</v>
      </c>
      <c r="Z611" s="45">
        <f>OrdersRawTable9[[#This Row],[Unit_Cost]]*OrdersRawTable9[[#This Row],[Quantity]]</f>
        <v>235.95000000000002</v>
      </c>
      <c r="AA611" s="45">
        <f>OrdersRawTable9[[#This Row],[Net_Sales]]-OrdersRawTable9[[#This Row],[Total_Cost]]</f>
        <v>188.42999999999998</v>
      </c>
      <c r="AB611" s="48">
        <f>IF(OrdersRawTable9[[#This Row],[Net_Sales]]=0,0,OrdersRawTable9[[#This Row],[Profit]]/OrdersRawTable9[[#This Row],[Net_Sales]])</f>
        <v>0.44401244167962672</v>
      </c>
      <c r="AC611" s="45" t="str">
        <f>IF(COUNTIF(ReturnsRawTable[Order_Line_ID],OrdersRawTable9[[#This Row],[Order_Line_ID]])&gt;0,"Yes","No")</f>
        <v>No</v>
      </c>
      <c r="AD611" s="45" t="str">
        <f>IFERROR(VLOOKUP(OrdersRawTable9[[#This Row],[Order_Line_ID]],ReturnsRawTable[[#All],[Order_Line_ID]:[Return_Reason_Raw]],3,FALSE),"")</f>
        <v/>
      </c>
      <c r="AE611" s="49" t="str">
        <f>IFERROR(VLOOKUP(OrdersRawTable9[[#This Row],[Order_Line_ID]],ReturnsRawTable[[#All],[Order_Line_ID]:[Return_Date]],2,FALSE),"")</f>
        <v/>
      </c>
      <c r="AF611" s="45" t="str">
        <f>IFERROR(VLOOKUP(OrdersRawTable9[[#This Row],[Order_Line_ID]],ReturnsRawTable[[Order_Line_ID]:[Refund_Status]],4,FALSE),"")</f>
        <v/>
      </c>
      <c r="AG611" s="45" t="str">
        <f>VLOOKUP(OrdersRawTable9[[#This Row],[Order_ID]],ShipmentsTable[],6,FALSE)</f>
        <v>Late</v>
      </c>
      <c r="AH611" s="49">
        <f>VLOOKUP(OrdersRawTable9[[#This Row],[Order_ID]],ShipmentsTable[],3,FALSE)</f>
        <v>45861</v>
      </c>
    </row>
    <row r="612" spans="1:34" ht="15" customHeight="1">
      <c r="A612" s="14" t="s">
        <v>1226</v>
      </c>
      <c r="B612" s="10" t="s">
        <v>1227</v>
      </c>
      <c r="C612" s="20">
        <v>45910</v>
      </c>
      <c r="D612" s="10" t="s">
        <v>274</v>
      </c>
      <c r="E612" s="10" t="s">
        <v>275</v>
      </c>
      <c r="F612" s="10" t="str">
        <f>TRIM(LEFT(OrdersRawTable9[[#This Row],[Customer_Info]],FIND(",",OrdersRawTable9[[#This Row],[Customer_Info]])-1))</f>
        <v>Adam Wilson</v>
      </c>
      <c r="G61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612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612" s="10">
        <f>LEN(OrdersRawTable9[[#This Row],[Customer_Info]])-LEN(SUBSTITUTE(OrdersRawTable9[[#This Row],[Customer_Info]],",",""))</f>
        <v>2</v>
      </c>
      <c r="J612" s="10" t="s">
        <v>49</v>
      </c>
      <c r="K612" s="23">
        <v>2</v>
      </c>
      <c r="L612" s="26">
        <v>300.16000000000003</v>
      </c>
      <c r="M612" s="29">
        <v>0.15</v>
      </c>
      <c r="N612" s="10" t="s">
        <v>70</v>
      </c>
      <c r="O612" s="10" t="str">
        <f>IF(TRIM(OrdersRawTable9[[#This Row],[Sales_Channel_Raw]])="Market place","Marketplace",TRIM(OrdersRawTable9[[#This Row],[Sales_Channel_Raw]]))</f>
        <v>online</v>
      </c>
      <c r="P612" s="10" t="s">
        <v>51</v>
      </c>
      <c r="Q612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612" s="15" t="s">
        <v>47</v>
      </c>
      <c r="S612" t="str">
        <f>VLOOKUP(OrdersRawTable9[[#This Row],[Customer_ID_Raw]],CustomersTable11[],4,FALSE)</f>
        <v>Alberta</v>
      </c>
      <c r="T612" t="str">
        <f>VLOOKUP(OrdersRawTable9[[#This Row],[Customer_ID_Raw]],CustomersTable11[],5,FALSE)</f>
        <v>Consumer</v>
      </c>
      <c r="U612" s="45">
        <f>VLOOKUP(OrdersRawTable9[[#This Row],[Product_ID]],ProductsTable10[],4,FALSE)</f>
        <v>158.46</v>
      </c>
      <c r="V612" t="str">
        <f>VLOOKUP(OrdersRawTable9[[#This Row],[Product_ID]],ProductsTable10[],3,FALSE)</f>
        <v>Office</v>
      </c>
      <c r="W612" s="45">
        <f>OrdersRawTable9[[#This Row],[Unit_Price]]*OrdersRawTable9[[#This Row],[Quantity]]</f>
        <v>600.32000000000005</v>
      </c>
      <c r="X612" s="47">
        <f>OrdersRawTable9[[#This Row],[Gross_Sales]]*OrdersRawTable9[[#This Row],[Discount_Pct]]</f>
        <v>90.048000000000002</v>
      </c>
      <c r="Y612" s="45">
        <f>OrdersRawTable9[[#This Row],[Gross_Sales]]-OrdersRawTable9[[#This Row],[Discount_Amount]]</f>
        <v>510.27200000000005</v>
      </c>
      <c r="Z612" s="45">
        <f>OrdersRawTable9[[#This Row],[Unit_Cost]]*OrdersRawTable9[[#This Row],[Quantity]]</f>
        <v>316.92</v>
      </c>
      <c r="AA612" s="45">
        <f>OrdersRawTable9[[#This Row],[Net_Sales]]-OrdersRawTable9[[#This Row],[Total_Cost]]</f>
        <v>193.35200000000003</v>
      </c>
      <c r="AB612" s="48">
        <f>IF(OrdersRawTable9[[#This Row],[Net_Sales]]=0,0,OrdersRawTable9[[#This Row],[Profit]]/OrdersRawTable9[[#This Row],[Net_Sales]])</f>
        <v>0.37891947823905686</v>
      </c>
      <c r="AC612" s="45" t="str">
        <f>IF(COUNTIF(ReturnsRawTable[Order_Line_ID],OrdersRawTable9[[#This Row],[Order_Line_ID]])&gt;0,"Yes","No")</f>
        <v>No</v>
      </c>
      <c r="AD612" s="45" t="str">
        <f>IFERROR(VLOOKUP(OrdersRawTable9[[#This Row],[Order_Line_ID]],ReturnsRawTable[[#All],[Order_Line_ID]:[Return_Reason_Raw]],3,FALSE),"")</f>
        <v/>
      </c>
      <c r="AE612" s="49" t="str">
        <f>IFERROR(VLOOKUP(OrdersRawTable9[[#This Row],[Order_Line_ID]],ReturnsRawTable[[#All],[Order_Line_ID]:[Return_Date]],2,FALSE),"")</f>
        <v/>
      </c>
      <c r="AF612" s="45" t="str">
        <f>IFERROR(VLOOKUP(OrdersRawTable9[[#This Row],[Order_Line_ID]],ReturnsRawTable[[Order_Line_ID]:[Refund_Status]],4,FALSE),"")</f>
        <v/>
      </c>
      <c r="AG612" s="45" t="str">
        <f>VLOOKUP(OrdersRawTable9[[#This Row],[Order_ID]],ShipmentsTable[],6,FALSE)</f>
        <v>On time</v>
      </c>
      <c r="AH612" s="49">
        <f>VLOOKUP(OrdersRawTable9[[#This Row],[Order_ID]],ShipmentsTable[],3,FALSE)</f>
        <v>45915</v>
      </c>
    </row>
    <row r="613" spans="1:34" ht="15" customHeight="1">
      <c r="A613" s="14" t="s">
        <v>1228</v>
      </c>
      <c r="B613" s="10" t="s">
        <v>1229</v>
      </c>
      <c r="C613" s="20">
        <v>45684</v>
      </c>
      <c r="D613" s="10" t="s">
        <v>335</v>
      </c>
      <c r="E613" s="10" t="s">
        <v>336</v>
      </c>
      <c r="F613" s="10" t="str">
        <f>TRIM(LEFT(OrdersRawTable9[[#This Row],[Customer_Info]],FIND(",",OrdersRawTable9[[#This Row],[Customer_Info]])-1))</f>
        <v>Liam Singh</v>
      </c>
      <c r="G61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613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13" s="10">
        <f>LEN(OrdersRawTable9[[#This Row],[Customer_Info]])-LEN(SUBSTITUTE(OrdersRawTable9[[#This Row],[Customer_Info]],",",""))</f>
        <v>2</v>
      </c>
      <c r="J613" s="10" t="s">
        <v>238</v>
      </c>
      <c r="K613" s="23">
        <v>1</v>
      </c>
      <c r="L613" s="26">
        <v>82.77</v>
      </c>
      <c r="M613" s="29">
        <v>0.05</v>
      </c>
      <c r="N613" s="10" t="s">
        <v>66</v>
      </c>
      <c r="O613" s="10" t="str">
        <f>IF(TRIM(OrdersRawTable9[[#This Row],[Sales_Channel_Raw]])="Market place","Marketplace",TRIM(OrdersRawTable9[[#This Row],[Sales_Channel_Raw]]))</f>
        <v>Marketplace</v>
      </c>
      <c r="P613" s="10" t="s">
        <v>51</v>
      </c>
      <c r="Q613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613" s="15" t="s">
        <v>42</v>
      </c>
      <c r="S613" t="str">
        <f>VLOOKUP(OrdersRawTable9[[#This Row],[Customer_ID_Raw]],CustomersTable11[],4,FALSE)</f>
        <v>British Columbia</v>
      </c>
      <c r="T613" t="str">
        <f>VLOOKUP(OrdersRawTable9[[#This Row],[Customer_ID_Raw]],CustomersTable11[],5,FALSE)</f>
        <v>Corporate</v>
      </c>
      <c r="U613" s="45">
        <f>VLOOKUP(OrdersRawTable9[[#This Row],[Product_ID]],ProductsTable10[],4,FALSE)</f>
        <v>46.51</v>
      </c>
      <c r="V613" t="str">
        <f>VLOOKUP(OrdersRawTable9[[#This Row],[Product_ID]],ProductsTable10[],3,FALSE)</f>
        <v>Office</v>
      </c>
      <c r="W613" s="45">
        <f>OrdersRawTable9[[#This Row],[Unit_Price]]*OrdersRawTable9[[#This Row],[Quantity]]</f>
        <v>82.77</v>
      </c>
      <c r="X613" s="47">
        <f>OrdersRawTable9[[#This Row],[Gross_Sales]]*OrdersRawTable9[[#This Row],[Discount_Pct]]</f>
        <v>4.1384999999999996</v>
      </c>
      <c r="Y613" s="45">
        <f>OrdersRawTable9[[#This Row],[Gross_Sales]]-OrdersRawTable9[[#This Row],[Discount_Amount]]</f>
        <v>78.631500000000003</v>
      </c>
      <c r="Z613" s="45">
        <f>OrdersRawTable9[[#This Row],[Unit_Cost]]*OrdersRawTable9[[#This Row],[Quantity]]</f>
        <v>46.51</v>
      </c>
      <c r="AA613" s="45">
        <f>OrdersRawTable9[[#This Row],[Net_Sales]]-OrdersRawTable9[[#This Row],[Total_Cost]]</f>
        <v>32.121500000000005</v>
      </c>
      <c r="AB613" s="48">
        <f>IF(OrdersRawTable9[[#This Row],[Net_Sales]]=0,0,OrdersRawTable9[[#This Row],[Profit]]/OrdersRawTable9[[#This Row],[Net_Sales]])</f>
        <v>0.40850676891576537</v>
      </c>
      <c r="AC613" s="45" t="str">
        <f>IF(COUNTIF(ReturnsRawTable[Order_Line_ID],OrdersRawTable9[[#This Row],[Order_Line_ID]])&gt;0,"Yes","No")</f>
        <v>No</v>
      </c>
      <c r="AD613" s="45" t="str">
        <f>IFERROR(VLOOKUP(OrdersRawTable9[[#This Row],[Order_Line_ID]],ReturnsRawTable[[#All],[Order_Line_ID]:[Return_Reason_Raw]],3,FALSE),"")</f>
        <v/>
      </c>
      <c r="AE613" s="49" t="str">
        <f>IFERROR(VLOOKUP(OrdersRawTable9[[#This Row],[Order_Line_ID]],ReturnsRawTable[[#All],[Order_Line_ID]:[Return_Date]],2,FALSE),"")</f>
        <v/>
      </c>
      <c r="AF613" s="45" t="str">
        <f>IFERROR(VLOOKUP(OrdersRawTable9[[#This Row],[Order_Line_ID]],ReturnsRawTable[[Order_Line_ID]:[Refund_Status]],4,FALSE),"")</f>
        <v/>
      </c>
      <c r="AG613" s="45" t="str">
        <f>VLOOKUP(OrdersRawTable9[[#This Row],[Order_ID]],ShipmentsTable[],6,FALSE)</f>
        <v>On time</v>
      </c>
      <c r="AH613" s="49">
        <f>VLOOKUP(OrdersRawTable9[[#This Row],[Order_ID]],ShipmentsTable[],3,FALSE)</f>
        <v>45686</v>
      </c>
    </row>
    <row r="614" spans="1:34" ht="15" customHeight="1">
      <c r="A614" s="14" t="s">
        <v>1230</v>
      </c>
      <c r="B614" s="10" t="s">
        <v>1229</v>
      </c>
      <c r="C614" s="20">
        <v>45684</v>
      </c>
      <c r="D614" s="10" t="s">
        <v>335</v>
      </c>
      <c r="E614" s="10" t="s">
        <v>336</v>
      </c>
      <c r="F614" s="10" t="str">
        <f>TRIM(LEFT(OrdersRawTable9[[#This Row],[Customer_Info]],FIND(",",OrdersRawTable9[[#This Row],[Customer_Info]])-1))</f>
        <v>Liam Singh</v>
      </c>
      <c r="G61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614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14" s="10">
        <f>LEN(OrdersRawTable9[[#This Row],[Customer_Info]])-LEN(SUBSTITUTE(OrdersRawTable9[[#This Row],[Customer_Info]],",",""))</f>
        <v>2</v>
      </c>
      <c r="J614" s="10" t="s">
        <v>204</v>
      </c>
      <c r="K614" s="23">
        <v>1</v>
      </c>
      <c r="L614" s="26">
        <v>244.25</v>
      </c>
      <c r="M614" s="29">
        <v>0.15</v>
      </c>
      <c r="N614" s="10" t="s">
        <v>70</v>
      </c>
      <c r="O614" s="10" t="str">
        <f>IF(TRIM(OrdersRawTable9[[#This Row],[Sales_Channel_Raw]])="Market place","Marketplace",TRIM(OrdersRawTable9[[#This Row],[Sales_Channel_Raw]]))</f>
        <v>online</v>
      </c>
      <c r="P614" s="10" t="s">
        <v>51</v>
      </c>
      <c r="Q614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614" s="15" t="s">
        <v>67</v>
      </c>
      <c r="S614" t="str">
        <f>VLOOKUP(OrdersRawTable9[[#This Row],[Customer_ID_Raw]],CustomersTable11[],4,FALSE)</f>
        <v>British Columbia</v>
      </c>
      <c r="T614" t="str">
        <f>VLOOKUP(OrdersRawTable9[[#This Row],[Customer_ID_Raw]],CustomersTable11[],5,FALSE)</f>
        <v>Corporate</v>
      </c>
      <c r="U614" s="45">
        <f>VLOOKUP(OrdersRawTable9[[#This Row],[Product_ID]],ProductsTable10[],4,FALSE)</f>
        <v>150.96</v>
      </c>
      <c r="V614" t="str">
        <f>VLOOKUP(OrdersRawTable9[[#This Row],[Product_ID]],ProductsTable10[],3,FALSE)</f>
        <v>Office</v>
      </c>
      <c r="W614" s="45">
        <f>OrdersRawTable9[[#This Row],[Unit_Price]]*OrdersRawTable9[[#This Row],[Quantity]]</f>
        <v>244.25</v>
      </c>
      <c r="X614" s="47">
        <f>OrdersRawTable9[[#This Row],[Gross_Sales]]*OrdersRawTable9[[#This Row],[Discount_Pct]]</f>
        <v>36.637499999999996</v>
      </c>
      <c r="Y614" s="45">
        <f>OrdersRawTable9[[#This Row],[Gross_Sales]]-OrdersRawTable9[[#This Row],[Discount_Amount]]</f>
        <v>207.61250000000001</v>
      </c>
      <c r="Z614" s="45">
        <f>OrdersRawTable9[[#This Row],[Unit_Cost]]*OrdersRawTable9[[#This Row],[Quantity]]</f>
        <v>150.96</v>
      </c>
      <c r="AA614" s="45">
        <f>OrdersRawTable9[[#This Row],[Net_Sales]]-OrdersRawTable9[[#This Row],[Total_Cost]]</f>
        <v>56.652500000000003</v>
      </c>
      <c r="AB614" s="48">
        <f>IF(OrdersRawTable9[[#This Row],[Net_Sales]]=0,0,OrdersRawTable9[[#This Row],[Profit]]/OrdersRawTable9[[#This Row],[Net_Sales]])</f>
        <v>0.27287615148413513</v>
      </c>
      <c r="AC614" s="45" t="str">
        <f>IF(COUNTIF(ReturnsRawTable[Order_Line_ID],OrdersRawTable9[[#This Row],[Order_Line_ID]])&gt;0,"Yes","No")</f>
        <v>No</v>
      </c>
      <c r="AD614" s="45" t="str">
        <f>IFERROR(VLOOKUP(OrdersRawTable9[[#This Row],[Order_Line_ID]],ReturnsRawTable[[#All],[Order_Line_ID]:[Return_Reason_Raw]],3,FALSE),"")</f>
        <v/>
      </c>
      <c r="AE614" s="49" t="str">
        <f>IFERROR(VLOOKUP(OrdersRawTable9[[#This Row],[Order_Line_ID]],ReturnsRawTable[[#All],[Order_Line_ID]:[Return_Date]],2,FALSE),"")</f>
        <v/>
      </c>
      <c r="AF614" s="45" t="str">
        <f>IFERROR(VLOOKUP(OrdersRawTable9[[#This Row],[Order_Line_ID]],ReturnsRawTable[[Order_Line_ID]:[Refund_Status]],4,FALSE),"")</f>
        <v/>
      </c>
      <c r="AG614" s="45" t="str">
        <f>VLOOKUP(OrdersRawTable9[[#This Row],[Order_ID]],ShipmentsTable[],6,FALSE)</f>
        <v>On time</v>
      </c>
      <c r="AH614" s="49">
        <f>VLOOKUP(OrdersRawTable9[[#This Row],[Order_ID]],ShipmentsTable[],3,FALSE)</f>
        <v>45686</v>
      </c>
    </row>
    <row r="615" spans="1:34" ht="15" customHeight="1">
      <c r="A615" s="14" t="s">
        <v>1231</v>
      </c>
      <c r="B615" s="10" t="s">
        <v>1229</v>
      </c>
      <c r="C615" s="20">
        <v>45684</v>
      </c>
      <c r="D615" s="10" t="s">
        <v>335</v>
      </c>
      <c r="E615" s="10" t="s">
        <v>336</v>
      </c>
      <c r="F615" s="10" t="str">
        <f>TRIM(LEFT(OrdersRawTable9[[#This Row],[Customer_Info]],FIND(",",OrdersRawTable9[[#This Row],[Customer_Info]])-1))</f>
        <v>Liam Singh</v>
      </c>
      <c r="G61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615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15" s="10">
        <f>LEN(OrdersRawTable9[[#This Row],[Customer_Info]])-LEN(SUBSTITUTE(OrdersRawTable9[[#This Row],[Customer_Info]],",",""))</f>
        <v>2</v>
      </c>
      <c r="J615" s="10" t="s">
        <v>150</v>
      </c>
      <c r="K615" s="23">
        <v>2</v>
      </c>
      <c r="L615" s="26">
        <v>263.04000000000002</v>
      </c>
      <c r="M615" s="29">
        <v>0.1</v>
      </c>
      <c r="N615" s="10" t="s">
        <v>70</v>
      </c>
      <c r="O615" s="10" t="str">
        <f>IF(TRIM(OrdersRawTable9[[#This Row],[Sales_Channel_Raw]])="Market place","Marketplace",TRIM(OrdersRawTable9[[#This Row],[Sales_Channel_Raw]]))</f>
        <v>online</v>
      </c>
      <c r="P615" s="10" t="s">
        <v>98</v>
      </c>
      <c r="Q615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615" s="15" t="s">
        <v>42</v>
      </c>
      <c r="S615" t="str">
        <f>VLOOKUP(OrdersRawTable9[[#This Row],[Customer_ID_Raw]],CustomersTable11[],4,FALSE)</f>
        <v>British Columbia</v>
      </c>
      <c r="T615" t="str">
        <f>VLOOKUP(OrdersRawTable9[[#This Row],[Customer_ID_Raw]],CustomersTable11[],5,FALSE)</f>
        <v>Corporate</v>
      </c>
      <c r="U615" s="45">
        <f>VLOOKUP(OrdersRawTable9[[#This Row],[Product_ID]],ProductsTable10[],4,FALSE)</f>
        <v>161.84</v>
      </c>
      <c r="V615" t="str">
        <f>VLOOKUP(OrdersRawTable9[[#This Row],[Product_ID]],ProductsTable10[],3,FALSE)</f>
        <v>Office</v>
      </c>
      <c r="W615" s="45">
        <f>OrdersRawTable9[[#This Row],[Unit_Price]]*OrdersRawTable9[[#This Row],[Quantity]]</f>
        <v>526.08000000000004</v>
      </c>
      <c r="X615" s="47">
        <f>OrdersRawTable9[[#This Row],[Gross_Sales]]*OrdersRawTable9[[#This Row],[Discount_Pct]]</f>
        <v>52.608000000000004</v>
      </c>
      <c r="Y615" s="45">
        <f>OrdersRawTable9[[#This Row],[Gross_Sales]]-OrdersRawTable9[[#This Row],[Discount_Amount]]</f>
        <v>473.47200000000004</v>
      </c>
      <c r="Z615" s="45">
        <f>OrdersRawTable9[[#This Row],[Unit_Cost]]*OrdersRawTable9[[#This Row],[Quantity]]</f>
        <v>323.68</v>
      </c>
      <c r="AA615" s="45">
        <f>OrdersRawTable9[[#This Row],[Net_Sales]]-OrdersRawTable9[[#This Row],[Total_Cost]]</f>
        <v>149.79200000000003</v>
      </c>
      <c r="AB615" s="48">
        <f>IF(OrdersRawTable9[[#This Row],[Net_Sales]]=0,0,OrdersRawTable9[[#This Row],[Profit]]/OrdersRawTable9[[#This Row],[Net_Sales]])</f>
        <v>0.31636928899702627</v>
      </c>
      <c r="AC615" s="45" t="str">
        <f>IF(COUNTIF(ReturnsRawTable[Order_Line_ID],OrdersRawTable9[[#This Row],[Order_Line_ID]])&gt;0,"Yes","No")</f>
        <v>No</v>
      </c>
      <c r="AD615" s="45" t="str">
        <f>IFERROR(VLOOKUP(OrdersRawTable9[[#This Row],[Order_Line_ID]],ReturnsRawTable[[#All],[Order_Line_ID]:[Return_Reason_Raw]],3,FALSE),"")</f>
        <v/>
      </c>
      <c r="AE615" s="49" t="str">
        <f>IFERROR(VLOOKUP(OrdersRawTable9[[#This Row],[Order_Line_ID]],ReturnsRawTable[[#All],[Order_Line_ID]:[Return_Date]],2,FALSE),"")</f>
        <v/>
      </c>
      <c r="AF615" s="45" t="str">
        <f>IFERROR(VLOOKUP(OrdersRawTable9[[#This Row],[Order_Line_ID]],ReturnsRawTable[[Order_Line_ID]:[Refund_Status]],4,FALSE),"")</f>
        <v/>
      </c>
      <c r="AG615" s="45" t="str">
        <f>VLOOKUP(OrdersRawTable9[[#This Row],[Order_ID]],ShipmentsTable[],6,FALSE)</f>
        <v>On time</v>
      </c>
      <c r="AH615" s="49">
        <f>VLOOKUP(OrdersRawTable9[[#This Row],[Order_ID]],ShipmentsTable[],3,FALSE)</f>
        <v>45686</v>
      </c>
    </row>
    <row r="616" spans="1:34" ht="15" customHeight="1">
      <c r="A616" s="14" t="s">
        <v>1232</v>
      </c>
      <c r="B616" s="10" t="s">
        <v>1229</v>
      </c>
      <c r="C616" s="20">
        <v>45684</v>
      </c>
      <c r="D616" s="10" t="s">
        <v>335</v>
      </c>
      <c r="E616" s="10" t="s">
        <v>336</v>
      </c>
      <c r="F616" s="10" t="str">
        <f>TRIM(LEFT(OrdersRawTable9[[#This Row],[Customer_Info]],FIND(",",OrdersRawTable9[[#This Row],[Customer_Info]])-1))</f>
        <v>Liam Singh</v>
      </c>
      <c r="G61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616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16" s="10">
        <f>LEN(OrdersRawTable9[[#This Row],[Customer_Info]])-LEN(SUBSTITUTE(OrdersRawTable9[[#This Row],[Customer_Info]],",",""))</f>
        <v>2</v>
      </c>
      <c r="J616" s="10" t="s">
        <v>316</v>
      </c>
      <c r="K616" s="23">
        <v>4</v>
      </c>
      <c r="L616" s="26">
        <v>180.37</v>
      </c>
      <c r="M616" s="29">
        <v>0.15</v>
      </c>
      <c r="N616" s="10" t="s">
        <v>64</v>
      </c>
      <c r="O616" s="10" t="str">
        <f>IF(TRIM(OrdersRawTable9[[#This Row],[Sales_Channel_Raw]])="Market place","Marketplace",TRIM(OrdersRawTable9[[#This Row],[Sales_Channel_Raw]]))</f>
        <v>Retail Store</v>
      </c>
      <c r="P616" s="10" t="s">
        <v>41</v>
      </c>
      <c r="Q616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616" s="15" t="s">
        <v>42</v>
      </c>
      <c r="S616" t="str">
        <f>VLOOKUP(OrdersRawTable9[[#This Row],[Customer_ID_Raw]],CustomersTable11[],4,FALSE)</f>
        <v>British Columbia</v>
      </c>
      <c r="T616" t="str">
        <f>VLOOKUP(OrdersRawTable9[[#This Row],[Customer_ID_Raw]],CustomersTable11[],5,FALSE)</f>
        <v>Corporate</v>
      </c>
      <c r="U616" s="45">
        <f>VLOOKUP(OrdersRawTable9[[#This Row],[Product_ID]],ProductsTable10[],4,FALSE)</f>
        <v>107.55</v>
      </c>
      <c r="V616" t="str">
        <f>VLOOKUP(OrdersRawTable9[[#This Row],[Product_ID]],ProductsTable10[],3,FALSE)</f>
        <v>Accessories</v>
      </c>
      <c r="W616" s="45">
        <f>OrdersRawTable9[[#This Row],[Unit_Price]]*OrdersRawTable9[[#This Row],[Quantity]]</f>
        <v>721.48</v>
      </c>
      <c r="X616" s="47">
        <f>OrdersRawTable9[[#This Row],[Gross_Sales]]*OrdersRawTable9[[#This Row],[Discount_Pct]]</f>
        <v>108.22199999999999</v>
      </c>
      <c r="Y616" s="45">
        <f>OrdersRawTable9[[#This Row],[Gross_Sales]]-OrdersRawTable9[[#This Row],[Discount_Amount]]</f>
        <v>613.25800000000004</v>
      </c>
      <c r="Z616" s="45">
        <f>OrdersRawTable9[[#This Row],[Unit_Cost]]*OrdersRawTable9[[#This Row],[Quantity]]</f>
        <v>430.2</v>
      </c>
      <c r="AA616" s="45">
        <f>OrdersRawTable9[[#This Row],[Net_Sales]]-OrdersRawTable9[[#This Row],[Total_Cost]]</f>
        <v>183.05800000000005</v>
      </c>
      <c r="AB616" s="48">
        <f>IF(OrdersRawTable9[[#This Row],[Net_Sales]]=0,0,OrdersRawTable9[[#This Row],[Profit]]/OrdersRawTable9[[#This Row],[Net_Sales]])</f>
        <v>0.29850079411927777</v>
      </c>
      <c r="AC616" s="45" t="str">
        <f>IF(COUNTIF(ReturnsRawTable[Order_Line_ID],OrdersRawTable9[[#This Row],[Order_Line_ID]])&gt;0,"Yes","No")</f>
        <v>No</v>
      </c>
      <c r="AD616" s="45" t="str">
        <f>IFERROR(VLOOKUP(OrdersRawTable9[[#This Row],[Order_Line_ID]],ReturnsRawTable[[#All],[Order_Line_ID]:[Return_Reason_Raw]],3,FALSE),"")</f>
        <v/>
      </c>
      <c r="AE616" s="49" t="str">
        <f>IFERROR(VLOOKUP(OrdersRawTable9[[#This Row],[Order_Line_ID]],ReturnsRawTable[[#All],[Order_Line_ID]:[Return_Date]],2,FALSE),"")</f>
        <v/>
      </c>
      <c r="AF616" s="45" t="str">
        <f>IFERROR(VLOOKUP(OrdersRawTable9[[#This Row],[Order_Line_ID]],ReturnsRawTable[[Order_Line_ID]:[Refund_Status]],4,FALSE),"")</f>
        <v/>
      </c>
      <c r="AG616" s="45" t="str">
        <f>VLOOKUP(OrdersRawTable9[[#This Row],[Order_ID]],ShipmentsTable[],6,FALSE)</f>
        <v>On time</v>
      </c>
      <c r="AH616" s="49">
        <f>VLOOKUP(OrdersRawTable9[[#This Row],[Order_ID]],ShipmentsTable[],3,FALSE)</f>
        <v>45686</v>
      </c>
    </row>
    <row r="617" spans="1:34" ht="15" customHeight="1">
      <c r="A617" s="14" t="s">
        <v>1233</v>
      </c>
      <c r="B617" s="10" t="s">
        <v>1234</v>
      </c>
      <c r="C617" s="20">
        <v>45860</v>
      </c>
      <c r="D617" s="10" t="s">
        <v>358</v>
      </c>
      <c r="E617" s="10" t="s">
        <v>359</v>
      </c>
      <c r="F617" s="10" t="str">
        <f>TRIM(LEFT(OrdersRawTable9[[#This Row],[Customer_Info]],FIND(",",OrdersRawTable9[[#This Row],[Customer_Info]])-1))</f>
        <v>Yara Ali</v>
      </c>
      <c r="G61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617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617" s="10">
        <f>LEN(OrdersRawTable9[[#This Row],[Customer_Info]])-LEN(SUBSTITUTE(OrdersRawTable9[[#This Row],[Customer_Info]],",",""))</f>
        <v>2</v>
      </c>
      <c r="J617" s="10" t="s">
        <v>428</v>
      </c>
      <c r="K617" s="23">
        <v>4</v>
      </c>
      <c r="L617" s="26">
        <v>110.88</v>
      </c>
      <c r="M617" s="29">
        <v>0.05</v>
      </c>
      <c r="N617" s="10" t="s">
        <v>45</v>
      </c>
      <c r="O617" s="10" t="str">
        <f>IF(TRIM(OrdersRawTable9[[#This Row],[Sales_Channel_Raw]])="Market place","Marketplace",TRIM(OrdersRawTable9[[#This Row],[Sales_Channel_Raw]]))</f>
        <v>Retail Store</v>
      </c>
      <c r="P617" s="10" t="s">
        <v>51</v>
      </c>
      <c r="Q617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617" s="15" t="s">
        <v>52</v>
      </c>
      <c r="S617" t="str">
        <f>VLOOKUP(OrdersRawTable9[[#This Row],[Customer_ID_Raw]],CustomersTable11[],4,FALSE)</f>
        <v>Quebec</v>
      </c>
      <c r="T617" t="str">
        <f>VLOOKUP(OrdersRawTable9[[#This Row],[Customer_ID_Raw]],CustomersTable11[],5,FALSE)</f>
        <v>Consumer</v>
      </c>
      <c r="U617" s="45">
        <f>VLOOKUP(OrdersRawTable9[[#This Row],[Product_ID]],ProductsTable10[],4,FALSE)</f>
        <v>57.09</v>
      </c>
      <c r="V617" t="str">
        <f>VLOOKUP(OrdersRawTable9[[#This Row],[Product_ID]],ProductsTable10[],3,FALSE)</f>
        <v>Electronics</v>
      </c>
      <c r="W617" s="45">
        <f>OrdersRawTable9[[#This Row],[Unit_Price]]*OrdersRawTable9[[#This Row],[Quantity]]</f>
        <v>443.52</v>
      </c>
      <c r="X617" s="47">
        <f>OrdersRawTable9[[#This Row],[Gross_Sales]]*OrdersRawTable9[[#This Row],[Discount_Pct]]</f>
        <v>22.176000000000002</v>
      </c>
      <c r="Y617" s="45">
        <f>OrdersRawTable9[[#This Row],[Gross_Sales]]-OrdersRawTable9[[#This Row],[Discount_Amount]]</f>
        <v>421.34399999999999</v>
      </c>
      <c r="Z617" s="45">
        <f>OrdersRawTable9[[#This Row],[Unit_Cost]]*OrdersRawTable9[[#This Row],[Quantity]]</f>
        <v>228.36</v>
      </c>
      <c r="AA617" s="45">
        <f>OrdersRawTable9[[#This Row],[Net_Sales]]-OrdersRawTable9[[#This Row],[Total_Cost]]</f>
        <v>192.98399999999998</v>
      </c>
      <c r="AB617" s="48">
        <f>IF(OrdersRawTable9[[#This Row],[Net_Sales]]=0,0,OrdersRawTable9[[#This Row],[Profit]]/OrdersRawTable9[[#This Row],[Net_Sales]])</f>
        <v>0.45802005012531322</v>
      </c>
      <c r="AC617" s="45" t="str">
        <f>IF(COUNTIF(ReturnsRawTable[Order_Line_ID],OrdersRawTable9[[#This Row],[Order_Line_ID]])&gt;0,"Yes","No")</f>
        <v>No</v>
      </c>
      <c r="AD617" s="45" t="str">
        <f>IFERROR(VLOOKUP(OrdersRawTable9[[#This Row],[Order_Line_ID]],ReturnsRawTable[[#All],[Order_Line_ID]:[Return_Reason_Raw]],3,FALSE),"")</f>
        <v/>
      </c>
      <c r="AE617" s="49" t="str">
        <f>IFERROR(VLOOKUP(OrdersRawTable9[[#This Row],[Order_Line_ID]],ReturnsRawTable[[#All],[Order_Line_ID]:[Return_Date]],2,FALSE),"")</f>
        <v/>
      </c>
      <c r="AF617" s="45" t="str">
        <f>IFERROR(VLOOKUP(OrdersRawTable9[[#This Row],[Order_Line_ID]],ReturnsRawTable[[Order_Line_ID]:[Refund_Status]],4,FALSE),"")</f>
        <v/>
      </c>
      <c r="AG617" s="45" t="str">
        <f>VLOOKUP(OrdersRawTable9[[#This Row],[Order_ID]],ShipmentsTable[],6,FALSE)</f>
        <v>On time</v>
      </c>
      <c r="AH617" s="49">
        <f>VLOOKUP(OrdersRawTable9[[#This Row],[Order_ID]],ShipmentsTable[],3,FALSE)</f>
        <v>45861</v>
      </c>
    </row>
    <row r="618" spans="1:34" ht="15" customHeight="1">
      <c r="A618" s="14" t="s">
        <v>1235</v>
      </c>
      <c r="B618" s="10" t="s">
        <v>1234</v>
      </c>
      <c r="C618" s="20">
        <v>45860</v>
      </c>
      <c r="D618" s="10" t="s">
        <v>358</v>
      </c>
      <c r="E618" s="10" t="s">
        <v>359</v>
      </c>
      <c r="F618" s="10" t="str">
        <f>TRIM(LEFT(OrdersRawTable9[[#This Row],[Customer_Info]],FIND(",",OrdersRawTable9[[#This Row],[Customer_Info]])-1))</f>
        <v>Yara Ali</v>
      </c>
      <c r="G61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618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618" s="10">
        <f>LEN(OrdersRawTable9[[#This Row],[Customer_Info]])-LEN(SUBSTITUTE(OrdersRawTable9[[#This Row],[Customer_Info]],",",""))</f>
        <v>2</v>
      </c>
      <c r="J618" s="10" t="s">
        <v>63</v>
      </c>
      <c r="K618" s="23">
        <v>1</v>
      </c>
      <c r="L618" s="26">
        <v>105.38</v>
      </c>
      <c r="M618" s="29">
        <v>0.1</v>
      </c>
      <c r="N618" s="10" t="s">
        <v>50</v>
      </c>
      <c r="O618" s="10" t="str">
        <f>IF(TRIM(OrdersRawTable9[[#This Row],[Sales_Channel_Raw]])="Market place","Marketplace",TRIM(OrdersRawTable9[[#This Row],[Sales_Channel_Raw]]))</f>
        <v>Marketplace</v>
      </c>
      <c r="P618" s="10" t="s">
        <v>41</v>
      </c>
      <c r="Q618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618" s="15" t="s">
        <v>67</v>
      </c>
      <c r="S618" t="str">
        <f>VLOOKUP(OrdersRawTable9[[#This Row],[Customer_ID_Raw]],CustomersTable11[],4,FALSE)</f>
        <v>Quebec</v>
      </c>
      <c r="T618" t="str">
        <f>VLOOKUP(OrdersRawTable9[[#This Row],[Customer_ID_Raw]],CustomersTable11[],5,FALSE)</f>
        <v>Consumer</v>
      </c>
      <c r="U618" s="45">
        <f>VLOOKUP(OrdersRawTable9[[#This Row],[Product_ID]],ProductsTable10[],4,FALSE)</f>
        <v>67.290000000000006</v>
      </c>
      <c r="V618" t="str">
        <f>VLOOKUP(OrdersRawTable9[[#This Row],[Product_ID]],ProductsTable10[],3,FALSE)</f>
        <v>Electronics</v>
      </c>
      <c r="W618" s="45">
        <f>OrdersRawTable9[[#This Row],[Unit_Price]]*OrdersRawTable9[[#This Row],[Quantity]]</f>
        <v>105.38</v>
      </c>
      <c r="X618" s="47">
        <f>OrdersRawTable9[[#This Row],[Gross_Sales]]*OrdersRawTable9[[#This Row],[Discount_Pct]]</f>
        <v>10.538</v>
      </c>
      <c r="Y618" s="45">
        <f>OrdersRawTable9[[#This Row],[Gross_Sales]]-OrdersRawTable9[[#This Row],[Discount_Amount]]</f>
        <v>94.841999999999999</v>
      </c>
      <c r="Z618" s="45">
        <f>OrdersRawTable9[[#This Row],[Unit_Cost]]*OrdersRawTable9[[#This Row],[Quantity]]</f>
        <v>67.290000000000006</v>
      </c>
      <c r="AA618" s="45">
        <f>OrdersRawTable9[[#This Row],[Net_Sales]]-OrdersRawTable9[[#This Row],[Total_Cost]]</f>
        <v>27.551999999999992</v>
      </c>
      <c r="AB618" s="48">
        <f>IF(OrdersRawTable9[[#This Row],[Net_Sales]]=0,0,OrdersRawTable9[[#This Row],[Profit]]/OrdersRawTable9[[#This Row],[Net_Sales]])</f>
        <v>0.29050420699690005</v>
      </c>
      <c r="AC618" s="45" t="str">
        <f>IF(COUNTIF(ReturnsRawTable[Order_Line_ID],OrdersRawTable9[[#This Row],[Order_Line_ID]])&gt;0,"Yes","No")</f>
        <v>Yes</v>
      </c>
      <c r="AD618" s="45" t="str">
        <f>IFERROR(VLOOKUP(OrdersRawTable9[[#This Row],[Order_Line_ID]],ReturnsRawTable[[#All],[Order_Line_ID]:[Return_Reason_Raw]],3,FALSE),"")</f>
        <v>Damaged</v>
      </c>
      <c r="AE618" s="49">
        <f>IFERROR(VLOOKUP(OrdersRawTable9[[#This Row],[Order_Line_ID]],ReturnsRawTable[[#All],[Order_Line_ID]:[Return_Date]],2,FALSE),"")</f>
        <v>45864</v>
      </c>
      <c r="AF618" s="45" t="str">
        <f>IFERROR(VLOOKUP(OrdersRawTable9[[#This Row],[Order_Line_ID]],ReturnsRawTable[[Order_Line_ID]:[Refund_Status]],4,FALSE),"")</f>
        <v>Pending</v>
      </c>
      <c r="AG618" s="45" t="str">
        <f>VLOOKUP(OrdersRawTable9[[#This Row],[Order_ID]],ShipmentsTable[],6,FALSE)</f>
        <v>On time</v>
      </c>
      <c r="AH618" s="49">
        <f>VLOOKUP(OrdersRawTable9[[#This Row],[Order_ID]],ShipmentsTable[],3,FALSE)</f>
        <v>45861</v>
      </c>
    </row>
    <row r="619" spans="1:34" ht="15" customHeight="1">
      <c r="A619" s="14" t="s">
        <v>1236</v>
      </c>
      <c r="B619" s="10" t="s">
        <v>1234</v>
      </c>
      <c r="C619" s="20">
        <v>45860</v>
      </c>
      <c r="D619" s="10" t="s">
        <v>358</v>
      </c>
      <c r="E619" s="10" t="s">
        <v>359</v>
      </c>
      <c r="F619" s="10" t="str">
        <f>TRIM(LEFT(OrdersRawTable9[[#This Row],[Customer_Info]],FIND(",",OrdersRawTable9[[#This Row],[Customer_Info]])-1))</f>
        <v>Yara Ali</v>
      </c>
      <c r="G61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619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619" s="10">
        <f>LEN(OrdersRawTable9[[#This Row],[Customer_Info]])-LEN(SUBSTITUTE(OrdersRawTable9[[#This Row],[Customer_Info]],",",""))</f>
        <v>2</v>
      </c>
      <c r="J619" s="10" t="s">
        <v>204</v>
      </c>
      <c r="K619" s="23">
        <v>1</v>
      </c>
      <c r="L619" s="26">
        <v>244.25</v>
      </c>
      <c r="M619" s="29">
        <v>0</v>
      </c>
      <c r="N619" s="10" t="s">
        <v>70</v>
      </c>
      <c r="O619" s="10" t="str">
        <f>IF(TRIM(OrdersRawTable9[[#This Row],[Sales_Channel_Raw]])="Market place","Marketplace",TRIM(OrdersRawTable9[[#This Row],[Sales_Channel_Raw]]))</f>
        <v>online</v>
      </c>
      <c r="P619" s="10"/>
      <c r="Q619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619" s="15" t="s">
        <v>47</v>
      </c>
      <c r="S619" t="str">
        <f>VLOOKUP(OrdersRawTable9[[#This Row],[Customer_ID_Raw]],CustomersTable11[],4,FALSE)</f>
        <v>Quebec</v>
      </c>
      <c r="T619" t="str">
        <f>VLOOKUP(OrdersRawTable9[[#This Row],[Customer_ID_Raw]],CustomersTable11[],5,FALSE)</f>
        <v>Consumer</v>
      </c>
      <c r="U619" s="45">
        <f>VLOOKUP(OrdersRawTable9[[#This Row],[Product_ID]],ProductsTable10[],4,FALSE)</f>
        <v>150.96</v>
      </c>
      <c r="V619" t="str">
        <f>VLOOKUP(OrdersRawTable9[[#This Row],[Product_ID]],ProductsTable10[],3,FALSE)</f>
        <v>Office</v>
      </c>
      <c r="W619" s="45">
        <f>OrdersRawTable9[[#This Row],[Unit_Price]]*OrdersRawTable9[[#This Row],[Quantity]]</f>
        <v>244.25</v>
      </c>
      <c r="X619" s="47">
        <f>OrdersRawTable9[[#This Row],[Gross_Sales]]*OrdersRawTable9[[#This Row],[Discount_Pct]]</f>
        <v>0</v>
      </c>
      <c r="Y619" s="45">
        <f>OrdersRawTable9[[#This Row],[Gross_Sales]]-OrdersRawTable9[[#This Row],[Discount_Amount]]</f>
        <v>244.25</v>
      </c>
      <c r="Z619" s="45">
        <f>OrdersRawTable9[[#This Row],[Unit_Cost]]*OrdersRawTable9[[#This Row],[Quantity]]</f>
        <v>150.96</v>
      </c>
      <c r="AA619" s="45">
        <f>OrdersRawTable9[[#This Row],[Net_Sales]]-OrdersRawTable9[[#This Row],[Total_Cost]]</f>
        <v>93.289999999999992</v>
      </c>
      <c r="AB619" s="48">
        <f>IF(OrdersRawTable9[[#This Row],[Net_Sales]]=0,0,OrdersRawTable9[[#This Row],[Profit]]/OrdersRawTable9[[#This Row],[Net_Sales]])</f>
        <v>0.38194472876151481</v>
      </c>
      <c r="AC619" s="45" t="str">
        <f>IF(COUNTIF(ReturnsRawTable[Order_Line_ID],OrdersRawTable9[[#This Row],[Order_Line_ID]])&gt;0,"Yes","No")</f>
        <v>No</v>
      </c>
      <c r="AD619" s="45" t="str">
        <f>IFERROR(VLOOKUP(OrdersRawTable9[[#This Row],[Order_Line_ID]],ReturnsRawTable[[#All],[Order_Line_ID]:[Return_Reason_Raw]],3,FALSE),"")</f>
        <v/>
      </c>
      <c r="AE619" s="49" t="str">
        <f>IFERROR(VLOOKUP(OrdersRawTable9[[#This Row],[Order_Line_ID]],ReturnsRawTable[[#All],[Order_Line_ID]:[Return_Date]],2,FALSE),"")</f>
        <v/>
      </c>
      <c r="AF619" s="45" t="str">
        <f>IFERROR(VLOOKUP(OrdersRawTable9[[#This Row],[Order_Line_ID]],ReturnsRawTable[[Order_Line_ID]:[Refund_Status]],4,FALSE),"")</f>
        <v/>
      </c>
      <c r="AG619" s="45" t="str">
        <f>VLOOKUP(OrdersRawTable9[[#This Row],[Order_ID]],ShipmentsTable[],6,FALSE)</f>
        <v>On time</v>
      </c>
      <c r="AH619" s="49">
        <f>VLOOKUP(OrdersRawTable9[[#This Row],[Order_ID]],ShipmentsTable[],3,FALSE)</f>
        <v>45861</v>
      </c>
    </row>
    <row r="620" spans="1:34" ht="15" customHeight="1">
      <c r="A620" s="14" t="s">
        <v>1237</v>
      </c>
      <c r="B620" s="10" t="s">
        <v>1234</v>
      </c>
      <c r="C620" s="20">
        <v>45860</v>
      </c>
      <c r="D620" s="10" t="s">
        <v>358</v>
      </c>
      <c r="E620" s="10" t="s">
        <v>359</v>
      </c>
      <c r="F620" s="10" t="str">
        <f>TRIM(LEFT(OrdersRawTable9[[#This Row],[Customer_Info]],FIND(",",OrdersRawTable9[[#This Row],[Customer_Info]])-1))</f>
        <v>Yara Ali</v>
      </c>
      <c r="G62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620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620" s="10">
        <f>LEN(OrdersRawTable9[[#This Row],[Customer_Info]])-LEN(SUBSTITUTE(OrdersRawTable9[[#This Row],[Customer_Info]],",",""))</f>
        <v>2</v>
      </c>
      <c r="J620" s="10" t="s">
        <v>72</v>
      </c>
      <c r="K620" s="23">
        <v>1</v>
      </c>
      <c r="L620" s="26">
        <v>210.2</v>
      </c>
      <c r="M620" s="29">
        <v>0.05</v>
      </c>
      <c r="N620" s="10" t="s">
        <v>45</v>
      </c>
      <c r="O620" s="10" t="str">
        <f>IF(TRIM(OrdersRawTable9[[#This Row],[Sales_Channel_Raw]])="Market place","Marketplace",TRIM(OrdersRawTable9[[#This Row],[Sales_Channel_Raw]]))</f>
        <v>Retail Store</v>
      </c>
      <c r="P620" s="10" t="s">
        <v>58</v>
      </c>
      <c r="Q620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620" s="15" t="s">
        <v>67</v>
      </c>
      <c r="S620" t="str">
        <f>VLOOKUP(OrdersRawTable9[[#This Row],[Customer_ID_Raw]],CustomersTable11[],4,FALSE)</f>
        <v>Quebec</v>
      </c>
      <c r="T620" t="str">
        <f>VLOOKUP(OrdersRawTable9[[#This Row],[Customer_ID_Raw]],CustomersTable11[],5,FALSE)</f>
        <v>Consumer</v>
      </c>
      <c r="U620" s="45">
        <f>VLOOKUP(OrdersRawTable9[[#This Row],[Product_ID]],ProductsTable10[],4,FALSE)</f>
        <v>136.25</v>
      </c>
      <c r="V620" t="str">
        <f>VLOOKUP(OrdersRawTable9[[#This Row],[Product_ID]],ProductsTable10[],3,FALSE)</f>
        <v>Fitness</v>
      </c>
      <c r="W620" s="45">
        <f>OrdersRawTable9[[#This Row],[Unit_Price]]*OrdersRawTable9[[#This Row],[Quantity]]</f>
        <v>210.2</v>
      </c>
      <c r="X620" s="47">
        <f>OrdersRawTable9[[#This Row],[Gross_Sales]]*OrdersRawTable9[[#This Row],[Discount_Pct]]</f>
        <v>10.51</v>
      </c>
      <c r="Y620" s="45">
        <f>OrdersRawTable9[[#This Row],[Gross_Sales]]-OrdersRawTable9[[#This Row],[Discount_Amount]]</f>
        <v>199.69</v>
      </c>
      <c r="Z620" s="45">
        <f>OrdersRawTable9[[#This Row],[Unit_Cost]]*OrdersRawTable9[[#This Row],[Quantity]]</f>
        <v>136.25</v>
      </c>
      <c r="AA620" s="45">
        <f>OrdersRawTable9[[#This Row],[Net_Sales]]-OrdersRawTable9[[#This Row],[Total_Cost]]</f>
        <v>63.44</v>
      </c>
      <c r="AB620" s="48">
        <f>IF(OrdersRawTable9[[#This Row],[Net_Sales]]=0,0,OrdersRawTable9[[#This Row],[Profit]]/OrdersRawTable9[[#This Row],[Net_Sales]])</f>
        <v>0.31769242325604685</v>
      </c>
      <c r="AC620" s="45" t="str">
        <f>IF(COUNTIF(ReturnsRawTable[Order_Line_ID],OrdersRawTable9[[#This Row],[Order_Line_ID]])&gt;0,"Yes","No")</f>
        <v>No</v>
      </c>
      <c r="AD620" s="45" t="str">
        <f>IFERROR(VLOOKUP(OrdersRawTable9[[#This Row],[Order_Line_ID]],ReturnsRawTable[[#All],[Order_Line_ID]:[Return_Reason_Raw]],3,FALSE),"")</f>
        <v/>
      </c>
      <c r="AE620" s="49" t="str">
        <f>IFERROR(VLOOKUP(OrdersRawTable9[[#This Row],[Order_Line_ID]],ReturnsRawTable[[#All],[Order_Line_ID]:[Return_Date]],2,FALSE),"")</f>
        <v/>
      </c>
      <c r="AF620" s="45" t="str">
        <f>IFERROR(VLOOKUP(OrdersRawTable9[[#This Row],[Order_Line_ID]],ReturnsRawTable[[Order_Line_ID]:[Refund_Status]],4,FALSE),"")</f>
        <v/>
      </c>
      <c r="AG620" s="45" t="str">
        <f>VLOOKUP(OrdersRawTable9[[#This Row],[Order_ID]],ShipmentsTable[],6,FALSE)</f>
        <v>On time</v>
      </c>
      <c r="AH620" s="49">
        <f>VLOOKUP(OrdersRawTable9[[#This Row],[Order_ID]],ShipmentsTable[],3,FALSE)</f>
        <v>45861</v>
      </c>
    </row>
    <row r="621" spans="1:34" ht="15" customHeight="1">
      <c r="A621" s="14" t="s">
        <v>1238</v>
      </c>
      <c r="B621" s="10" t="s">
        <v>1239</v>
      </c>
      <c r="C621" s="20">
        <v>45714.041666666664</v>
      </c>
      <c r="D621" s="10" t="s">
        <v>954</v>
      </c>
      <c r="E621" s="10" t="s">
        <v>955</v>
      </c>
      <c r="F621" s="10" t="str">
        <f>TRIM(LEFT(OrdersRawTable9[[#This Row],[Customer_Info]],FIND(",",OrdersRawTable9[[#This Row],[Customer_Info]])-1))</f>
        <v>Omar Singh</v>
      </c>
      <c r="G62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621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621" s="10">
        <f>LEN(OrdersRawTable9[[#This Row],[Customer_Info]])-LEN(SUBSTITUTE(OrdersRawTable9[[#This Row],[Customer_Info]],",",""))</f>
        <v>2</v>
      </c>
      <c r="J621" s="10" t="s">
        <v>57</v>
      </c>
      <c r="K621" s="23">
        <v>3</v>
      </c>
      <c r="L621" s="26">
        <v>208.81</v>
      </c>
      <c r="M621" s="29">
        <v>0</v>
      </c>
      <c r="N621" s="10" t="s">
        <v>45</v>
      </c>
      <c r="O621" s="10" t="str">
        <f>IF(TRIM(OrdersRawTable9[[#This Row],[Sales_Channel_Raw]])="Market place","Marketplace",TRIM(OrdersRawTable9[[#This Row],[Sales_Channel_Raw]]))</f>
        <v>Retail Store</v>
      </c>
      <c r="P621" s="10" t="s">
        <v>41</v>
      </c>
      <c r="Q621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621" s="15" t="s">
        <v>67</v>
      </c>
      <c r="S621" t="str">
        <f>VLOOKUP(OrdersRawTable9[[#This Row],[Customer_ID_Raw]],CustomersTable11[],4,FALSE)</f>
        <v>Alberta</v>
      </c>
      <c r="T621" t="str">
        <f>VLOOKUP(OrdersRawTable9[[#This Row],[Customer_ID_Raw]],CustomersTable11[],5,FALSE)</f>
        <v>Small Business</v>
      </c>
      <c r="U621" s="45">
        <f>VLOOKUP(OrdersRawTable9[[#This Row],[Product_ID]],ProductsTable10[],4,FALSE)</f>
        <v>139.04</v>
      </c>
      <c r="V621" t="str">
        <f>VLOOKUP(OrdersRawTable9[[#This Row],[Product_ID]],ProductsTable10[],3,FALSE)</f>
        <v>Fitness</v>
      </c>
      <c r="W621" s="45">
        <f>OrdersRawTable9[[#This Row],[Unit_Price]]*OrdersRawTable9[[#This Row],[Quantity]]</f>
        <v>626.43000000000006</v>
      </c>
      <c r="X621" s="47">
        <f>OrdersRawTable9[[#This Row],[Gross_Sales]]*OrdersRawTable9[[#This Row],[Discount_Pct]]</f>
        <v>0</v>
      </c>
      <c r="Y621" s="45">
        <f>OrdersRawTable9[[#This Row],[Gross_Sales]]-OrdersRawTable9[[#This Row],[Discount_Amount]]</f>
        <v>626.43000000000006</v>
      </c>
      <c r="Z621" s="45">
        <f>OrdersRawTable9[[#This Row],[Unit_Cost]]*OrdersRawTable9[[#This Row],[Quantity]]</f>
        <v>417.12</v>
      </c>
      <c r="AA621" s="45">
        <f>OrdersRawTable9[[#This Row],[Net_Sales]]-OrdersRawTable9[[#This Row],[Total_Cost]]</f>
        <v>209.31000000000006</v>
      </c>
      <c r="AB621" s="48">
        <f>IF(OrdersRawTable9[[#This Row],[Net_Sales]]=0,0,OrdersRawTable9[[#This Row],[Profit]]/OrdersRawTable9[[#This Row],[Net_Sales]])</f>
        <v>0.3341315071117284</v>
      </c>
      <c r="AC621" s="45" t="str">
        <f>IF(COUNTIF(ReturnsRawTable[Order_Line_ID],OrdersRawTable9[[#This Row],[Order_Line_ID]])&gt;0,"Yes","No")</f>
        <v>No</v>
      </c>
      <c r="AD621" s="45" t="str">
        <f>IFERROR(VLOOKUP(OrdersRawTable9[[#This Row],[Order_Line_ID]],ReturnsRawTable[[#All],[Order_Line_ID]:[Return_Reason_Raw]],3,FALSE),"")</f>
        <v/>
      </c>
      <c r="AE621" s="49" t="str">
        <f>IFERROR(VLOOKUP(OrdersRawTable9[[#This Row],[Order_Line_ID]],ReturnsRawTable[[#All],[Order_Line_ID]:[Return_Date]],2,FALSE),"")</f>
        <v/>
      </c>
      <c r="AF621" s="45" t="str">
        <f>IFERROR(VLOOKUP(OrdersRawTable9[[#This Row],[Order_Line_ID]],ReturnsRawTable[[Order_Line_ID]:[Refund_Status]],4,FALSE),"")</f>
        <v/>
      </c>
      <c r="AG621" s="45" t="str">
        <f>VLOOKUP(OrdersRawTable9[[#This Row],[Order_ID]],ShipmentsTable[],6,FALSE)</f>
        <v>On time</v>
      </c>
      <c r="AH621" s="49">
        <f>VLOOKUP(OrdersRawTable9[[#This Row],[Order_ID]],ShipmentsTable[],3,FALSE)</f>
        <v>45717.041666666664</v>
      </c>
    </row>
    <row r="622" spans="1:34" ht="15" customHeight="1">
      <c r="A622" s="14" t="s">
        <v>1240</v>
      </c>
      <c r="B622" s="10" t="s">
        <v>1241</v>
      </c>
      <c r="C622" s="20">
        <v>45920</v>
      </c>
      <c r="D622" s="10" t="s">
        <v>680</v>
      </c>
      <c r="E622" s="10" t="s">
        <v>681</v>
      </c>
      <c r="F622" s="10" t="str">
        <f>TRIM(LEFT(OrdersRawTable9[[#This Row],[Customer_Info]],FIND(",",OrdersRawTable9[[#This Row],[Customer_Info]])-1))</f>
        <v>Amina Tremblay</v>
      </c>
      <c r="G62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622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22" s="10">
        <f>LEN(OrdersRawTable9[[#This Row],[Customer_Info]])-LEN(SUBSTITUTE(OrdersRawTable9[[#This Row],[Customer_Info]],",",""))</f>
        <v>2</v>
      </c>
      <c r="J622" s="10" t="s">
        <v>110</v>
      </c>
      <c r="K622" s="23">
        <v>3</v>
      </c>
      <c r="L622" s="26">
        <v>133.24</v>
      </c>
      <c r="M622" s="29">
        <v>0</v>
      </c>
      <c r="N622" s="10" t="s">
        <v>64</v>
      </c>
      <c r="O622" s="10" t="str">
        <f>IF(TRIM(OrdersRawTable9[[#This Row],[Sales_Channel_Raw]])="Market place","Marketplace",TRIM(OrdersRawTable9[[#This Row],[Sales_Channel_Raw]]))</f>
        <v>Retail Store</v>
      </c>
      <c r="P622" s="10" t="s">
        <v>41</v>
      </c>
      <c r="Q622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622" s="15" t="s">
        <v>42</v>
      </c>
      <c r="S622" t="str">
        <f>VLOOKUP(OrdersRawTable9[[#This Row],[Customer_ID_Raw]],CustomersTable11[],4,FALSE)</f>
        <v>British Columbia</v>
      </c>
      <c r="T622" t="str">
        <f>VLOOKUP(OrdersRawTable9[[#This Row],[Customer_ID_Raw]],CustomersTable11[],5,FALSE)</f>
        <v>Corporate</v>
      </c>
      <c r="U622" s="45">
        <f>VLOOKUP(OrdersRawTable9[[#This Row],[Product_ID]],ProductsTable10[],4,FALSE)</f>
        <v>77.540000000000006</v>
      </c>
      <c r="V622" t="str">
        <f>VLOOKUP(OrdersRawTable9[[#This Row],[Product_ID]],ProductsTable10[],3,FALSE)</f>
        <v>Electronics</v>
      </c>
      <c r="W622" s="45">
        <f>OrdersRawTable9[[#This Row],[Unit_Price]]*OrdersRawTable9[[#This Row],[Quantity]]</f>
        <v>399.72</v>
      </c>
      <c r="X622" s="47">
        <f>OrdersRawTable9[[#This Row],[Gross_Sales]]*OrdersRawTable9[[#This Row],[Discount_Pct]]</f>
        <v>0</v>
      </c>
      <c r="Y622" s="45">
        <f>OrdersRawTable9[[#This Row],[Gross_Sales]]-OrdersRawTable9[[#This Row],[Discount_Amount]]</f>
        <v>399.72</v>
      </c>
      <c r="Z622" s="45">
        <f>OrdersRawTable9[[#This Row],[Unit_Cost]]*OrdersRawTable9[[#This Row],[Quantity]]</f>
        <v>232.62</v>
      </c>
      <c r="AA622" s="45">
        <f>OrdersRawTable9[[#This Row],[Net_Sales]]-OrdersRawTable9[[#This Row],[Total_Cost]]</f>
        <v>167.10000000000002</v>
      </c>
      <c r="AB622" s="48">
        <f>IF(OrdersRawTable9[[#This Row],[Net_Sales]]=0,0,OrdersRawTable9[[#This Row],[Profit]]/OrdersRawTable9[[#This Row],[Net_Sales]])</f>
        <v>0.41804262984088864</v>
      </c>
      <c r="AC622" s="45" t="str">
        <f>IF(COUNTIF(ReturnsRawTable[Order_Line_ID],OrdersRawTable9[[#This Row],[Order_Line_ID]])&gt;0,"Yes","No")</f>
        <v>Yes</v>
      </c>
      <c r="AD622" s="45" t="str">
        <f>IFERROR(VLOOKUP(OrdersRawTable9[[#This Row],[Order_Line_ID]],ReturnsRawTable[[#All],[Order_Line_ID]:[Return_Reason_Raw]],3,FALSE),"")</f>
        <v>damaged</v>
      </c>
      <c r="AE622" s="49">
        <f>IFERROR(VLOOKUP(OrdersRawTable9[[#This Row],[Order_Line_ID]],ReturnsRawTable[[#All],[Order_Line_ID]:[Return_Date]],2,FALSE),"")</f>
        <v>45937</v>
      </c>
      <c r="AF622" s="45" t="str">
        <f>IFERROR(VLOOKUP(OrdersRawTable9[[#This Row],[Order_Line_ID]],ReturnsRawTable[[Order_Line_ID]:[Refund_Status]],4,FALSE),"")</f>
        <v>Refunded</v>
      </c>
      <c r="AG622" s="45" t="str">
        <f>VLOOKUP(OrdersRawTable9[[#This Row],[Order_ID]],ShipmentsTable[],6,FALSE)</f>
        <v>Late</v>
      </c>
      <c r="AH622" s="49">
        <f>VLOOKUP(OrdersRawTable9[[#This Row],[Order_ID]],ShipmentsTable[],3,FALSE)</f>
        <v>45927</v>
      </c>
    </row>
    <row r="623" spans="1:34" ht="15" customHeight="1">
      <c r="A623" s="14" t="s">
        <v>1242</v>
      </c>
      <c r="B623" s="10" t="s">
        <v>1243</v>
      </c>
      <c r="C623" s="20">
        <v>45965</v>
      </c>
      <c r="D623" s="10" t="s">
        <v>895</v>
      </c>
      <c r="E623" s="10" t="s">
        <v>896</v>
      </c>
      <c r="F623" s="10" t="str">
        <f>TRIM(LEFT(OrdersRawTable9[[#This Row],[Customer_Info]],FIND(",",OrdersRawTable9[[#This Row],[Customer_Info]])-1))</f>
        <v>Sofia Ali</v>
      </c>
      <c r="G62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623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623" s="10">
        <f>LEN(OrdersRawTable9[[#This Row],[Customer_Info]])-LEN(SUBSTITUTE(OrdersRawTable9[[#This Row],[Customer_Info]],",",""))</f>
        <v>2</v>
      </c>
      <c r="J623" s="10" t="s">
        <v>57</v>
      </c>
      <c r="K623" s="23">
        <v>2</v>
      </c>
      <c r="L623" s="26">
        <v>208.81</v>
      </c>
      <c r="M623" s="29">
        <v>0</v>
      </c>
      <c r="N623" s="10" t="s">
        <v>70</v>
      </c>
      <c r="O623" s="10" t="str">
        <f>IF(TRIM(OrdersRawTable9[[#This Row],[Sales_Channel_Raw]])="Market place","Marketplace",TRIM(OrdersRawTable9[[#This Row],[Sales_Channel_Raw]]))</f>
        <v>online</v>
      </c>
      <c r="P623" s="10" t="s">
        <v>58</v>
      </c>
      <c r="Q623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623" s="15" t="s">
        <v>42</v>
      </c>
      <c r="S623" t="str">
        <f>VLOOKUP(OrdersRawTable9[[#This Row],[Customer_ID_Raw]],CustomersTable11[],4,FALSE)</f>
        <v>Quebec</v>
      </c>
      <c r="T623" t="str">
        <f>VLOOKUP(OrdersRawTable9[[#This Row],[Customer_ID_Raw]],CustomersTable11[],5,FALSE)</f>
        <v>Consumer</v>
      </c>
      <c r="U623" s="45">
        <f>VLOOKUP(OrdersRawTable9[[#This Row],[Product_ID]],ProductsTable10[],4,FALSE)</f>
        <v>139.04</v>
      </c>
      <c r="V623" t="str">
        <f>VLOOKUP(OrdersRawTable9[[#This Row],[Product_ID]],ProductsTable10[],3,FALSE)</f>
        <v>Fitness</v>
      </c>
      <c r="W623" s="45">
        <f>OrdersRawTable9[[#This Row],[Unit_Price]]*OrdersRawTable9[[#This Row],[Quantity]]</f>
        <v>417.62</v>
      </c>
      <c r="X623" s="47">
        <f>OrdersRawTable9[[#This Row],[Gross_Sales]]*OrdersRawTable9[[#This Row],[Discount_Pct]]</f>
        <v>0</v>
      </c>
      <c r="Y623" s="45">
        <f>OrdersRawTable9[[#This Row],[Gross_Sales]]-OrdersRawTable9[[#This Row],[Discount_Amount]]</f>
        <v>417.62</v>
      </c>
      <c r="Z623" s="45">
        <f>OrdersRawTable9[[#This Row],[Unit_Cost]]*OrdersRawTable9[[#This Row],[Quantity]]</f>
        <v>278.08</v>
      </c>
      <c r="AA623" s="45">
        <f>OrdersRawTable9[[#This Row],[Net_Sales]]-OrdersRawTable9[[#This Row],[Total_Cost]]</f>
        <v>139.54000000000002</v>
      </c>
      <c r="AB623" s="48">
        <f>IF(OrdersRawTable9[[#This Row],[Net_Sales]]=0,0,OrdersRawTable9[[#This Row],[Profit]]/OrdersRawTable9[[#This Row],[Net_Sales]])</f>
        <v>0.3341315071117284</v>
      </c>
      <c r="AC623" s="45" t="str">
        <f>IF(COUNTIF(ReturnsRawTable[Order_Line_ID],OrdersRawTable9[[#This Row],[Order_Line_ID]])&gt;0,"Yes","No")</f>
        <v>No</v>
      </c>
      <c r="AD623" s="45" t="str">
        <f>IFERROR(VLOOKUP(OrdersRawTable9[[#This Row],[Order_Line_ID]],ReturnsRawTable[[#All],[Order_Line_ID]:[Return_Reason_Raw]],3,FALSE),"")</f>
        <v/>
      </c>
      <c r="AE623" s="49" t="str">
        <f>IFERROR(VLOOKUP(OrdersRawTable9[[#This Row],[Order_Line_ID]],ReturnsRawTable[[#All],[Order_Line_ID]:[Return_Date]],2,FALSE),"")</f>
        <v/>
      </c>
      <c r="AF623" s="45" t="str">
        <f>IFERROR(VLOOKUP(OrdersRawTable9[[#This Row],[Order_Line_ID]],ReturnsRawTable[[Order_Line_ID]:[Refund_Status]],4,FALSE),"")</f>
        <v/>
      </c>
      <c r="AG623" s="45" t="str">
        <f>VLOOKUP(OrdersRawTable9[[#This Row],[Order_ID]],ShipmentsTable[],6,FALSE)</f>
        <v>Late</v>
      </c>
      <c r="AH623" s="49">
        <f>VLOOKUP(OrdersRawTable9[[#This Row],[Order_ID]],ShipmentsTable[],3,FALSE)</f>
        <v>45971</v>
      </c>
    </row>
    <row r="624" spans="1:34" ht="15" customHeight="1">
      <c r="A624" s="14" t="s">
        <v>1244</v>
      </c>
      <c r="B624" s="10" t="s">
        <v>1243</v>
      </c>
      <c r="C624" s="20">
        <v>45965</v>
      </c>
      <c r="D624" s="10" t="s">
        <v>895</v>
      </c>
      <c r="E624" s="10" t="s">
        <v>896</v>
      </c>
      <c r="F624" s="10" t="str">
        <f>TRIM(LEFT(OrdersRawTable9[[#This Row],[Customer_Info]],FIND(",",OrdersRawTable9[[#This Row],[Customer_Info]])-1))</f>
        <v>Sofia Ali</v>
      </c>
      <c r="G62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624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624" s="10">
        <f>LEN(OrdersRawTable9[[#This Row],[Customer_Info]])-LEN(SUBSTITUTE(OrdersRawTable9[[#This Row],[Customer_Info]],",",""))</f>
        <v>2</v>
      </c>
      <c r="J624" s="10" t="s">
        <v>121</v>
      </c>
      <c r="K624" s="23">
        <v>3</v>
      </c>
      <c r="L624" s="26">
        <v>287.16000000000003</v>
      </c>
      <c r="M624" s="29">
        <v>0</v>
      </c>
      <c r="N624" s="10" t="s">
        <v>50</v>
      </c>
      <c r="O624" s="10" t="str">
        <f>IF(TRIM(OrdersRawTable9[[#This Row],[Sales_Channel_Raw]])="Market place","Marketplace",TRIM(OrdersRawTable9[[#This Row],[Sales_Channel_Raw]]))</f>
        <v>Marketplace</v>
      </c>
      <c r="P624" s="10" t="s">
        <v>98</v>
      </c>
      <c r="Q624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624" s="15" t="s">
        <v>52</v>
      </c>
      <c r="S624" t="str">
        <f>VLOOKUP(OrdersRawTable9[[#This Row],[Customer_ID_Raw]],CustomersTable11[],4,FALSE)</f>
        <v>Quebec</v>
      </c>
      <c r="T624" t="str">
        <f>VLOOKUP(OrdersRawTable9[[#This Row],[Customer_ID_Raw]],CustomersTable11[],5,FALSE)</f>
        <v>Consumer</v>
      </c>
      <c r="U624" s="45">
        <f>VLOOKUP(OrdersRawTable9[[#This Row],[Product_ID]],ProductsTable10[],4,FALSE)</f>
        <v>148.21</v>
      </c>
      <c r="V624" t="str">
        <f>VLOOKUP(OrdersRawTable9[[#This Row],[Product_ID]],ProductsTable10[],3,FALSE)</f>
        <v>Accessories</v>
      </c>
      <c r="W624" s="45">
        <f>OrdersRawTable9[[#This Row],[Unit_Price]]*OrdersRawTable9[[#This Row],[Quantity]]</f>
        <v>861.48</v>
      </c>
      <c r="X624" s="47">
        <f>OrdersRawTable9[[#This Row],[Gross_Sales]]*OrdersRawTable9[[#This Row],[Discount_Pct]]</f>
        <v>0</v>
      </c>
      <c r="Y624" s="45">
        <f>OrdersRawTable9[[#This Row],[Gross_Sales]]-OrdersRawTable9[[#This Row],[Discount_Amount]]</f>
        <v>861.48</v>
      </c>
      <c r="Z624" s="45">
        <f>OrdersRawTable9[[#This Row],[Unit_Cost]]*OrdersRawTable9[[#This Row],[Quantity]]</f>
        <v>444.63</v>
      </c>
      <c r="AA624" s="45">
        <f>OrdersRawTable9[[#This Row],[Net_Sales]]-OrdersRawTable9[[#This Row],[Total_Cost]]</f>
        <v>416.85</v>
      </c>
      <c r="AB624" s="48">
        <f>IF(OrdersRawTable9[[#This Row],[Net_Sales]]=0,0,OrdersRawTable9[[#This Row],[Profit]]/OrdersRawTable9[[#This Row],[Net_Sales]])</f>
        <v>0.48387658448251847</v>
      </c>
      <c r="AC624" s="45" t="str">
        <f>IF(COUNTIF(ReturnsRawTable[Order_Line_ID],OrdersRawTable9[[#This Row],[Order_Line_ID]])&gt;0,"Yes","No")</f>
        <v>Yes</v>
      </c>
      <c r="AD624" s="45" t="str">
        <f>IFERROR(VLOOKUP(OrdersRawTable9[[#This Row],[Order_Line_ID]],ReturnsRawTable[[#All],[Order_Line_ID]:[Return_Reason_Raw]],3,FALSE),"")</f>
        <v>Changed Mind</v>
      </c>
      <c r="AE624" s="49">
        <f>IFERROR(VLOOKUP(OrdersRawTable9[[#This Row],[Order_Line_ID]],ReturnsRawTable[[#All],[Order_Line_ID]:[Return_Date]],2,FALSE),"")</f>
        <v>45976</v>
      </c>
      <c r="AF624" s="45" t="str">
        <f>IFERROR(VLOOKUP(OrdersRawTable9[[#This Row],[Order_Line_ID]],ReturnsRawTable[[Order_Line_ID]:[Refund_Status]],4,FALSE),"")</f>
        <v>Pending</v>
      </c>
      <c r="AG624" s="45" t="str">
        <f>VLOOKUP(OrdersRawTable9[[#This Row],[Order_ID]],ShipmentsTable[],6,FALSE)</f>
        <v>Late</v>
      </c>
      <c r="AH624" s="49">
        <f>VLOOKUP(OrdersRawTable9[[#This Row],[Order_ID]],ShipmentsTable[],3,FALSE)</f>
        <v>45971</v>
      </c>
    </row>
    <row r="625" spans="1:34" ht="15" customHeight="1">
      <c r="A625" s="14" t="s">
        <v>1245</v>
      </c>
      <c r="B625" s="10" t="s">
        <v>1246</v>
      </c>
      <c r="C625" s="20">
        <v>45996</v>
      </c>
      <c r="D625" s="10" t="s">
        <v>1247</v>
      </c>
      <c r="E625" s="10" t="s">
        <v>1248</v>
      </c>
      <c r="F625" s="10" t="str">
        <f>TRIM(LEFT(OrdersRawTable9[[#This Row],[Customer_Info]],FIND(",",OrdersRawTable9[[#This Row],[Customer_Info]])-1))</f>
        <v>Adam Ali</v>
      </c>
      <c r="G62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625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25" s="10">
        <f>LEN(OrdersRawTable9[[#This Row],[Customer_Info]])-LEN(SUBSTITUTE(OrdersRawTable9[[#This Row],[Customer_Info]],",",""))</f>
        <v>2</v>
      </c>
      <c r="J625" s="10" t="s">
        <v>152</v>
      </c>
      <c r="K625" s="23">
        <v>4</v>
      </c>
      <c r="L625" s="26">
        <v>234.37</v>
      </c>
      <c r="M625" s="29">
        <v>0</v>
      </c>
      <c r="N625" s="10" t="s">
        <v>50</v>
      </c>
      <c r="O625" s="10" t="str">
        <f>IF(TRIM(OrdersRawTable9[[#This Row],[Sales_Channel_Raw]])="Market place","Marketplace",TRIM(OrdersRawTable9[[#This Row],[Sales_Channel_Raw]]))</f>
        <v>Marketplace</v>
      </c>
      <c r="P625" s="10" t="s">
        <v>98</v>
      </c>
      <c r="Q625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625" s="15" t="s">
        <v>42</v>
      </c>
      <c r="S625" t="str">
        <f>VLOOKUP(OrdersRawTable9[[#This Row],[Customer_ID_Raw]],CustomersTable11[],4,FALSE)</f>
        <v>British Columbia</v>
      </c>
      <c r="T625" t="str">
        <f>VLOOKUP(OrdersRawTable9[[#This Row],[Customer_ID_Raw]],CustomersTable11[],5,FALSE)</f>
        <v>Corporate</v>
      </c>
      <c r="U625" s="45">
        <f>VLOOKUP(OrdersRawTable9[[#This Row],[Product_ID]],ProductsTable10[],4,FALSE)</f>
        <v>129.41999999999999</v>
      </c>
      <c r="V625" t="str">
        <f>VLOOKUP(OrdersRawTable9[[#This Row],[Product_ID]],ProductsTable10[],3,FALSE)</f>
        <v>Home</v>
      </c>
      <c r="W625" s="45">
        <f>OrdersRawTable9[[#This Row],[Unit_Price]]*OrdersRawTable9[[#This Row],[Quantity]]</f>
        <v>937.48</v>
      </c>
      <c r="X625" s="47">
        <f>OrdersRawTable9[[#This Row],[Gross_Sales]]*OrdersRawTable9[[#This Row],[Discount_Pct]]</f>
        <v>0</v>
      </c>
      <c r="Y625" s="45">
        <f>OrdersRawTable9[[#This Row],[Gross_Sales]]-OrdersRawTable9[[#This Row],[Discount_Amount]]</f>
        <v>937.48</v>
      </c>
      <c r="Z625" s="45">
        <f>OrdersRawTable9[[#This Row],[Unit_Cost]]*OrdersRawTable9[[#This Row],[Quantity]]</f>
        <v>517.67999999999995</v>
      </c>
      <c r="AA625" s="45">
        <f>OrdersRawTable9[[#This Row],[Net_Sales]]-OrdersRawTable9[[#This Row],[Total_Cost]]</f>
        <v>419.80000000000007</v>
      </c>
      <c r="AB625" s="48">
        <f>IF(OrdersRawTable9[[#This Row],[Net_Sales]]=0,0,OrdersRawTable9[[#This Row],[Profit]]/OrdersRawTable9[[#This Row],[Net_Sales]])</f>
        <v>0.44779621965268601</v>
      </c>
      <c r="AC625" s="45" t="str">
        <f>IF(COUNTIF(ReturnsRawTable[Order_Line_ID],OrdersRawTable9[[#This Row],[Order_Line_ID]])&gt;0,"Yes","No")</f>
        <v>No</v>
      </c>
      <c r="AD625" s="45" t="str">
        <f>IFERROR(VLOOKUP(OrdersRawTable9[[#This Row],[Order_Line_ID]],ReturnsRawTable[[#All],[Order_Line_ID]:[Return_Reason_Raw]],3,FALSE),"")</f>
        <v/>
      </c>
      <c r="AE625" s="49" t="str">
        <f>IFERROR(VLOOKUP(OrdersRawTable9[[#This Row],[Order_Line_ID]],ReturnsRawTable[[#All],[Order_Line_ID]:[Return_Date]],2,FALSE),"")</f>
        <v/>
      </c>
      <c r="AF625" s="45" t="str">
        <f>IFERROR(VLOOKUP(OrdersRawTable9[[#This Row],[Order_Line_ID]],ReturnsRawTable[[Order_Line_ID]:[Refund_Status]],4,FALSE),"")</f>
        <v/>
      </c>
      <c r="AG625" s="45" t="str">
        <f>VLOOKUP(OrdersRawTable9[[#This Row],[Order_ID]],ShipmentsTable[],6,FALSE)</f>
        <v>On time</v>
      </c>
      <c r="AH625" s="49">
        <f>VLOOKUP(OrdersRawTable9[[#This Row],[Order_ID]],ShipmentsTable[],3,FALSE)</f>
        <v>45999</v>
      </c>
    </row>
    <row r="626" spans="1:34" ht="15" customHeight="1">
      <c r="A626" s="14" t="s">
        <v>1249</v>
      </c>
      <c r="B626" s="10" t="s">
        <v>1246</v>
      </c>
      <c r="C626" s="20">
        <v>45996</v>
      </c>
      <c r="D626" s="10" t="s">
        <v>1247</v>
      </c>
      <c r="E626" s="10" t="s">
        <v>1248</v>
      </c>
      <c r="F626" s="10" t="str">
        <f>TRIM(LEFT(OrdersRawTable9[[#This Row],[Customer_Info]],FIND(",",OrdersRawTable9[[#This Row],[Customer_Info]])-1))</f>
        <v>Adam Ali</v>
      </c>
      <c r="G62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626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26" s="10">
        <f>LEN(OrdersRawTable9[[#This Row],[Customer_Info]])-LEN(SUBSTITUTE(OrdersRawTable9[[#This Row],[Customer_Info]],",",""))</f>
        <v>2</v>
      </c>
      <c r="J626" s="10" t="s">
        <v>468</v>
      </c>
      <c r="K626" s="23">
        <v>4</v>
      </c>
      <c r="L626" s="26">
        <v>160</v>
      </c>
      <c r="M626" s="29">
        <v>0.05</v>
      </c>
      <c r="N626" s="10" t="s">
        <v>64</v>
      </c>
      <c r="O626" s="10" t="str">
        <f>IF(TRIM(OrdersRawTable9[[#This Row],[Sales_Channel_Raw]])="Market place","Marketplace",TRIM(OrdersRawTable9[[#This Row],[Sales_Channel_Raw]]))</f>
        <v>Retail Store</v>
      </c>
      <c r="P626" s="10"/>
      <c r="Q626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626" s="15" t="s">
        <v>101</v>
      </c>
      <c r="S626" t="str">
        <f>VLOOKUP(OrdersRawTable9[[#This Row],[Customer_ID_Raw]],CustomersTable11[],4,FALSE)</f>
        <v>British Columbia</v>
      </c>
      <c r="T626" t="str">
        <f>VLOOKUP(OrdersRawTable9[[#This Row],[Customer_ID_Raw]],CustomersTable11[],5,FALSE)</f>
        <v>Corporate</v>
      </c>
      <c r="U626" s="45">
        <f>VLOOKUP(OrdersRawTable9[[#This Row],[Product_ID]],ProductsTable10[],4,FALSE)</f>
        <v>101.58</v>
      </c>
      <c r="V626" t="str">
        <f>VLOOKUP(OrdersRawTable9[[#This Row],[Product_ID]],ProductsTable10[],3,FALSE)</f>
        <v>Fitness</v>
      </c>
      <c r="W626" s="45">
        <f>OrdersRawTable9[[#This Row],[Unit_Price]]*OrdersRawTable9[[#This Row],[Quantity]]</f>
        <v>640</v>
      </c>
      <c r="X626" s="47">
        <f>OrdersRawTable9[[#This Row],[Gross_Sales]]*OrdersRawTable9[[#This Row],[Discount_Pct]]</f>
        <v>32</v>
      </c>
      <c r="Y626" s="45">
        <f>OrdersRawTable9[[#This Row],[Gross_Sales]]-OrdersRawTable9[[#This Row],[Discount_Amount]]</f>
        <v>608</v>
      </c>
      <c r="Z626" s="45">
        <f>OrdersRawTable9[[#This Row],[Unit_Cost]]*OrdersRawTable9[[#This Row],[Quantity]]</f>
        <v>406.32</v>
      </c>
      <c r="AA626" s="45">
        <f>OrdersRawTable9[[#This Row],[Net_Sales]]-OrdersRawTable9[[#This Row],[Total_Cost]]</f>
        <v>201.68</v>
      </c>
      <c r="AB626" s="48">
        <f>IF(OrdersRawTable9[[#This Row],[Net_Sales]]=0,0,OrdersRawTable9[[#This Row],[Profit]]/OrdersRawTable9[[#This Row],[Net_Sales]])</f>
        <v>0.33171052631578951</v>
      </c>
      <c r="AC626" s="45" t="str">
        <f>IF(COUNTIF(ReturnsRawTable[Order_Line_ID],OrdersRawTable9[[#This Row],[Order_Line_ID]])&gt;0,"Yes","No")</f>
        <v>No</v>
      </c>
      <c r="AD626" s="45" t="str">
        <f>IFERROR(VLOOKUP(OrdersRawTable9[[#This Row],[Order_Line_ID]],ReturnsRawTable[[#All],[Order_Line_ID]:[Return_Reason_Raw]],3,FALSE),"")</f>
        <v/>
      </c>
      <c r="AE626" s="49" t="str">
        <f>IFERROR(VLOOKUP(OrdersRawTable9[[#This Row],[Order_Line_ID]],ReturnsRawTable[[#All],[Order_Line_ID]:[Return_Date]],2,FALSE),"")</f>
        <v/>
      </c>
      <c r="AF626" s="45" t="str">
        <f>IFERROR(VLOOKUP(OrdersRawTable9[[#This Row],[Order_Line_ID]],ReturnsRawTable[[Order_Line_ID]:[Refund_Status]],4,FALSE),"")</f>
        <v/>
      </c>
      <c r="AG626" s="45" t="str">
        <f>VLOOKUP(OrdersRawTable9[[#This Row],[Order_ID]],ShipmentsTable[],6,FALSE)</f>
        <v>On time</v>
      </c>
      <c r="AH626" s="49">
        <f>VLOOKUP(OrdersRawTable9[[#This Row],[Order_ID]],ShipmentsTable[],3,FALSE)</f>
        <v>45999</v>
      </c>
    </row>
    <row r="627" spans="1:34" ht="15" customHeight="1">
      <c r="A627" s="14" t="s">
        <v>1250</v>
      </c>
      <c r="B627" s="10" t="s">
        <v>1246</v>
      </c>
      <c r="C627" s="20">
        <v>45996</v>
      </c>
      <c r="D627" s="10" t="s">
        <v>1247</v>
      </c>
      <c r="E627" s="10" t="s">
        <v>1248</v>
      </c>
      <c r="F627" s="10" t="str">
        <f>TRIM(LEFT(OrdersRawTable9[[#This Row],[Customer_Info]],FIND(",",OrdersRawTable9[[#This Row],[Customer_Info]])-1))</f>
        <v>Adam Ali</v>
      </c>
      <c r="G62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627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27" s="10">
        <f>LEN(OrdersRawTable9[[#This Row],[Customer_Info]])-LEN(SUBSTITUTE(OrdersRawTable9[[#This Row],[Customer_Info]],",",""))</f>
        <v>2</v>
      </c>
      <c r="J627" s="10" t="s">
        <v>49</v>
      </c>
      <c r="K627" s="23">
        <v>3</v>
      </c>
      <c r="L627" s="26">
        <v>300.16000000000003</v>
      </c>
      <c r="M627" s="29">
        <v>0.05</v>
      </c>
      <c r="N627" s="10" t="s">
        <v>64</v>
      </c>
      <c r="O627" s="10" t="str">
        <f>IF(TRIM(OrdersRawTable9[[#This Row],[Sales_Channel_Raw]])="Market place","Marketplace",TRIM(OrdersRawTable9[[#This Row],[Sales_Channel_Raw]]))</f>
        <v>Retail Store</v>
      </c>
      <c r="P627" s="10" t="s">
        <v>46</v>
      </c>
      <c r="Q627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627" s="15" t="s">
        <v>52</v>
      </c>
      <c r="S627" t="str">
        <f>VLOOKUP(OrdersRawTable9[[#This Row],[Customer_ID_Raw]],CustomersTable11[],4,FALSE)</f>
        <v>British Columbia</v>
      </c>
      <c r="T627" t="str">
        <f>VLOOKUP(OrdersRawTable9[[#This Row],[Customer_ID_Raw]],CustomersTable11[],5,FALSE)</f>
        <v>Corporate</v>
      </c>
      <c r="U627" s="45">
        <f>VLOOKUP(OrdersRawTable9[[#This Row],[Product_ID]],ProductsTable10[],4,FALSE)</f>
        <v>158.46</v>
      </c>
      <c r="V627" t="str">
        <f>VLOOKUP(OrdersRawTable9[[#This Row],[Product_ID]],ProductsTable10[],3,FALSE)</f>
        <v>Office</v>
      </c>
      <c r="W627" s="45">
        <f>OrdersRawTable9[[#This Row],[Unit_Price]]*OrdersRawTable9[[#This Row],[Quantity]]</f>
        <v>900.48</v>
      </c>
      <c r="X627" s="47">
        <f>OrdersRawTable9[[#This Row],[Gross_Sales]]*OrdersRawTable9[[#This Row],[Discount_Pct]]</f>
        <v>45.024000000000001</v>
      </c>
      <c r="Y627" s="45">
        <f>OrdersRawTable9[[#This Row],[Gross_Sales]]-OrdersRawTable9[[#This Row],[Discount_Amount]]</f>
        <v>855.45600000000002</v>
      </c>
      <c r="Z627" s="45">
        <f>OrdersRawTable9[[#This Row],[Unit_Cost]]*OrdersRawTable9[[#This Row],[Quantity]]</f>
        <v>475.38</v>
      </c>
      <c r="AA627" s="45">
        <f>OrdersRawTable9[[#This Row],[Net_Sales]]-OrdersRawTable9[[#This Row],[Total_Cost]]</f>
        <v>380.07600000000002</v>
      </c>
      <c r="AB627" s="48">
        <f>IF(OrdersRawTable9[[#This Row],[Net_Sales]]=0,0,OrdersRawTable9[[#This Row],[Profit]]/OrdersRawTable9[[#This Row],[Net_Sales]])</f>
        <v>0.44429637526652455</v>
      </c>
      <c r="AC627" s="45" t="str">
        <f>IF(COUNTIF(ReturnsRawTable[Order_Line_ID],OrdersRawTable9[[#This Row],[Order_Line_ID]])&gt;0,"Yes","No")</f>
        <v>No</v>
      </c>
      <c r="AD627" s="45" t="str">
        <f>IFERROR(VLOOKUP(OrdersRawTable9[[#This Row],[Order_Line_ID]],ReturnsRawTable[[#All],[Order_Line_ID]:[Return_Reason_Raw]],3,FALSE),"")</f>
        <v/>
      </c>
      <c r="AE627" s="49" t="str">
        <f>IFERROR(VLOOKUP(OrdersRawTable9[[#This Row],[Order_Line_ID]],ReturnsRawTable[[#All],[Order_Line_ID]:[Return_Date]],2,FALSE),"")</f>
        <v/>
      </c>
      <c r="AF627" s="45" t="str">
        <f>IFERROR(VLOOKUP(OrdersRawTable9[[#This Row],[Order_Line_ID]],ReturnsRawTable[[Order_Line_ID]:[Refund_Status]],4,FALSE),"")</f>
        <v/>
      </c>
      <c r="AG627" s="45" t="str">
        <f>VLOOKUP(OrdersRawTable9[[#This Row],[Order_ID]],ShipmentsTable[],6,FALSE)</f>
        <v>On time</v>
      </c>
      <c r="AH627" s="49">
        <f>VLOOKUP(OrdersRawTable9[[#This Row],[Order_ID]],ShipmentsTable[],3,FALSE)</f>
        <v>45999</v>
      </c>
    </row>
    <row r="628" spans="1:34" ht="15" customHeight="1">
      <c r="A628" s="14" t="s">
        <v>1251</v>
      </c>
      <c r="B628" s="10" t="s">
        <v>1246</v>
      </c>
      <c r="C628" s="20">
        <v>45996</v>
      </c>
      <c r="D628" s="10" t="s">
        <v>1247</v>
      </c>
      <c r="E628" s="10" t="s">
        <v>1248</v>
      </c>
      <c r="F628" s="10" t="str">
        <f>TRIM(LEFT(OrdersRawTable9[[#This Row],[Customer_Info]],FIND(",",OrdersRawTable9[[#This Row],[Customer_Info]])-1))</f>
        <v>Adam Ali</v>
      </c>
      <c r="G62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628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28" s="10">
        <f>LEN(OrdersRawTable9[[#This Row],[Customer_Info]])-LEN(SUBSTITUTE(OrdersRawTable9[[#This Row],[Customer_Info]],",",""))</f>
        <v>2</v>
      </c>
      <c r="J628" s="10" t="s">
        <v>39</v>
      </c>
      <c r="K628" s="23">
        <v>1</v>
      </c>
      <c r="L628" s="26">
        <v>236.51</v>
      </c>
      <c r="M628" s="29">
        <v>0</v>
      </c>
      <c r="N628" s="10" t="s">
        <v>40</v>
      </c>
      <c r="O628" s="10" t="str">
        <f>IF(TRIM(OrdersRawTable9[[#This Row],[Sales_Channel_Raw]])="Market place","Marketplace",TRIM(OrdersRawTable9[[#This Row],[Sales_Channel_Raw]]))</f>
        <v>Online</v>
      </c>
      <c r="P628" s="10"/>
      <c r="Q628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628" s="15" t="s">
        <v>42</v>
      </c>
      <c r="S628" t="str">
        <f>VLOOKUP(OrdersRawTable9[[#This Row],[Customer_ID_Raw]],CustomersTable11[],4,FALSE)</f>
        <v>British Columbia</v>
      </c>
      <c r="T628" t="str">
        <f>VLOOKUP(OrdersRawTable9[[#This Row],[Customer_ID_Raw]],CustomersTable11[],5,FALSE)</f>
        <v>Corporate</v>
      </c>
      <c r="U628" s="45">
        <f>VLOOKUP(OrdersRawTable9[[#This Row],[Product_ID]],ProductsTable10[],4,FALSE)</f>
        <v>142.84</v>
      </c>
      <c r="V628" t="str">
        <f>VLOOKUP(OrdersRawTable9[[#This Row],[Product_ID]],ProductsTable10[],3,FALSE)</f>
        <v>Fitness</v>
      </c>
      <c r="W628" s="45">
        <f>OrdersRawTable9[[#This Row],[Unit_Price]]*OrdersRawTable9[[#This Row],[Quantity]]</f>
        <v>236.51</v>
      </c>
      <c r="X628" s="47">
        <f>OrdersRawTable9[[#This Row],[Gross_Sales]]*OrdersRawTable9[[#This Row],[Discount_Pct]]</f>
        <v>0</v>
      </c>
      <c r="Y628" s="45">
        <f>OrdersRawTable9[[#This Row],[Gross_Sales]]-OrdersRawTable9[[#This Row],[Discount_Amount]]</f>
        <v>236.51</v>
      </c>
      <c r="Z628" s="45">
        <f>OrdersRawTable9[[#This Row],[Unit_Cost]]*OrdersRawTable9[[#This Row],[Quantity]]</f>
        <v>142.84</v>
      </c>
      <c r="AA628" s="45">
        <f>OrdersRawTable9[[#This Row],[Net_Sales]]-OrdersRawTable9[[#This Row],[Total_Cost]]</f>
        <v>93.669999999999987</v>
      </c>
      <c r="AB628" s="48">
        <f>IF(OrdersRawTable9[[#This Row],[Net_Sales]]=0,0,OrdersRawTable9[[#This Row],[Profit]]/OrdersRawTable9[[#This Row],[Net_Sales]])</f>
        <v>0.39605090693839579</v>
      </c>
      <c r="AC628" s="45" t="str">
        <f>IF(COUNTIF(ReturnsRawTable[Order_Line_ID],OrdersRawTable9[[#This Row],[Order_Line_ID]])&gt;0,"Yes","No")</f>
        <v>No</v>
      </c>
      <c r="AD628" s="45" t="str">
        <f>IFERROR(VLOOKUP(OrdersRawTable9[[#This Row],[Order_Line_ID]],ReturnsRawTable[[#All],[Order_Line_ID]:[Return_Reason_Raw]],3,FALSE),"")</f>
        <v/>
      </c>
      <c r="AE628" s="49" t="str">
        <f>IFERROR(VLOOKUP(OrdersRawTable9[[#This Row],[Order_Line_ID]],ReturnsRawTable[[#All],[Order_Line_ID]:[Return_Date]],2,FALSE),"")</f>
        <v/>
      </c>
      <c r="AF628" s="45" t="str">
        <f>IFERROR(VLOOKUP(OrdersRawTable9[[#This Row],[Order_Line_ID]],ReturnsRawTable[[Order_Line_ID]:[Refund_Status]],4,FALSE),"")</f>
        <v/>
      </c>
      <c r="AG628" s="45" t="str">
        <f>VLOOKUP(OrdersRawTable9[[#This Row],[Order_ID]],ShipmentsTable[],6,FALSE)</f>
        <v>On time</v>
      </c>
      <c r="AH628" s="49">
        <f>VLOOKUP(OrdersRawTable9[[#This Row],[Order_ID]],ShipmentsTable[],3,FALSE)</f>
        <v>45999</v>
      </c>
    </row>
    <row r="629" spans="1:34" ht="15" customHeight="1">
      <c r="A629" s="14" t="s">
        <v>1252</v>
      </c>
      <c r="B629" s="10" t="s">
        <v>1253</v>
      </c>
      <c r="C629" s="20">
        <v>45972</v>
      </c>
      <c r="D629" s="10" t="s">
        <v>1254</v>
      </c>
      <c r="E629" s="10" t="s">
        <v>1255</v>
      </c>
      <c r="F629" s="10" t="str">
        <f>TRIM(LEFT(OrdersRawTable9[[#This Row],[Customer_Info]],FIND(",",OrdersRawTable9[[#This Row],[Customer_Info]])-1))</f>
        <v>Sofia Wilson</v>
      </c>
      <c r="G62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629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629" s="10">
        <f>LEN(OrdersRawTable9[[#This Row],[Customer_Info]])-LEN(SUBSTITUTE(OrdersRawTable9[[#This Row],[Customer_Info]],",",""))</f>
        <v>2</v>
      </c>
      <c r="J629" s="10" t="s">
        <v>150</v>
      </c>
      <c r="K629" s="23">
        <v>3</v>
      </c>
      <c r="L629" s="26">
        <v>263.04000000000002</v>
      </c>
      <c r="M629" s="29">
        <v>0.05</v>
      </c>
      <c r="N629" s="10" t="s">
        <v>66</v>
      </c>
      <c r="O629" s="10" t="str">
        <f>IF(TRIM(OrdersRawTable9[[#This Row],[Sales_Channel_Raw]])="Market place","Marketplace",TRIM(OrdersRawTable9[[#This Row],[Sales_Channel_Raw]]))</f>
        <v>Marketplace</v>
      </c>
      <c r="P629" s="10"/>
      <c r="Q629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629" s="15" t="s">
        <v>47</v>
      </c>
      <c r="S629" t="str">
        <f>VLOOKUP(OrdersRawTable9[[#This Row],[Customer_ID_Raw]],CustomersTable11[],4,FALSE)</f>
        <v>Quebec</v>
      </c>
      <c r="T629" t="str">
        <f>VLOOKUP(OrdersRawTable9[[#This Row],[Customer_ID_Raw]],CustomersTable11[],5,FALSE)</f>
        <v>Small Business</v>
      </c>
      <c r="U629" s="45">
        <f>VLOOKUP(OrdersRawTable9[[#This Row],[Product_ID]],ProductsTable10[],4,FALSE)</f>
        <v>161.84</v>
      </c>
      <c r="V629" t="str">
        <f>VLOOKUP(OrdersRawTable9[[#This Row],[Product_ID]],ProductsTable10[],3,FALSE)</f>
        <v>Office</v>
      </c>
      <c r="W629" s="45">
        <f>OrdersRawTable9[[#This Row],[Unit_Price]]*OrdersRawTable9[[#This Row],[Quantity]]</f>
        <v>789.12000000000012</v>
      </c>
      <c r="X629" s="47">
        <f>OrdersRawTable9[[#This Row],[Gross_Sales]]*OrdersRawTable9[[#This Row],[Discount_Pct]]</f>
        <v>39.45600000000001</v>
      </c>
      <c r="Y629" s="45">
        <f>OrdersRawTable9[[#This Row],[Gross_Sales]]-OrdersRawTable9[[#This Row],[Discount_Amount]]</f>
        <v>749.6640000000001</v>
      </c>
      <c r="Z629" s="45">
        <f>OrdersRawTable9[[#This Row],[Unit_Cost]]*OrdersRawTable9[[#This Row],[Quantity]]</f>
        <v>485.52</v>
      </c>
      <c r="AA629" s="45">
        <f>OrdersRawTable9[[#This Row],[Net_Sales]]-OrdersRawTable9[[#This Row],[Total_Cost]]</f>
        <v>264.14400000000012</v>
      </c>
      <c r="AB629" s="48">
        <f>IF(OrdersRawTable9[[#This Row],[Net_Sales]]=0,0,OrdersRawTable9[[#This Row],[Profit]]/OrdersRawTable9[[#This Row],[Net_Sales]])</f>
        <v>0.35234985273402497</v>
      </c>
      <c r="AC629" s="45" t="str">
        <f>IF(COUNTIF(ReturnsRawTable[Order_Line_ID],OrdersRawTable9[[#This Row],[Order_Line_ID]])&gt;0,"Yes","No")</f>
        <v>Yes</v>
      </c>
      <c r="AD629" s="45" t="str">
        <f>IFERROR(VLOOKUP(OrdersRawTable9[[#This Row],[Order_Line_ID]],ReturnsRawTable[[#All],[Order_Line_ID]:[Return_Reason_Raw]],3,FALSE),"")</f>
        <v>Late Delivery</v>
      </c>
      <c r="AE629" s="49">
        <f>IFERROR(VLOOKUP(OrdersRawTable9[[#This Row],[Order_Line_ID]],ReturnsRawTable[[#All],[Order_Line_ID]:[Return_Date]],2,FALSE),"")</f>
        <v>45990</v>
      </c>
      <c r="AF629" s="45" t="str">
        <f>IFERROR(VLOOKUP(OrdersRawTable9[[#This Row],[Order_Line_ID]],ReturnsRawTable[[Order_Line_ID]:[Refund_Status]],4,FALSE),"")</f>
        <v>Pending</v>
      </c>
      <c r="AG629" s="45" t="str">
        <f>VLOOKUP(OrdersRawTable9[[#This Row],[Order_ID]],ShipmentsTable[],6,FALSE)</f>
        <v>On time</v>
      </c>
      <c r="AH629" s="49">
        <f>VLOOKUP(OrdersRawTable9[[#This Row],[Order_ID]],ShipmentsTable[],3,FALSE)</f>
        <v>45975</v>
      </c>
    </row>
    <row r="630" spans="1:34" ht="15" customHeight="1">
      <c r="A630" s="14" t="s">
        <v>1256</v>
      </c>
      <c r="B630" s="10" t="s">
        <v>1253</v>
      </c>
      <c r="C630" s="20">
        <v>45972</v>
      </c>
      <c r="D630" s="10" t="s">
        <v>1254</v>
      </c>
      <c r="E630" s="10" t="s">
        <v>1255</v>
      </c>
      <c r="F630" s="10" t="str">
        <f>TRIM(LEFT(OrdersRawTable9[[#This Row],[Customer_Info]],FIND(",",OrdersRawTable9[[#This Row],[Customer_Info]])-1))</f>
        <v>Sofia Wilson</v>
      </c>
      <c r="G63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630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630" s="10">
        <f>LEN(OrdersRawTable9[[#This Row],[Customer_Info]])-LEN(SUBSTITUTE(OrdersRawTable9[[#This Row],[Customer_Info]],",",""))</f>
        <v>2</v>
      </c>
      <c r="J630" s="10" t="s">
        <v>316</v>
      </c>
      <c r="K630" s="23">
        <v>3</v>
      </c>
      <c r="L630" s="26">
        <v>180.37</v>
      </c>
      <c r="M630" s="29">
        <v>0</v>
      </c>
      <c r="N630" s="10" t="s">
        <v>50</v>
      </c>
      <c r="O630" s="10" t="str">
        <f>IF(TRIM(OrdersRawTable9[[#This Row],[Sales_Channel_Raw]])="Market place","Marketplace",TRIM(OrdersRawTable9[[#This Row],[Sales_Channel_Raw]]))</f>
        <v>Marketplace</v>
      </c>
      <c r="P630" s="10" t="s">
        <v>46</v>
      </c>
      <c r="Q630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630" s="15" t="s">
        <v>47</v>
      </c>
      <c r="S630" t="str">
        <f>VLOOKUP(OrdersRawTable9[[#This Row],[Customer_ID_Raw]],CustomersTable11[],4,FALSE)</f>
        <v>Quebec</v>
      </c>
      <c r="T630" t="str">
        <f>VLOOKUP(OrdersRawTable9[[#This Row],[Customer_ID_Raw]],CustomersTable11[],5,FALSE)</f>
        <v>Small Business</v>
      </c>
      <c r="U630" s="45">
        <f>VLOOKUP(OrdersRawTable9[[#This Row],[Product_ID]],ProductsTable10[],4,FALSE)</f>
        <v>107.55</v>
      </c>
      <c r="V630" t="str">
        <f>VLOOKUP(OrdersRawTable9[[#This Row],[Product_ID]],ProductsTable10[],3,FALSE)</f>
        <v>Accessories</v>
      </c>
      <c r="W630" s="45">
        <f>OrdersRawTable9[[#This Row],[Unit_Price]]*OrdersRawTable9[[#This Row],[Quantity]]</f>
        <v>541.11</v>
      </c>
      <c r="X630" s="47">
        <f>OrdersRawTable9[[#This Row],[Gross_Sales]]*OrdersRawTable9[[#This Row],[Discount_Pct]]</f>
        <v>0</v>
      </c>
      <c r="Y630" s="45">
        <f>OrdersRawTable9[[#This Row],[Gross_Sales]]-OrdersRawTable9[[#This Row],[Discount_Amount]]</f>
        <v>541.11</v>
      </c>
      <c r="Z630" s="45">
        <f>OrdersRawTable9[[#This Row],[Unit_Cost]]*OrdersRawTable9[[#This Row],[Quantity]]</f>
        <v>322.64999999999998</v>
      </c>
      <c r="AA630" s="45">
        <f>OrdersRawTable9[[#This Row],[Net_Sales]]-OrdersRawTable9[[#This Row],[Total_Cost]]</f>
        <v>218.46000000000004</v>
      </c>
      <c r="AB630" s="48">
        <f>IF(OrdersRawTable9[[#This Row],[Net_Sales]]=0,0,OrdersRawTable9[[#This Row],[Profit]]/OrdersRawTable9[[#This Row],[Net_Sales]])</f>
        <v>0.40372567500138612</v>
      </c>
      <c r="AC630" s="45" t="str">
        <f>IF(COUNTIF(ReturnsRawTable[Order_Line_ID],OrdersRawTable9[[#This Row],[Order_Line_ID]])&gt;0,"Yes","No")</f>
        <v>No</v>
      </c>
      <c r="AD630" s="45" t="str">
        <f>IFERROR(VLOOKUP(OrdersRawTable9[[#This Row],[Order_Line_ID]],ReturnsRawTable[[#All],[Order_Line_ID]:[Return_Reason_Raw]],3,FALSE),"")</f>
        <v/>
      </c>
      <c r="AE630" s="49" t="str">
        <f>IFERROR(VLOOKUP(OrdersRawTable9[[#This Row],[Order_Line_ID]],ReturnsRawTable[[#All],[Order_Line_ID]:[Return_Date]],2,FALSE),"")</f>
        <v/>
      </c>
      <c r="AF630" s="45" t="str">
        <f>IFERROR(VLOOKUP(OrdersRawTable9[[#This Row],[Order_Line_ID]],ReturnsRawTable[[Order_Line_ID]:[Refund_Status]],4,FALSE),"")</f>
        <v/>
      </c>
      <c r="AG630" s="45" t="str">
        <f>VLOOKUP(OrdersRawTable9[[#This Row],[Order_ID]],ShipmentsTable[],6,FALSE)</f>
        <v>On time</v>
      </c>
      <c r="AH630" s="49">
        <f>VLOOKUP(OrdersRawTable9[[#This Row],[Order_ID]],ShipmentsTable[],3,FALSE)</f>
        <v>45975</v>
      </c>
    </row>
    <row r="631" spans="1:34" ht="15" customHeight="1">
      <c r="A631" s="14" t="s">
        <v>1257</v>
      </c>
      <c r="B631" s="10" t="s">
        <v>1253</v>
      </c>
      <c r="C631" s="20">
        <v>45972</v>
      </c>
      <c r="D631" s="10" t="s">
        <v>1254</v>
      </c>
      <c r="E631" s="10" t="s">
        <v>1255</v>
      </c>
      <c r="F631" s="10" t="str">
        <f>TRIM(LEFT(OrdersRawTable9[[#This Row],[Customer_Info]],FIND(",",OrdersRawTable9[[#This Row],[Customer_Info]])-1))</f>
        <v>Sofia Wilson</v>
      </c>
      <c r="G63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631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631" s="10">
        <f>LEN(OrdersRawTable9[[#This Row],[Customer_Info]])-LEN(SUBSTITUTE(OrdersRawTable9[[#This Row],[Customer_Info]],",",""))</f>
        <v>2</v>
      </c>
      <c r="J631" s="10" t="s">
        <v>100</v>
      </c>
      <c r="K631" s="23">
        <v>2</v>
      </c>
      <c r="L631" s="26">
        <v>42.72</v>
      </c>
      <c r="M631" s="29">
        <v>0.15</v>
      </c>
      <c r="N631" s="10" t="s">
        <v>70</v>
      </c>
      <c r="O631" s="10" t="str">
        <f>IF(TRIM(OrdersRawTable9[[#This Row],[Sales_Channel_Raw]])="Market place","Marketplace",TRIM(OrdersRawTable9[[#This Row],[Sales_Channel_Raw]]))</f>
        <v>online</v>
      </c>
      <c r="P631" s="10" t="s">
        <v>41</v>
      </c>
      <c r="Q631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631" s="15" t="s">
        <v>52</v>
      </c>
      <c r="S631" t="str">
        <f>VLOOKUP(OrdersRawTable9[[#This Row],[Customer_ID_Raw]],CustomersTable11[],4,FALSE)</f>
        <v>Quebec</v>
      </c>
      <c r="T631" t="str">
        <f>VLOOKUP(OrdersRawTable9[[#This Row],[Customer_ID_Raw]],CustomersTable11[],5,FALSE)</f>
        <v>Small Business</v>
      </c>
      <c r="U631" s="45">
        <f>VLOOKUP(OrdersRawTable9[[#This Row],[Product_ID]],ProductsTable10[],4,FALSE)</f>
        <v>24.46</v>
      </c>
      <c r="V631" t="str">
        <f>VLOOKUP(OrdersRawTable9[[#This Row],[Product_ID]],ProductsTable10[],3,FALSE)</f>
        <v>Electronics</v>
      </c>
      <c r="W631" s="45">
        <f>OrdersRawTable9[[#This Row],[Unit_Price]]*OrdersRawTable9[[#This Row],[Quantity]]</f>
        <v>85.44</v>
      </c>
      <c r="X631" s="47">
        <f>OrdersRawTable9[[#This Row],[Gross_Sales]]*OrdersRawTable9[[#This Row],[Discount_Pct]]</f>
        <v>12.815999999999999</v>
      </c>
      <c r="Y631" s="45">
        <f>OrdersRawTable9[[#This Row],[Gross_Sales]]-OrdersRawTable9[[#This Row],[Discount_Amount]]</f>
        <v>72.623999999999995</v>
      </c>
      <c r="Z631" s="45">
        <f>OrdersRawTable9[[#This Row],[Unit_Cost]]*OrdersRawTable9[[#This Row],[Quantity]]</f>
        <v>48.92</v>
      </c>
      <c r="AA631" s="45">
        <f>OrdersRawTable9[[#This Row],[Net_Sales]]-OrdersRawTable9[[#This Row],[Total_Cost]]</f>
        <v>23.703999999999994</v>
      </c>
      <c r="AB631" s="48">
        <f>IF(OrdersRawTable9[[#This Row],[Net_Sales]]=0,0,OrdersRawTable9[[#This Row],[Profit]]/OrdersRawTable9[[#This Row],[Net_Sales]])</f>
        <v>0.32639347873981045</v>
      </c>
      <c r="AC631" s="45" t="str">
        <f>IF(COUNTIF(ReturnsRawTable[Order_Line_ID],OrdersRawTable9[[#This Row],[Order_Line_ID]])&gt;0,"Yes","No")</f>
        <v>No</v>
      </c>
      <c r="AD631" s="45" t="str">
        <f>IFERROR(VLOOKUP(OrdersRawTable9[[#This Row],[Order_Line_ID]],ReturnsRawTable[[#All],[Order_Line_ID]:[Return_Reason_Raw]],3,FALSE),"")</f>
        <v/>
      </c>
      <c r="AE631" s="49" t="str">
        <f>IFERROR(VLOOKUP(OrdersRawTable9[[#This Row],[Order_Line_ID]],ReturnsRawTable[[#All],[Order_Line_ID]:[Return_Date]],2,FALSE),"")</f>
        <v/>
      </c>
      <c r="AF631" s="45" t="str">
        <f>IFERROR(VLOOKUP(OrdersRawTable9[[#This Row],[Order_Line_ID]],ReturnsRawTable[[Order_Line_ID]:[Refund_Status]],4,FALSE),"")</f>
        <v/>
      </c>
      <c r="AG631" s="45" t="str">
        <f>VLOOKUP(OrdersRawTable9[[#This Row],[Order_ID]],ShipmentsTable[],6,FALSE)</f>
        <v>On time</v>
      </c>
      <c r="AH631" s="49">
        <f>VLOOKUP(OrdersRawTable9[[#This Row],[Order_ID]],ShipmentsTable[],3,FALSE)</f>
        <v>45975</v>
      </c>
    </row>
    <row r="632" spans="1:34" ht="15" customHeight="1">
      <c r="A632" s="14" t="s">
        <v>1258</v>
      </c>
      <c r="B632" s="10" t="s">
        <v>1259</v>
      </c>
      <c r="C632" s="20">
        <v>45894</v>
      </c>
      <c r="D632" s="10" t="s">
        <v>382</v>
      </c>
      <c r="E632" s="10" t="s">
        <v>383</v>
      </c>
      <c r="F632" s="10" t="str">
        <f>TRIM(LEFT(OrdersRawTable9[[#This Row],[Customer_Info]],FIND(",",OrdersRawTable9[[#This Row],[Customer_Info]])-1))</f>
        <v>Ethan Brown</v>
      </c>
      <c r="G63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Regina</v>
      </c>
      <c r="H632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32" s="10">
        <f>LEN(OrdersRawTable9[[#This Row],[Customer_Info]])-LEN(SUBSTITUTE(OrdersRawTable9[[#This Row],[Customer_Info]],",",""))</f>
        <v>2</v>
      </c>
      <c r="J632" s="10" t="s">
        <v>180</v>
      </c>
      <c r="K632" s="23">
        <v>1</v>
      </c>
      <c r="L632" s="26">
        <v>91.75</v>
      </c>
      <c r="M632" s="29">
        <v>0.05</v>
      </c>
      <c r="N632" s="10" t="s">
        <v>45</v>
      </c>
      <c r="O632" s="10" t="str">
        <f>IF(TRIM(OrdersRawTable9[[#This Row],[Sales_Channel_Raw]])="Market place","Marketplace",TRIM(OrdersRawTable9[[#This Row],[Sales_Channel_Raw]]))</f>
        <v>Retail Store</v>
      </c>
      <c r="P632" s="10" t="s">
        <v>46</v>
      </c>
      <c r="Q632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632" s="15" t="s">
        <v>67</v>
      </c>
      <c r="S632" t="str">
        <f>VLOOKUP(OrdersRawTable9[[#This Row],[Customer_ID_Raw]],CustomersTable11[],4,FALSE)</f>
        <v>Saskatchewan</v>
      </c>
      <c r="T632" t="str">
        <f>VLOOKUP(OrdersRawTable9[[#This Row],[Customer_ID_Raw]],CustomersTable11[],5,FALSE)</f>
        <v>Corporate</v>
      </c>
      <c r="U632" s="45">
        <f>VLOOKUP(OrdersRawTable9[[#This Row],[Product_ID]],ProductsTable10[],4,FALSE)</f>
        <v>58.27</v>
      </c>
      <c r="V632" t="str">
        <f>VLOOKUP(OrdersRawTable9[[#This Row],[Product_ID]],ProductsTable10[],3,FALSE)</f>
        <v>Home</v>
      </c>
      <c r="W632" s="45">
        <f>OrdersRawTable9[[#This Row],[Unit_Price]]*OrdersRawTable9[[#This Row],[Quantity]]</f>
        <v>91.75</v>
      </c>
      <c r="X632" s="47">
        <f>OrdersRawTable9[[#This Row],[Gross_Sales]]*OrdersRawTable9[[#This Row],[Discount_Pct]]</f>
        <v>4.5875000000000004</v>
      </c>
      <c r="Y632" s="45">
        <f>OrdersRawTable9[[#This Row],[Gross_Sales]]-OrdersRawTable9[[#This Row],[Discount_Amount]]</f>
        <v>87.162499999999994</v>
      </c>
      <c r="Z632" s="45">
        <f>OrdersRawTable9[[#This Row],[Unit_Cost]]*OrdersRawTable9[[#This Row],[Quantity]]</f>
        <v>58.27</v>
      </c>
      <c r="AA632" s="45">
        <f>OrdersRawTable9[[#This Row],[Net_Sales]]-OrdersRawTable9[[#This Row],[Total_Cost]]</f>
        <v>28.892499999999991</v>
      </c>
      <c r="AB632" s="48">
        <f>IF(OrdersRawTable9[[#This Row],[Net_Sales]]=0,0,OrdersRawTable9[[#This Row],[Profit]]/OrdersRawTable9[[#This Row],[Net_Sales]])</f>
        <v>0.33147856016061944</v>
      </c>
      <c r="AC632" s="45" t="str">
        <f>IF(COUNTIF(ReturnsRawTable[Order_Line_ID],OrdersRawTable9[[#This Row],[Order_Line_ID]])&gt;0,"Yes","No")</f>
        <v>No</v>
      </c>
      <c r="AD632" s="45" t="str">
        <f>IFERROR(VLOOKUP(OrdersRawTable9[[#This Row],[Order_Line_ID]],ReturnsRawTable[[#All],[Order_Line_ID]:[Return_Reason_Raw]],3,FALSE),"")</f>
        <v/>
      </c>
      <c r="AE632" s="49" t="str">
        <f>IFERROR(VLOOKUP(OrdersRawTable9[[#This Row],[Order_Line_ID]],ReturnsRawTable[[#All],[Order_Line_ID]:[Return_Date]],2,FALSE),"")</f>
        <v/>
      </c>
      <c r="AF632" s="45" t="str">
        <f>IFERROR(VLOOKUP(OrdersRawTable9[[#This Row],[Order_Line_ID]],ReturnsRawTable[[Order_Line_ID]:[Refund_Status]],4,FALSE),"")</f>
        <v/>
      </c>
      <c r="AG632" s="45" t="str">
        <f>VLOOKUP(OrdersRawTable9[[#This Row],[Order_ID]],ShipmentsTable[],6,FALSE)</f>
        <v>On time</v>
      </c>
      <c r="AH632" s="49">
        <f>VLOOKUP(OrdersRawTable9[[#This Row],[Order_ID]],ShipmentsTable[],3,FALSE)</f>
        <v>45897</v>
      </c>
    </row>
    <row r="633" spans="1:34" ht="15" customHeight="1">
      <c r="A633" s="14" t="s">
        <v>1260</v>
      </c>
      <c r="B633" s="10" t="s">
        <v>1259</v>
      </c>
      <c r="C633" s="20">
        <v>45894</v>
      </c>
      <c r="D633" s="10" t="s">
        <v>382</v>
      </c>
      <c r="E633" s="10" t="s">
        <v>383</v>
      </c>
      <c r="F633" s="10" t="str">
        <f>TRIM(LEFT(OrdersRawTable9[[#This Row],[Customer_Info]],FIND(",",OrdersRawTable9[[#This Row],[Customer_Info]])-1))</f>
        <v>Ethan Brown</v>
      </c>
      <c r="G63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Regina</v>
      </c>
      <c r="H633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33" s="10">
        <f>LEN(OrdersRawTable9[[#This Row],[Customer_Info]])-LEN(SUBSTITUTE(OrdersRawTable9[[#This Row],[Customer_Info]],",",""))</f>
        <v>2</v>
      </c>
      <c r="J633" s="10" t="s">
        <v>152</v>
      </c>
      <c r="K633" s="23">
        <v>1</v>
      </c>
      <c r="L633" s="26">
        <v>234.37</v>
      </c>
      <c r="M633" s="29">
        <v>0.15</v>
      </c>
      <c r="N633" s="10" t="s">
        <v>50</v>
      </c>
      <c r="O633" s="10" t="str">
        <f>IF(TRIM(OrdersRawTable9[[#This Row],[Sales_Channel_Raw]])="Market place","Marketplace",TRIM(OrdersRawTable9[[#This Row],[Sales_Channel_Raw]]))</f>
        <v>Marketplace</v>
      </c>
      <c r="P633" s="10" t="s">
        <v>58</v>
      </c>
      <c r="Q633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633" s="15" t="s">
        <v>42</v>
      </c>
      <c r="S633" t="str">
        <f>VLOOKUP(OrdersRawTable9[[#This Row],[Customer_ID_Raw]],CustomersTable11[],4,FALSE)</f>
        <v>Saskatchewan</v>
      </c>
      <c r="T633" t="str">
        <f>VLOOKUP(OrdersRawTable9[[#This Row],[Customer_ID_Raw]],CustomersTable11[],5,FALSE)</f>
        <v>Corporate</v>
      </c>
      <c r="U633" s="45">
        <f>VLOOKUP(OrdersRawTable9[[#This Row],[Product_ID]],ProductsTable10[],4,FALSE)</f>
        <v>129.41999999999999</v>
      </c>
      <c r="V633" t="str">
        <f>VLOOKUP(OrdersRawTable9[[#This Row],[Product_ID]],ProductsTable10[],3,FALSE)</f>
        <v>Home</v>
      </c>
      <c r="W633" s="45">
        <f>OrdersRawTable9[[#This Row],[Unit_Price]]*OrdersRawTable9[[#This Row],[Quantity]]</f>
        <v>234.37</v>
      </c>
      <c r="X633" s="47">
        <f>OrdersRawTable9[[#This Row],[Gross_Sales]]*OrdersRawTable9[[#This Row],[Discount_Pct]]</f>
        <v>35.155499999999996</v>
      </c>
      <c r="Y633" s="45">
        <f>OrdersRawTable9[[#This Row],[Gross_Sales]]-OrdersRawTable9[[#This Row],[Discount_Amount]]</f>
        <v>199.21450000000002</v>
      </c>
      <c r="Z633" s="45">
        <f>OrdersRawTable9[[#This Row],[Unit_Cost]]*OrdersRawTable9[[#This Row],[Quantity]]</f>
        <v>129.41999999999999</v>
      </c>
      <c r="AA633" s="45">
        <f>OrdersRawTable9[[#This Row],[Net_Sales]]-OrdersRawTable9[[#This Row],[Total_Cost]]</f>
        <v>69.794500000000028</v>
      </c>
      <c r="AB633" s="48">
        <f>IF(OrdersRawTable9[[#This Row],[Net_Sales]]=0,0,OrdersRawTable9[[#This Row],[Profit]]/OrdersRawTable9[[#This Row],[Net_Sales]])</f>
        <v>0.35034849370904236</v>
      </c>
      <c r="AC633" s="45" t="str">
        <f>IF(COUNTIF(ReturnsRawTable[Order_Line_ID],OrdersRawTable9[[#This Row],[Order_Line_ID]])&gt;0,"Yes","No")</f>
        <v>No</v>
      </c>
      <c r="AD633" s="45" t="str">
        <f>IFERROR(VLOOKUP(OrdersRawTable9[[#This Row],[Order_Line_ID]],ReturnsRawTable[[#All],[Order_Line_ID]:[Return_Reason_Raw]],3,FALSE),"")</f>
        <v/>
      </c>
      <c r="AE633" s="49" t="str">
        <f>IFERROR(VLOOKUP(OrdersRawTable9[[#This Row],[Order_Line_ID]],ReturnsRawTable[[#All],[Order_Line_ID]:[Return_Date]],2,FALSE),"")</f>
        <v/>
      </c>
      <c r="AF633" s="45" t="str">
        <f>IFERROR(VLOOKUP(OrdersRawTable9[[#This Row],[Order_Line_ID]],ReturnsRawTable[[Order_Line_ID]:[Refund_Status]],4,FALSE),"")</f>
        <v/>
      </c>
      <c r="AG633" s="45" t="str">
        <f>VLOOKUP(OrdersRawTable9[[#This Row],[Order_ID]],ShipmentsTable[],6,FALSE)</f>
        <v>On time</v>
      </c>
      <c r="AH633" s="49">
        <f>VLOOKUP(OrdersRawTable9[[#This Row],[Order_ID]],ShipmentsTable[],3,FALSE)</f>
        <v>45897</v>
      </c>
    </row>
    <row r="634" spans="1:34" ht="15" customHeight="1">
      <c r="A634" s="14" t="s">
        <v>1261</v>
      </c>
      <c r="B634" s="10" t="s">
        <v>1259</v>
      </c>
      <c r="C634" s="20">
        <v>45894</v>
      </c>
      <c r="D634" s="10" t="s">
        <v>382</v>
      </c>
      <c r="E634" s="10" t="s">
        <v>383</v>
      </c>
      <c r="F634" s="10" t="str">
        <f>TRIM(LEFT(OrdersRawTable9[[#This Row],[Customer_Info]],FIND(",",OrdersRawTable9[[#This Row],[Customer_Info]])-1))</f>
        <v>Ethan Brown</v>
      </c>
      <c r="G63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Regina</v>
      </c>
      <c r="H634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34" s="10">
        <f>LEN(OrdersRawTable9[[#This Row],[Customer_Info]])-LEN(SUBSTITUTE(OrdersRawTable9[[#This Row],[Customer_Info]],",",""))</f>
        <v>2</v>
      </c>
      <c r="J634" s="10" t="s">
        <v>49</v>
      </c>
      <c r="K634" s="23">
        <v>2</v>
      </c>
      <c r="L634" s="26">
        <v>300.16000000000003</v>
      </c>
      <c r="M634" s="29">
        <v>0.05</v>
      </c>
      <c r="N634" s="10" t="s">
        <v>64</v>
      </c>
      <c r="O634" s="10" t="str">
        <f>IF(TRIM(OrdersRawTable9[[#This Row],[Sales_Channel_Raw]])="Market place","Marketplace",TRIM(OrdersRawTable9[[#This Row],[Sales_Channel_Raw]]))</f>
        <v>Retail Store</v>
      </c>
      <c r="P634" s="10" t="s">
        <v>41</v>
      </c>
      <c r="Q634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634" s="15" t="s">
        <v>67</v>
      </c>
      <c r="S634" t="str">
        <f>VLOOKUP(OrdersRawTable9[[#This Row],[Customer_ID_Raw]],CustomersTable11[],4,FALSE)</f>
        <v>Saskatchewan</v>
      </c>
      <c r="T634" t="str">
        <f>VLOOKUP(OrdersRawTable9[[#This Row],[Customer_ID_Raw]],CustomersTable11[],5,FALSE)</f>
        <v>Corporate</v>
      </c>
      <c r="U634" s="45">
        <f>VLOOKUP(OrdersRawTable9[[#This Row],[Product_ID]],ProductsTable10[],4,FALSE)</f>
        <v>158.46</v>
      </c>
      <c r="V634" t="str">
        <f>VLOOKUP(OrdersRawTable9[[#This Row],[Product_ID]],ProductsTable10[],3,FALSE)</f>
        <v>Office</v>
      </c>
      <c r="W634" s="45">
        <f>OrdersRawTable9[[#This Row],[Unit_Price]]*OrdersRawTable9[[#This Row],[Quantity]]</f>
        <v>600.32000000000005</v>
      </c>
      <c r="X634" s="47">
        <f>OrdersRawTable9[[#This Row],[Gross_Sales]]*OrdersRawTable9[[#This Row],[Discount_Pct]]</f>
        <v>30.016000000000005</v>
      </c>
      <c r="Y634" s="45">
        <f>OrdersRawTable9[[#This Row],[Gross_Sales]]-OrdersRawTable9[[#This Row],[Discount_Amount]]</f>
        <v>570.30400000000009</v>
      </c>
      <c r="Z634" s="45">
        <f>OrdersRawTable9[[#This Row],[Unit_Cost]]*OrdersRawTable9[[#This Row],[Quantity]]</f>
        <v>316.92</v>
      </c>
      <c r="AA634" s="45">
        <f>OrdersRawTable9[[#This Row],[Net_Sales]]-OrdersRawTable9[[#This Row],[Total_Cost]]</f>
        <v>253.38400000000007</v>
      </c>
      <c r="AB634" s="48">
        <f>IF(OrdersRawTable9[[#This Row],[Net_Sales]]=0,0,OrdersRawTable9[[#This Row],[Profit]]/OrdersRawTable9[[#This Row],[Net_Sales]])</f>
        <v>0.4442963752665246</v>
      </c>
      <c r="AC634" s="45" t="str">
        <f>IF(COUNTIF(ReturnsRawTable[Order_Line_ID],OrdersRawTable9[[#This Row],[Order_Line_ID]])&gt;0,"Yes","No")</f>
        <v>No</v>
      </c>
      <c r="AD634" s="45" t="str">
        <f>IFERROR(VLOOKUP(OrdersRawTable9[[#This Row],[Order_Line_ID]],ReturnsRawTable[[#All],[Order_Line_ID]:[Return_Reason_Raw]],3,FALSE),"")</f>
        <v/>
      </c>
      <c r="AE634" s="49" t="str">
        <f>IFERROR(VLOOKUP(OrdersRawTable9[[#This Row],[Order_Line_ID]],ReturnsRawTable[[#All],[Order_Line_ID]:[Return_Date]],2,FALSE),"")</f>
        <v/>
      </c>
      <c r="AF634" s="45" t="str">
        <f>IFERROR(VLOOKUP(OrdersRawTable9[[#This Row],[Order_Line_ID]],ReturnsRawTable[[Order_Line_ID]:[Refund_Status]],4,FALSE),"")</f>
        <v/>
      </c>
      <c r="AG634" s="45" t="str">
        <f>VLOOKUP(OrdersRawTable9[[#This Row],[Order_ID]],ShipmentsTable[],6,FALSE)</f>
        <v>On time</v>
      </c>
      <c r="AH634" s="49">
        <f>VLOOKUP(OrdersRawTable9[[#This Row],[Order_ID]],ShipmentsTable[],3,FALSE)</f>
        <v>45897</v>
      </c>
    </row>
    <row r="635" spans="1:34" ht="15" customHeight="1">
      <c r="A635" s="14" t="s">
        <v>1262</v>
      </c>
      <c r="B635" s="10" t="s">
        <v>1263</v>
      </c>
      <c r="C635" s="20">
        <v>45921</v>
      </c>
      <c r="D635" s="10" t="s">
        <v>218</v>
      </c>
      <c r="E635" s="10" t="s">
        <v>219</v>
      </c>
      <c r="F635" s="10" t="str">
        <f>TRIM(LEFT(OrdersRawTable9[[#This Row],[Customer_Info]],FIND(",",OrdersRawTable9[[#This Row],[Customer_Info]])-1))</f>
        <v>Maya Johnson</v>
      </c>
      <c r="G63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635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635" s="10">
        <f>LEN(OrdersRawTable9[[#This Row],[Customer_Info]])-LEN(SUBSTITUTE(OrdersRawTable9[[#This Row],[Customer_Info]],",",""))</f>
        <v>2</v>
      </c>
      <c r="J635" s="10" t="s">
        <v>196</v>
      </c>
      <c r="K635" s="23">
        <v>1</v>
      </c>
      <c r="L635" s="26">
        <v>183.73</v>
      </c>
      <c r="M635" s="29">
        <v>0</v>
      </c>
      <c r="N635" s="10" t="s">
        <v>66</v>
      </c>
      <c r="O635" s="10" t="str">
        <f>IF(TRIM(OrdersRawTable9[[#This Row],[Sales_Channel_Raw]])="Market place","Marketplace",TRIM(OrdersRawTable9[[#This Row],[Sales_Channel_Raw]]))</f>
        <v>Marketplace</v>
      </c>
      <c r="P635" s="10" t="s">
        <v>51</v>
      </c>
      <c r="Q635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635" s="15" t="s">
        <v>101</v>
      </c>
      <c r="S635" t="str">
        <f>VLOOKUP(OrdersRawTable9[[#This Row],[Customer_ID_Raw]],CustomersTable11[],4,FALSE)</f>
        <v>Alberta</v>
      </c>
      <c r="T635" t="str">
        <f>VLOOKUP(OrdersRawTable9[[#This Row],[Customer_ID_Raw]],CustomersTable11[],5,FALSE)</f>
        <v>Consumer</v>
      </c>
      <c r="U635" s="45">
        <f>VLOOKUP(OrdersRawTable9[[#This Row],[Product_ID]],ProductsTable10[],4,FALSE)</f>
        <v>98.11</v>
      </c>
      <c r="V635" t="str">
        <f>VLOOKUP(OrdersRawTable9[[#This Row],[Product_ID]],ProductsTable10[],3,FALSE)</f>
        <v>Home</v>
      </c>
      <c r="W635" s="45">
        <f>OrdersRawTable9[[#This Row],[Unit_Price]]*OrdersRawTable9[[#This Row],[Quantity]]</f>
        <v>183.73</v>
      </c>
      <c r="X635" s="47">
        <f>OrdersRawTable9[[#This Row],[Gross_Sales]]*OrdersRawTable9[[#This Row],[Discount_Pct]]</f>
        <v>0</v>
      </c>
      <c r="Y635" s="45">
        <f>OrdersRawTable9[[#This Row],[Gross_Sales]]-OrdersRawTable9[[#This Row],[Discount_Amount]]</f>
        <v>183.73</v>
      </c>
      <c r="Z635" s="45">
        <f>OrdersRawTable9[[#This Row],[Unit_Cost]]*OrdersRawTable9[[#This Row],[Quantity]]</f>
        <v>98.11</v>
      </c>
      <c r="AA635" s="45">
        <f>OrdersRawTable9[[#This Row],[Net_Sales]]-OrdersRawTable9[[#This Row],[Total_Cost]]</f>
        <v>85.61999999999999</v>
      </c>
      <c r="AB635" s="48">
        <f>IF(OrdersRawTable9[[#This Row],[Net_Sales]]=0,0,OrdersRawTable9[[#This Row],[Profit]]/OrdersRawTable9[[#This Row],[Net_Sales]])</f>
        <v>0.46600990584009139</v>
      </c>
      <c r="AC635" s="45" t="str">
        <f>IF(COUNTIF(ReturnsRawTable[Order_Line_ID],OrdersRawTable9[[#This Row],[Order_Line_ID]])&gt;0,"Yes","No")</f>
        <v>No</v>
      </c>
      <c r="AD635" s="45" t="str">
        <f>IFERROR(VLOOKUP(OrdersRawTable9[[#This Row],[Order_Line_ID]],ReturnsRawTable[[#All],[Order_Line_ID]:[Return_Reason_Raw]],3,FALSE),"")</f>
        <v/>
      </c>
      <c r="AE635" s="49" t="str">
        <f>IFERROR(VLOOKUP(OrdersRawTable9[[#This Row],[Order_Line_ID]],ReturnsRawTable[[#All],[Order_Line_ID]:[Return_Date]],2,FALSE),"")</f>
        <v/>
      </c>
      <c r="AF635" s="45" t="str">
        <f>IFERROR(VLOOKUP(OrdersRawTable9[[#This Row],[Order_Line_ID]],ReturnsRawTable[[Order_Line_ID]:[Refund_Status]],4,FALSE),"")</f>
        <v/>
      </c>
      <c r="AG635" s="45" t="str">
        <f>VLOOKUP(OrdersRawTable9[[#This Row],[Order_ID]],ShipmentsTable[],6,FALSE)</f>
        <v>Late</v>
      </c>
      <c r="AH635" s="49">
        <f>VLOOKUP(OrdersRawTable9[[#This Row],[Order_ID]],ShipmentsTable[],3,FALSE)</f>
        <v>45931</v>
      </c>
    </row>
    <row r="636" spans="1:34" ht="15" customHeight="1">
      <c r="A636" s="14" t="s">
        <v>1264</v>
      </c>
      <c r="B636" s="10" t="s">
        <v>1263</v>
      </c>
      <c r="C636" s="20">
        <v>45921</v>
      </c>
      <c r="D636" s="10" t="s">
        <v>218</v>
      </c>
      <c r="E636" s="10" t="s">
        <v>219</v>
      </c>
      <c r="F636" s="10" t="str">
        <f>TRIM(LEFT(OrdersRawTable9[[#This Row],[Customer_Info]],FIND(",",OrdersRawTable9[[#This Row],[Customer_Info]])-1))</f>
        <v>Maya Johnson</v>
      </c>
      <c r="G63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636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636" s="10">
        <f>LEN(OrdersRawTable9[[#This Row],[Customer_Info]])-LEN(SUBSTITUTE(OrdersRawTable9[[#This Row],[Customer_Info]],",",""))</f>
        <v>2</v>
      </c>
      <c r="J636" s="10" t="s">
        <v>332</v>
      </c>
      <c r="K636" s="23">
        <v>4</v>
      </c>
      <c r="L636" s="26">
        <v>273.89</v>
      </c>
      <c r="M636" s="29">
        <v>0.05</v>
      </c>
      <c r="N636" s="10" t="s">
        <v>45</v>
      </c>
      <c r="O636" s="10" t="str">
        <f>IF(TRIM(OrdersRawTable9[[#This Row],[Sales_Channel_Raw]])="Market place","Marketplace",TRIM(OrdersRawTable9[[#This Row],[Sales_Channel_Raw]]))</f>
        <v>Retail Store</v>
      </c>
      <c r="P636" s="10"/>
      <c r="Q636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636" s="15" t="s">
        <v>47</v>
      </c>
      <c r="S636" t="str">
        <f>VLOOKUP(OrdersRawTable9[[#This Row],[Customer_ID_Raw]],CustomersTable11[],4,FALSE)</f>
        <v>Alberta</v>
      </c>
      <c r="T636" t="str">
        <f>VLOOKUP(OrdersRawTable9[[#This Row],[Customer_ID_Raw]],CustomersTable11[],5,FALSE)</f>
        <v>Consumer</v>
      </c>
      <c r="U636" s="45">
        <f>VLOOKUP(OrdersRawTable9[[#This Row],[Product_ID]],ProductsTable10[],4,FALSE)</f>
        <v>140.66999999999999</v>
      </c>
      <c r="V636" t="str">
        <f>VLOOKUP(OrdersRawTable9[[#This Row],[Product_ID]],ProductsTable10[],3,FALSE)</f>
        <v>Home</v>
      </c>
      <c r="W636" s="45">
        <f>OrdersRawTable9[[#This Row],[Unit_Price]]*OrdersRawTable9[[#This Row],[Quantity]]</f>
        <v>1095.56</v>
      </c>
      <c r="X636" s="47">
        <f>OrdersRawTable9[[#This Row],[Gross_Sales]]*OrdersRawTable9[[#This Row],[Discount_Pct]]</f>
        <v>54.777999999999999</v>
      </c>
      <c r="Y636" s="45">
        <f>OrdersRawTable9[[#This Row],[Gross_Sales]]-OrdersRawTable9[[#This Row],[Discount_Amount]]</f>
        <v>1040.7819999999999</v>
      </c>
      <c r="Z636" s="45">
        <f>OrdersRawTable9[[#This Row],[Unit_Cost]]*OrdersRawTable9[[#This Row],[Quantity]]</f>
        <v>562.67999999999995</v>
      </c>
      <c r="AA636" s="45">
        <f>OrdersRawTable9[[#This Row],[Net_Sales]]-OrdersRawTable9[[#This Row],[Total_Cost]]</f>
        <v>478.10199999999998</v>
      </c>
      <c r="AB636" s="48">
        <f>IF(OrdersRawTable9[[#This Row],[Net_Sales]]=0,0,OrdersRawTable9[[#This Row],[Profit]]/OrdersRawTable9[[#This Row],[Net_Sales]])</f>
        <v>0.45936805209928688</v>
      </c>
      <c r="AC636" s="45" t="str">
        <f>IF(COUNTIF(ReturnsRawTable[Order_Line_ID],OrdersRawTable9[[#This Row],[Order_Line_ID]])&gt;0,"Yes","No")</f>
        <v>No</v>
      </c>
      <c r="AD636" s="45" t="str">
        <f>IFERROR(VLOOKUP(OrdersRawTable9[[#This Row],[Order_Line_ID]],ReturnsRawTable[[#All],[Order_Line_ID]:[Return_Reason_Raw]],3,FALSE),"")</f>
        <v/>
      </c>
      <c r="AE636" s="49" t="str">
        <f>IFERROR(VLOOKUP(OrdersRawTable9[[#This Row],[Order_Line_ID]],ReturnsRawTable[[#All],[Order_Line_ID]:[Return_Date]],2,FALSE),"")</f>
        <v/>
      </c>
      <c r="AF636" s="45" t="str">
        <f>IFERROR(VLOOKUP(OrdersRawTable9[[#This Row],[Order_Line_ID]],ReturnsRawTable[[Order_Line_ID]:[Refund_Status]],4,FALSE),"")</f>
        <v/>
      </c>
      <c r="AG636" s="45" t="str">
        <f>VLOOKUP(OrdersRawTable9[[#This Row],[Order_ID]],ShipmentsTable[],6,FALSE)</f>
        <v>Late</v>
      </c>
      <c r="AH636" s="49">
        <f>VLOOKUP(OrdersRawTable9[[#This Row],[Order_ID]],ShipmentsTable[],3,FALSE)</f>
        <v>45931</v>
      </c>
    </row>
    <row r="637" spans="1:34" ht="15" customHeight="1">
      <c r="A637" s="14" t="s">
        <v>1265</v>
      </c>
      <c r="B637" s="10" t="s">
        <v>1263</v>
      </c>
      <c r="C637" s="20">
        <v>45921</v>
      </c>
      <c r="D637" s="10" t="s">
        <v>218</v>
      </c>
      <c r="E637" s="10" t="s">
        <v>219</v>
      </c>
      <c r="F637" s="10" t="str">
        <f>TRIM(LEFT(OrdersRawTable9[[#This Row],[Customer_Info]],FIND(",",OrdersRawTable9[[#This Row],[Customer_Info]])-1))</f>
        <v>Maya Johnson</v>
      </c>
      <c r="G63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637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637" s="10">
        <f>LEN(OrdersRawTable9[[#This Row],[Customer_Info]])-LEN(SUBSTITUTE(OrdersRawTable9[[#This Row],[Customer_Info]],",",""))</f>
        <v>2</v>
      </c>
      <c r="J637" s="10" t="s">
        <v>316</v>
      </c>
      <c r="K637" s="23">
        <v>3</v>
      </c>
      <c r="L637" s="26">
        <v>180.37</v>
      </c>
      <c r="M637" s="29">
        <v>0.1</v>
      </c>
      <c r="N637" s="10" t="s">
        <v>64</v>
      </c>
      <c r="O637" s="10" t="str">
        <f>IF(TRIM(OrdersRawTable9[[#This Row],[Sales_Channel_Raw]])="Market place","Marketplace",TRIM(OrdersRawTable9[[#This Row],[Sales_Channel_Raw]]))</f>
        <v>Retail Store</v>
      </c>
      <c r="P637" s="10" t="s">
        <v>58</v>
      </c>
      <c r="Q637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637" s="15" t="s">
        <v>52</v>
      </c>
      <c r="S637" t="str">
        <f>VLOOKUP(OrdersRawTable9[[#This Row],[Customer_ID_Raw]],CustomersTable11[],4,FALSE)</f>
        <v>Alberta</v>
      </c>
      <c r="T637" t="str">
        <f>VLOOKUP(OrdersRawTable9[[#This Row],[Customer_ID_Raw]],CustomersTable11[],5,FALSE)</f>
        <v>Consumer</v>
      </c>
      <c r="U637" s="45">
        <f>VLOOKUP(OrdersRawTable9[[#This Row],[Product_ID]],ProductsTable10[],4,FALSE)</f>
        <v>107.55</v>
      </c>
      <c r="V637" t="str">
        <f>VLOOKUP(OrdersRawTable9[[#This Row],[Product_ID]],ProductsTable10[],3,FALSE)</f>
        <v>Accessories</v>
      </c>
      <c r="W637" s="45">
        <f>OrdersRawTable9[[#This Row],[Unit_Price]]*OrdersRawTable9[[#This Row],[Quantity]]</f>
        <v>541.11</v>
      </c>
      <c r="X637" s="47">
        <f>OrdersRawTable9[[#This Row],[Gross_Sales]]*OrdersRawTable9[[#This Row],[Discount_Pct]]</f>
        <v>54.111000000000004</v>
      </c>
      <c r="Y637" s="45">
        <f>OrdersRawTable9[[#This Row],[Gross_Sales]]-OrdersRawTable9[[#This Row],[Discount_Amount]]</f>
        <v>486.99900000000002</v>
      </c>
      <c r="Z637" s="45">
        <f>OrdersRawTable9[[#This Row],[Unit_Cost]]*OrdersRawTable9[[#This Row],[Quantity]]</f>
        <v>322.64999999999998</v>
      </c>
      <c r="AA637" s="45">
        <f>OrdersRawTable9[[#This Row],[Net_Sales]]-OrdersRawTable9[[#This Row],[Total_Cost]]</f>
        <v>164.34900000000005</v>
      </c>
      <c r="AB637" s="48">
        <f>IF(OrdersRawTable9[[#This Row],[Net_Sales]]=0,0,OrdersRawTable9[[#This Row],[Profit]]/OrdersRawTable9[[#This Row],[Net_Sales]])</f>
        <v>0.33747297222376232</v>
      </c>
      <c r="AC637" s="45" t="str">
        <f>IF(COUNTIF(ReturnsRawTable[Order_Line_ID],OrdersRawTable9[[#This Row],[Order_Line_ID]])&gt;0,"Yes","No")</f>
        <v>No</v>
      </c>
      <c r="AD637" s="45" t="str">
        <f>IFERROR(VLOOKUP(OrdersRawTable9[[#This Row],[Order_Line_ID]],ReturnsRawTable[[#All],[Order_Line_ID]:[Return_Reason_Raw]],3,FALSE),"")</f>
        <v/>
      </c>
      <c r="AE637" s="49" t="str">
        <f>IFERROR(VLOOKUP(OrdersRawTable9[[#This Row],[Order_Line_ID]],ReturnsRawTable[[#All],[Order_Line_ID]:[Return_Date]],2,FALSE),"")</f>
        <v/>
      </c>
      <c r="AF637" s="45" t="str">
        <f>IFERROR(VLOOKUP(OrdersRawTable9[[#This Row],[Order_Line_ID]],ReturnsRawTable[[Order_Line_ID]:[Refund_Status]],4,FALSE),"")</f>
        <v/>
      </c>
      <c r="AG637" s="45" t="str">
        <f>VLOOKUP(OrdersRawTable9[[#This Row],[Order_ID]],ShipmentsTable[],6,FALSE)</f>
        <v>Late</v>
      </c>
      <c r="AH637" s="49">
        <f>VLOOKUP(OrdersRawTable9[[#This Row],[Order_ID]],ShipmentsTable[],3,FALSE)</f>
        <v>45931</v>
      </c>
    </row>
    <row r="638" spans="1:34" ht="15" customHeight="1">
      <c r="A638" s="14" t="s">
        <v>1266</v>
      </c>
      <c r="B638" s="10" t="s">
        <v>1263</v>
      </c>
      <c r="C638" s="20">
        <v>45921</v>
      </c>
      <c r="D638" s="10" t="s">
        <v>218</v>
      </c>
      <c r="E638" s="10" t="s">
        <v>219</v>
      </c>
      <c r="F638" s="10" t="str">
        <f>TRIM(LEFT(OrdersRawTable9[[#This Row],[Customer_Info]],FIND(",",OrdersRawTable9[[#This Row],[Customer_Info]])-1))</f>
        <v>Maya Johnson</v>
      </c>
      <c r="G63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638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638" s="10">
        <f>LEN(OrdersRawTable9[[#This Row],[Customer_Info]])-LEN(SUBSTITUTE(OrdersRawTable9[[#This Row],[Customer_Info]],",",""))</f>
        <v>2</v>
      </c>
      <c r="J638" s="10" t="s">
        <v>80</v>
      </c>
      <c r="K638" s="23">
        <v>4</v>
      </c>
      <c r="L638" s="26">
        <v>142.16</v>
      </c>
      <c r="M638" s="29">
        <v>0.15</v>
      </c>
      <c r="N638" s="10" t="s">
        <v>70</v>
      </c>
      <c r="O638" s="10" t="str">
        <f>IF(TRIM(OrdersRawTable9[[#This Row],[Sales_Channel_Raw]])="Market place","Marketplace",TRIM(OrdersRawTable9[[#This Row],[Sales_Channel_Raw]]))</f>
        <v>online</v>
      </c>
      <c r="P638" s="10" t="s">
        <v>98</v>
      </c>
      <c r="Q638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638" s="15" t="s">
        <v>52</v>
      </c>
      <c r="S638" t="str">
        <f>VLOOKUP(OrdersRawTable9[[#This Row],[Customer_ID_Raw]],CustomersTable11[],4,FALSE)</f>
        <v>Alberta</v>
      </c>
      <c r="T638" t="str">
        <f>VLOOKUP(OrdersRawTable9[[#This Row],[Customer_ID_Raw]],CustomersTable11[],5,FALSE)</f>
        <v>Consumer</v>
      </c>
      <c r="U638" s="45">
        <f>VLOOKUP(OrdersRawTable9[[#This Row],[Product_ID]],ProductsTable10[],4,FALSE)</f>
        <v>85.34</v>
      </c>
      <c r="V638" t="str">
        <f>VLOOKUP(OrdersRawTable9[[#This Row],[Product_ID]],ProductsTable10[],3,FALSE)</f>
        <v>Home</v>
      </c>
      <c r="W638" s="45">
        <f>OrdersRawTable9[[#This Row],[Unit_Price]]*OrdersRawTable9[[#This Row],[Quantity]]</f>
        <v>568.64</v>
      </c>
      <c r="X638" s="47">
        <f>OrdersRawTable9[[#This Row],[Gross_Sales]]*OrdersRawTable9[[#This Row],[Discount_Pct]]</f>
        <v>85.295999999999992</v>
      </c>
      <c r="Y638" s="45">
        <f>OrdersRawTable9[[#This Row],[Gross_Sales]]-OrdersRawTable9[[#This Row],[Discount_Amount]]</f>
        <v>483.34399999999999</v>
      </c>
      <c r="Z638" s="45">
        <f>OrdersRawTable9[[#This Row],[Unit_Cost]]*OrdersRawTable9[[#This Row],[Quantity]]</f>
        <v>341.36</v>
      </c>
      <c r="AA638" s="45">
        <f>OrdersRawTable9[[#This Row],[Net_Sales]]-OrdersRawTable9[[#This Row],[Total_Cost]]</f>
        <v>141.98399999999998</v>
      </c>
      <c r="AB638" s="48">
        <f>IF(OrdersRawTable9[[#This Row],[Net_Sales]]=0,0,OrdersRawTable9[[#This Row],[Profit]]/OrdersRawTable9[[#This Row],[Net_Sales]])</f>
        <v>0.29375351716375908</v>
      </c>
      <c r="AC638" s="45" t="str">
        <f>IF(COUNTIF(ReturnsRawTable[Order_Line_ID],OrdersRawTable9[[#This Row],[Order_Line_ID]])&gt;0,"Yes","No")</f>
        <v>Yes</v>
      </c>
      <c r="AD638" s="45" t="str">
        <f>IFERROR(VLOOKUP(OrdersRawTable9[[#This Row],[Order_Line_ID]],ReturnsRawTable[[#All],[Order_Line_ID]:[Return_Reason_Raw]],3,FALSE),"")</f>
        <v>damaged</v>
      </c>
      <c r="AE638" s="49">
        <f>IFERROR(VLOOKUP(OrdersRawTable9[[#This Row],[Order_Line_ID]],ReturnsRawTable[[#All],[Order_Line_ID]:[Return_Date]],2,FALSE),"")</f>
        <v>45939</v>
      </c>
      <c r="AF638" s="45" t="str">
        <f>IFERROR(VLOOKUP(OrdersRawTable9[[#This Row],[Order_Line_ID]],ReturnsRawTable[[Order_Line_ID]:[Refund_Status]],4,FALSE),"")</f>
        <v>Refunded</v>
      </c>
      <c r="AG638" s="45" t="str">
        <f>VLOOKUP(OrdersRawTable9[[#This Row],[Order_ID]],ShipmentsTable[],6,FALSE)</f>
        <v>Late</v>
      </c>
      <c r="AH638" s="49">
        <f>VLOOKUP(OrdersRawTable9[[#This Row],[Order_ID]],ShipmentsTable[],3,FALSE)</f>
        <v>45931</v>
      </c>
    </row>
    <row r="639" spans="1:34" ht="15" customHeight="1">
      <c r="A639" s="14" t="s">
        <v>1267</v>
      </c>
      <c r="B639" s="10" t="s">
        <v>1268</v>
      </c>
      <c r="C639" s="20">
        <v>45793</v>
      </c>
      <c r="D639" s="10" t="s">
        <v>290</v>
      </c>
      <c r="E639" s="10" t="s">
        <v>291</v>
      </c>
      <c r="F639" s="10" t="str">
        <f>TRIM(LEFT(OrdersRawTable9[[#This Row],[Customer_Info]],FIND(",",OrdersRawTable9[[#This Row],[Customer_Info]])-1))</f>
        <v>Ethan Dubois</v>
      </c>
      <c r="G63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639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39" s="10">
        <f>LEN(OrdersRawTable9[[#This Row],[Customer_Info]])-LEN(SUBSTITUTE(OrdersRawTable9[[#This Row],[Customer_Info]],",",""))</f>
        <v>2</v>
      </c>
      <c r="J639" s="10" t="s">
        <v>150</v>
      </c>
      <c r="K639" s="23">
        <v>2</v>
      </c>
      <c r="L639" s="26">
        <v>263.04000000000002</v>
      </c>
      <c r="M639" s="29">
        <v>0.1</v>
      </c>
      <c r="N639" s="10" t="s">
        <v>40</v>
      </c>
      <c r="O639" s="10" t="str">
        <f>IF(TRIM(OrdersRawTable9[[#This Row],[Sales_Channel_Raw]])="Market place","Marketplace",TRIM(OrdersRawTable9[[#This Row],[Sales_Channel_Raw]]))</f>
        <v>Online</v>
      </c>
      <c r="P639" s="10" t="s">
        <v>98</v>
      </c>
      <c r="Q639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639" s="15" t="s">
        <v>52</v>
      </c>
      <c r="S639" t="str">
        <f>VLOOKUP(OrdersRawTable9[[#This Row],[Customer_ID_Raw]],CustomersTable11[],4,FALSE)</f>
        <v>Manitoba</v>
      </c>
      <c r="T639" t="str">
        <f>VLOOKUP(OrdersRawTable9[[#This Row],[Customer_ID_Raw]],CustomersTable11[],5,FALSE)</f>
        <v>Corporate</v>
      </c>
      <c r="U639" s="45">
        <f>VLOOKUP(OrdersRawTable9[[#This Row],[Product_ID]],ProductsTable10[],4,FALSE)</f>
        <v>161.84</v>
      </c>
      <c r="V639" t="str">
        <f>VLOOKUP(OrdersRawTable9[[#This Row],[Product_ID]],ProductsTable10[],3,FALSE)</f>
        <v>Office</v>
      </c>
      <c r="W639" s="45">
        <f>OrdersRawTable9[[#This Row],[Unit_Price]]*OrdersRawTable9[[#This Row],[Quantity]]</f>
        <v>526.08000000000004</v>
      </c>
      <c r="X639" s="47">
        <f>OrdersRawTable9[[#This Row],[Gross_Sales]]*OrdersRawTable9[[#This Row],[Discount_Pct]]</f>
        <v>52.608000000000004</v>
      </c>
      <c r="Y639" s="45">
        <f>OrdersRawTable9[[#This Row],[Gross_Sales]]-OrdersRawTable9[[#This Row],[Discount_Amount]]</f>
        <v>473.47200000000004</v>
      </c>
      <c r="Z639" s="45">
        <f>OrdersRawTable9[[#This Row],[Unit_Cost]]*OrdersRawTable9[[#This Row],[Quantity]]</f>
        <v>323.68</v>
      </c>
      <c r="AA639" s="45">
        <f>OrdersRawTable9[[#This Row],[Net_Sales]]-OrdersRawTable9[[#This Row],[Total_Cost]]</f>
        <v>149.79200000000003</v>
      </c>
      <c r="AB639" s="48">
        <f>IF(OrdersRawTable9[[#This Row],[Net_Sales]]=0,0,OrdersRawTable9[[#This Row],[Profit]]/OrdersRawTable9[[#This Row],[Net_Sales]])</f>
        <v>0.31636928899702627</v>
      </c>
      <c r="AC639" s="45" t="str">
        <f>IF(COUNTIF(ReturnsRawTable[Order_Line_ID],OrdersRawTable9[[#This Row],[Order_Line_ID]])&gt;0,"Yes","No")</f>
        <v>No</v>
      </c>
      <c r="AD639" s="45" t="str">
        <f>IFERROR(VLOOKUP(OrdersRawTable9[[#This Row],[Order_Line_ID]],ReturnsRawTable[[#All],[Order_Line_ID]:[Return_Reason_Raw]],3,FALSE),"")</f>
        <v/>
      </c>
      <c r="AE639" s="49" t="str">
        <f>IFERROR(VLOOKUP(OrdersRawTable9[[#This Row],[Order_Line_ID]],ReturnsRawTable[[#All],[Order_Line_ID]:[Return_Date]],2,FALSE),"")</f>
        <v/>
      </c>
      <c r="AF639" s="45" t="str">
        <f>IFERROR(VLOOKUP(OrdersRawTable9[[#This Row],[Order_Line_ID]],ReturnsRawTable[[Order_Line_ID]:[Refund_Status]],4,FALSE),"")</f>
        <v/>
      </c>
      <c r="AG639" s="45" t="str">
        <f>VLOOKUP(OrdersRawTable9[[#This Row],[Order_ID]],ShipmentsTable[],6,FALSE)</f>
        <v>On time</v>
      </c>
      <c r="AH639" s="49">
        <f>VLOOKUP(OrdersRawTable9[[#This Row],[Order_ID]],ShipmentsTable[],3,FALSE)</f>
        <v>45794</v>
      </c>
    </row>
    <row r="640" spans="1:34" ht="15" customHeight="1">
      <c r="A640" s="14" t="s">
        <v>1269</v>
      </c>
      <c r="B640" s="10" t="s">
        <v>1268</v>
      </c>
      <c r="C640" s="20">
        <v>45793</v>
      </c>
      <c r="D640" s="10" t="s">
        <v>290</v>
      </c>
      <c r="E640" s="10" t="s">
        <v>291</v>
      </c>
      <c r="F640" s="10" t="str">
        <f>TRIM(LEFT(OrdersRawTable9[[#This Row],[Customer_Info]],FIND(",",OrdersRawTable9[[#This Row],[Customer_Info]])-1))</f>
        <v>Ethan Dubois</v>
      </c>
      <c r="G64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640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40" s="10">
        <f>LEN(OrdersRawTable9[[#This Row],[Customer_Info]])-LEN(SUBSTITUTE(OrdersRawTable9[[#This Row],[Customer_Info]],",",""))</f>
        <v>2</v>
      </c>
      <c r="J640" s="10" t="s">
        <v>121</v>
      </c>
      <c r="K640" s="23">
        <v>3</v>
      </c>
      <c r="L640" s="26">
        <v>287.16000000000003</v>
      </c>
      <c r="M640" s="29">
        <v>0</v>
      </c>
      <c r="N640" s="10" t="s">
        <v>50</v>
      </c>
      <c r="O640" s="10" t="str">
        <f>IF(TRIM(OrdersRawTable9[[#This Row],[Sales_Channel_Raw]])="Market place","Marketplace",TRIM(OrdersRawTable9[[#This Row],[Sales_Channel_Raw]]))</f>
        <v>Marketplace</v>
      </c>
      <c r="P640" s="10" t="s">
        <v>58</v>
      </c>
      <c r="Q640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640" s="15" t="s">
        <v>52</v>
      </c>
      <c r="S640" t="str">
        <f>VLOOKUP(OrdersRawTable9[[#This Row],[Customer_ID_Raw]],CustomersTable11[],4,FALSE)</f>
        <v>Manitoba</v>
      </c>
      <c r="T640" t="str">
        <f>VLOOKUP(OrdersRawTable9[[#This Row],[Customer_ID_Raw]],CustomersTable11[],5,FALSE)</f>
        <v>Corporate</v>
      </c>
      <c r="U640" s="45">
        <f>VLOOKUP(OrdersRawTable9[[#This Row],[Product_ID]],ProductsTable10[],4,FALSE)</f>
        <v>148.21</v>
      </c>
      <c r="V640" t="str">
        <f>VLOOKUP(OrdersRawTable9[[#This Row],[Product_ID]],ProductsTable10[],3,FALSE)</f>
        <v>Accessories</v>
      </c>
      <c r="W640" s="45">
        <f>OrdersRawTable9[[#This Row],[Unit_Price]]*OrdersRawTable9[[#This Row],[Quantity]]</f>
        <v>861.48</v>
      </c>
      <c r="X640" s="47">
        <f>OrdersRawTable9[[#This Row],[Gross_Sales]]*OrdersRawTable9[[#This Row],[Discount_Pct]]</f>
        <v>0</v>
      </c>
      <c r="Y640" s="45">
        <f>OrdersRawTable9[[#This Row],[Gross_Sales]]-OrdersRawTable9[[#This Row],[Discount_Amount]]</f>
        <v>861.48</v>
      </c>
      <c r="Z640" s="45">
        <f>OrdersRawTable9[[#This Row],[Unit_Cost]]*OrdersRawTable9[[#This Row],[Quantity]]</f>
        <v>444.63</v>
      </c>
      <c r="AA640" s="45">
        <f>OrdersRawTable9[[#This Row],[Net_Sales]]-OrdersRawTable9[[#This Row],[Total_Cost]]</f>
        <v>416.85</v>
      </c>
      <c r="AB640" s="48">
        <f>IF(OrdersRawTable9[[#This Row],[Net_Sales]]=0,0,OrdersRawTable9[[#This Row],[Profit]]/OrdersRawTable9[[#This Row],[Net_Sales]])</f>
        <v>0.48387658448251847</v>
      </c>
      <c r="AC640" s="45" t="str">
        <f>IF(COUNTIF(ReturnsRawTable[Order_Line_ID],OrdersRawTable9[[#This Row],[Order_Line_ID]])&gt;0,"Yes","No")</f>
        <v>No</v>
      </c>
      <c r="AD640" s="45" t="str">
        <f>IFERROR(VLOOKUP(OrdersRawTable9[[#This Row],[Order_Line_ID]],ReturnsRawTable[[#All],[Order_Line_ID]:[Return_Reason_Raw]],3,FALSE),"")</f>
        <v/>
      </c>
      <c r="AE640" s="49" t="str">
        <f>IFERROR(VLOOKUP(OrdersRawTable9[[#This Row],[Order_Line_ID]],ReturnsRawTable[[#All],[Order_Line_ID]:[Return_Date]],2,FALSE),"")</f>
        <v/>
      </c>
      <c r="AF640" s="45" t="str">
        <f>IFERROR(VLOOKUP(OrdersRawTable9[[#This Row],[Order_Line_ID]],ReturnsRawTable[[Order_Line_ID]:[Refund_Status]],4,FALSE),"")</f>
        <v/>
      </c>
      <c r="AG640" s="45" t="str">
        <f>VLOOKUP(OrdersRawTable9[[#This Row],[Order_ID]],ShipmentsTable[],6,FALSE)</f>
        <v>On time</v>
      </c>
      <c r="AH640" s="49">
        <f>VLOOKUP(OrdersRawTable9[[#This Row],[Order_ID]],ShipmentsTable[],3,FALSE)</f>
        <v>45794</v>
      </c>
    </row>
    <row r="641" spans="1:34" ht="15" customHeight="1">
      <c r="A641" s="14" t="s">
        <v>1270</v>
      </c>
      <c r="B641" s="10" t="s">
        <v>1268</v>
      </c>
      <c r="C641" s="20">
        <v>45793</v>
      </c>
      <c r="D641" s="10" t="s">
        <v>290</v>
      </c>
      <c r="E641" s="10" t="s">
        <v>291</v>
      </c>
      <c r="F641" s="10" t="str">
        <f>TRIM(LEFT(OrdersRawTable9[[#This Row],[Customer_Info]],FIND(",",OrdersRawTable9[[#This Row],[Customer_Info]])-1))</f>
        <v>Ethan Dubois</v>
      </c>
      <c r="G64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641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41" s="10">
        <f>LEN(OrdersRawTable9[[#This Row],[Customer_Info]])-LEN(SUBSTITUTE(OrdersRawTable9[[#This Row],[Customer_Info]],",",""))</f>
        <v>2</v>
      </c>
      <c r="J641" s="10" t="s">
        <v>220</v>
      </c>
      <c r="K641" s="23">
        <v>3</v>
      </c>
      <c r="L641" s="26">
        <v>25.01</v>
      </c>
      <c r="M641" s="29">
        <v>0</v>
      </c>
      <c r="N641" s="10" t="s">
        <v>50</v>
      </c>
      <c r="O641" s="10" t="str">
        <f>IF(TRIM(OrdersRawTable9[[#This Row],[Sales_Channel_Raw]])="Market place","Marketplace",TRIM(OrdersRawTable9[[#This Row],[Sales_Channel_Raw]]))</f>
        <v>Marketplace</v>
      </c>
      <c r="P641" s="10" t="s">
        <v>58</v>
      </c>
      <c r="Q641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641" s="15" t="s">
        <v>42</v>
      </c>
      <c r="S641" t="str">
        <f>VLOOKUP(OrdersRawTable9[[#This Row],[Customer_ID_Raw]],CustomersTable11[],4,FALSE)</f>
        <v>Manitoba</v>
      </c>
      <c r="T641" t="str">
        <f>VLOOKUP(OrdersRawTable9[[#This Row],[Customer_ID_Raw]],CustomersTable11[],5,FALSE)</f>
        <v>Corporate</v>
      </c>
      <c r="U641" s="45">
        <f>VLOOKUP(OrdersRawTable9[[#This Row],[Product_ID]],ProductsTable10[],4,FALSE)</f>
        <v>16.86</v>
      </c>
      <c r="V641" t="str">
        <f>VLOOKUP(OrdersRawTable9[[#This Row],[Product_ID]],ProductsTable10[],3,FALSE)</f>
        <v>Office</v>
      </c>
      <c r="W641" s="45">
        <f>OrdersRawTable9[[#This Row],[Unit_Price]]*OrdersRawTable9[[#This Row],[Quantity]]</f>
        <v>75.03</v>
      </c>
      <c r="X641" s="47">
        <f>OrdersRawTable9[[#This Row],[Gross_Sales]]*OrdersRawTable9[[#This Row],[Discount_Pct]]</f>
        <v>0</v>
      </c>
      <c r="Y641" s="45">
        <f>OrdersRawTable9[[#This Row],[Gross_Sales]]-OrdersRawTable9[[#This Row],[Discount_Amount]]</f>
        <v>75.03</v>
      </c>
      <c r="Z641" s="45">
        <f>OrdersRawTable9[[#This Row],[Unit_Cost]]*OrdersRawTable9[[#This Row],[Quantity]]</f>
        <v>50.58</v>
      </c>
      <c r="AA641" s="45">
        <f>OrdersRawTable9[[#This Row],[Net_Sales]]-OrdersRawTable9[[#This Row],[Total_Cost]]</f>
        <v>24.450000000000003</v>
      </c>
      <c r="AB641" s="48">
        <f>IF(OrdersRawTable9[[#This Row],[Net_Sales]]=0,0,OrdersRawTable9[[#This Row],[Profit]]/OrdersRawTable9[[#This Row],[Net_Sales]])</f>
        <v>0.32586965213914437</v>
      </c>
      <c r="AC641" s="45" t="str">
        <f>IF(COUNTIF(ReturnsRawTable[Order_Line_ID],OrdersRawTable9[[#This Row],[Order_Line_ID]])&gt;0,"Yes","No")</f>
        <v>No</v>
      </c>
      <c r="AD641" s="45" t="str">
        <f>IFERROR(VLOOKUP(OrdersRawTable9[[#This Row],[Order_Line_ID]],ReturnsRawTable[[#All],[Order_Line_ID]:[Return_Reason_Raw]],3,FALSE),"")</f>
        <v/>
      </c>
      <c r="AE641" s="49" t="str">
        <f>IFERROR(VLOOKUP(OrdersRawTable9[[#This Row],[Order_Line_ID]],ReturnsRawTable[[#All],[Order_Line_ID]:[Return_Date]],2,FALSE),"")</f>
        <v/>
      </c>
      <c r="AF641" s="45" t="str">
        <f>IFERROR(VLOOKUP(OrdersRawTable9[[#This Row],[Order_Line_ID]],ReturnsRawTable[[Order_Line_ID]:[Refund_Status]],4,FALSE),"")</f>
        <v/>
      </c>
      <c r="AG641" s="45" t="str">
        <f>VLOOKUP(OrdersRawTable9[[#This Row],[Order_ID]],ShipmentsTable[],6,FALSE)</f>
        <v>On time</v>
      </c>
      <c r="AH641" s="49">
        <f>VLOOKUP(OrdersRawTable9[[#This Row],[Order_ID]],ShipmentsTable[],3,FALSE)</f>
        <v>45794</v>
      </c>
    </row>
    <row r="642" spans="1:34" ht="15" customHeight="1">
      <c r="A642" s="14" t="s">
        <v>1271</v>
      </c>
      <c r="B642" s="10" t="s">
        <v>1268</v>
      </c>
      <c r="C642" s="20">
        <v>45793</v>
      </c>
      <c r="D642" s="10" t="s">
        <v>290</v>
      </c>
      <c r="E642" s="10" t="s">
        <v>291</v>
      </c>
      <c r="F642" s="10" t="str">
        <f>TRIM(LEFT(OrdersRawTable9[[#This Row],[Customer_Info]],FIND(",",OrdersRawTable9[[#This Row],[Customer_Info]])-1))</f>
        <v>Ethan Dubois</v>
      </c>
      <c r="G64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642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42" s="10">
        <f>LEN(OrdersRawTable9[[#This Row],[Customer_Info]])-LEN(SUBSTITUTE(OrdersRawTable9[[#This Row],[Customer_Info]],",",""))</f>
        <v>2</v>
      </c>
      <c r="J642" s="10" t="s">
        <v>100</v>
      </c>
      <c r="K642" s="23">
        <v>1</v>
      </c>
      <c r="L642" s="26">
        <v>42.72</v>
      </c>
      <c r="M642" s="29">
        <v>0.05</v>
      </c>
      <c r="N642" s="10" t="s">
        <v>66</v>
      </c>
      <c r="O642" s="10" t="str">
        <f>IF(TRIM(OrdersRawTable9[[#This Row],[Sales_Channel_Raw]])="Market place","Marketplace",TRIM(OrdersRawTable9[[#This Row],[Sales_Channel_Raw]]))</f>
        <v>Marketplace</v>
      </c>
      <c r="P642" s="10" t="s">
        <v>51</v>
      </c>
      <c r="Q642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642" s="15" t="s">
        <v>42</v>
      </c>
      <c r="S642" t="str">
        <f>VLOOKUP(OrdersRawTable9[[#This Row],[Customer_ID_Raw]],CustomersTable11[],4,FALSE)</f>
        <v>Manitoba</v>
      </c>
      <c r="T642" t="str">
        <f>VLOOKUP(OrdersRawTable9[[#This Row],[Customer_ID_Raw]],CustomersTable11[],5,FALSE)</f>
        <v>Corporate</v>
      </c>
      <c r="U642" s="45">
        <f>VLOOKUP(OrdersRawTable9[[#This Row],[Product_ID]],ProductsTable10[],4,FALSE)</f>
        <v>24.46</v>
      </c>
      <c r="V642" t="str">
        <f>VLOOKUP(OrdersRawTable9[[#This Row],[Product_ID]],ProductsTable10[],3,FALSE)</f>
        <v>Electronics</v>
      </c>
      <c r="W642" s="45">
        <f>OrdersRawTable9[[#This Row],[Unit_Price]]*OrdersRawTable9[[#This Row],[Quantity]]</f>
        <v>42.72</v>
      </c>
      <c r="X642" s="47">
        <f>OrdersRawTable9[[#This Row],[Gross_Sales]]*OrdersRawTable9[[#This Row],[Discount_Pct]]</f>
        <v>2.1360000000000001</v>
      </c>
      <c r="Y642" s="45">
        <f>OrdersRawTable9[[#This Row],[Gross_Sales]]-OrdersRawTable9[[#This Row],[Discount_Amount]]</f>
        <v>40.583999999999996</v>
      </c>
      <c r="Z642" s="45">
        <f>OrdersRawTable9[[#This Row],[Unit_Cost]]*OrdersRawTable9[[#This Row],[Quantity]]</f>
        <v>24.46</v>
      </c>
      <c r="AA642" s="45">
        <f>OrdersRawTable9[[#This Row],[Net_Sales]]-OrdersRawTable9[[#This Row],[Total_Cost]]</f>
        <v>16.123999999999995</v>
      </c>
      <c r="AB642" s="48">
        <f>IF(OrdersRawTable9[[#This Row],[Net_Sales]]=0,0,OrdersRawTable9[[#This Row],[Profit]]/OrdersRawTable9[[#This Row],[Net_Sales]])</f>
        <v>0.39729942834614618</v>
      </c>
      <c r="AC642" s="45" t="str">
        <f>IF(COUNTIF(ReturnsRawTable[Order_Line_ID],OrdersRawTable9[[#This Row],[Order_Line_ID]])&gt;0,"Yes","No")</f>
        <v>No</v>
      </c>
      <c r="AD642" s="45" t="str">
        <f>IFERROR(VLOOKUP(OrdersRawTable9[[#This Row],[Order_Line_ID]],ReturnsRawTable[[#All],[Order_Line_ID]:[Return_Reason_Raw]],3,FALSE),"")</f>
        <v/>
      </c>
      <c r="AE642" s="49" t="str">
        <f>IFERROR(VLOOKUP(OrdersRawTable9[[#This Row],[Order_Line_ID]],ReturnsRawTable[[#All],[Order_Line_ID]:[Return_Date]],2,FALSE),"")</f>
        <v/>
      </c>
      <c r="AF642" s="45" t="str">
        <f>IFERROR(VLOOKUP(OrdersRawTable9[[#This Row],[Order_Line_ID]],ReturnsRawTable[[Order_Line_ID]:[Refund_Status]],4,FALSE),"")</f>
        <v/>
      </c>
      <c r="AG642" s="45" t="str">
        <f>VLOOKUP(OrdersRawTable9[[#This Row],[Order_ID]],ShipmentsTable[],6,FALSE)</f>
        <v>On time</v>
      </c>
      <c r="AH642" s="49">
        <f>VLOOKUP(OrdersRawTable9[[#This Row],[Order_ID]],ShipmentsTable[],3,FALSE)</f>
        <v>45794</v>
      </c>
    </row>
    <row r="643" spans="1:34" ht="15" customHeight="1">
      <c r="A643" s="14" t="s">
        <v>1272</v>
      </c>
      <c r="B643" s="10" t="s">
        <v>1273</v>
      </c>
      <c r="C643" s="20">
        <v>45841</v>
      </c>
      <c r="D643" s="10" t="s">
        <v>300</v>
      </c>
      <c r="E643" s="10" t="s">
        <v>301</v>
      </c>
      <c r="F643" s="10" t="str">
        <f>TRIM(LEFT(OrdersRawTable9[[#This Row],[Customer_Info]],FIND(",",OrdersRawTable9[[#This Row],[Customer_Info]])-1))</f>
        <v>Daniel Khan</v>
      </c>
      <c r="G64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643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643" s="10">
        <f>LEN(OrdersRawTable9[[#This Row],[Customer_Info]])-LEN(SUBSTITUTE(OrdersRawTable9[[#This Row],[Customer_Info]],",",""))</f>
        <v>2</v>
      </c>
      <c r="J643" s="10" t="s">
        <v>80</v>
      </c>
      <c r="K643" s="23">
        <v>1</v>
      </c>
      <c r="L643" s="26">
        <v>142.16</v>
      </c>
      <c r="M643" s="29">
        <v>0</v>
      </c>
      <c r="N643" s="10" t="s">
        <v>45</v>
      </c>
      <c r="O643" s="10" t="str">
        <f>IF(TRIM(OrdersRawTable9[[#This Row],[Sales_Channel_Raw]])="Market place","Marketplace",TRIM(OrdersRawTable9[[#This Row],[Sales_Channel_Raw]]))</f>
        <v>Retail Store</v>
      </c>
      <c r="P643" s="10" t="s">
        <v>98</v>
      </c>
      <c r="Q643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643" s="15" t="s">
        <v>42</v>
      </c>
      <c r="S643" t="str">
        <f>VLOOKUP(OrdersRawTable9[[#This Row],[Customer_ID_Raw]],CustomersTable11[],4,FALSE)</f>
        <v>Nova Scotia</v>
      </c>
      <c r="T643" t="str">
        <f>VLOOKUP(OrdersRawTable9[[#This Row],[Customer_ID_Raw]],CustomersTable11[],5,FALSE)</f>
        <v>Small Business</v>
      </c>
      <c r="U643" s="45">
        <f>VLOOKUP(OrdersRawTable9[[#This Row],[Product_ID]],ProductsTable10[],4,FALSE)</f>
        <v>85.34</v>
      </c>
      <c r="V643" t="str">
        <f>VLOOKUP(OrdersRawTable9[[#This Row],[Product_ID]],ProductsTable10[],3,FALSE)</f>
        <v>Home</v>
      </c>
      <c r="W643" s="45">
        <f>OrdersRawTable9[[#This Row],[Unit_Price]]*OrdersRawTable9[[#This Row],[Quantity]]</f>
        <v>142.16</v>
      </c>
      <c r="X643" s="47">
        <f>OrdersRawTable9[[#This Row],[Gross_Sales]]*OrdersRawTable9[[#This Row],[Discount_Pct]]</f>
        <v>0</v>
      </c>
      <c r="Y643" s="45">
        <f>OrdersRawTable9[[#This Row],[Gross_Sales]]-OrdersRawTable9[[#This Row],[Discount_Amount]]</f>
        <v>142.16</v>
      </c>
      <c r="Z643" s="45">
        <f>OrdersRawTable9[[#This Row],[Unit_Cost]]*OrdersRawTable9[[#This Row],[Quantity]]</f>
        <v>85.34</v>
      </c>
      <c r="AA643" s="45">
        <f>OrdersRawTable9[[#This Row],[Net_Sales]]-OrdersRawTable9[[#This Row],[Total_Cost]]</f>
        <v>56.819999999999993</v>
      </c>
      <c r="AB643" s="48">
        <f>IF(OrdersRawTable9[[#This Row],[Net_Sales]]=0,0,OrdersRawTable9[[#This Row],[Profit]]/OrdersRawTable9[[#This Row],[Net_Sales]])</f>
        <v>0.39969048958919523</v>
      </c>
      <c r="AC643" s="45" t="str">
        <f>IF(COUNTIF(ReturnsRawTable[Order_Line_ID],OrdersRawTable9[[#This Row],[Order_Line_ID]])&gt;0,"Yes","No")</f>
        <v>No</v>
      </c>
      <c r="AD643" s="45" t="str">
        <f>IFERROR(VLOOKUP(OrdersRawTable9[[#This Row],[Order_Line_ID]],ReturnsRawTable[[#All],[Order_Line_ID]:[Return_Reason_Raw]],3,FALSE),"")</f>
        <v/>
      </c>
      <c r="AE643" s="49" t="str">
        <f>IFERROR(VLOOKUP(OrdersRawTable9[[#This Row],[Order_Line_ID]],ReturnsRawTable[[#All],[Order_Line_ID]:[Return_Date]],2,FALSE),"")</f>
        <v/>
      </c>
      <c r="AF643" s="45" t="str">
        <f>IFERROR(VLOOKUP(OrdersRawTable9[[#This Row],[Order_Line_ID]],ReturnsRawTable[[Order_Line_ID]:[Refund_Status]],4,FALSE),"")</f>
        <v/>
      </c>
      <c r="AG643" s="45" t="str">
        <f>VLOOKUP(OrdersRawTable9[[#This Row],[Order_ID]],ShipmentsTable[],6,FALSE)</f>
        <v>On time</v>
      </c>
      <c r="AH643" s="49">
        <f>VLOOKUP(OrdersRawTable9[[#This Row],[Order_ID]],ShipmentsTable[],3,FALSE)</f>
        <v>45844</v>
      </c>
    </row>
    <row r="644" spans="1:34" ht="15" customHeight="1">
      <c r="A644" s="14" t="s">
        <v>1274</v>
      </c>
      <c r="B644" s="10" t="s">
        <v>1273</v>
      </c>
      <c r="C644" s="20">
        <v>45841</v>
      </c>
      <c r="D644" s="10" t="s">
        <v>1275</v>
      </c>
      <c r="E644" s="10" t="s">
        <v>301</v>
      </c>
      <c r="F644" s="10" t="str">
        <f>TRIM(LEFT(OrdersRawTable9[[#This Row],[Customer_Info]],FIND(",",OrdersRawTable9[[#This Row],[Customer_Info]])-1))</f>
        <v>Daniel Khan</v>
      </c>
      <c r="G64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644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644" s="10">
        <f>LEN(OrdersRawTable9[[#This Row],[Customer_Info]])-LEN(SUBSTITUTE(OrdersRawTable9[[#This Row],[Customer_Info]],",",""))</f>
        <v>2</v>
      </c>
      <c r="J644" s="10" t="s">
        <v>241</v>
      </c>
      <c r="K644" s="23">
        <v>3</v>
      </c>
      <c r="L644" s="26">
        <v>300.56</v>
      </c>
      <c r="M644" s="29">
        <v>0.15</v>
      </c>
      <c r="N644" s="10" t="s">
        <v>70</v>
      </c>
      <c r="O644" s="10" t="str">
        <f>IF(TRIM(OrdersRawTable9[[#This Row],[Sales_Channel_Raw]])="Market place","Marketplace",TRIM(OrdersRawTable9[[#This Row],[Sales_Channel_Raw]]))</f>
        <v>online</v>
      </c>
      <c r="P644" s="10" t="s">
        <v>46</v>
      </c>
      <c r="Q644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644" s="15" t="s">
        <v>67</v>
      </c>
      <c r="S644" t="str">
        <f>VLOOKUP(OrdersRawTable9[[#This Row],[Customer_ID_Raw]],CustomersTable11[],4,FALSE)</f>
        <v>Nova Scotia</v>
      </c>
      <c r="T644" t="str">
        <f>VLOOKUP(OrdersRawTable9[[#This Row],[Customer_ID_Raw]],CustomersTable11[],5,FALSE)</f>
        <v>Small Business</v>
      </c>
      <c r="U644" s="45">
        <f>VLOOKUP(OrdersRawTable9[[#This Row],[Product_ID]],ProductsTable10[],4,FALSE)</f>
        <v>158.86000000000001</v>
      </c>
      <c r="V644" t="str">
        <f>VLOOKUP(OrdersRawTable9[[#This Row],[Product_ID]],ProductsTable10[],3,FALSE)</f>
        <v>Accessories</v>
      </c>
      <c r="W644" s="45">
        <f>OrdersRawTable9[[#This Row],[Unit_Price]]*OrdersRawTable9[[#This Row],[Quantity]]</f>
        <v>901.68000000000006</v>
      </c>
      <c r="X644" s="47">
        <f>OrdersRawTable9[[#This Row],[Gross_Sales]]*OrdersRawTable9[[#This Row],[Discount_Pct]]</f>
        <v>135.25200000000001</v>
      </c>
      <c r="Y644" s="45">
        <f>OrdersRawTable9[[#This Row],[Gross_Sales]]-OrdersRawTable9[[#This Row],[Discount_Amount]]</f>
        <v>766.42800000000011</v>
      </c>
      <c r="Z644" s="45">
        <f>OrdersRawTable9[[#This Row],[Unit_Cost]]*OrdersRawTable9[[#This Row],[Quantity]]</f>
        <v>476.58000000000004</v>
      </c>
      <c r="AA644" s="45">
        <f>OrdersRawTable9[[#This Row],[Net_Sales]]-OrdersRawTable9[[#This Row],[Total_Cost]]</f>
        <v>289.84800000000007</v>
      </c>
      <c r="AB644" s="48">
        <f>IF(OrdersRawTable9[[#This Row],[Net_Sales]]=0,0,OrdersRawTable9[[#This Row],[Profit]]/OrdersRawTable9[[#This Row],[Net_Sales]])</f>
        <v>0.37818033787909633</v>
      </c>
      <c r="AC644" s="45" t="str">
        <f>IF(COUNTIF(ReturnsRawTable[Order_Line_ID],OrdersRawTable9[[#This Row],[Order_Line_ID]])&gt;0,"Yes","No")</f>
        <v>No</v>
      </c>
      <c r="AD644" s="45" t="str">
        <f>IFERROR(VLOOKUP(OrdersRawTable9[[#This Row],[Order_Line_ID]],ReturnsRawTable[[#All],[Order_Line_ID]:[Return_Reason_Raw]],3,FALSE),"")</f>
        <v/>
      </c>
      <c r="AE644" s="49" t="str">
        <f>IFERROR(VLOOKUP(OrdersRawTable9[[#This Row],[Order_Line_ID]],ReturnsRawTable[[#All],[Order_Line_ID]:[Return_Date]],2,FALSE),"")</f>
        <v/>
      </c>
      <c r="AF644" s="45" t="str">
        <f>IFERROR(VLOOKUP(OrdersRawTable9[[#This Row],[Order_Line_ID]],ReturnsRawTable[[Order_Line_ID]:[Refund_Status]],4,FALSE),"")</f>
        <v/>
      </c>
      <c r="AG644" s="45" t="str">
        <f>VLOOKUP(OrdersRawTable9[[#This Row],[Order_ID]],ShipmentsTable[],6,FALSE)</f>
        <v>On time</v>
      </c>
      <c r="AH644" s="49">
        <f>VLOOKUP(OrdersRawTable9[[#This Row],[Order_ID]],ShipmentsTable[],3,FALSE)</f>
        <v>45844</v>
      </c>
    </row>
    <row r="645" spans="1:34" ht="15" customHeight="1">
      <c r="A645" s="14" t="s">
        <v>1276</v>
      </c>
      <c r="B645" s="10" t="s">
        <v>1273</v>
      </c>
      <c r="C645" s="20">
        <v>45841</v>
      </c>
      <c r="D645" s="10" t="s">
        <v>300</v>
      </c>
      <c r="E645" s="10" t="s">
        <v>301</v>
      </c>
      <c r="F645" s="10" t="str">
        <f>TRIM(LEFT(OrdersRawTable9[[#This Row],[Customer_Info]],FIND(",",OrdersRawTable9[[#This Row],[Customer_Info]])-1))</f>
        <v>Daniel Khan</v>
      </c>
      <c r="G64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645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645" s="10">
        <f>LEN(OrdersRawTable9[[#This Row],[Customer_Info]])-LEN(SUBSTITUTE(OrdersRawTable9[[#This Row],[Customer_Info]],",",""))</f>
        <v>2</v>
      </c>
      <c r="J645" s="10" t="s">
        <v>108</v>
      </c>
      <c r="K645" s="23">
        <v>3</v>
      </c>
      <c r="L645" s="26">
        <v>33.369999999999997</v>
      </c>
      <c r="M645" s="29">
        <v>0.1</v>
      </c>
      <c r="N645" s="10" t="s">
        <v>50</v>
      </c>
      <c r="O645" s="10" t="str">
        <f>IF(TRIM(OrdersRawTable9[[#This Row],[Sales_Channel_Raw]])="Market place","Marketplace",TRIM(OrdersRawTable9[[#This Row],[Sales_Channel_Raw]]))</f>
        <v>Marketplace</v>
      </c>
      <c r="P645" s="10"/>
      <c r="Q645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645" s="15" t="s">
        <v>42</v>
      </c>
      <c r="S645" t="str">
        <f>VLOOKUP(OrdersRawTable9[[#This Row],[Customer_ID_Raw]],CustomersTable11[],4,FALSE)</f>
        <v>Nova Scotia</v>
      </c>
      <c r="T645" t="str">
        <f>VLOOKUP(OrdersRawTable9[[#This Row],[Customer_ID_Raw]],CustomersTable11[],5,FALSE)</f>
        <v>Small Business</v>
      </c>
      <c r="U645" s="45">
        <f>VLOOKUP(OrdersRawTable9[[#This Row],[Product_ID]],ProductsTable10[],4,FALSE)</f>
        <v>18.670000000000002</v>
      </c>
      <c r="V645" t="str">
        <f>VLOOKUP(OrdersRawTable9[[#This Row],[Product_ID]],ProductsTable10[],3,FALSE)</f>
        <v>Fitness</v>
      </c>
      <c r="W645" s="45">
        <f>OrdersRawTable9[[#This Row],[Unit_Price]]*OrdersRawTable9[[#This Row],[Quantity]]</f>
        <v>100.10999999999999</v>
      </c>
      <c r="X645" s="47">
        <f>OrdersRawTable9[[#This Row],[Gross_Sales]]*OrdersRawTable9[[#This Row],[Discount_Pct]]</f>
        <v>10.010999999999999</v>
      </c>
      <c r="Y645" s="45">
        <f>OrdersRawTable9[[#This Row],[Gross_Sales]]-OrdersRawTable9[[#This Row],[Discount_Amount]]</f>
        <v>90.09899999999999</v>
      </c>
      <c r="Z645" s="45">
        <f>OrdersRawTable9[[#This Row],[Unit_Cost]]*OrdersRawTable9[[#This Row],[Quantity]]</f>
        <v>56.010000000000005</v>
      </c>
      <c r="AA645" s="45">
        <f>OrdersRawTable9[[#This Row],[Net_Sales]]-OrdersRawTable9[[#This Row],[Total_Cost]]</f>
        <v>34.088999999999984</v>
      </c>
      <c r="AB645" s="48">
        <f>IF(OrdersRawTable9[[#This Row],[Net_Sales]]=0,0,OrdersRawTable9[[#This Row],[Profit]]/OrdersRawTable9[[#This Row],[Net_Sales]])</f>
        <v>0.37835048113741537</v>
      </c>
      <c r="AC645" s="45" t="str">
        <f>IF(COUNTIF(ReturnsRawTable[Order_Line_ID],OrdersRawTable9[[#This Row],[Order_Line_ID]])&gt;0,"Yes","No")</f>
        <v>No</v>
      </c>
      <c r="AD645" s="45" t="str">
        <f>IFERROR(VLOOKUP(OrdersRawTable9[[#This Row],[Order_Line_ID]],ReturnsRawTable[[#All],[Order_Line_ID]:[Return_Reason_Raw]],3,FALSE),"")</f>
        <v/>
      </c>
      <c r="AE645" s="49" t="str">
        <f>IFERROR(VLOOKUP(OrdersRawTable9[[#This Row],[Order_Line_ID]],ReturnsRawTable[[#All],[Order_Line_ID]:[Return_Date]],2,FALSE),"")</f>
        <v/>
      </c>
      <c r="AF645" s="45" t="str">
        <f>IFERROR(VLOOKUP(OrdersRawTable9[[#This Row],[Order_Line_ID]],ReturnsRawTable[[Order_Line_ID]:[Refund_Status]],4,FALSE),"")</f>
        <v/>
      </c>
      <c r="AG645" s="45" t="str">
        <f>VLOOKUP(OrdersRawTable9[[#This Row],[Order_ID]],ShipmentsTable[],6,FALSE)</f>
        <v>On time</v>
      </c>
      <c r="AH645" s="49">
        <f>VLOOKUP(OrdersRawTable9[[#This Row],[Order_ID]],ShipmentsTable[],3,FALSE)</f>
        <v>45844</v>
      </c>
    </row>
    <row r="646" spans="1:34" ht="15" customHeight="1">
      <c r="A646" s="14" t="s">
        <v>1277</v>
      </c>
      <c r="B646" s="10" t="s">
        <v>1278</v>
      </c>
      <c r="C646" s="20">
        <v>45745.041666666664</v>
      </c>
      <c r="D646" s="10" t="s">
        <v>1279</v>
      </c>
      <c r="E646" s="10" t="s">
        <v>1280</v>
      </c>
      <c r="F646" s="10" t="str">
        <f>TRIM(LEFT(OrdersRawTable9[[#This Row],[Customer_Info]],FIND(",",OrdersRawTable9[[#This Row],[Customer_Info]])-1))</f>
        <v>Adam Martin</v>
      </c>
      <c r="G64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646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646" s="10">
        <f>LEN(OrdersRawTable9[[#This Row],[Customer_Info]])-LEN(SUBSTITUTE(OrdersRawTable9[[#This Row],[Customer_Info]],",",""))</f>
        <v>2</v>
      </c>
      <c r="J646" s="10" t="s">
        <v>112</v>
      </c>
      <c r="K646" s="23">
        <v>1</v>
      </c>
      <c r="L646" s="26">
        <v>88.61</v>
      </c>
      <c r="M646" s="29">
        <v>0</v>
      </c>
      <c r="N646" s="10" t="s">
        <v>40</v>
      </c>
      <c r="O646" s="10" t="str">
        <f>IF(TRIM(OrdersRawTable9[[#This Row],[Sales_Channel_Raw]])="Market place","Marketplace",TRIM(OrdersRawTable9[[#This Row],[Sales_Channel_Raw]]))</f>
        <v>Online</v>
      </c>
      <c r="P646" s="10" t="s">
        <v>98</v>
      </c>
      <c r="Q646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646" s="15" t="s">
        <v>67</v>
      </c>
      <c r="S646" t="str">
        <f>VLOOKUP(OrdersRawTable9[[#This Row],[Customer_ID_Raw]],CustomersTable11[],4,FALSE)</f>
        <v>Ontario</v>
      </c>
      <c r="T646" t="str">
        <f>VLOOKUP(OrdersRawTable9[[#This Row],[Customer_ID_Raw]],CustomersTable11[],5,FALSE)</f>
        <v>Small Business</v>
      </c>
      <c r="U646" s="45">
        <f>VLOOKUP(OrdersRawTable9[[#This Row],[Product_ID]],ProductsTable10[],4,FALSE)</f>
        <v>49.75</v>
      </c>
      <c r="V646" t="str">
        <f>VLOOKUP(OrdersRawTable9[[#This Row],[Product_ID]],ProductsTable10[],3,FALSE)</f>
        <v>Electronics</v>
      </c>
      <c r="W646" s="45">
        <f>OrdersRawTable9[[#This Row],[Unit_Price]]*OrdersRawTable9[[#This Row],[Quantity]]</f>
        <v>88.61</v>
      </c>
      <c r="X646" s="47">
        <f>OrdersRawTable9[[#This Row],[Gross_Sales]]*OrdersRawTable9[[#This Row],[Discount_Pct]]</f>
        <v>0</v>
      </c>
      <c r="Y646" s="45">
        <f>OrdersRawTable9[[#This Row],[Gross_Sales]]-OrdersRawTable9[[#This Row],[Discount_Amount]]</f>
        <v>88.61</v>
      </c>
      <c r="Z646" s="45">
        <f>OrdersRawTable9[[#This Row],[Unit_Cost]]*OrdersRawTable9[[#This Row],[Quantity]]</f>
        <v>49.75</v>
      </c>
      <c r="AA646" s="45">
        <f>OrdersRawTable9[[#This Row],[Net_Sales]]-OrdersRawTable9[[#This Row],[Total_Cost]]</f>
        <v>38.86</v>
      </c>
      <c r="AB646" s="48">
        <f>IF(OrdersRawTable9[[#This Row],[Net_Sales]]=0,0,OrdersRawTable9[[#This Row],[Profit]]/OrdersRawTable9[[#This Row],[Net_Sales]])</f>
        <v>0.43855095361697327</v>
      </c>
      <c r="AC646" s="45" t="str">
        <f>IF(COUNTIF(ReturnsRawTable[Order_Line_ID],OrdersRawTable9[[#This Row],[Order_Line_ID]])&gt;0,"Yes","No")</f>
        <v>No</v>
      </c>
      <c r="AD646" s="45" t="str">
        <f>IFERROR(VLOOKUP(OrdersRawTable9[[#This Row],[Order_Line_ID]],ReturnsRawTable[[#All],[Order_Line_ID]:[Return_Reason_Raw]],3,FALSE),"")</f>
        <v/>
      </c>
      <c r="AE646" s="49" t="str">
        <f>IFERROR(VLOOKUP(OrdersRawTable9[[#This Row],[Order_Line_ID]],ReturnsRawTable[[#All],[Order_Line_ID]:[Return_Date]],2,FALSE),"")</f>
        <v/>
      </c>
      <c r="AF646" s="45" t="str">
        <f>IFERROR(VLOOKUP(OrdersRawTable9[[#This Row],[Order_Line_ID]],ReturnsRawTable[[Order_Line_ID]:[Refund_Status]],4,FALSE),"")</f>
        <v/>
      </c>
      <c r="AG646" s="45" t="str">
        <f>VLOOKUP(OrdersRawTable9[[#This Row],[Order_ID]],ShipmentsTable[],6,FALSE)</f>
        <v>Late</v>
      </c>
      <c r="AH646" s="49">
        <f>VLOOKUP(OrdersRawTable9[[#This Row],[Order_ID]],ShipmentsTable[],3,FALSE)</f>
        <v>45754</v>
      </c>
    </row>
    <row r="647" spans="1:34" ht="15" customHeight="1">
      <c r="A647" s="14" t="s">
        <v>1281</v>
      </c>
      <c r="B647" s="10" t="s">
        <v>1278</v>
      </c>
      <c r="C647" s="20">
        <v>45745.041666666664</v>
      </c>
      <c r="D647" s="10" t="s">
        <v>1279</v>
      </c>
      <c r="E647" s="10" t="s">
        <v>1280</v>
      </c>
      <c r="F647" s="10" t="str">
        <f>TRIM(LEFT(OrdersRawTable9[[#This Row],[Customer_Info]],FIND(",",OrdersRawTable9[[#This Row],[Customer_Info]])-1))</f>
        <v>Adam Martin</v>
      </c>
      <c r="G64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647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647" s="10">
        <f>LEN(OrdersRawTable9[[#This Row],[Customer_Info]])-LEN(SUBSTITUTE(OrdersRawTable9[[#This Row],[Customer_Info]],",",""))</f>
        <v>2</v>
      </c>
      <c r="J647" s="10" t="s">
        <v>468</v>
      </c>
      <c r="K647" s="23">
        <v>1</v>
      </c>
      <c r="L647" s="26">
        <v>160</v>
      </c>
      <c r="M647" s="29">
        <v>0</v>
      </c>
      <c r="N647" s="10" t="s">
        <v>50</v>
      </c>
      <c r="O647" s="10" t="str">
        <f>IF(TRIM(OrdersRawTable9[[#This Row],[Sales_Channel_Raw]])="Market place","Marketplace",TRIM(OrdersRawTable9[[#This Row],[Sales_Channel_Raw]]))</f>
        <v>Marketplace</v>
      </c>
      <c r="P647" s="10" t="s">
        <v>98</v>
      </c>
      <c r="Q647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647" s="15" t="s">
        <v>67</v>
      </c>
      <c r="S647" t="str">
        <f>VLOOKUP(OrdersRawTable9[[#This Row],[Customer_ID_Raw]],CustomersTable11[],4,FALSE)</f>
        <v>Ontario</v>
      </c>
      <c r="T647" t="str">
        <f>VLOOKUP(OrdersRawTable9[[#This Row],[Customer_ID_Raw]],CustomersTable11[],5,FALSE)</f>
        <v>Small Business</v>
      </c>
      <c r="U647" s="45">
        <f>VLOOKUP(OrdersRawTable9[[#This Row],[Product_ID]],ProductsTable10[],4,FALSE)</f>
        <v>101.58</v>
      </c>
      <c r="V647" t="str">
        <f>VLOOKUP(OrdersRawTable9[[#This Row],[Product_ID]],ProductsTable10[],3,FALSE)</f>
        <v>Fitness</v>
      </c>
      <c r="W647" s="45">
        <f>OrdersRawTable9[[#This Row],[Unit_Price]]*OrdersRawTable9[[#This Row],[Quantity]]</f>
        <v>160</v>
      </c>
      <c r="X647" s="47">
        <f>OrdersRawTable9[[#This Row],[Gross_Sales]]*OrdersRawTable9[[#This Row],[Discount_Pct]]</f>
        <v>0</v>
      </c>
      <c r="Y647" s="45">
        <f>OrdersRawTable9[[#This Row],[Gross_Sales]]-OrdersRawTable9[[#This Row],[Discount_Amount]]</f>
        <v>160</v>
      </c>
      <c r="Z647" s="45">
        <f>OrdersRawTable9[[#This Row],[Unit_Cost]]*OrdersRawTable9[[#This Row],[Quantity]]</f>
        <v>101.58</v>
      </c>
      <c r="AA647" s="45">
        <f>OrdersRawTable9[[#This Row],[Net_Sales]]-OrdersRawTable9[[#This Row],[Total_Cost]]</f>
        <v>58.42</v>
      </c>
      <c r="AB647" s="48">
        <f>IF(OrdersRawTable9[[#This Row],[Net_Sales]]=0,0,OrdersRawTable9[[#This Row],[Profit]]/OrdersRawTable9[[#This Row],[Net_Sales]])</f>
        <v>0.36512500000000003</v>
      </c>
      <c r="AC647" s="45" t="str">
        <f>IF(COUNTIF(ReturnsRawTable[Order_Line_ID],OrdersRawTable9[[#This Row],[Order_Line_ID]])&gt;0,"Yes","No")</f>
        <v>No</v>
      </c>
      <c r="AD647" s="45" t="str">
        <f>IFERROR(VLOOKUP(OrdersRawTable9[[#This Row],[Order_Line_ID]],ReturnsRawTable[[#All],[Order_Line_ID]:[Return_Reason_Raw]],3,FALSE),"")</f>
        <v/>
      </c>
      <c r="AE647" s="49" t="str">
        <f>IFERROR(VLOOKUP(OrdersRawTable9[[#This Row],[Order_Line_ID]],ReturnsRawTable[[#All],[Order_Line_ID]:[Return_Date]],2,FALSE),"")</f>
        <v/>
      </c>
      <c r="AF647" s="45" t="str">
        <f>IFERROR(VLOOKUP(OrdersRawTable9[[#This Row],[Order_Line_ID]],ReturnsRawTable[[Order_Line_ID]:[Refund_Status]],4,FALSE),"")</f>
        <v/>
      </c>
      <c r="AG647" s="45" t="str">
        <f>VLOOKUP(OrdersRawTable9[[#This Row],[Order_ID]],ShipmentsTable[],6,FALSE)</f>
        <v>Late</v>
      </c>
      <c r="AH647" s="49">
        <f>VLOOKUP(OrdersRawTable9[[#This Row],[Order_ID]],ShipmentsTable[],3,FALSE)</f>
        <v>45754</v>
      </c>
    </row>
    <row r="648" spans="1:34" ht="15" customHeight="1">
      <c r="A648" s="14" t="s">
        <v>1282</v>
      </c>
      <c r="B648" s="10" t="s">
        <v>1283</v>
      </c>
      <c r="C648" s="20">
        <v>45717.041666666664</v>
      </c>
      <c r="D648" s="10" t="s">
        <v>1284</v>
      </c>
      <c r="E648" s="10" t="s">
        <v>969</v>
      </c>
      <c r="F648" s="10" t="str">
        <f>TRIM(LEFT(OrdersRawTable9[[#This Row],[Customer_Info]],FIND(",",OrdersRawTable9[[#This Row],[Customer_Info]])-1))</f>
        <v>Omar Tremblay</v>
      </c>
      <c r="G64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648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648" s="10">
        <f>LEN(OrdersRawTable9[[#This Row],[Customer_Info]])-LEN(SUBSTITUTE(OrdersRawTable9[[#This Row],[Customer_Info]],",",""))</f>
        <v>2</v>
      </c>
      <c r="J648" s="10" t="s">
        <v>303</v>
      </c>
      <c r="K648" s="23">
        <v>3</v>
      </c>
      <c r="L648" s="26">
        <v>72.81</v>
      </c>
      <c r="M648" s="29">
        <v>0</v>
      </c>
      <c r="N648" s="10" t="s">
        <v>64</v>
      </c>
      <c r="O648" s="10" t="str">
        <f>IF(TRIM(OrdersRawTable9[[#This Row],[Sales_Channel_Raw]])="Market place","Marketplace",TRIM(OrdersRawTable9[[#This Row],[Sales_Channel_Raw]]))</f>
        <v>Retail Store</v>
      </c>
      <c r="P648" s="10"/>
      <c r="Q648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648" s="15" t="s">
        <v>42</v>
      </c>
      <c r="S648" t="str">
        <f>VLOOKUP(OrdersRawTable9[[#This Row],[Customer_ID_Raw]],CustomersTable11[],4,FALSE)</f>
        <v>Ontario</v>
      </c>
      <c r="T648" t="str">
        <f>VLOOKUP(OrdersRawTable9[[#This Row],[Customer_ID_Raw]],CustomersTable11[],5,FALSE)</f>
        <v>Consumer</v>
      </c>
      <c r="U648" s="45">
        <f>VLOOKUP(OrdersRawTable9[[#This Row],[Product_ID]],ProductsTable10[],4,FALSE)</f>
        <v>37.99</v>
      </c>
      <c r="V648" t="str">
        <f>VLOOKUP(OrdersRawTable9[[#This Row],[Product_ID]],ProductsTable10[],3,FALSE)</f>
        <v>Accessories</v>
      </c>
      <c r="W648" s="45">
        <f>OrdersRawTable9[[#This Row],[Unit_Price]]*OrdersRawTable9[[#This Row],[Quantity]]</f>
        <v>218.43</v>
      </c>
      <c r="X648" s="47">
        <f>OrdersRawTable9[[#This Row],[Gross_Sales]]*OrdersRawTable9[[#This Row],[Discount_Pct]]</f>
        <v>0</v>
      </c>
      <c r="Y648" s="45">
        <f>OrdersRawTable9[[#This Row],[Gross_Sales]]-OrdersRawTable9[[#This Row],[Discount_Amount]]</f>
        <v>218.43</v>
      </c>
      <c r="Z648" s="45">
        <f>OrdersRawTable9[[#This Row],[Unit_Cost]]*OrdersRawTable9[[#This Row],[Quantity]]</f>
        <v>113.97</v>
      </c>
      <c r="AA648" s="45">
        <f>OrdersRawTable9[[#This Row],[Net_Sales]]-OrdersRawTable9[[#This Row],[Total_Cost]]</f>
        <v>104.46000000000001</v>
      </c>
      <c r="AB648" s="48">
        <f>IF(OrdersRawTable9[[#This Row],[Net_Sales]]=0,0,OrdersRawTable9[[#This Row],[Profit]]/OrdersRawTable9[[#This Row],[Net_Sales]])</f>
        <v>0.47823101222359571</v>
      </c>
      <c r="AC648" s="45" t="str">
        <f>IF(COUNTIF(ReturnsRawTable[Order_Line_ID],OrdersRawTable9[[#This Row],[Order_Line_ID]])&gt;0,"Yes","No")</f>
        <v>No</v>
      </c>
      <c r="AD648" s="45" t="str">
        <f>IFERROR(VLOOKUP(OrdersRawTable9[[#This Row],[Order_Line_ID]],ReturnsRawTable[[#All],[Order_Line_ID]:[Return_Reason_Raw]],3,FALSE),"")</f>
        <v/>
      </c>
      <c r="AE648" s="49" t="str">
        <f>IFERROR(VLOOKUP(OrdersRawTable9[[#This Row],[Order_Line_ID]],ReturnsRawTable[[#All],[Order_Line_ID]:[Return_Date]],2,FALSE),"")</f>
        <v/>
      </c>
      <c r="AF648" s="45" t="str">
        <f>IFERROR(VLOOKUP(OrdersRawTable9[[#This Row],[Order_Line_ID]],ReturnsRawTable[[Order_Line_ID]:[Refund_Status]],4,FALSE),"")</f>
        <v/>
      </c>
      <c r="AG648" s="45" t="str">
        <f>VLOOKUP(OrdersRawTable9[[#This Row],[Order_ID]],ShipmentsTable[],6,FALSE)</f>
        <v>On time</v>
      </c>
      <c r="AH648" s="49">
        <f>VLOOKUP(OrdersRawTable9[[#This Row],[Order_ID]],ShipmentsTable[],3,FALSE)</f>
        <v>45719.041666666664</v>
      </c>
    </row>
    <row r="649" spans="1:34" ht="15" customHeight="1">
      <c r="A649" s="14" t="s">
        <v>1285</v>
      </c>
      <c r="B649" s="10" t="s">
        <v>1283</v>
      </c>
      <c r="C649" s="20">
        <v>45717.041666666664</v>
      </c>
      <c r="D649" s="10" t="s">
        <v>1284</v>
      </c>
      <c r="E649" s="10" t="s">
        <v>969</v>
      </c>
      <c r="F649" s="10" t="str">
        <f>TRIM(LEFT(OrdersRawTable9[[#This Row],[Customer_Info]],FIND(",",OrdersRawTable9[[#This Row],[Customer_Info]])-1))</f>
        <v>Omar Tremblay</v>
      </c>
      <c r="G64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649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649" s="10">
        <f>LEN(OrdersRawTable9[[#This Row],[Customer_Info]])-LEN(SUBSTITUTE(OrdersRawTable9[[#This Row],[Customer_Info]],",",""))</f>
        <v>2</v>
      </c>
      <c r="J649" s="10" t="s">
        <v>63</v>
      </c>
      <c r="K649" s="23">
        <v>1</v>
      </c>
      <c r="L649" s="26">
        <v>105.38</v>
      </c>
      <c r="M649" s="29">
        <v>0</v>
      </c>
      <c r="N649" s="10" t="s">
        <v>70</v>
      </c>
      <c r="O649" s="10" t="str">
        <f>IF(TRIM(OrdersRawTable9[[#This Row],[Sales_Channel_Raw]])="Market place","Marketplace",TRIM(OrdersRawTable9[[#This Row],[Sales_Channel_Raw]]))</f>
        <v>online</v>
      </c>
      <c r="P649" s="10" t="s">
        <v>98</v>
      </c>
      <c r="Q649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649" s="15" t="s">
        <v>101</v>
      </c>
      <c r="S649" t="str">
        <f>VLOOKUP(OrdersRawTable9[[#This Row],[Customer_ID_Raw]],CustomersTable11[],4,FALSE)</f>
        <v>Ontario</v>
      </c>
      <c r="T649" t="str">
        <f>VLOOKUP(OrdersRawTable9[[#This Row],[Customer_ID_Raw]],CustomersTable11[],5,FALSE)</f>
        <v>Consumer</v>
      </c>
      <c r="U649" s="45">
        <f>VLOOKUP(OrdersRawTable9[[#This Row],[Product_ID]],ProductsTable10[],4,FALSE)</f>
        <v>67.290000000000006</v>
      </c>
      <c r="V649" t="str">
        <f>VLOOKUP(OrdersRawTable9[[#This Row],[Product_ID]],ProductsTable10[],3,FALSE)</f>
        <v>Electronics</v>
      </c>
      <c r="W649" s="45">
        <f>OrdersRawTable9[[#This Row],[Unit_Price]]*OrdersRawTable9[[#This Row],[Quantity]]</f>
        <v>105.38</v>
      </c>
      <c r="X649" s="47">
        <f>OrdersRawTable9[[#This Row],[Gross_Sales]]*OrdersRawTable9[[#This Row],[Discount_Pct]]</f>
        <v>0</v>
      </c>
      <c r="Y649" s="45">
        <f>OrdersRawTable9[[#This Row],[Gross_Sales]]-OrdersRawTable9[[#This Row],[Discount_Amount]]</f>
        <v>105.38</v>
      </c>
      <c r="Z649" s="45">
        <f>OrdersRawTable9[[#This Row],[Unit_Cost]]*OrdersRawTable9[[#This Row],[Quantity]]</f>
        <v>67.290000000000006</v>
      </c>
      <c r="AA649" s="45">
        <f>OrdersRawTable9[[#This Row],[Net_Sales]]-OrdersRawTable9[[#This Row],[Total_Cost]]</f>
        <v>38.089999999999989</v>
      </c>
      <c r="AB649" s="48">
        <f>IF(OrdersRawTable9[[#This Row],[Net_Sales]]=0,0,OrdersRawTable9[[#This Row],[Profit]]/OrdersRawTable9[[#This Row],[Net_Sales]])</f>
        <v>0.36145378629721003</v>
      </c>
      <c r="AC649" s="45" t="str">
        <f>IF(COUNTIF(ReturnsRawTable[Order_Line_ID],OrdersRawTable9[[#This Row],[Order_Line_ID]])&gt;0,"Yes","No")</f>
        <v>No</v>
      </c>
      <c r="AD649" s="45" t="str">
        <f>IFERROR(VLOOKUP(OrdersRawTable9[[#This Row],[Order_Line_ID]],ReturnsRawTable[[#All],[Order_Line_ID]:[Return_Reason_Raw]],3,FALSE),"")</f>
        <v/>
      </c>
      <c r="AE649" s="49" t="str">
        <f>IFERROR(VLOOKUP(OrdersRawTable9[[#This Row],[Order_Line_ID]],ReturnsRawTable[[#All],[Order_Line_ID]:[Return_Date]],2,FALSE),"")</f>
        <v/>
      </c>
      <c r="AF649" s="45" t="str">
        <f>IFERROR(VLOOKUP(OrdersRawTable9[[#This Row],[Order_Line_ID]],ReturnsRawTable[[Order_Line_ID]:[Refund_Status]],4,FALSE),"")</f>
        <v/>
      </c>
      <c r="AG649" s="45" t="str">
        <f>VLOOKUP(OrdersRawTable9[[#This Row],[Order_ID]],ShipmentsTable[],6,FALSE)</f>
        <v>On time</v>
      </c>
      <c r="AH649" s="49">
        <f>VLOOKUP(OrdersRawTable9[[#This Row],[Order_ID]],ShipmentsTable[],3,FALSE)</f>
        <v>45719.041666666664</v>
      </c>
    </row>
    <row r="650" spans="1:34" ht="15" customHeight="1">
      <c r="A650" s="14" t="s">
        <v>1286</v>
      </c>
      <c r="B650" s="10" t="s">
        <v>1283</v>
      </c>
      <c r="C650" s="20">
        <v>45717.041666666664</v>
      </c>
      <c r="D650" s="10" t="s">
        <v>1284</v>
      </c>
      <c r="E650" s="10" t="s">
        <v>969</v>
      </c>
      <c r="F650" s="10" t="str">
        <f>TRIM(LEFT(OrdersRawTable9[[#This Row],[Customer_Info]],FIND(",",OrdersRawTable9[[#This Row],[Customer_Info]])-1))</f>
        <v>Omar Tremblay</v>
      </c>
      <c r="G65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650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650" s="10">
        <f>LEN(OrdersRawTable9[[#This Row],[Customer_Info]])-LEN(SUBSTITUTE(OrdersRawTable9[[#This Row],[Customer_Info]],",",""))</f>
        <v>2</v>
      </c>
      <c r="J650" s="10" t="s">
        <v>238</v>
      </c>
      <c r="K650" s="23">
        <v>1</v>
      </c>
      <c r="L650" s="26">
        <v>82.77</v>
      </c>
      <c r="M650" s="29">
        <v>0</v>
      </c>
      <c r="N650" s="10" t="s">
        <v>70</v>
      </c>
      <c r="O650" s="10" t="str">
        <f>IF(TRIM(OrdersRawTable9[[#This Row],[Sales_Channel_Raw]])="Market place","Marketplace",TRIM(OrdersRawTable9[[#This Row],[Sales_Channel_Raw]]))</f>
        <v>online</v>
      </c>
      <c r="P650" s="10" t="s">
        <v>98</v>
      </c>
      <c r="Q650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650" s="15" t="s">
        <v>101</v>
      </c>
      <c r="S650" t="str">
        <f>VLOOKUP(OrdersRawTable9[[#This Row],[Customer_ID_Raw]],CustomersTable11[],4,FALSE)</f>
        <v>Ontario</v>
      </c>
      <c r="T650" t="str">
        <f>VLOOKUP(OrdersRawTable9[[#This Row],[Customer_ID_Raw]],CustomersTable11[],5,FALSE)</f>
        <v>Consumer</v>
      </c>
      <c r="U650" s="45">
        <f>VLOOKUP(OrdersRawTable9[[#This Row],[Product_ID]],ProductsTable10[],4,FALSE)</f>
        <v>46.51</v>
      </c>
      <c r="V650" t="str">
        <f>VLOOKUP(OrdersRawTable9[[#This Row],[Product_ID]],ProductsTable10[],3,FALSE)</f>
        <v>Office</v>
      </c>
      <c r="W650" s="45">
        <f>OrdersRawTable9[[#This Row],[Unit_Price]]*OrdersRawTable9[[#This Row],[Quantity]]</f>
        <v>82.77</v>
      </c>
      <c r="X650" s="47">
        <f>OrdersRawTable9[[#This Row],[Gross_Sales]]*OrdersRawTable9[[#This Row],[Discount_Pct]]</f>
        <v>0</v>
      </c>
      <c r="Y650" s="45">
        <f>OrdersRawTable9[[#This Row],[Gross_Sales]]-OrdersRawTable9[[#This Row],[Discount_Amount]]</f>
        <v>82.77</v>
      </c>
      <c r="Z650" s="45">
        <f>OrdersRawTable9[[#This Row],[Unit_Cost]]*OrdersRawTable9[[#This Row],[Quantity]]</f>
        <v>46.51</v>
      </c>
      <c r="AA650" s="45">
        <f>OrdersRawTable9[[#This Row],[Net_Sales]]-OrdersRawTable9[[#This Row],[Total_Cost]]</f>
        <v>36.26</v>
      </c>
      <c r="AB650" s="48">
        <f>IF(OrdersRawTable9[[#This Row],[Net_Sales]]=0,0,OrdersRawTable9[[#This Row],[Profit]]/OrdersRawTable9[[#This Row],[Net_Sales]])</f>
        <v>0.43808143046997705</v>
      </c>
      <c r="AC650" s="45" t="str">
        <f>IF(COUNTIF(ReturnsRawTable[Order_Line_ID],OrdersRawTable9[[#This Row],[Order_Line_ID]])&gt;0,"Yes","No")</f>
        <v>No</v>
      </c>
      <c r="AD650" s="45" t="str">
        <f>IFERROR(VLOOKUP(OrdersRawTable9[[#This Row],[Order_Line_ID]],ReturnsRawTable[[#All],[Order_Line_ID]:[Return_Reason_Raw]],3,FALSE),"")</f>
        <v/>
      </c>
      <c r="AE650" s="49" t="str">
        <f>IFERROR(VLOOKUP(OrdersRawTable9[[#This Row],[Order_Line_ID]],ReturnsRawTable[[#All],[Order_Line_ID]:[Return_Date]],2,FALSE),"")</f>
        <v/>
      </c>
      <c r="AF650" s="45" t="str">
        <f>IFERROR(VLOOKUP(OrdersRawTable9[[#This Row],[Order_Line_ID]],ReturnsRawTable[[Order_Line_ID]:[Refund_Status]],4,FALSE),"")</f>
        <v/>
      </c>
      <c r="AG650" s="45" t="str">
        <f>VLOOKUP(OrdersRawTable9[[#This Row],[Order_ID]],ShipmentsTable[],6,FALSE)</f>
        <v>On time</v>
      </c>
      <c r="AH650" s="49">
        <f>VLOOKUP(OrdersRawTable9[[#This Row],[Order_ID]],ShipmentsTable[],3,FALSE)</f>
        <v>45719.041666666664</v>
      </c>
    </row>
    <row r="651" spans="1:34" ht="15" customHeight="1">
      <c r="A651" s="14" t="s">
        <v>1287</v>
      </c>
      <c r="B651" s="10" t="s">
        <v>1288</v>
      </c>
      <c r="C651" s="20">
        <v>46017</v>
      </c>
      <c r="D651" s="10" t="s">
        <v>365</v>
      </c>
      <c r="E651" s="10" t="s">
        <v>366</v>
      </c>
      <c r="F651" s="10" t="str">
        <f>TRIM(LEFT(OrdersRawTable9[[#This Row],[Customer_Info]],FIND(",",OrdersRawTable9[[#This Row],[Customer_Info]])-1))</f>
        <v>Emma Singh</v>
      </c>
      <c r="G65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651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651" s="10">
        <f>LEN(OrdersRawTable9[[#This Row],[Customer_Info]])-LEN(SUBSTITUTE(OrdersRawTable9[[#This Row],[Customer_Info]],",",""))</f>
        <v>2</v>
      </c>
      <c r="J651" s="10" t="s">
        <v>121</v>
      </c>
      <c r="K651" s="23">
        <v>4</v>
      </c>
      <c r="L651" s="26">
        <v>287.16000000000003</v>
      </c>
      <c r="M651" s="29">
        <v>0</v>
      </c>
      <c r="N651" s="10" t="s">
        <v>45</v>
      </c>
      <c r="O651" s="10" t="str">
        <f>IF(TRIM(OrdersRawTable9[[#This Row],[Sales_Channel_Raw]])="Market place","Marketplace",TRIM(OrdersRawTable9[[#This Row],[Sales_Channel_Raw]]))</f>
        <v>Retail Store</v>
      </c>
      <c r="P651" s="10" t="s">
        <v>51</v>
      </c>
      <c r="Q651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651" s="15" t="s">
        <v>47</v>
      </c>
      <c r="S651" t="str">
        <f>VLOOKUP(OrdersRawTable9[[#This Row],[Customer_ID_Raw]],CustomersTable11[],4,FALSE)</f>
        <v>Manitoba</v>
      </c>
      <c r="T651" t="str">
        <f>VLOOKUP(OrdersRawTable9[[#This Row],[Customer_ID_Raw]],CustomersTable11[],5,FALSE)</f>
        <v>Small Business</v>
      </c>
      <c r="U651" s="45">
        <f>VLOOKUP(OrdersRawTable9[[#This Row],[Product_ID]],ProductsTable10[],4,FALSE)</f>
        <v>148.21</v>
      </c>
      <c r="V651" t="str">
        <f>VLOOKUP(OrdersRawTable9[[#This Row],[Product_ID]],ProductsTable10[],3,FALSE)</f>
        <v>Accessories</v>
      </c>
      <c r="W651" s="45">
        <f>OrdersRawTable9[[#This Row],[Unit_Price]]*OrdersRawTable9[[#This Row],[Quantity]]</f>
        <v>1148.6400000000001</v>
      </c>
      <c r="X651" s="47">
        <f>OrdersRawTable9[[#This Row],[Gross_Sales]]*OrdersRawTable9[[#This Row],[Discount_Pct]]</f>
        <v>0</v>
      </c>
      <c r="Y651" s="45">
        <f>OrdersRawTable9[[#This Row],[Gross_Sales]]-OrdersRawTable9[[#This Row],[Discount_Amount]]</f>
        <v>1148.6400000000001</v>
      </c>
      <c r="Z651" s="45">
        <f>OrdersRawTable9[[#This Row],[Unit_Cost]]*OrdersRawTable9[[#This Row],[Quantity]]</f>
        <v>592.84</v>
      </c>
      <c r="AA651" s="45">
        <f>OrdersRawTable9[[#This Row],[Net_Sales]]-OrdersRawTable9[[#This Row],[Total_Cost]]</f>
        <v>555.80000000000007</v>
      </c>
      <c r="AB651" s="48">
        <f>IF(OrdersRawTable9[[#This Row],[Net_Sales]]=0,0,OrdersRawTable9[[#This Row],[Profit]]/OrdersRawTable9[[#This Row],[Net_Sales]])</f>
        <v>0.48387658448251847</v>
      </c>
      <c r="AC651" s="45" t="str">
        <f>IF(COUNTIF(ReturnsRawTable[Order_Line_ID],OrdersRawTable9[[#This Row],[Order_Line_ID]])&gt;0,"Yes","No")</f>
        <v>No</v>
      </c>
      <c r="AD651" s="45" t="str">
        <f>IFERROR(VLOOKUP(OrdersRawTable9[[#This Row],[Order_Line_ID]],ReturnsRawTable[[#All],[Order_Line_ID]:[Return_Reason_Raw]],3,FALSE),"")</f>
        <v/>
      </c>
      <c r="AE651" s="49" t="str">
        <f>IFERROR(VLOOKUP(OrdersRawTable9[[#This Row],[Order_Line_ID]],ReturnsRawTable[[#All],[Order_Line_ID]:[Return_Date]],2,FALSE),"")</f>
        <v/>
      </c>
      <c r="AF651" s="45" t="str">
        <f>IFERROR(VLOOKUP(OrdersRawTable9[[#This Row],[Order_Line_ID]],ReturnsRawTable[[Order_Line_ID]:[Refund_Status]],4,FALSE),"")</f>
        <v/>
      </c>
      <c r="AG651" s="45" t="str">
        <f>VLOOKUP(OrdersRawTable9[[#This Row],[Order_ID]],ShipmentsTable[],6,FALSE)</f>
        <v>Late</v>
      </c>
      <c r="AH651" s="49">
        <f>VLOOKUP(OrdersRawTable9[[#This Row],[Order_ID]],ShipmentsTable[],3,FALSE)</f>
        <v>46024</v>
      </c>
    </row>
    <row r="652" spans="1:34" ht="15" customHeight="1">
      <c r="A652" s="14" t="s">
        <v>1289</v>
      </c>
      <c r="B652" s="10" t="s">
        <v>1290</v>
      </c>
      <c r="C652" s="20">
        <v>45779</v>
      </c>
      <c r="D652" s="10" t="s">
        <v>568</v>
      </c>
      <c r="E652" s="10" t="s">
        <v>569</v>
      </c>
      <c r="F652" s="10" t="str">
        <f>TRIM(LEFT(OrdersRawTable9[[#This Row],[Customer_Info]],FIND(",",OrdersRawTable9[[#This Row],[Customer_Info]])-1))</f>
        <v>Sofia Dubois</v>
      </c>
      <c r="G65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652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52" s="10">
        <f>LEN(OrdersRawTable9[[#This Row],[Customer_Info]])-LEN(SUBSTITUTE(OrdersRawTable9[[#This Row],[Customer_Info]],",",""))</f>
        <v>2</v>
      </c>
      <c r="J652" s="10" t="s">
        <v>77</v>
      </c>
      <c r="K652" s="23">
        <v>1</v>
      </c>
      <c r="L652" s="26">
        <v>34.909999999999997</v>
      </c>
      <c r="M652" s="29">
        <v>0.1</v>
      </c>
      <c r="N652" s="10" t="s">
        <v>64</v>
      </c>
      <c r="O652" s="10" t="str">
        <f>IF(TRIM(OrdersRawTable9[[#This Row],[Sales_Channel_Raw]])="Market place","Marketplace",TRIM(OrdersRawTable9[[#This Row],[Sales_Channel_Raw]]))</f>
        <v>Retail Store</v>
      </c>
      <c r="P652" s="10" t="s">
        <v>98</v>
      </c>
      <c r="Q652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652" s="15" t="s">
        <v>52</v>
      </c>
      <c r="S652" t="str">
        <f>VLOOKUP(OrdersRawTable9[[#This Row],[Customer_ID_Raw]],CustomersTable11[],4,FALSE)</f>
        <v>Quebec</v>
      </c>
      <c r="T652" t="str">
        <f>VLOOKUP(OrdersRawTable9[[#This Row],[Customer_ID_Raw]],CustomersTable11[],5,FALSE)</f>
        <v>Corporate</v>
      </c>
      <c r="U652" s="45">
        <f>VLOOKUP(OrdersRawTable9[[#This Row],[Product_ID]],ProductsTable10[],4,FALSE)</f>
        <v>19.670000000000002</v>
      </c>
      <c r="V652" t="str">
        <f>VLOOKUP(OrdersRawTable9[[#This Row],[Product_ID]],ProductsTable10[],3,FALSE)</f>
        <v>Accessories</v>
      </c>
      <c r="W652" s="45">
        <f>OrdersRawTable9[[#This Row],[Unit_Price]]*OrdersRawTable9[[#This Row],[Quantity]]</f>
        <v>34.909999999999997</v>
      </c>
      <c r="X652" s="47">
        <f>OrdersRawTable9[[#This Row],[Gross_Sales]]*OrdersRawTable9[[#This Row],[Discount_Pct]]</f>
        <v>3.4909999999999997</v>
      </c>
      <c r="Y652" s="45">
        <f>OrdersRawTable9[[#This Row],[Gross_Sales]]-OrdersRawTable9[[#This Row],[Discount_Amount]]</f>
        <v>31.418999999999997</v>
      </c>
      <c r="Z652" s="45">
        <f>OrdersRawTable9[[#This Row],[Unit_Cost]]*OrdersRawTable9[[#This Row],[Quantity]]</f>
        <v>19.670000000000002</v>
      </c>
      <c r="AA652" s="45">
        <f>OrdersRawTable9[[#This Row],[Net_Sales]]-OrdersRawTable9[[#This Row],[Total_Cost]]</f>
        <v>11.748999999999995</v>
      </c>
      <c r="AB652" s="48">
        <f>IF(OrdersRawTable9[[#This Row],[Net_Sales]]=0,0,OrdersRawTable9[[#This Row],[Profit]]/OrdersRawTable9[[#This Row],[Net_Sales]])</f>
        <v>0.37394570164550101</v>
      </c>
      <c r="AC652" s="45" t="str">
        <f>IF(COUNTIF(ReturnsRawTable[Order_Line_ID],OrdersRawTable9[[#This Row],[Order_Line_ID]])&gt;0,"Yes","No")</f>
        <v>No</v>
      </c>
      <c r="AD652" s="45" t="str">
        <f>IFERROR(VLOOKUP(OrdersRawTable9[[#This Row],[Order_Line_ID]],ReturnsRawTable[[#All],[Order_Line_ID]:[Return_Reason_Raw]],3,FALSE),"")</f>
        <v/>
      </c>
      <c r="AE652" s="49" t="str">
        <f>IFERROR(VLOOKUP(OrdersRawTable9[[#This Row],[Order_Line_ID]],ReturnsRawTable[[#All],[Order_Line_ID]:[Return_Date]],2,FALSE),"")</f>
        <v/>
      </c>
      <c r="AF652" s="45" t="str">
        <f>IFERROR(VLOOKUP(OrdersRawTable9[[#This Row],[Order_Line_ID]],ReturnsRawTable[[Order_Line_ID]:[Refund_Status]],4,FALSE),"")</f>
        <v/>
      </c>
      <c r="AG652" s="45" t="str">
        <f>VLOOKUP(OrdersRawTable9[[#This Row],[Order_ID]],ShipmentsTable[],6,FALSE)</f>
        <v>Late</v>
      </c>
      <c r="AH652" s="49">
        <f>VLOOKUP(OrdersRawTable9[[#This Row],[Order_ID]],ShipmentsTable[],3,FALSE)</f>
        <v>45784</v>
      </c>
    </row>
    <row r="653" spans="1:34" ht="15" customHeight="1">
      <c r="A653" s="14" t="s">
        <v>1291</v>
      </c>
      <c r="B653" s="10" t="s">
        <v>1290</v>
      </c>
      <c r="C653" s="20">
        <v>45779</v>
      </c>
      <c r="D653" s="10" t="s">
        <v>568</v>
      </c>
      <c r="E653" s="10" t="s">
        <v>569</v>
      </c>
      <c r="F653" s="10" t="str">
        <f>TRIM(LEFT(OrdersRawTable9[[#This Row],[Customer_Info]],FIND(",",OrdersRawTable9[[#This Row],[Customer_Info]])-1))</f>
        <v>Sofia Dubois</v>
      </c>
      <c r="G65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653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53" s="10">
        <f>LEN(OrdersRawTable9[[#This Row],[Customer_Info]])-LEN(SUBSTITUTE(OrdersRawTable9[[#This Row],[Customer_Info]],",",""))</f>
        <v>2</v>
      </c>
      <c r="J653" s="10" t="s">
        <v>150</v>
      </c>
      <c r="K653" s="23">
        <v>1</v>
      </c>
      <c r="L653" s="26">
        <v>263.04000000000002</v>
      </c>
      <c r="M653" s="29">
        <v>0.1</v>
      </c>
      <c r="N653" s="10" t="s">
        <v>40</v>
      </c>
      <c r="O653" s="10" t="str">
        <f>IF(TRIM(OrdersRawTable9[[#This Row],[Sales_Channel_Raw]])="Market place","Marketplace",TRIM(OrdersRawTable9[[#This Row],[Sales_Channel_Raw]]))</f>
        <v>Online</v>
      </c>
      <c r="P653" s="10" t="s">
        <v>98</v>
      </c>
      <c r="Q653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653" s="15" t="s">
        <v>47</v>
      </c>
      <c r="S653" t="str">
        <f>VLOOKUP(OrdersRawTable9[[#This Row],[Customer_ID_Raw]],CustomersTable11[],4,FALSE)</f>
        <v>Quebec</v>
      </c>
      <c r="T653" t="str">
        <f>VLOOKUP(OrdersRawTable9[[#This Row],[Customer_ID_Raw]],CustomersTable11[],5,FALSE)</f>
        <v>Corporate</v>
      </c>
      <c r="U653" s="45">
        <f>VLOOKUP(OrdersRawTable9[[#This Row],[Product_ID]],ProductsTable10[],4,FALSE)</f>
        <v>161.84</v>
      </c>
      <c r="V653" t="str">
        <f>VLOOKUP(OrdersRawTable9[[#This Row],[Product_ID]],ProductsTable10[],3,FALSE)</f>
        <v>Office</v>
      </c>
      <c r="W653" s="45">
        <f>OrdersRawTable9[[#This Row],[Unit_Price]]*OrdersRawTable9[[#This Row],[Quantity]]</f>
        <v>263.04000000000002</v>
      </c>
      <c r="X653" s="47">
        <f>OrdersRawTable9[[#This Row],[Gross_Sales]]*OrdersRawTable9[[#This Row],[Discount_Pct]]</f>
        <v>26.304000000000002</v>
      </c>
      <c r="Y653" s="45">
        <f>OrdersRawTable9[[#This Row],[Gross_Sales]]-OrdersRawTable9[[#This Row],[Discount_Amount]]</f>
        <v>236.73600000000002</v>
      </c>
      <c r="Z653" s="45">
        <f>OrdersRawTable9[[#This Row],[Unit_Cost]]*OrdersRawTable9[[#This Row],[Quantity]]</f>
        <v>161.84</v>
      </c>
      <c r="AA653" s="45">
        <f>OrdersRawTable9[[#This Row],[Net_Sales]]-OrdersRawTable9[[#This Row],[Total_Cost]]</f>
        <v>74.896000000000015</v>
      </c>
      <c r="AB653" s="48">
        <f>IF(OrdersRawTable9[[#This Row],[Net_Sales]]=0,0,OrdersRawTable9[[#This Row],[Profit]]/OrdersRawTable9[[#This Row],[Net_Sales]])</f>
        <v>0.31636928899702627</v>
      </c>
      <c r="AC653" s="45" t="str">
        <f>IF(COUNTIF(ReturnsRawTable[Order_Line_ID],OrdersRawTable9[[#This Row],[Order_Line_ID]])&gt;0,"Yes","No")</f>
        <v>No</v>
      </c>
      <c r="AD653" s="45" t="str">
        <f>IFERROR(VLOOKUP(OrdersRawTable9[[#This Row],[Order_Line_ID]],ReturnsRawTable[[#All],[Order_Line_ID]:[Return_Reason_Raw]],3,FALSE),"")</f>
        <v/>
      </c>
      <c r="AE653" s="49" t="str">
        <f>IFERROR(VLOOKUP(OrdersRawTable9[[#This Row],[Order_Line_ID]],ReturnsRawTable[[#All],[Order_Line_ID]:[Return_Date]],2,FALSE),"")</f>
        <v/>
      </c>
      <c r="AF653" s="45" t="str">
        <f>IFERROR(VLOOKUP(OrdersRawTable9[[#This Row],[Order_Line_ID]],ReturnsRawTable[[Order_Line_ID]:[Refund_Status]],4,FALSE),"")</f>
        <v/>
      </c>
      <c r="AG653" s="45" t="str">
        <f>VLOOKUP(OrdersRawTable9[[#This Row],[Order_ID]],ShipmentsTable[],6,FALSE)</f>
        <v>Late</v>
      </c>
      <c r="AH653" s="49">
        <f>VLOOKUP(OrdersRawTable9[[#This Row],[Order_ID]],ShipmentsTable[],3,FALSE)</f>
        <v>45784</v>
      </c>
    </row>
    <row r="654" spans="1:34" ht="15" customHeight="1">
      <c r="A654" s="14" t="s">
        <v>1292</v>
      </c>
      <c r="B654" s="10" t="s">
        <v>1290</v>
      </c>
      <c r="C654" s="20">
        <v>45779</v>
      </c>
      <c r="D654" s="10" t="s">
        <v>568</v>
      </c>
      <c r="E654" s="10" t="s">
        <v>569</v>
      </c>
      <c r="F654" s="10" t="str">
        <f>TRIM(LEFT(OrdersRawTable9[[#This Row],[Customer_Info]],FIND(",",OrdersRawTable9[[#This Row],[Customer_Info]])-1))</f>
        <v>Sofia Dubois</v>
      </c>
      <c r="G65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654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54" s="10">
        <f>LEN(OrdersRawTable9[[#This Row],[Customer_Info]])-LEN(SUBSTITUTE(OrdersRawTable9[[#This Row],[Customer_Info]],",",""))</f>
        <v>2</v>
      </c>
      <c r="J654" s="10" t="s">
        <v>241</v>
      </c>
      <c r="K654" s="23">
        <v>2</v>
      </c>
      <c r="L654" s="26">
        <v>300.56</v>
      </c>
      <c r="M654" s="29">
        <v>0.1</v>
      </c>
      <c r="N654" s="10" t="s">
        <v>66</v>
      </c>
      <c r="O654" s="10" t="str">
        <f>IF(TRIM(OrdersRawTable9[[#This Row],[Sales_Channel_Raw]])="Market place","Marketplace",TRIM(OrdersRawTable9[[#This Row],[Sales_Channel_Raw]]))</f>
        <v>Marketplace</v>
      </c>
      <c r="P654" s="10" t="s">
        <v>98</v>
      </c>
      <c r="Q654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654" s="15" t="s">
        <v>52</v>
      </c>
      <c r="S654" t="str">
        <f>VLOOKUP(OrdersRawTable9[[#This Row],[Customer_ID_Raw]],CustomersTable11[],4,FALSE)</f>
        <v>Quebec</v>
      </c>
      <c r="T654" t="str">
        <f>VLOOKUP(OrdersRawTable9[[#This Row],[Customer_ID_Raw]],CustomersTable11[],5,FALSE)</f>
        <v>Corporate</v>
      </c>
      <c r="U654" s="45">
        <f>VLOOKUP(OrdersRawTable9[[#This Row],[Product_ID]],ProductsTable10[],4,FALSE)</f>
        <v>158.86000000000001</v>
      </c>
      <c r="V654" t="str">
        <f>VLOOKUP(OrdersRawTable9[[#This Row],[Product_ID]],ProductsTable10[],3,FALSE)</f>
        <v>Accessories</v>
      </c>
      <c r="W654" s="45">
        <f>OrdersRawTable9[[#This Row],[Unit_Price]]*OrdersRawTable9[[#This Row],[Quantity]]</f>
        <v>601.12</v>
      </c>
      <c r="X654" s="47">
        <f>OrdersRawTable9[[#This Row],[Gross_Sales]]*OrdersRawTable9[[#This Row],[Discount_Pct]]</f>
        <v>60.112000000000002</v>
      </c>
      <c r="Y654" s="45">
        <f>OrdersRawTable9[[#This Row],[Gross_Sales]]-OrdersRawTable9[[#This Row],[Discount_Amount]]</f>
        <v>541.00800000000004</v>
      </c>
      <c r="Z654" s="45">
        <f>OrdersRawTable9[[#This Row],[Unit_Cost]]*OrdersRawTable9[[#This Row],[Quantity]]</f>
        <v>317.72000000000003</v>
      </c>
      <c r="AA654" s="45">
        <f>OrdersRawTable9[[#This Row],[Net_Sales]]-OrdersRawTable9[[#This Row],[Total_Cost]]</f>
        <v>223.28800000000001</v>
      </c>
      <c r="AB654" s="48">
        <f>IF(OrdersRawTable9[[#This Row],[Net_Sales]]=0,0,OrdersRawTable9[[#This Row],[Profit]]/OrdersRawTable9[[#This Row],[Net_Sales]])</f>
        <v>0.4127258746635909</v>
      </c>
      <c r="AC654" s="45" t="str">
        <f>IF(COUNTIF(ReturnsRawTable[Order_Line_ID],OrdersRawTable9[[#This Row],[Order_Line_ID]])&gt;0,"Yes","No")</f>
        <v>No</v>
      </c>
      <c r="AD654" s="45" t="str">
        <f>IFERROR(VLOOKUP(OrdersRawTable9[[#This Row],[Order_Line_ID]],ReturnsRawTable[[#All],[Order_Line_ID]:[Return_Reason_Raw]],3,FALSE),"")</f>
        <v/>
      </c>
      <c r="AE654" s="49" t="str">
        <f>IFERROR(VLOOKUP(OrdersRawTable9[[#This Row],[Order_Line_ID]],ReturnsRawTable[[#All],[Order_Line_ID]:[Return_Date]],2,FALSE),"")</f>
        <v/>
      </c>
      <c r="AF654" s="45" t="str">
        <f>IFERROR(VLOOKUP(OrdersRawTable9[[#This Row],[Order_Line_ID]],ReturnsRawTable[[Order_Line_ID]:[Refund_Status]],4,FALSE),"")</f>
        <v/>
      </c>
      <c r="AG654" s="45" t="str">
        <f>VLOOKUP(OrdersRawTable9[[#This Row],[Order_ID]],ShipmentsTable[],6,FALSE)</f>
        <v>Late</v>
      </c>
      <c r="AH654" s="49">
        <f>VLOOKUP(OrdersRawTable9[[#This Row],[Order_ID]],ShipmentsTable[],3,FALSE)</f>
        <v>45784</v>
      </c>
    </row>
    <row r="655" spans="1:34" ht="15" customHeight="1">
      <c r="A655" s="14" t="s">
        <v>1293</v>
      </c>
      <c r="B655" s="10" t="s">
        <v>1290</v>
      </c>
      <c r="C655" s="20">
        <v>45779</v>
      </c>
      <c r="D655" s="10" t="s">
        <v>568</v>
      </c>
      <c r="E655" s="10" t="s">
        <v>569</v>
      </c>
      <c r="F655" s="10" t="str">
        <f>TRIM(LEFT(OrdersRawTable9[[#This Row],[Customer_Info]],FIND(",",OrdersRawTable9[[#This Row],[Customer_Info]])-1))</f>
        <v>Sofia Dubois</v>
      </c>
      <c r="G65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655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55" s="10">
        <f>LEN(OrdersRawTable9[[#This Row],[Customer_Info]])-LEN(SUBSTITUTE(OrdersRawTable9[[#This Row],[Customer_Info]],",",""))</f>
        <v>2</v>
      </c>
      <c r="J655" s="10" t="s">
        <v>214</v>
      </c>
      <c r="K655" s="23">
        <v>1</v>
      </c>
      <c r="L655" s="26">
        <v>186.92</v>
      </c>
      <c r="M655" s="29">
        <v>0</v>
      </c>
      <c r="N655" s="10" t="s">
        <v>50</v>
      </c>
      <c r="O655" s="10" t="str">
        <f>IF(TRIM(OrdersRawTable9[[#This Row],[Sales_Channel_Raw]])="Market place","Marketplace",TRIM(OrdersRawTable9[[#This Row],[Sales_Channel_Raw]]))</f>
        <v>Marketplace</v>
      </c>
      <c r="P655" s="10" t="s">
        <v>41</v>
      </c>
      <c r="Q655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655" s="15" t="s">
        <v>101</v>
      </c>
      <c r="S655" t="str">
        <f>VLOOKUP(OrdersRawTable9[[#This Row],[Customer_ID_Raw]],CustomersTable11[],4,FALSE)</f>
        <v>Quebec</v>
      </c>
      <c r="T655" t="str">
        <f>VLOOKUP(OrdersRawTable9[[#This Row],[Customer_ID_Raw]],CustomersTable11[],5,FALSE)</f>
        <v>Corporate</v>
      </c>
      <c r="U655" s="45">
        <f>VLOOKUP(OrdersRawTable9[[#This Row],[Product_ID]],ProductsTable10[],4,FALSE)</f>
        <v>114.11</v>
      </c>
      <c r="V655" t="str">
        <f>VLOOKUP(OrdersRawTable9[[#This Row],[Product_ID]],ProductsTable10[],3,FALSE)</f>
        <v>Home</v>
      </c>
      <c r="W655" s="45">
        <f>OrdersRawTable9[[#This Row],[Unit_Price]]*OrdersRawTable9[[#This Row],[Quantity]]</f>
        <v>186.92</v>
      </c>
      <c r="X655" s="47">
        <f>OrdersRawTable9[[#This Row],[Gross_Sales]]*OrdersRawTable9[[#This Row],[Discount_Pct]]</f>
        <v>0</v>
      </c>
      <c r="Y655" s="45">
        <f>OrdersRawTable9[[#This Row],[Gross_Sales]]-OrdersRawTable9[[#This Row],[Discount_Amount]]</f>
        <v>186.92</v>
      </c>
      <c r="Z655" s="45">
        <f>OrdersRawTable9[[#This Row],[Unit_Cost]]*OrdersRawTable9[[#This Row],[Quantity]]</f>
        <v>114.11</v>
      </c>
      <c r="AA655" s="45">
        <f>OrdersRawTable9[[#This Row],[Net_Sales]]-OrdersRawTable9[[#This Row],[Total_Cost]]</f>
        <v>72.809999999999988</v>
      </c>
      <c r="AB655" s="48">
        <f>IF(OrdersRawTable9[[#This Row],[Net_Sales]]=0,0,OrdersRawTable9[[#This Row],[Profit]]/OrdersRawTable9[[#This Row],[Net_Sales]])</f>
        <v>0.38952493045153003</v>
      </c>
      <c r="AC655" s="45" t="str">
        <f>IF(COUNTIF(ReturnsRawTable[Order_Line_ID],OrdersRawTable9[[#This Row],[Order_Line_ID]])&gt;0,"Yes","No")</f>
        <v>Yes</v>
      </c>
      <c r="AD655" s="45" t="str">
        <f>IFERROR(VLOOKUP(OrdersRawTable9[[#This Row],[Order_Line_ID]],ReturnsRawTable[[#All],[Order_Line_ID]:[Return_Reason_Raw]],3,FALSE),"")</f>
        <v>Wrong item</v>
      </c>
      <c r="AE655" s="49">
        <f>IFERROR(VLOOKUP(OrdersRawTable9[[#This Row],[Order_Line_ID]],ReturnsRawTable[[#All],[Order_Line_ID]:[Return_Date]],2,FALSE),"")</f>
        <v>45791</v>
      </c>
      <c r="AF655" s="45" t="str">
        <f>IFERROR(VLOOKUP(OrdersRawTable9[[#This Row],[Order_Line_ID]],ReturnsRawTable[[Order_Line_ID]:[Refund_Status]],4,FALSE),"")</f>
        <v>Refunded</v>
      </c>
      <c r="AG655" s="45" t="str">
        <f>VLOOKUP(OrdersRawTable9[[#This Row],[Order_ID]],ShipmentsTable[],6,FALSE)</f>
        <v>Late</v>
      </c>
      <c r="AH655" s="49">
        <f>VLOOKUP(OrdersRawTable9[[#This Row],[Order_ID]],ShipmentsTable[],3,FALSE)</f>
        <v>45784</v>
      </c>
    </row>
    <row r="656" spans="1:34" ht="15" customHeight="1">
      <c r="A656" s="14" t="s">
        <v>1294</v>
      </c>
      <c r="B656" s="10" t="s">
        <v>1295</v>
      </c>
      <c r="C656" s="20">
        <v>46018</v>
      </c>
      <c r="D656" s="10" t="s">
        <v>667</v>
      </c>
      <c r="E656" s="10" t="s">
        <v>668</v>
      </c>
      <c r="F656" s="10" t="str">
        <f>TRIM(LEFT(OrdersRawTable9[[#This Row],[Customer_Info]],FIND(",",OrdersRawTable9[[#This Row],[Customer_Info]])-1))</f>
        <v>Maya Tremblay</v>
      </c>
      <c r="G65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656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656" s="10">
        <f>LEN(OrdersRawTable9[[#This Row],[Customer_Info]])-LEN(SUBSTITUTE(OrdersRawTable9[[#This Row],[Customer_Info]],",",""))</f>
        <v>2</v>
      </c>
      <c r="J656" s="10" t="s">
        <v>276</v>
      </c>
      <c r="K656" s="23">
        <v>1</v>
      </c>
      <c r="L656" s="26">
        <v>182.94</v>
      </c>
      <c r="M656" s="29">
        <v>0.05</v>
      </c>
      <c r="N656" s="10" t="s">
        <v>50</v>
      </c>
      <c r="O656" s="10" t="str">
        <f>IF(TRIM(OrdersRawTable9[[#This Row],[Sales_Channel_Raw]])="Market place","Marketplace",TRIM(OrdersRawTable9[[#This Row],[Sales_Channel_Raw]]))</f>
        <v>Marketplace</v>
      </c>
      <c r="P656" s="10" t="s">
        <v>46</v>
      </c>
      <c r="Q656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656" s="15" t="s">
        <v>101</v>
      </c>
      <c r="S656" t="str">
        <f>VLOOKUP(OrdersRawTable9[[#This Row],[Customer_ID_Raw]],CustomersTable11[],4,FALSE)</f>
        <v>Alberta</v>
      </c>
      <c r="T656" t="str">
        <f>VLOOKUP(OrdersRawTable9[[#This Row],[Customer_ID_Raw]],CustomersTable11[],5,FALSE)</f>
        <v>Small Business</v>
      </c>
      <c r="U656" s="45">
        <f>VLOOKUP(OrdersRawTable9[[#This Row],[Product_ID]],ProductsTable10[],4,FALSE)</f>
        <v>118.95</v>
      </c>
      <c r="V656" t="str">
        <f>VLOOKUP(OrdersRawTable9[[#This Row],[Product_ID]],ProductsTable10[],3,FALSE)</f>
        <v>Fitness</v>
      </c>
      <c r="W656" s="45">
        <f>OrdersRawTable9[[#This Row],[Unit_Price]]*OrdersRawTable9[[#This Row],[Quantity]]</f>
        <v>182.94</v>
      </c>
      <c r="X656" s="47">
        <f>OrdersRawTable9[[#This Row],[Gross_Sales]]*OrdersRawTable9[[#This Row],[Discount_Pct]]</f>
        <v>9.1470000000000002</v>
      </c>
      <c r="Y656" s="45">
        <f>OrdersRawTable9[[#This Row],[Gross_Sales]]-OrdersRawTable9[[#This Row],[Discount_Amount]]</f>
        <v>173.79300000000001</v>
      </c>
      <c r="Z656" s="45">
        <f>OrdersRawTable9[[#This Row],[Unit_Cost]]*OrdersRawTable9[[#This Row],[Quantity]]</f>
        <v>118.95</v>
      </c>
      <c r="AA656" s="45">
        <f>OrdersRawTable9[[#This Row],[Net_Sales]]-OrdersRawTable9[[#This Row],[Total_Cost]]</f>
        <v>54.843000000000004</v>
      </c>
      <c r="AB656" s="48">
        <f>IF(OrdersRawTable9[[#This Row],[Net_Sales]]=0,0,OrdersRawTable9[[#This Row],[Profit]]/OrdersRawTable9[[#This Row],[Net_Sales]])</f>
        <v>0.31556506878873142</v>
      </c>
      <c r="AC656" s="45" t="str">
        <f>IF(COUNTIF(ReturnsRawTable[Order_Line_ID],OrdersRawTable9[[#This Row],[Order_Line_ID]])&gt;0,"Yes","No")</f>
        <v>No</v>
      </c>
      <c r="AD656" s="45" t="str">
        <f>IFERROR(VLOOKUP(OrdersRawTable9[[#This Row],[Order_Line_ID]],ReturnsRawTable[[#All],[Order_Line_ID]:[Return_Reason_Raw]],3,FALSE),"")</f>
        <v/>
      </c>
      <c r="AE656" s="49" t="str">
        <f>IFERROR(VLOOKUP(OrdersRawTable9[[#This Row],[Order_Line_ID]],ReturnsRawTable[[#All],[Order_Line_ID]:[Return_Date]],2,FALSE),"")</f>
        <v/>
      </c>
      <c r="AF656" s="45" t="str">
        <f>IFERROR(VLOOKUP(OrdersRawTable9[[#This Row],[Order_Line_ID]],ReturnsRawTable[[Order_Line_ID]:[Refund_Status]],4,FALSE),"")</f>
        <v/>
      </c>
      <c r="AG656" s="45" t="str">
        <f>VLOOKUP(OrdersRawTable9[[#This Row],[Order_ID]],ShipmentsTable[],6,FALSE)</f>
        <v>On time</v>
      </c>
      <c r="AH656" s="49">
        <f>VLOOKUP(OrdersRawTable9[[#This Row],[Order_ID]],ShipmentsTable[],3,FALSE)</f>
        <v>46022</v>
      </c>
    </row>
    <row r="657" spans="1:34" ht="15" customHeight="1">
      <c r="A657" s="14" t="s">
        <v>1296</v>
      </c>
      <c r="B657" s="10" t="s">
        <v>1295</v>
      </c>
      <c r="C657" s="20">
        <v>46018</v>
      </c>
      <c r="D657" s="10" t="s">
        <v>667</v>
      </c>
      <c r="E657" s="10" t="s">
        <v>668</v>
      </c>
      <c r="F657" s="10" t="str">
        <f>TRIM(LEFT(OrdersRawTable9[[#This Row],[Customer_Info]],FIND(",",OrdersRawTable9[[#This Row],[Customer_Info]])-1))</f>
        <v>Maya Tremblay</v>
      </c>
      <c r="G65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657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657" s="10">
        <f>LEN(OrdersRawTable9[[#This Row],[Customer_Info]])-LEN(SUBSTITUTE(OrdersRawTable9[[#This Row],[Customer_Info]],",",""))</f>
        <v>2</v>
      </c>
      <c r="J657" s="10" t="s">
        <v>332</v>
      </c>
      <c r="K657" s="23">
        <v>1</v>
      </c>
      <c r="L657" s="26">
        <v>273.89</v>
      </c>
      <c r="M657" s="29">
        <v>0.1</v>
      </c>
      <c r="N657" s="10" t="s">
        <v>66</v>
      </c>
      <c r="O657" s="10" t="str">
        <f>IF(TRIM(OrdersRawTable9[[#This Row],[Sales_Channel_Raw]])="Market place","Marketplace",TRIM(OrdersRawTable9[[#This Row],[Sales_Channel_Raw]]))</f>
        <v>Marketplace</v>
      </c>
      <c r="P657" s="10" t="s">
        <v>51</v>
      </c>
      <c r="Q657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657" s="15" t="s">
        <v>52</v>
      </c>
      <c r="S657" t="str">
        <f>VLOOKUP(OrdersRawTable9[[#This Row],[Customer_ID_Raw]],CustomersTable11[],4,FALSE)</f>
        <v>Alberta</v>
      </c>
      <c r="T657" t="str">
        <f>VLOOKUP(OrdersRawTable9[[#This Row],[Customer_ID_Raw]],CustomersTable11[],5,FALSE)</f>
        <v>Small Business</v>
      </c>
      <c r="U657" s="45">
        <f>VLOOKUP(OrdersRawTable9[[#This Row],[Product_ID]],ProductsTable10[],4,FALSE)</f>
        <v>140.66999999999999</v>
      </c>
      <c r="V657" t="str">
        <f>VLOOKUP(OrdersRawTable9[[#This Row],[Product_ID]],ProductsTable10[],3,FALSE)</f>
        <v>Home</v>
      </c>
      <c r="W657" s="45">
        <f>OrdersRawTable9[[#This Row],[Unit_Price]]*OrdersRawTable9[[#This Row],[Quantity]]</f>
        <v>273.89</v>
      </c>
      <c r="X657" s="47">
        <f>OrdersRawTable9[[#This Row],[Gross_Sales]]*OrdersRawTable9[[#This Row],[Discount_Pct]]</f>
        <v>27.388999999999999</v>
      </c>
      <c r="Y657" s="45">
        <f>OrdersRawTable9[[#This Row],[Gross_Sales]]-OrdersRawTable9[[#This Row],[Discount_Amount]]</f>
        <v>246.50099999999998</v>
      </c>
      <c r="Z657" s="45">
        <f>OrdersRawTable9[[#This Row],[Unit_Cost]]*OrdersRawTable9[[#This Row],[Quantity]]</f>
        <v>140.66999999999999</v>
      </c>
      <c r="AA657" s="45">
        <f>OrdersRawTable9[[#This Row],[Net_Sales]]-OrdersRawTable9[[#This Row],[Total_Cost]]</f>
        <v>105.83099999999999</v>
      </c>
      <c r="AB657" s="48">
        <f>IF(OrdersRawTable9[[#This Row],[Net_Sales]]=0,0,OrdersRawTable9[[#This Row],[Profit]]/OrdersRawTable9[[#This Row],[Net_Sales]])</f>
        <v>0.42933294388258059</v>
      </c>
      <c r="AC657" s="45" t="str">
        <f>IF(COUNTIF(ReturnsRawTable[Order_Line_ID],OrdersRawTable9[[#This Row],[Order_Line_ID]])&gt;0,"Yes","No")</f>
        <v>No</v>
      </c>
      <c r="AD657" s="45" t="str">
        <f>IFERROR(VLOOKUP(OrdersRawTable9[[#This Row],[Order_Line_ID]],ReturnsRawTable[[#All],[Order_Line_ID]:[Return_Reason_Raw]],3,FALSE),"")</f>
        <v/>
      </c>
      <c r="AE657" s="49" t="str">
        <f>IFERROR(VLOOKUP(OrdersRawTable9[[#This Row],[Order_Line_ID]],ReturnsRawTable[[#All],[Order_Line_ID]:[Return_Date]],2,FALSE),"")</f>
        <v/>
      </c>
      <c r="AF657" s="45" t="str">
        <f>IFERROR(VLOOKUP(OrdersRawTable9[[#This Row],[Order_Line_ID]],ReturnsRawTable[[Order_Line_ID]:[Refund_Status]],4,FALSE),"")</f>
        <v/>
      </c>
      <c r="AG657" s="45" t="str">
        <f>VLOOKUP(OrdersRawTable9[[#This Row],[Order_ID]],ShipmentsTable[],6,FALSE)</f>
        <v>On time</v>
      </c>
      <c r="AH657" s="49">
        <f>VLOOKUP(OrdersRawTable9[[#This Row],[Order_ID]],ShipmentsTable[],3,FALSE)</f>
        <v>46022</v>
      </c>
    </row>
    <row r="658" spans="1:34" ht="15" customHeight="1">
      <c r="A658" s="14" t="s">
        <v>1297</v>
      </c>
      <c r="B658" s="10" t="s">
        <v>1298</v>
      </c>
      <c r="C658" s="20">
        <v>45810</v>
      </c>
      <c r="D658" s="10" t="s">
        <v>805</v>
      </c>
      <c r="E658" s="10" t="s">
        <v>806</v>
      </c>
      <c r="F658" s="10" t="str">
        <f>TRIM(LEFT(OrdersRawTable9[[#This Row],[Customer_Info]],FIND(",",OrdersRawTable9[[#This Row],[Customer_Info]])-1))</f>
        <v>Ethan Singh</v>
      </c>
      <c r="G65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658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658" s="10">
        <f>LEN(OrdersRawTable9[[#This Row],[Customer_Info]])-LEN(SUBSTITUTE(OrdersRawTable9[[#This Row],[Customer_Info]],",",""))</f>
        <v>2</v>
      </c>
      <c r="J658" s="10" t="s">
        <v>44</v>
      </c>
      <c r="K658" s="23">
        <v>3</v>
      </c>
      <c r="L658" s="26">
        <v>238.47</v>
      </c>
      <c r="M658" s="29">
        <v>0.15</v>
      </c>
      <c r="N658" s="10" t="s">
        <v>45</v>
      </c>
      <c r="O658" s="10" t="str">
        <f>IF(TRIM(OrdersRawTable9[[#This Row],[Sales_Channel_Raw]])="Market place","Marketplace",TRIM(OrdersRawTable9[[#This Row],[Sales_Channel_Raw]]))</f>
        <v>Retail Store</v>
      </c>
      <c r="P658" s="10" t="s">
        <v>46</v>
      </c>
      <c r="Q658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658" s="15" t="s">
        <v>42</v>
      </c>
      <c r="S658" t="str">
        <f>VLOOKUP(OrdersRawTable9[[#This Row],[Customer_ID_Raw]],CustomersTable11[],4,FALSE)</f>
        <v>Ontario</v>
      </c>
      <c r="T658" t="str">
        <f>VLOOKUP(OrdersRawTable9[[#This Row],[Customer_ID_Raw]],CustomersTable11[],5,FALSE)</f>
        <v>Consumer</v>
      </c>
      <c r="U658" s="45">
        <f>VLOOKUP(OrdersRawTable9[[#This Row],[Product_ID]],ProductsTable10[],4,FALSE)</f>
        <v>127.65</v>
      </c>
      <c r="V658" t="str">
        <f>VLOOKUP(OrdersRawTable9[[#This Row],[Product_ID]],ProductsTable10[],3,FALSE)</f>
        <v>Accessories</v>
      </c>
      <c r="W658" s="45">
        <f>OrdersRawTable9[[#This Row],[Unit_Price]]*OrdersRawTable9[[#This Row],[Quantity]]</f>
        <v>715.41</v>
      </c>
      <c r="X658" s="47">
        <f>OrdersRawTable9[[#This Row],[Gross_Sales]]*OrdersRawTable9[[#This Row],[Discount_Pct]]</f>
        <v>107.3115</v>
      </c>
      <c r="Y658" s="45">
        <f>OrdersRawTable9[[#This Row],[Gross_Sales]]-OrdersRawTable9[[#This Row],[Discount_Amount]]</f>
        <v>608.09849999999994</v>
      </c>
      <c r="Z658" s="45">
        <f>OrdersRawTable9[[#This Row],[Unit_Cost]]*OrdersRawTable9[[#This Row],[Quantity]]</f>
        <v>382.95000000000005</v>
      </c>
      <c r="AA658" s="45">
        <f>OrdersRawTable9[[#This Row],[Net_Sales]]-OrdersRawTable9[[#This Row],[Total_Cost]]</f>
        <v>225.1484999999999</v>
      </c>
      <c r="AB658" s="48">
        <f>IF(OrdersRawTable9[[#This Row],[Net_Sales]]=0,0,OrdersRawTable9[[#This Row],[Profit]]/OrdersRawTable9[[#This Row],[Net_Sales]])</f>
        <v>0.37025004995078908</v>
      </c>
      <c r="AC658" s="45" t="str">
        <f>IF(COUNTIF(ReturnsRawTable[Order_Line_ID],OrdersRawTable9[[#This Row],[Order_Line_ID]])&gt;0,"Yes","No")</f>
        <v>Yes</v>
      </c>
      <c r="AD658" s="45" t="str">
        <f>IFERROR(VLOOKUP(OrdersRawTable9[[#This Row],[Order_Line_ID]],ReturnsRawTable[[#All],[Order_Line_ID]:[Return_Reason_Raw]],3,FALSE),"")</f>
        <v>Changed Mind</v>
      </c>
      <c r="AE658" s="49">
        <f>IFERROR(VLOOKUP(OrdersRawTable9[[#This Row],[Order_Line_ID]],ReturnsRawTable[[#All],[Order_Line_ID]:[Return_Date]],2,FALSE),"")</f>
        <v>45822</v>
      </c>
      <c r="AF658" s="45" t="str">
        <f>IFERROR(VLOOKUP(OrdersRawTable9[[#This Row],[Order_Line_ID]],ReturnsRawTable[[Order_Line_ID]:[Refund_Status]],4,FALSE),"")</f>
        <v>Refunded</v>
      </c>
      <c r="AG658" s="45" t="str">
        <f>VLOOKUP(OrdersRawTable9[[#This Row],[Order_ID]],ShipmentsTable[],6,FALSE)</f>
        <v>Late</v>
      </c>
      <c r="AH658" s="49">
        <f>VLOOKUP(OrdersRawTable9[[#This Row],[Order_ID]],ShipmentsTable[],3,FALSE)</f>
        <v>45819</v>
      </c>
    </row>
    <row r="659" spans="1:34" ht="15" customHeight="1">
      <c r="A659" s="14" t="s">
        <v>1299</v>
      </c>
      <c r="B659" s="10" t="s">
        <v>1298</v>
      </c>
      <c r="C659" s="20">
        <v>45810</v>
      </c>
      <c r="D659" s="10" t="s">
        <v>805</v>
      </c>
      <c r="E659" s="10" t="s">
        <v>806</v>
      </c>
      <c r="F659" s="10" t="str">
        <f>TRIM(LEFT(OrdersRawTable9[[#This Row],[Customer_Info]],FIND(",",OrdersRawTable9[[#This Row],[Customer_Info]])-1))</f>
        <v>Ethan Singh</v>
      </c>
      <c r="G65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659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659" s="10">
        <f>LEN(OrdersRawTable9[[#This Row],[Customer_Info]])-LEN(SUBSTITUTE(OrdersRawTable9[[#This Row],[Customer_Info]],",",""))</f>
        <v>2</v>
      </c>
      <c r="J659" s="10" t="s">
        <v>117</v>
      </c>
      <c r="K659" s="23">
        <v>4</v>
      </c>
      <c r="L659" s="26">
        <v>251.17</v>
      </c>
      <c r="M659" s="29">
        <v>0</v>
      </c>
      <c r="N659" s="10" t="s">
        <v>45</v>
      </c>
      <c r="O659" s="10" t="str">
        <f>IF(TRIM(OrdersRawTable9[[#This Row],[Sales_Channel_Raw]])="Market place","Marketplace",TRIM(OrdersRawTable9[[#This Row],[Sales_Channel_Raw]]))</f>
        <v>Retail Store</v>
      </c>
      <c r="P659" s="10" t="s">
        <v>41</v>
      </c>
      <c r="Q659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659" s="15" t="s">
        <v>42</v>
      </c>
      <c r="S659" t="str">
        <f>VLOOKUP(OrdersRawTable9[[#This Row],[Customer_ID_Raw]],CustomersTable11[],4,FALSE)</f>
        <v>Ontario</v>
      </c>
      <c r="T659" t="str">
        <f>VLOOKUP(OrdersRawTable9[[#This Row],[Customer_ID_Raw]],CustomersTable11[],5,FALSE)</f>
        <v>Consumer</v>
      </c>
      <c r="U659" s="45">
        <f>VLOOKUP(OrdersRawTable9[[#This Row],[Product_ID]],ProductsTable10[],4,FALSE)</f>
        <v>151.59</v>
      </c>
      <c r="V659" t="str">
        <f>VLOOKUP(OrdersRawTable9[[#This Row],[Product_ID]],ProductsTable10[],3,FALSE)</f>
        <v>Fitness</v>
      </c>
      <c r="W659" s="45">
        <f>OrdersRawTable9[[#This Row],[Unit_Price]]*OrdersRawTable9[[#This Row],[Quantity]]</f>
        <v>1004.68</v>
      </c>
      <c r="X659" s="47">
        <f>OrdersRawTable9[[#This Row],[Gross_Sales]]*OrdersRawTable9[[#This Row],[Discount_Pct]]</f>
        <v>0</v>
      </c>
      <c r="Y659" s="45">
        <f>OrdersRawTable9[[#This Row],[Gross_Sales]]-OrdersRawTable9[[#This Row],[Discount_Amount]]</f>
        <v>1004.68</v>
      </c>
      <c r="Z659" s="45">
        <f>OrdersRawTable9[[#This Row],[Unit_Cost]]*OrdersRawTable9[[#This Row],[Quantity]]</f>
        <v>606.36</v>
      </c>
      <c r="AA659" s="45">
        <f>OrdersRawTable9[[#This Row],[Net_Sales]]-OrdersRawTable9[[#This Row],[Total_Cost]]</f>
        <v>398.31999999999994</v>
      </c>
      <c r="AB659" s="48">
        <f>IF(OrdersRawTable9[[#This Row],[Net_Sales]]=0,0,OrdersRawTable9[[#This Row],[Profit]]/OrdersRawTable9[[#This Row],[Net_Sales]])</f>
        <v>0.39646454592507063</v>
      </c>
      <c r="AC659" s="45" t="str">
        <f>IF(COUNTIF(ReturnsRawTable[Order_Line_ID],OrdersRawTable9[[#This Row],[Order_Line_ID]])&gt;0,"Yes","No")</f>
        <v>No</v>
      </c>
      <c r="AD659" s="45" t="str">
        <f>IFERROR(VLOOKUP(OrdersRawTable9[[#This Row],[Order_Line_ID]],ReturnsRawTable[[#All],[Order_Line_ID]:[Return_Reason_Raw]],3,FALSE),"")</f>
        <v/>
      </c>
      <c r="AE659" s="49" t="str">
        <f>IFERROR(VLOOKUP(OrdersRawTable9[[#This Row],[Order_Line_ID]],ReturnsRawTable[[#All],[Order_Line_ID]:[Return_Date]],2,FALSE),"")</f>
        <v/>
      </c>
      <c r="AF659" s="45" t="str">
        <f>IFERROR(VLOOKUP(OrdersRawTable9[[#This Row],[Order_Line_ID]],ReturnsRawTable[[Order_Line_ID]:[Refund_Status]],4,FALSE),"")</f>
        <v/>
      </c>
      <c r="AG659" s="45" t="str">
        <f>VLOOKUP(OrdersRawTable9[[#This Row],[Order_ID]],ShipmentsTable[],6,FALSE)</f>
        <v>Late</v>
      </c>
      <c r="AH659" s="49">
        <f>VLOOKUP(OrdersRawTable9[[#This Row],[Order_ID]],ShipmentsTable[],3,FALSE)</f>
        <v>45819</v>
      </c>
    </row>
    <row r="660" spans="1:34" ht="15" customHeight="1">
      <c r="A660" s="14" t="s">
        <v>1300</v>
      </c>
      <c r="B660" s="10" t="s">
        <v>1301</v>
      </c>
      <c r="C660" s="20">
        <v>45853</v>
      </c>
      <c r="D660" s="10" t="s">
        <v>645</v>
      </c>
      <c r="E660" s="10" t="s">
        <v>646</v>
      </c>
      <c r="F660" s="10" t="str">
        <f>TRIM(LEFT(OrdersRawTable9[[#This Row],[Customer_Info]],FIND(",",OrdersRawTable9[[#This Row],[Customer_Info]])-1))</f>
        <v>Sara Gagnon</v>
      </c>
      <c r="G66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660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60" s="10">
        <f>LEN(OrdersRawTable9[[#This Row],[Customer_Info]])-LEN(SUBSTITUTE(OrdersRawTable9[[#This Row],[Customer_Info]],",",""))</f>
        <v>2</v>
      </c>
      <c r="J660" s="10" t="s">
        <v>276</v>
      </c>
      <c r="K660" s="23">
        <v>1</v>
      </c>
      <c r="L660" s="26">
        <v>182.94</v>
      </c>
      <c r="M660" s="29">
        <v>0.15</v>
      </c>
      <c r="N660" s="10" t="s">
        <v>66</v>
      </c>
      <c r="O660" s="10" t="str">
        <f>IF(TRIM(OrdersRawTable9[[#This Row],[Sales_Channel_Raw]])="Market place","Marketplace",TRIM(OrdersRawTable9[[#This Row],[Sales_Channel_Raw]]))</f>
        <v>Marketplace</v>
      </c>
      <c r="P660" s="10" t="s">
        <v>58</v>
      </c>
      <c r="Q660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660" s="15" t="s">
        <v>52</v>
      </c>
      <c r="S660" t="str">
        <f>VLOOKUP(OrdersRawTable9[[#This Row],[Customer_ID_Raw]],CustomersTable11[],4,FALSE)</f>
        <v>Nova Scotia</v>
      </c>
      <c r="T660" t="str">
        <f>VLOOKUP(OrdersRawTable9[[#This Row],[Customer_ID_Raw]],CustomersTable11[],5,FALSE)</f>
        <v>Corporate</v>
      </c>
      <c r="U660" s="45">
        <f>VLOOKUP(OrdersRawTable9[[#This Row],[Product_ID]],ProductsTable10[],4,FALSE)</f>
        <v>118.95</v>
      </c>
      <c r="V660" t="str">
        <f>VLOOKUP(OrdersRawTable9[[#This Row],[Product_ID]],ProductsTable10[],3,FALSE)</f>
        <v>Fitness</v>
      </c>
      <c r="W660" s="45">
        <f>OrdersRawTable9[[#This Row],[Unit_Price]]*OrdersRawTable9[[#This Row],[Quantity]]</f>
        <v>182.94</v>
      </c>
      <c r="X660" s="47">
        <f>OrdersRawTable9[[#This Row],[Gross_Sales]]*OrdersRawTable9[[#This Row],[Discount_Pct]]</f>
        <v>27.440999999999999</v>
      </c>
      <c r="Y660" s="45">
        <f>OrdersRawTable9[[#This Row],[Gross_Sales]]-OrdersRawTable9[[#This Row],[Discount_Amount]]</f>
        <v>155.499</v>
      </c>
      <c r="Z660" s="45">
        <f>OrdersRawTable9[[#This Row],[Unit_Cost]]*OrdersRawTable9[[#This Row],[Quantity]]</f>
        <v>118.95</v>
      </c>
      <c r="AA660" s="45">
        <f>OrdersRawTable9[[#This Row],[Net_Sales]]-OrdersRawTable9[[#This Row],[Total_Cost]]</f>
        <v>36.548999999999992</v>
      </c>
      <c r="AB660" s="48">
        <f>IF(OrdersRawTable9[[#This Row],[Net_Sales]]=0,0,OrdersRawTable9[[#This Row],[Profit]]/OrdersRawTable9[[#This Row],[Net_Sales]])</f>
        <v>0.23504331217564095</v>
      </c>
      <c r="AC660" s="45" t="str">
        <f>IF(COUNTIF(ReturnsRawTable[Order_Line_ID],OrdersRawTable9[[#This Row],[Order_Line_ID]])&gt;0,"Yes","No")</f>
        <v>No</v>
      </c>
      <c r="AD660" s="45" t="str">
        <f>IFERROR(VLOOKUP(OrdersRawTable9[[#This Row],[Order_Line_ID]],ReturnsRawTable[[#All],[Order_Line_ID]:[Return_Reason_Raw]],3,FALSE),"")</f>
        <v/>
      </c>
      <c r="AE660" s="49" t="str">
        <f>IFERROR(VLOOKUP(OrdersRawTable9[[#This Row],[Order_Line_ID]],ReturnsRawTable[[#All],[Order_Line_ID]:[Return_Date]],2,FALSE),"")</f>
        <v/>
      </c>
      <c r="AF660" s="45" t="str">
        <f>IFERROR(VLOOKUP(OrdersRawTable9[[#This Row],[Order_Line_ID]],ReturnsRawTable[[Order_Line_ID]:[Refund_Status]],4,FALSE),"")</f>
        <v/>
      </c>
      <c r="AG660" s="45" t="str">
        <f>VLOOKUP(OrdersRawTable9[[#This Row],[Order_ID]],ShipmentsTable[],6,FALSE)</f>
        <v>On time</v>
      </c>
      <c r="AH660" s="49">
        <f>VLOOKUP(OrdersRawTable9[[#This Row],[Order_ID]],ShipmentsTable[],3,FALSE)</f>
        <v>45855</v>
      </c>
    </row>
    <row r="661" spans="1:34" ht="15" customHeight="1">
      <c r="A661" s="14" t="s">
        <v>1302</v>
      </c>
      <c r="B661" s="10" t="s">
        <v>1301</v>
      </c>
      <c r="C661" s="20">
        <v>45853</v>
      </c>
      <c r="D661" s="10" t="s">
        <v>645</v>
      </c>
      <c r="E661" s="10" t="s">
        <v>646</v>
      </c>
      <c r="F661" s="10" t="str">
        <f>TRIM(LEFT(OrdersRawTable9[[#This Row],[Customer_Info]],FIND(",",OrdersRawTable9[[#This Row],[Customer_Info]])-1))</f>
        <v>Sara Gagnon</v>
      </c>
      <c r="G66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661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61" s="10">
        <f>LEN(OrdersRawTable9[[#This Row],[Customer_Info]])-LEN(SUBSTITUTE(OrdersRawTable9[[#This Row],[Customer_Info]],",",""))</f>
        <v>2</v>
      </c>
      <c r="J661" s="10" t="s">
        <v>147</v>
      </c>
      <c r="K661" s="23">
        <v>3</v>
      </c>
      <c r="L661" s="26">
        <v>102.78</v>
      </c>
      <c r="M661" s="29">
        <v>0.1</v>
      </c>
      <c r="N661" s="10" t="s">
        <v>40</v>
      </c>
      <c r="O661" s="10" t="str">
        <f>IF(TRIM(OrdersRawTable9[[#This Row],[Sales_Channel_Raw]])="Market place","Marketplace",TRIM(OrdersRawTable9[[#This Row],[Sales_Channel_Raw]]))</f>
        <v>Online</v>
      </c>
      <c r="P661" s="10" t="s">
        <v>51</v>
      </c>
      <c r="Q661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661" s="15" t="s">
        <v>67</v>
      </c>
      <c r="S661" t="str">
        <f>VLOOKUP(OrdersRawTable9[[#This Row],[Customer_ID_Raw]],CustomersTable11[],4,FALSE)</f>
        <v>Nova Scotia</v>
      </c>
      <c r="T661" t="str">
        <f>VLOOKUP(OrdersRawTable9[[#This Row],[Customer_ID_Raw]],CustomersTable11[],5,FALSE)</f>
        <v>Corporate</v>
      </c>
      <c r="U661" s="45">
        <f>VLOOKUP(OrdersRawTable9[[#This Row],[Product_ID]],ProductsTable10[],4,FALSE)</f>
        <v>62.65</v>
      </c>
      <c r="V661" t="str">
        <f>VLOOKUP(OrdersRawTable9[[#This Row],[Product_ID]],ProductsTable10[],3,FALSE)</f>
        <v>Accessories</v>
      </c>
      <c r="W661" s="45">
        <f>OrdersRawTable9[[#This Row],[Unit_Price]]*OrdersRawTable9[[#This Row],[Quantity]]</f>
        <v>308.34000000000003</v>
      </c>
      <c r="X661" s="47">
        <f>OrdersRawTable9[[#This Row],[Gross_Sales]]*OrdersRawTable9[[#This Row],[Discount_Pct]]</f>
        <v>30.834000000000003</v>
      </c>
      <c r="Y661" s="45">
        <f>OrdersRawTable9[[#This Row],[Gross_Sales]]-OrdersRawTable9[[#This Row],[Discount_Amount]]</f>
        <v>277.50600000000003</v>
      </c>
      <c r="Z661" s="45">
        <f>OrdersRawTable9[[#This Row],[Unit_Cost]]*OrdersRawTable9[[#This Row],[Quantity]]</f>
        <v>187.95</v>
      </c>
      <c r="AA661" s="45">
        <f>OrdersRawTable9[[#This Row],[Net_Sales]]-OrdersRawTable9[[#This Row],[Total_Cost]]</f>
        <v>89.55600000000004</v>
      </c>
      <c r="AB661" s="48">
        <f>IF(OrdersRawTable9[[#This Row],[Net_Sales]]=0,0,OrdersRawTable9[[#This Row],[Profit]]/OrdersRawTable9[[#This Row],[Net_Sales]])</f>
        <v>0.32271734665196439</v>
      </c>
      <c r="AC661" s="45" t="str">
        <f>IF(COUNTIF(ReturnsRawTable[Order_Line_ID],OrdersRawTable9[[#This Row],[Order_Line_ID]])&gt;0,"Yes","No")</f>
        <v>No</v>
      </c>
      <c r="AD661" s="45" t="str">
        <f>IFERROR(VLOOKUP(OrdersRawTable9[[#This Row],[Order_Line_ID]],ReturnsRawTable[[#All],[Order_Line_ID]:[Return_Reason_Raw]],3,FALSE),"")</f>
        <v/>
      </c>
      <c r="AE661" s="49" t="str">
        <f>IFERROR(VLOOKUP(OrdersRawTable9[[#This Row],[Order_Line_ID]],ReturnsRawTable[[#All],[Order_Line_ID]:[Return_Date]],2,FALSE),"")</f>
        <v/>
      </c>
      <c r="AF661" s="45" t="str">
        <f>IFERROR(VLOOKUP(OrdersRawTable9[[#This Row],[Order_Line_ID]],ReturnsRawTable[[Order_Line_ID]:[Refund_Status]],4,FALSE),"")</f>
        <v/>
      </c>
      <c r="AG661" s="45" t="str">
        <f>VLOOKUP(OrdersRawTable9[[#This Row],[Order_ID]],ShipmentsTable[],6,FALSE)</f>
        <v>On time</v>
      </c>
      <c r="AH661" s="49">
        <f>VLOOKUP(OrdersRawTable9[[#This Row],[Order_ID]],ShipmentsTable[],3,FALSE)</f>
        <v>45855</v>
      </c>
    </row>
    <row r="662" spans="1:34" ht="15" customHeight="1">
      <c r="A662" s="14" t="s">
        <v>1303</v>
      </c>
      <c r="B662" s="10" t="s">
        <v>1301</v>
      </c>
      <c r="C662" s="20">
        <v>45853</v>
      </c>
      <c r="D662" s="10" t="s">
        <v>645</v>
      </c>
      <c r="E662" s="10" t="s">
        <v>646</v>
      </c>
      <c r="F662" s="10" t="str">
        <f>TRIM(LEFT(OrdersRawTable9[[#This Row],[Customer_Info]],FIND(",",OrdersRawTable9[[#This Row],[Customer_Info]])-1))</f>
        <v>Sara Gagnon</v>
      </c>
      <c r="G66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662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62" s="10">
        <f>LEN(OrdersRawTable9[[#This Row],[Customer_Info]])-LEN(SUBSTITUTE(OrdersRawTable9[[#This Row],[Customer_Info]],",",""))</f>
        <v>2</v>
      </c>
      <c r="J662" s="10" t="s">
        <v>309</v>
      </c>
      <c r="K662" s="23">
        <v>3</v>
      </c>
      <c r="L662" s="26">
        <v>56.99</v>
      </c>
      <c r="M662" s="29">
        <v>0</v>
      </c>
      <c r="N662" s="10" t="s">
        <v>45</v>
      </c>
      <c r="O662" s="10" t="str">
        <f>IF(TRIM(OrdersRawTable9[[#This Row],[Sales_Channel_Raw]])="Market place","Marketplace",TRIM(OrdersRawTable9[[#This Row],[Sales_Channel_Raw]]))</f>
        <v>Retail Store</v>
      </c>
      <c r="P662" s="10" t="s">
        <v>41</v>
      </c>
      <c r="Q662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662" s="15" t="s">
        <v>42</v>
      </c>
      <c r="S662" t="str">
        <f>VLOOKUP(OrdersRawTable9[[#This Row],[Customer_ID_Raw]],CustomersTable11[],4,FALSE)</f>
        <v>Nova Scotia</v>
      </c>
      <c r="T662" t="str">
        <f>VLOOKUP(OrdersRawTable9[[#This Row],[Customer_ID_Raw]],CustomersTable11[],5,FALSE)</f>
        <v>Corporate</v>
      </c>
      <c r="U662" s="45">
        <f>VLOOKUP(OrdersRawTable9[[#This Row],[Product_ID]],ProductsTable10[],4,FALSE)</f>
        <v>33.65</v>
      </c>
      <c r="V662" t="str">
        <f>VLOOKUP(OrdersRawTable9[[#This Row],[Product_ID]],ProductsTable10[],3,FALSE)</f>
        <v>Home</v>
      </c>
      <c r="W662" s="45">
        <f>OrdersRawTable9[[#This Row],[Unit_Price]]*OrdersRawTable9[[#This Row],[Quantity]]</f>
        <v>170.97</v>
      </c>
      <c r="X662" s="47">
        <f>OrdersRawTable9[[#This Row],[Gross_Sales]]*OrdersRawTable9[[#This Row],[Discount_Pct]]</f>
        <v>0</v>
      </c>
      <c r="Y662" s="45">
        <f>OrdersRawTable9[[#This Row],[Gross_Sales]]-OrdersRawTable9[[#This Row],[Discount_Amount]]</f>
        <v>170.97</v>
      </c>
      <c r="Z662" s="45">
        <f>OrdersRawTable9[[#This Row],[Unit_Cost]]*OrdersRawTable9[[#This Row],[Quantity]]</f>
        <v>100.94999999999999</v>
      </c>
      <c r="AA662" s="45">
        <f>OrdersRawTable9[[#This Row],[Net_Sales]]-OrdersRawTable9[[#This Row],[Total_Cost]]</f>
        <v>70.02000000000001</v>
      </c>
      <c r="AB662" s="48">
        <f>IF(OrdersRawTable9[[#This Row],[Net_Sales]]=0,0,OrdersRawTable9[[#This Row],[Profit]]/OrdersRawTable9[[#This Row],[Net_Sales]])</f>
        <v>0.40954553430426399</v>
      </c>
      <c r="AC662" s="45" t="str">
        <f>IF(COUNTIF(ReturnsRawTable[Order_Line_ID],OrdersRawTable9[[#This Row],[Order_Line_ID]])&gt;0,"Yes","No")</f>
        <v>No</v>
      </c>
      <c r="AD662" s="45" t="str">
        <f>IFERROR(VLOOKUP(OrdersRawTable9[[#This Row],[Order_Line_ID]],ReturnsRawTable[[#All],[Order_Line_ID]:[Return_Reason_Raw]],3,FALSE),"")</f>
        <v/>
      </c>
      <c r="AE662" s="49" t="str">
        <f>IFERROR(VLOOKUP(OrdersRawTable9[[#This Row],[Order_Line_ID]],ReturnsRawTable[[#All],[Order_Line_ID]:[Return_Date]],2,FALSE),"")</f>
        <v/>
      </c>
      <c r="AF662" s="45" t="str">
        <f>IFERROR(VLOOKUP(OrdersRawTable9[[#This Row],[Order_Line_ID]],ReturnsRawTable[[Order_Line_ID]:[Refund_Status]],4,FALSE),"")</f>
        <v/>
      </c>
      <c r="AG662" s="45" t="str">
        <f>VLOOKUP(OrdersRawTable9[[#This Row],[Order_ID]],ShipmentsTable[],6,FALSE)</f>
        <v>On time</v>
      </c>
      <c r="AH662" s="49">
        <f>VLOOKUP(OrdersRawTable9[[#This Row],[Order_ID]],ShipmentsTable[],3,FALSE)</f>
        <v>45855</v>
      </c>
    </row>
    <row r="663" spans="1:34" ht="15" customHeight="1">
      <c r="A663" s="14" t="s">
        <v>1304</v>
      </c>
      <c r="B663" s="10" t="s">
        <v>1301</v>
      </c>
      <c r="C663" s="20">
        <v>45853</v>
      </c>
      <c r="D663" s="10" t="s">
        <v>645</v>
      </c>
      <c r="E663" s="10" t="s">
        <v>646</v>
      </c>
      <c r="F663" s="10" t="str">
        <f>TRIM(LEFT(OrdersRawTable9[[#This Row],[Customer_Info]],FIND(",",OrdersRawTable9[[#This Row],[Customer_Info]])-1))</f>
        <v>Sara Gagnon</v>
      </c>
      <c r="G66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663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63" s="10">
        <f>LEN(OrdersRawTable9[[#This Row],[Customer_Info]])-LEN(SUBSTITUTE(OrdersRawTable9[[#This Row],[Customer_Info]],",",""))</f>
        <v>2</v>
      </c>
      <c r="J663" s="10" t="s">
        <v>468</v>
      </c>
      <c r="K663" s="23">
        <v>4</v>
      </c>
      <c r="L663" s="26">
        <v>160</v>
      </c>
      <c r="M663" s="29">
        <v>0</v>
      </c>
      <c r="N663" s="10" t="s">
        <v>70</v>
      </c>
      <c r="O663" s="10" t="str">
        <f>IF(TRIM(OrdersRawTable9[[#This Row],[Sales_Channel_Raw]])="Market place","Marketplace",TRIM(OrdersRawTable9[[#This Row],[Sales_Channel_Raw]]))</f>
        <v>online</v>
      </c>
      <c r="P663" s="10" t="s">
        <v>46</v>
      </c>
      <c r="Q663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663" s="15" t="s">
        <v>101</v>
      </c>
      <c r="S663" t="str">
        <f>VLOOKUP(OrdersRawTable9[[#This Row],[Customer_ID_Raw]],CustomersTable11[],4,FALSE)</f>
        <v>Nova Scotia</v>
      </c>
      <c r="T663" t="str">
        <f>VLOOKUP(OrdersRawTable9[[#This Row],[Customer_ID_Raw]],CustomersTable11[],5,FALSE)</f>
        <v>Corporate</v>
      </c>
      <c r="U663" s="45">
        <f>VLOOKUP(OrdersRawTable9[[#This Row],[Product_ID]],ProductsTable10[],4,FALSE)</f>
        <v>101.58</v>
      </c>
      <c r="V663" t="str">
        <f>VLOOKUP(OrdersRawTable9[[#This Row],[Product_ID]],ProductsTable10[],3,FALSE)</f>
        <v>Fitness</v>
      </c>
      <c r="W663" s="45">
        <f>OrdersRawTable9[[#This Row],[Unit_Price]]*OrdersRawTable9[[#This Row],[Quantity]]</f>
        <v>640</v>
      </c>
      <c r="X663" s="47">
        <f>OrdersRawTable9[[#This Row],[Gross_Sales]]*OrdersRawTable9[[#This Row],[Discount_Pct]]</f>
        <v>0</v>
      </c>
      <c r="Y663" s="45">
        <f>OrdersRawTable9[[#This Row],[Gross_Sales]]-OrdersRawTable9[[#This Row],[Discount_Amount]]</f>
        <v>640</v>
      </c>
      <c r="Z663" s="45">
        <f>OrdersRawTable9[[#This Row],[Unit_Cost]]*OrdersRawTable9[[#This Row],[Quantity]]</f>
        <v>406.32</v>
      </c>
      <c r="AA663" s="45">
        <f>OrdersRawTable9[[#This Row],[Net_Sales]]-OrdersRawTable9[[#This Row],[Total_Cost]]</f>
        <v>233.68</v>
      </c>
      <c r="AB663" s="48">
        <f>IF(OrdersRawTable9[[#This Row],[Net_Sales]]=0,0,OrdersRawTable9[[#This Row],[Profit]]/OrdersRawTable9[[#This Row],[Net_Sales]])</f>
        <v>0.36512500000000003</v>
      </c>
      <c r="AC663" s="45" t="str">
        <f>IF(COUNTIF(ReturnsRawTable[Order_Line_ID],OrdersRawTable9[[#This Row],[Order_Line_ID]])&gt;0,"Yes","No")</f>
        <v>No</v>
      </c>
      <c r="AD663" s="45" t="str">
        <f>IFERROR(VLOOKUP(OrdersRawTable9[[#This Row],[Order_Line_ID]],ReturnsRawTable[[#All],[Order_Line_ID]:[Return_Reason_Raw]],3,FALSE),"")</f>
        <v/>
      </c>
      <c r="AE663" s="49" t="str">
        <f>IFERROR(VLOOKUP(OrdersRawTable9[[#This Row],[Order_Line_ID]],ReturnsRawTable[[#All],[Order_Line_ID]:[Return_Date]],2,FALSE),"")</f>
        <v/>
      </c>
      <c r="AF663" s="45" t="str">
        <f>IFERROR(VLOOKUP(OrdersRawTable9[[#This Row],[Order_Line_ID]],ReturnsRawTable[[Order_Line_ID]:[Refund_Status]],4,FALSE),"")</f>
        <v/>
      </c>
      <c r="AG663" s="45" t="str">
        <f>VLOOKUP(OrdersRawTable9[[#This Row],[Order_ID]],ShipmentsTable[],6,FALSE)</f>
        <v>On time</v>
      </c>
      <c r="AH663" s="49">
        <f>VLOOKUP(OrdersRawTable9[[#This Row],[Order_ID]],ShipmentsTable[],3,FALSE)</f>
        <v>45855</v>
      </c>
    </row>
    <row r="664" spans="1:34" ht="15" customHeight="1">
      <c r="A664" s="14" t="s">
        <v>1305</v>
      </c>
      <c r="B664" s="10" t="s">
        <v>1306</v>
      </c>
      <c r="C664" s="20">
        <v>45914</v>
      </c>
      <c r="D664" s="10" t="s">
        <v>572</v>
      </c>
      <c r="E664" s="10" t="s">
        <v>569</v>
      </c>
      <c r="F664" s="10" t="str">
        <f>TRIM(LEFT(OrdersRawTable9[[#This Row],[Customer_Info]],FIND(",",OrdersRawTable9[[#This Row],[Customer_Info]])-1))</f>
        <v>Sofia Dubois</v>
      </c>
      <c r="G66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664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64" s="10">
        <f>LEN(OrdersRawTable9[[#This Row],[Customer_Info]])-LEN(SUBSTITUTE(OrdersRawTable9[[#This Row],[Customer_Info]],",",""))</f>
        <v>2</v>
      </c>
      <c r="J664" s="10" t="s">
        <v>238</v>
      </c>
      <c r="K664" s="23">
        <v>2</v>
      </c>
      <c r="L664" s="26">
        <v>82.77</v>
      </c>
      <c r="M664" s="29">
        <v>0.15</v>
      </c>
      <c r="N664" s="10" t="s">
        <v>40</v>
      </c>
      <c r="O664" s="10" t="str">
        <f>IF(TRIM(OrdersRawTable9[[#This Row],[Sales_Channel_Raw]])="Market place","Marketplace",TRIM(OrdersRawTable9[[#This Row],[Sales_Channel_Raw]]))</f>
        <v>Online</v>
      </c>
      <c r="P664" s="10" t="s">
        <v>46</v>
      </c>
      <c r="Q664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664" s="15" t="s">
        <v>101</v>
      </c>
      <c r="S664" t="str">
        <f>VLOOKUP(OrdersRawTable9[[#This Row],[Customer_ID_Raw]],CustomersTable11[],4,FALSE)</f>
        <v>Quebec</v>
      </c>
      <c r="T664" t="str">
        <f>VLOOKUP(OrdersRawTable9[[#This Row],[Customer_ID_Raw]],CustomersTable11[],5,FALSE)</f>
        <v>Corporate</v>
      </c>
      <c r="U664" s="45">
        <f>VLOOKUP(OrdersRawTable9[[#This Row],[Product_ID]],ProductsTable10[],4,FALSE)</f>
        <v>46.51</v>
      </c>
      <c r="V664" t="str">
        <f>VLOOKUP(OrdersRawTable9[[#This Row],[Product_ID]],ProductsTable10[],3,FALSE)</f>
        <v>Office</v>
      </c>
      <c r="W664" s="45">
        <f>OrdersRawTable9[[#This Row],[Unit_Price]]*OrdersRawTable9[[#This Row],[Quantity]]</f>
        <v>165.54</v>
      </c>
      <c r="X664" s="47">
        <f>OrdersRawTable9[[#This Row],[Gross_Sales]]*OrdersRawTable9[[#This Row],[Discount_Pct]]</f>
        <v>24.831</v>
      </c>
      <c r="Y664" s="45">
        <f>OrdersRawTable9[[#This Row],[Gross_Sales]]-OrdersRawTable9[[#This Row],[Discount_Amount]]</f>
        <v>140.709</v>
      </c>
      <c r="Z664" s="45">
        <f>OrdersRawTable9[[#This Row],[Unit_Cost]]*OrdersRawTable9[[#This Row],[Quantity]]</f>
        <v>93.02</v>
      </c>
      <c r="AA664" s="45">
        <f>OrdersRawTable9[[#This Row],[Net_Sales]]-OrdersRawTable9[[#This Row],[Total_Cost]]</f>
        <v>47.689000000000007</v>
      </c>
      <c r="AB664" s="48">
        <f>IF(OrdersRawTable9[[#This Row],[Net_Sales]]=0,0,OrdersRawTable9[[#This Row],[Profit]]/OrdersRawTable9[[#This Row],[Net_Sales]])</f>
        <v>0.33891932996467894</v>
      </c>
      <c r="AC664" s="45" t="str">
        <f>IF(COUNTIF(ReturnsRawTable[Order_Line_ID],OrdersRawTable9[[#This Row],[Order_Line_ID]])&gt;0,"Yes","No")</f>
        <v>No</v>
      </c>
      <c r="AD664" s="45" t="str">
        <f>IFERROR(VLOOKUP(OrdersRawTable9[[#This Row],[Order_Line_ID]],ReturnsRawTable[[#All],[Order_Line_ID]:[Return_Reason_Raw]],3,FALSE),"")</f>
        <v/>
      </c>
      <c r="AE664" s="49" t="str">
        <f>IFERROR(VLOOKUP(OrdersRawTable9[[#This Row],[Order_Line_ID]],ReturnsRawTable[[#All],[Order_Line_ID]:[Return_Date]],2,FALSE),"")</f>
        <v/>
      </c>
      <c r="AF664" s="45" t="str">
        <f>IFERROR(VLOOKUP(OrdersRawTable9[[#This Row],[Order_Line_ID]],ReturnsRawTable[[Order_Line_ID]:[Refund_Status]],4,FALSE),"")</f>
        <v/>
      </c>
      <c r="AG664" s="45" t="str">
        <f>VLOOKUP(OrdersRawTable9[[#This Row],[Order_ID]],ShipmentsTable[],6,FALSE)</f>
        <v>Late</v>
      </c>
      <c r="AH664" s="49">
        <f>VLOOKUP(OrdersRawTable9[[#This Row],[Order_ID]],ShipmentsTable[],3,FALSE)</f>
        <v>45919</v>
      </c>
    </row>
    <row r="665" spans="1:34" ht="15" customHeight="1">
      <c r="A665" s="14" t="s">
        <v>1307</v>
      </c>
      <c r="B665" s="10" t="s">
        <v>1306</v>
      </c>
      <c r="C665" s="20">
        <v>45914</v>
      </c>
      <c r="D665" s="10" t="s">
        <v>572</v>
      </c>
      <c r="E665" s="10" t="s">
        <v>569</v>
      </c>
      <c r="F665" s="10" t="str">
        <f>TRIM(LEFT(OrdersRawTable9[[#This Row],[Customer_Info]],FIND(",",OrdersRawTable9[[#This Row],[Customer_Info]])-1))</f>
        <v>Sofia Dubois</v>
      </c>
      <c r="G66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665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65" s="10">
        <f>LEN(OrdersRawTable9[[#This Row],[Customer_Info]])-LEN(SUBSTITUTE(OrdersRawTable9[[#This Row],[Customer_Info]],",",""))</f>
        <v>2</v>
      </c>
      <c r="J665" s="10" t="s">
        <v>108</v>
      </c>
      <c r="K665" s="23">
        <v>3</v>
      </c>
      <c r="L665" s="26">
        <v>33.369999999999997</v>
      </c>
      <c r="M665" s="29">
        <v>0</v>
      </c>
      <c r="N665" s="10" t="s">
        <v>40</v>
      </c>
      <c r="O665" s="10" t="str">
        <f>IF(TRIM(OrdersRawTable9[[#This Row],[Sales_Channel_Raw]])="Market place","Marketplace",TRIM(OrdersRawTable9[[#This Row],[Sales_Channel_Raw]]))</f>
        <v>Online</v>
      </c>
      <c r="P665" s="10"/>
      <c r="Q665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665" s="15" t="s">
        <v>47</v>
      </c>
      <c r="S665" t="str">
        <f>VLOOKUP(OrdersRawTable9[[#This Row],[Customer_ID_Raw]],CustomersTable11[],4,FALSE)</f>
        <v>Quebec</v>
      </c>
      <c r="T665" t="str">
        <f>VLOOKUP(OrdersRawTable9[[#This Row],[Customer_ID_Raw]],CustomersTable11[],5,FALSE)</f>
        <v>Corporate</v>
      </c>
      <c r="U665" s="45">
        <f>VLOOKUP(OrdersRawTable9[[#This Row],[Product_ID]],ProductsTable10[],4,FALSE)</f>
        <v>18.670000000000002</v>
      </c>
      <c r="V665" t="str">
        <f>VLOOKUP(OrdersRawTable9[[#This Row],[Product_ID]],ProductsTable10[],3,FALSE)</f>
        <v>Fitness</v>
      </c>
      <c r="W665" s="45">
        <f>OrdersRawTable9[[#This Row],[Unit_Price]]*OrdersRawTable9[[#This Row],[Quantity]]</f>
        <v>100.10999999999999</v>
      </c>
      <c r="X665" s="47">
        <f>OrdersRawTable9[[#This Row],[Gross_Sales]]*OrdersRawTable9[[#This Row],[Discount_Pct]]</f>
        <v>0</v>
      </c>
      <c r="Y665" s="45">
        <f>OrdersRawTable9[[#This Row],[Gross_Sales]]-OrdersRawTable9[[#This Row],[Discount_Amount]]</f>
        <v>100.10999999999999</v>
      </c>
      <c r="Z665" s="45">
        <f>OrdersRawTable9[[#This Row],[Unit_Cost]]*OrdersRawTable9[[#This Row],[Quantity]]</f>
        <v>56.010000000000005</v>
      </c>
      <c r="AA665" s="45">
        <f>OrdersRawTable9[[#This Row],[Net_Sales]]-OrdersRawTable9[[#This Row],[Total_Cost]]</f>
        <v>44.09999999999998</v>
      </c>
      <c r="AB665" s="48">
        <f>IF(OrdersRawTable9[[#This Row],[Net_Sales]]=0,0,OrdersRawTable9[[#This Row],[Profit]]/OrdersRawTable9[[#This Row],[Net_Sales]])</f>
        <v>0.44051543302367385</v>
      </c>
      <c r="AC665" s="45" t="str">
        <f>IF(COUNTIF(ReturnsRawTable[Order_Line_ID],OrdersRawTable9[[#This Row],[Order_Line_ID]])&gt;0,"Yes","No")</f>
        <v>No</v>
      </c>
      <c r="AD665" s="45" t="str">
        <f>IFERROR(VLOOKUP(OrdersRawTable9[[#This Row],[Order_Line_ID]],ReturnsRawTable[[#All],[Order_Line_ID]:[Return_Reason_Raw]],3,FALSE),"")</f>
        <v/>
      </c>
      <c r="AE665" s="49" t="str">
        <f>IFERROR(VLOOKUP(OrdersRawTable9[[#This Row],[Order_Line_ID]],ReturnsRawTable[[#All],[Order_Line_ID]:[Return_Date]],2,FALSE),"")</f>
        <v/>
      </c>
      <c r="AF665" s="45" t="str">
        <f>IFERROR(VLOOKUP(OrdersRawTable9[[#This Row],[Order_Line_ID]],ReturnsRawTable[[Order_Line_ID]:[Refund_Status]],4,FALSE),"")</f>
        <v/>
      </c>
      <c r="AG665" s="45" t="str">
        <f>VLOOKUP(OrdersRawTable9[[#This Row],[Order_ID]],ShipmentsTable[],6,FALSE)</f>
        <v>Late</v>
      </c>
      <c r="AH665" s="49">
        <f>VLOOKUP(OrdersRawTable9[[#This Row],[Order_ID]],ShipmentsTable[],3,FALSE)</f>
        <v>45919</v>
      </c>
    </row>
    <row r="666" spans="1:34" ht="15" customHeight="1">
      <c r="A666" s="14" t="s">
        <v>1308</v>
      </c>
      <c r="B666" s="10" t="s">
        <v>1306</v>
      </c>
      <c r="C666" s="20">
        <v>45914</v>
      </c>
      <c r="D666" s="10" t="s">
        <v>572</v>
      </c>
      <c r="E666" s="10" t="s">
        <v>569</v>
      </c>
      <c r="F666" s="10" t="str">
        <f>TRIM(LEFT(OrdersRawTable9[[#This Row],[Customer_Info]],FIND(",",OrdersRawTable9[[#This Row],[Customer_Info]])-1))</f>
        <v>Sofia Dubois</v>
      </c>
      <c r="G66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666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66" s="10">
        <f>LEN(OrdersRawTable9[[#This Row],[Customer_Info]])-LEN(SUBSTITUTE(OrdersRawTable9[[#This Row],[Customer_Info]],",",""))</f>
        <v>2</v>
      </c>
      <c r="J666" s="10" t="s">
        <v>251</v>
      </c>
      <c r="K666" s="23">
        <v>2</v>
      </c>
      <c r="L666" s="26">
        <v>228.91</v>
      </c>
      <c r="M666" s="29">
        <v>0.1</v>
      </c>
      <c r="N666" s="10" t="s">
        <v>40</v>
      </c>
      <c r="O666" s="10" t="str">
        <f>IF(TRIM(OrdersRawTable9[[#This Row],[Sales_Channel_Raw]])="Market place","Marketplace",TRIM(OrdersRawTable9[[#This Row],[Sales_Channel_Raw]]))</f>
        <v>Online</v>
      </c>
      <c r="P666" s="10" t="s">
        <v>58</v>
      </c>
      <c r="Q666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666" s="15" t="s">
        <v>47</v>
      </c>
      <c r="S666" t="str">
        <f>VLOOKUP(OrdersRawTable9[[#This Row],[Customer_ID_Raw]],CustomersTable11[],4,FALSE)</f>
        <v>Quebec</v>
      </c>
      <c r="T666" t="str">
        <f>VLOOKUP(OrdersRawTable9[[#This Row],[Customer_ID_Raw]],CustomersTable11[],5,FALSE)</f>
        <v>Corporate</v>
      </c>
      <c r="U666" s="45">
        <f>VLOOKUP(OrdersRawTable9[[#This Row],[Product_ID]],ProductsTable10[],4,FALSE)</f>
        <v>149.4</v>
      </c>
      <c r="V666" t="str">
        <f>VLOOKUP(OrdersRawTable9[[#This Row],[Product_ID]],ProductsTable10[],3,FALSE)</f>
        <v>Office</v>
      </c>
      <c r="W666" s="45">
        <f>OrdersRawTable9[[#This Row],[Unit_Price]]*OrdersRawTable9[[#This Row],[Quantity]]</f>
        <v>457.82</v>
      </c>
      <c r="X666" s="47">
        <f>OrdersRawTable9[[#This Row],[Gross_Sales]]*OrdersRawTable9[[#This Row],[Discount_Pct]]</f>
        <v>45.782000000000004</v>
      </c>
      <c r="Y666" s="45">
        <f>OrdersRawTable9[[#This Row],[Gross_Sales]]-OrdersRawTable9[[#This Row],[Discount_Amount]]</f>
        <v>412.03800000000001</v>
      </c>
      <c r="Z666" s="45">
        <f>OrdersRawTable9[[#This Row],[Unit_Cost]]*OrdersRawTable9[[#This Row],[Quantity]]</f>
        <v>298.8</v>
      </c>
      <c r="AA666" s="45">
        <f>OrdersRawTable9[[#This Row],[Net_Sales]]-OrdersRawTable9[[#This Row],[Total_Cost]]</f>
        <v>113.238</v>
      </c>
      <c r="AB666" s="48">
        <f>IF(OrdersRawTable9[[#This Row],[Net_Sales]]=0,0,OrdersRawTable9[[#This Row],[Profit]]/OrdersRawTable9[[#This Row],[Net_Sales]])</f>
        <v>0.27482416670307108</v>
      </c>
      <c r="AC666" s="45" t="str">
        <f>IF(COUNTIF(ReturnsRawTable[Order_Line_ID],OrdersRawTable9[[#This Row],[Order_Line_ID]])&gt;0,"Yes","No")</f>
        <v>Yes</v>
      </c>
      <c r="AD666" s="45" t="str">
        <f>IFERROR(VLOOKUP(OrdersRawTable9[[#This Row],[Order_Line_ID]],ReturnsRawTable[[#All],[Order_Line_ID]:[Return_Reason_Raw]],3,FALSE),"")</f>
        <v>Wrong Item</v>
      </c>
      <c r="AE666" s="49">
        <f>IFERROR(VLOOKUP(OrdersRawTable9[[#This Row],[Order_Line_ID]],ReturnsRawTable[[#All],[Order_Line_ID]:[Return_Date]],2,FALSE),"")</f>
        <v>45926</v>
      </c>
      <c r="AF666" s="45" t="str">
        <f>IFERROR(VLOOKUP(OrdersRawTable9[[#This Row],[Order_Line_ID]],ReturnsRawTable[[Order_Line_ID]:[Refund_Status]],4,FALSE),"")</f>
        <v>Refunded</v>
      </c>
      <c r="AG666" s="45" t="str">
        <f>VLOOKUP(OrdersRawTable9[[#This Row],[Order_ID]],ShipmentsTable[],6,FALSE)</f>
        <v>Late</v>
      </c>
      <c r="AH666" s="49">
        <f>VLOOKUP(OrdersRawTable9[[#This Row],[Order_ID]],ShipmentsTable[],3,FALSE)</f>
        <v>45919</v>
      </c>
    </row>
    <row r="667" spans="1:34" ht="15" customHeight="1">
      <c r="A667" s="14" t="s">
        <v>1309</v>
      </c>
      <c r="B667" s="10" t="s">
        <v>1310</v>
      </c>
      <c r="C667" s="20">
        <v>45714.041666666664</v>
      </c>
      <c r="D667" s="10" t="s">
        <v>1093</v>
      </c>
      <c r="E667" s="10" t="s">
        <v>1094</v>
      </c>
      <c r="F667" s="10" t="str">
        <f>TRIM(LEFT(OrdersRawTable9[[#This Row],[Customer_Info]],FIND(",",OrdersRawTable9[[#This Row],[Customer_Info]])-1))</f>
        <v>Liam Singh</v>
      </c>
      <c r="G66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667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67" s="10">
        <f>LEN(OrdersRawTable9[[#This Row],[Customer_Info]])-LEN(SUBSTITUTE(OrdersRawTable9[[#This Row],[Customer_Info]],",",""))</f>
        <v>2</v>
      </c>
      <c r="J667" s="10" t="s">
        <v>130</v>
      </c>
      <c r="K667" s="23">
        <v>1</v>
      </c>
      <c r="L667" s="26">
        <v>265.73</v>
      </c>
      <c r="M667" s="29">
        <v>0.1</v>
      </c>
      <c r="N667" s="10" t="s">
        <v>70</v>
      </c>
      <c r="O667" s="10" t="str">
        <f>IF(TRIM(OrdersRawTable9[[#This Row],[Sales_Channel_Raw]])="Market place","Marketplace",TRIM(OrdersRawTable9[[#This Row],[Sales_Channel_Raw]]))</f>
        <v>online</v>
      </c>
      <c r="P667" s="10" t="s">
        <v>58</v>
      </c>
      <c r="Q667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667" s="15" t="s">
        <v>42</v>
      </c>
      <c r="S667" t="str">
        <f>VLOOKUP(OrdersRawTable9[[#This Row],[Customer_ID_Raw]],CustomersTable11[],4,FALSE)</f>
        <v>Ontario</v>
      </c>
      <c r="T667" t="str">
        <f>VLOOKUP(OrdersRawTable9[[#This Row],[Customer_ID_Raw]],CustomersTable11[],5,FALSE)</f>
        <v>Corporate</v>
      </c>
      <c r="U667" s="45">
        <f>VLOOKUP(OrdersRawTable9[[#This Row],[Product_ID]],ProductsTable10[],4,FALSE)</f>
        <v>154.16999999999999</v>
      </c>
      <c r="V667" t="str">
        <f>VLOOKUP(OrdersRawTable9[[#This Row],[Product_ID]],ProductsTable10[],3,FALSE)</f>
        <v>Electronics</v>
      </c>
      <c r="W667" s="45">
        <f>OrdersRawTable9[[#This Row],[Unit_Price]]*OrdersRawTable9[[#This Row],[Quantity]]</f>
        <v>265.73</v>
      </c>
      <c r="X667" s="47">
        <f>OrdersRawTable9[[#This Row],[Gross_Sales]]*OrdersRawTable9[[#This Row],[Discount_Pct]]</f>
        <v>26.573000000000004</v>
      </c>
      <c r="Y667" s="45">
        <f>OrdersRawTable9[[#This Row],[Gross_Sales]]-OrdersRawTable9[[#This Row],[Discount_Amount]]</f>
        <v>239.15700000000001</v>
      </c>
      <c r="Z667" s="45">
        <f>OrdersRawTable9[[#This Row],[Unit_Cost]]*OrdersRawTable9[[#This Row],[Quantity]]</f>
        <v>154.16999999999999</v>
      </c>
      <c r="AA667" s="45">
        <f>OrdersRawTable9[[#This Row],[Net_Sales]]-OrdersRawTable9[[#This Row],[Total_Cost]]</f>
        <v>84.987000000000023</v>
      </c>
      <c r="AB667" s="48">
        <f>IF(OrdersRawTable9[[#This Row],[Net_Sales]]=0,0,OrdersRawTable9[[#This Row],[Profit]]/OrdersRawTable9[[#This Row],[Net_Sales]])</f>
        <v>0.35536070447446666</v>
      </c>
      <c r="AC667" s="45" t="str">
        <f>IF(COUNTIF(ReturnsRawTable[Order_Line_ID],OrdersRawTable9[[#This Row],[Order_Line_ID]])&gt;0,"Yes","No")</f>
        <v>No</v>
      </c>
      <c r="AD667" s="45" t="str">
        <f>IFERROR(VLOOKUP(OrdersRawTable9[[#This Row],[Order_Line_ID]],ReturnsRawTable[[#All],[Order_Line_ID]:[Return_Reason_Raw]],3,FALSE),"")</f>
        <v/>
      </c>
      <c r="AE667" s="49" t="str">
        <f>IFERROR(VLOOKUP(OrdersRawTable9[[#This Row],[Order_Line_ID]],ReturnsRawTable[[#All],[Order_Line_ID]:[Return_Date]],2,FALSE),"")</f>
        <v/>
      </c>
      <c r="AF667" s="45" t="str">
        <f>IFERROR(VLOOKUP(OrdersRawTable9[[#This Row],[Order_Line_ID]],ReturnsRawTable[[Order_Line_ID]:[Refund_Status]],4,FALSE),"")</f>
        <v/>
      </c>
      <c r="AG667" s="45" t="str">
        <f>VLOOKUP(OrdersRawTable9[[#This Row],[Order_ID]],ShipmentsTable[],6,FALSE)</f>
        <v>On time</v>
      </c>
      <c r="AH667" s="49">
        <f>VLOOKUP(OrdersRawTable9[[#This Row],[Order_ID]],ShipmentsTable[],3,FALSE)</f>
        <v>45719.041666666664</v>
      </c>
    </row>
    <row r="668" spans="1:34" ht="15" customHeight="1">
      <c r="A668" s="14" t="s">
        <v>1311</v>
      </c>
      <c r="B668" s="10" t="s">
        <v>1310</v>
      </c>
      <c r="C668" s="20">
        <v>45714.041666666664</v>
      </c>
      <c r="D668" s="10" t="s">
        <v>1093</v>
      </c>
      <c r="E668" s="10" t="s">
        <v>1094</v>
      </c>
      <c r="F668" s="10" t="str">
        <f>TRIM(LEFT(OrdersRawTable9[[#This Row],[Customer_Info]],FIND(",",OrdersRawTable9[[#This Row],[Customer_Info]])-1))</f>
        <v>Liam Singh</v>
      </c>
      <c r="G66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668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68" s="10">
        <f>LEN(OrdersRawTable9[[#This Row],[Customer_Info]])-LEN(SUBSTITUTE(OrdersRawTable9[[#This Row],[Customer_Info]],",",""))</f>
        <v>2</v>
      </c>
      <c r="J668" s="10" t="s">
        <v>201</v>
      </c>
      <c r="K668" s="23">
        <v>3</v>
      </c>
      <c r="L668" s="26">
        <v>154.47</v>
      </c>
      <c r="M668" s="29">
        <v>0.1</v>
      </c>
      <c r="N668" s="10" t="s">
        <v>50</v>
      </c>
      <c r="O668" s="10" t="str">
        <f>IF(TRIM(OrdersRawTable9[[#This Row],[Sales_Channel_Raw]])="Market place","Marketplace",TRIM(OrdersRawTable9[[#This Row],[Sales_Channel_Raw]]))</f>
        <v>Marketplace</v>
      </c>
      <c r="P668" s="10" t="s">
        <v>98</v>
      </c>
      <c r="Q668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668" s="15" t="s">
        <v>47</v>
      </c>
      <c r="S668" t="str">
        <f>VLOOKUP(OrdersRawTable9[[#This Row],[Customer_ID_Raw]],CustomersTable11[],4,FALSE)</f>
        <v>Ontario</v>
      </c>
      <c r="T668" t="str">
        <f>VLOOKUP(OrdersRawTable9[[#This Row],[Customer_ID_Raw]],CustomersTable11[],5,FALSE)</f>
        <v>Corporate</v>
      </c>
      <c r="U668" s="45">
        <f>VLOOKUP(OrdersRawTable9[[#This Row],[Product_ID]],ProductsTable10[],4,FALSE)</f>
        <v>102.57</v>
      </c>
      <c r="V668" t="str">
        <f>VLOOKUP(OrdersRawTable9[[#This Row],[Product_ID]],ProductsTable10[],3,FALSE)</f>
        <v>Fitness</v>
      </c>
      <c r="W668" s="45">
        <f>OrdersRawTable9[[#This Row],[Unit_Price]]*OrdersRawTable9[[#This Row],[Quantity]]</f>
        <v>463.40999999999997</v>
      </c>
      <c r="X668" s="47">
        <f>OrdersRawTable9[[#This Row],[Gross_Sales]]*OrdersRawTable9[[#This Row],[Discount_Pct]]</f>
        <v>46.341000000000001</v>
      </c>
      <c r="Y668" s="45">
        <f>OrdersRawTable9[[#This Row],[Gross_Sales]]-OrdersRawTable9[[#This Row],[Discount_Amount]]</f>
        <v>417.06899999999996</v>
      </c>
      <c r="Z668" s="45">
        <f>OrdersRawTable9[[#This Row],[Unit_Cost]]*OrdersRawTable9[[#This Row],[Quantity]]</f>
        <v>307.70999999999998</v>
      </c>
      <c r="AA668" s="45">
        <f>OrdersRawTable9[[#This Row],[Net_Sales]]-OrdersRawTable9[[#This Row],[Total_Cost]]</f>
        <v>109.35899999999998</v>
      </c>
      <c r="AB668" s="48">
        <f>IF(OrdersRawTable9[[#This Row],[Net_Sales]]=0,0,OrdersRawTable9[[#This Row],[Profit]]/OrdersRawTable9[[#This Row],[Net_Sales]])</f>
        <v>0.26220841155779978</v>
      </c>
      <c r="AC668" s="45" t="str">
        <f>IF(COUNTIF(ReturnsRawTable[Order_Line_ID],OrdersRawTable9[[#This Row],[Order_Line_ID]])&gt;0,"Yes","No")</f>
        <v>No</v>
      </c>
      <c r="AD668" s="45" t="str">
        <f>IFERROR(VLOOKUP(OrdersRawTable9[[#This Row],[Order_Line_ID]],ReturnsRawTable[[#All],[Order_Line_ID]:[Return_Reason_Raw]],3,FALSE),"")</f>
        <v/>
      </c>
      <c r="AE668" s="49" t="str">
        <f>IFERROR(VLOOKUP(OrdersRawTable9[[#This Row],[Order_Line_ID]],ReturnsRawTable[[#All],[Order_Line_ID]:[Return_Date]],2,FALSE),"")</f>
        <v/>
      </c>
      <c r="AF668" s="45" t="str">
        <f>IFERROR(VLOOKUP(OrdersRawTable9[[#This Row],[Order_Line_ID]],ReturnsRawTable[[Order_Line_ID]:[Refund_Status]],4,FALSE),"")</f>
        <v/>
      </c>
      <c r="AG668" s="45" t="str">
        <f>VLOOKUP(OrdersRawTable9[[#This Row],[Order_ID]],ShipmentsTable[],6,FALSE)</f>
        <v>On time</v>
      </c>
      <c r="AH668" s="49">
        <f>VLOOKUP(OrdersRawTable9[[#This Row],[Order_ID]],ShipmentsTable[],3,FALSE)</f>
        <v>45719.041666666664</v>
      </c>
    </row>
    <row r="669" spans="1:34" ht="15" customHeight="1">
      <c r="A669" s="14" t="s">
        <v>1312</v>
      </c>
      <c r="B669" s="10" t="s">
        <v>1310</v>
      </c>
      <c r="C669" s="20">
        <v>45714.041666666664</v>
      </c>
      <c r="D669" s="10" t="s">
        <v>1093</v>
      </c>
      <c r="E669" s="10" t="s">
        <v>1094</v>
      </c>
      <c r="F669" s="10" t="str">
        <f>TRIM(LEFT(OrdersRawTable9[[#This Row],[Customer_Info]],FIND(",",OrdersRawTable9[[#This Row],[Customer_Info]])-1))</f>
        <v>Liam Singh</v>
      </c>
      <c r="G66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669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69" s="10">
        <f>LEN(OrdersRawTable9[[#This Row],[Customer_Info]])-LEN(SUBSTITUTE(OrdersRawTable9[[#This Row],[Customer_Info]],",",""))</f>
        <v>2</v>
      </c>
      <c r="J669" s="10" t="s">
        <v>39</v>
      </c>
      <c r="K669" s="23">
        <v>4</v>
      </c>
      <c r="L669" s="26">
        <v>236.51</v>
      </c>
      <c r="M669" s="29">
        <v>0.15</v>
      </c>
      <c r="N669" s="10" t="s">
        <v>50</v>
      </c>
      <c r="O669" s="10" t="str">
        <f>IF(TRIM(OrdersRawTable9[[#This Row],[Sales_Channel_Raw]])="Market place","Marketplace",TRIM(OrdersRawTable9[[#This Row],[Sales_Channel_Raw]]))</f>
        <v>Marketplace</v>
      </c>
      <c r="P669" s="10" t="s">
        <v>58</v>
      </c>
      <c r="Q669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669" s="15" t="s">
        <v>47</v>
      </c>
      <c r="S669" t="str">
        <f>VLOOKUP(OrdersRawTable9[[#This Row],[Customer_ID_Raw]],CustomersTable11[],4,FALSE)</f>
        <v>Ontario</v>
      </c>
      <c r="T669" t="str">
        <f>VLOOKUP(OrdersRawTable9[[#This Row],[Customer_ID_Raw]],CustomersTable11[],5,FALSE)</f>
        <v>Corporate</v>
      </c>
      <c r="U669" s="45">
        <f>VLOOKUP(OrdersRawTable9[[#This Row],[Product_ID]],ProductsTable10[],4,FALSE)</f>
        <v>142.84</v>
      </c>
      <c r="V669" t="str">
        <f>VLOOKUP(OrdersRawTable9[[#This Row],[Product_ID]],ProductsTable10[],3,FALSE)</f>
        <v>Fitness</v>
      </c>
      <c r="W669" s="45">
        <f>OrdersRawTable9[[#This Row],[Unit_Price]]*OrdersRawTable9[[#This Row],[Quantity]]</f>
        <v>946.04</v>
      </c>
      <c r="X669" s="47">
        <f>OrdersRawTable9[[#This Row],[Gross_Sales]]*OrdersRawTable9[[#This Row],[Discount_Pct]]</f>
        <v>141.90599999999998</v>
      </c>
      <c r="Y669" s="45">
        <f>OrdersRawTable9[[#This Row],[Gross_Sales]]-OrdersRawTable9[[#This Row],[Discount_Amount]]</f>
        <v>804.13400000000001</v>
      </c>
      <c r="Z669" s="45">
        <f>OrdersRawTable9[[#This Row],[Unit_Cost]]*OrdersRawTable9[[#This Row],[Quantity]]</f>
        <v>571.36</v>
      </c>
      <c r="AA669" s="45">
        <f>OrdersRawTable9[[#This Row],[Net_Sales]]-OrdersRawTable9[[#This Row],[Total_Cost]]</f>
        <v>232.774</v>
      </c>
      <c r="AB669" s="48">
        <f>IF(OrdersRawTable9[[#This Row],[Net_Sales]]=0,0,OrdersRawTable9[[#This Row],[Profit]]/OrdersRawTable9[[#This Row],[Net_Sales]])</f>
        <v>0.28947165522164214</v>
      </c>
      <c r="AC669" s="45" t="str">
        <f>IF(COUNTIF(ReturnsRawTable[Order_Line_ID],OrdersRawTable9[[#This Row],[Order_Line_ID]])&gt;0,"Yes","No")</f>
        <v>No</v>
      </c>
      <c r="AD669" s="45" t="str">
        <f>IFERROR(VLOOKUP(OrdersRawTable9[[#This Row],[Order_Line_ID]],ReturnsRawTable[[#All],[Order_Line_ID]:[Return_Reason_Raw]],3,FALSE),"")</f>
        <v/>
      </c>
      <c r="AE669" s="49" t="str">
        <f>IFERROR(VLOOKUP(OrdersRawTable9[[#This Row],[Order_Line_ID]],ReturnsRawTable[[#All],[Order_Line_ID]:[Return_Date]],2,FALSE),"")</f>
        <v/>
      </c>
      <c r="AF669" s="45" t="str">
        <f>IFERROR(VLOOKUP(OrdersRawTable9[[#This Row],[Order_Line_ID]],ReturnsRawTable[[Order_Line_ID]:[Refund_Status]],4,FALSE),"")</f>
        <v/>
      </c>
      <c r="AG669" s="45" t="str">
        <f>VLOOKUP(OrdersRawTable9[[#This Row],[Order_ID]],ShipmentsTable[],6,FALSE)</f>
        <v>On time</v>
      </c>
      <c r="AH669" s="49">
        <f>VLOOKUP(OrdersRawTable9[[#This Row],[Order_ID]],ShipmentsTable[],3,FALSE)</f>
        <v>45719.041666666664</v>
      </c>
    </row>
    <row r="670" spans="1:34" ht="15" customHeight="1">
      <c r="A670" s="14" t="s">
        <v>1313</v>
      </c>
      <c r="B670" s="10" t="s">
        <v>1310</v>
      </c>
      <c r="C670" s="20">
        <v>45714.041666666664</v>
      </c>
      <c r="D670" s="10" t="s">
        <v>1093</v>
      </c>
      <c r="E670" s="10" t="s">
        <v>1094</v>
      </c>
      <c r="F670" s="10" t="str">
        <f>TRIM(LEFT(OrdersRawTable9[[#This Row],[Customer_Info]],FIND(",",OrdersRawTable9[[#This Row],[Customer_Info]])-1))</f>
        <v>Liam Singh</v>
      </c>
      <c r="G67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670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70" s="10">
        <f>LEN(OrdersRawTable9[[#This Row],[Customer_Info]])-LEN(SUBSTITUTE(OrdersRawTable9[[#This Row],[Customer_Info]],",",""))</f>
        <v>2</v>
      </c>
      <c r="J670" s="10" t="s">
        <v>303</v>
      </c>
      <c r="K670" s="23">
        <v>4</v>
      </c>
      <c r="L670" s="26">
        <v>72.81</v>
      </c>
      <c r="M670" s="29">
        <v>0.15</v>
      </c>
      <c r="N670" s="10" t="s">
        <v>66</v>
      </c>
      <c r="O670" s="10" t="str">
        <f>IF(TRIM(OrdersRawTable9[[#This Row],[Sales_Channel_Raw]])="Market place","Marketplace",TRIM(OrdersRawTable9[[#This Row],[Sales_Channel_Raw]]))</f>
        <v>Marketplace</v>
      </c>
      <c r="P670" s="10" t="s">
        <v>58</v>
      </c>
      <c r="Q670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670" s="15" t="s">
        <v>101</v>
      </c>
      <c r="S670" t="str">
        <f>VLOOKUP(OrdersRawTable9[[#This Row],[Customer_ID_Raw]],CustomersTable11[],4,FALSE)</f>
        <v>Ontario</v>
      </c>
      <c r="T670" t="str">
        <f>VLOOKUP(OrdersRawTable9[[#This Row],[Customer_ID_Raw]],CustomersTable11[],5,FALSE)</f>
        <v>Corporate</v>
      </c>
      <c r="U670" s="45">
        <f>VLOOKUP(OrdersRawTable9[[#This Row],[Product_ID]],ProductsTable10[],4,FALSE)</f>
        <v>37.99</v>
      </c>
      <c r="V670" t="str">
        <f>VLOOKUP(OrdersRawTable9[[#This Row],[Product_ID]],ProductsTable10[],3,FALSE)</f>
        <v>Accessories</v>
      </c>
      <c r="W670" s="45">
        <f>OrdersRawTable9[[#This Row],[Unit_Price]]*OrdersRawTable9[[#This Row],[Quantity]]</f>
        <v>291.24</v>
      </c>
      <c r="X670" s="47">
        <f>OrdersRawTable9[[#This Row],[Gross_Sales]]*OrdersRawTable9[[#This Row],[Discount_Pct]]</f>
        <v>43.686</v>
      </c>
      <c r="Y670" s="45">
        <f>OrdersRawTable9[[#This Row],[Gross_Sales]]-OrdersRawTable9[[#This Row],[Discount_Amount]]</f>
        <v>247.554</v>
      </c>
      <c r="Z670" s="45">
        <f>OrdersRawTable9[[#This Row],[Unit_Cost]]*OrdersRawTable9[[#This Row],[Quantity]]</f>
        <v>151.96</v>
      </c>
      <c r="AA670" s="45">
        <f>OrdersRawTable9[[#This Row],[Net_Sales]]-OrdersRawTable9[[#This Row],[Total_Cost]]</f>
        <v>95.593999999999994</v>
      </c>
      <c r="AB670" s="48">
        <f>IF(OrdersRawTable9[[#This Row],[Net_Sales]]=0,0,OrdersRawTable9[[#This Row],[Profit]]/OrdersRawTable9[[#This Row],[Net_Sales]])</f>
        <v>0.38615413202775956</v>
      </c>
      <c r="AC670" s="45" t="str">
        <f>IF(COUNTIF(ReturnsRawTable[Order_Line_ID],OrdersRawTable9[[#This Row],[Order_Line_ID]])&gt;0,"Yes","No")</f>
        <v>No</v>
      </c>
      <c r="AD670" s="45" t="str">
        <f>IFERROR(VLOOKUP(OrdersRawTable9[[#This Row],[Order_Line_ID]],ReturnsRawTable[[#All],[Order_Line_ID]:[Return_Reason_Raw]],3,FALSE),"")</f>
        <v/>
      </c>
      <c r="AE670" s="49" t="str">
        <f>IFERROR(VLOOKUP(OrdersRawTable9[[#This Row],[Order_Line_ID]],ReturnsRawTable[[#All],[Order_Line_ID]:[Return_Date]],2,FALSE),"")</f>
        <v/>
      </c>
      <c r="AF670" s="45" t="str">
        <f>IFERROR(VLOOKUP(OrdersRawTable9[[#This Row],[Order_Line_ID]],ReturnsRawTable[[Order_Line_ID]:[Refund_Status]],4,FALSE),"")</f>
        <v/>
      </c>
      <c r="AG670" s="45" t="str">
        <f>VLOOKUP(OrdersRawTable9[[#This Row],[Order_ID]],ShipmentsTable[],6,FALSE)</f>
        <v>On time</v>
      </c>
      <c r="AH670" s="49">
        <f>VLOOKUP(OrdersRawTable9[[#This Row],[Order_ID]],ShipmentsTable[],3,FALSE)</f>
        <v>45719.041666666664</v>
      </c>
    </row>
    <row r="671" spans="1:34" ht="15" customHeight="1">
      <c r="A671" s="14" t="s">
        <v>1314</v>
      </c>
      <c r="B671" s="10" t="s">
        <v>1315</v>
      </c>
      <c r="C671" s="20">
        <v>45660</v>
      </c>
      <c r="D671" s="10" t="s">
        <v>1316</v>
      </c>
      <c r="E671" s="10" t="s">
        <v>1317</v>
      </c>
      <c r="F671" s="10" t="str">
        <f>TRIM(LEFT(OrdersRawTable9[[#This Row],[Customer_Info]],FIND(",",OrdersRawTable9[[#This Row],[Customer_Info]])-1))</f>
        <v>Omar Brown</v>
      </c>
      <c r="G67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671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671" s="10">
        <f>LEN(OrdersRawTable9[[#This Row],[Customer_Info]])-LEN(SUBSTITUTE(OrdersRawTable9[[#This Row],[Customer_Info]],",",""))</f>
        <v>2</v>
      </c>
      <c r="J671" s="10" t="s">
        <v>39</v>
      </c>
      <c r="K671" s="23">
        <v>1</v>
      </c>
      <c r="L671" s="26">
        <v>236.51</v>
      </c>
      <c r="M671" s="29">
        <v>0.05</v>
      </c>
      <c r="N671" s="10" t="s">
        <v>45</v>
      </c>
      <c r="O671" s="10" t="str">
        <f>IF(TRIM(OrdersRawTable9[[#This Row],[Sales_Channel_Raw]])="Market place","Marketplace",TRIM(OrdersRawTable9[[#This Row],[Sales_Channel_Raw]]))</f>
        <v>Retail Store</v>
      </c>
      <c r="P671" s="10" t="s">
        <v>46</v>
      </c>
      <c r="Q671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671" s="15" t="s">
        <v>101</v>
      </c>
      <c r="S671" t="str">
        <f>VLOOKUP(OrdersRawTable9[[#This Row],[Customer_ID_Raw]],CustomersTable11[],4,FALSE)</f>
        <v>Quebec</v>
      </c>
      <c r="T671" t="str">
        <f>VLOOKUP(OrdersRawTable9[[#This Row],[Customer_ID_Raw]],CustomersTable11[],5,FALSE)</f>
        <v>Small Business</v>
      </c>
      <c r="U671" s="45">
        <f>VLOOKUP(OrdersRawTable9[[#This Row],[Product_ID]],ProductsTable10[],4,FALSE)</f>
        <v>142.84</v>
      </c>
      <c r="V671" t="str">
        <f>VLOOKUP(OrdersRawTable9[[#This Row],[Product_ID]],ProductsTable10[],3,FALSE)</f>
        <v>Fitness</v>
      </c>
      <c r="W671" s="45">
        <f>OrdersRawTable9[[#This Row],[Unit_Price]]*OrdersRawTable9[[#This Row],[Quantity]]</f>
        <v>236.51</v>
      </c>
      <c r="X671" s="47">
        <f>OrdersRawTable9[[#This Row],[Gross_Sales]]*OrdersRawTable9[[#This Row],[Discount_Pct]]</f>
        <v>11.8255</v>
      </c>
      <c r="Y671" s="45">
        <f>OrdersRawTable9[[#This Row],[Gross_Sales]]-OrdersRawTable9[[#This Row],[Discount_Amount]]</f>
        <v>224.68449999999999</v>
      </c>
      <c r="Z671" s="45">
        <f>OrdersRawTable9[[#This Row],[Unit_Cost]]*OrdersRawTable9[[#This Row],[Quantity]]</f>
        <v>142.84</v>
      </c>
      <c r="AA671" s="45">
        <f>OrdersRawTable9[[#This Row],[Net_Sales]]-OrdersRawTable9[[#This Row],[Total_Cost]]</f>
        <v>81.844499999999982</v>
      </c>
      <c r="AB671" s="48">
        <f>IF(OrdersRawTable9[[#This Row],[Net_Sales]]=0,0,OrdersRawTable9[[#This Row],[Profit]]/OrdersRawTable9[[#This Row],[Net_Sales]])</f>
        <v>0.36426411256673241</v>
      </c>
      <c r="AC671" s="45" t="str">
        <f>IF(COUNTIF(ReturnsRawTable[Order_Line_ID],OrdersRawTable9[[#This Row],[Order_Line_ID]])&gt;0,"Yes","No")</f>
        <v>Yes</v>
      </c>
      <c r="AD671" s="45" t="str">
        <f>IFERROR(VLOOKUP(OrdersRawTable9[[#This Row],[Order_Line_ID]],ReturnsRawTable[[#All],[Order_Line_ID]:[Return_Reason_Raw]],3,FALSE),"")</f>
        <v>Late Delivery</v>
      </c>
      <c r="AE671" s="49">
        <f>IFERROR(VLOOKUP(OrdersRawTable9[[#This Row],[Order_Line_ID]],ReturnsRawTable[[#All],[Order_Line_ID]:[Return_Date]],2,FALSE),"")</f>
        <v>45683</v>
      </c>
      <c r="AF671" s="45" t="str">
        <f>IFERROR(VLOOKUP(OrdersRawTable9[[#This Row],[Order_Line_ID]],ReturnsRawTable[[Order_Line_ID]:[Refund_Status]],4,FALSE),"")</f>
        <v>Refunded</v>
      </c>
      <c r="AG671" s="45" t="str">
        <f>VLOOKUP(OrdersRawTable9[[#This Row],[Order_ID]],ShipmentsTable[],6,FALSE)</f>
        <v>Late</v>
      </c>
      <c r="AH671" s="49">
        <f>VLOOKUP(OrdersRawTable9[[#This Row],[Order_ID]],ShipmentsTable[],3,FALSE)</f>
        <v>45670</v>
      </c>
    </row>
    <row r="672" spans="1:34" ht="15" customHeight="1">
      <c r="A672" s="14" t="s">
        <v>1318</v>
      </c>
      <c r="B672" s="10" t="s">
        <v>1315</v>
      </c>
      <c r="C672" s="20">
        <v>45660</v>
      </c>
      <c r="D672" s="10" t="s">
        <v>1316</v>
      </c>
      <c r="E672" s="10" t="s">
        <v>1317</v>
      </c>
      <c r="F672" s="10" t="str">
        <f>TRIM(LEFT(OrdersRawTable9[[#This Row],[Customer_Info]],FIND(",",OrdersRawTable9[[#This Row],[Customer_Info]])-1))</f>
        <v>Omar Brown</v>
      </c>
      <c r="G67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672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672" s="10">
        <f>LEN(OrdersRawTable9[[#This Row],[Customer_Info]])-LEN(SUBSTITUTE(OrdersRawTable9[[#This Row],[Customer_Info]],",",""))</f>
        <v>2</v>
      </c>
      <c r="J672" s="10" t="s">
        <v>309</v>
      </c>
      <c r="K672" s="23">
        <v>1</v>
      </c>
      <c r="L672" s="26">
        <v>56.99</v>
      </c>
      <c r="M672" s="29">
        <v>0.15</v>
      </c>
      <c r="N672" s="10" t="s">
        <v>66</v>
      </c>
      <c r="O672" s="10" t="str">
        <f>IF(TRIM(OrdersRawTable9[[#This Row],[Sales_Channel_Raw]])="Market place","Marketplace",TRIM(OrdersRawTable9[[#This Row],[Sales_Channel_Raw]]))</f>
        <v>Marketplace</v>
      </c>
      <c r="P672" s="10"/>
      <c r="Q672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672" s="15" t="s">
        <v>67</v>
      </c>
      <c r="S672" t="str">
        <f>VLOOKUP(OrdersRawTable9[[#This Row],[Customer_ID_Raw]],CustomersTable11[],4,FALSE)</f>
        <v>Quebec</v>
      </c>
      <c r="T672" t="str">
        <f>VLOOKUP(OrdersRawTable9[[#This Row],[Customer_ID_Raw]],CustomersTable11[],5,FALSE)</f>
        <v>Small Business</v>
      </c>
      <c r="U672" s="45">
        <f>VLOOKUP(OrdersRawTable9[[#This Row],[Product_ID]],ProductsTable10[],4,FALSE)</f>
        <v>33.65</v>
      </c>
      <c r="V672" t="str">
        <f>VLOOKUP(OrdersRawTable9[[#This Row],[Product_ID]],ProductsTable10[],3,FALSE)</f>
        <v>Home</v>
      </c>
      <c r="W672" s="45">
        <f>OrdersRawTable9[[#This Row],[Unit_Price]]*OrdersRawTable9[[#This Row],[Quantity]]</f>
        <v>56.99</v>
      </c>
      <c r="X672" s="47">
        <f>OrdersRawTable9[[#This Row],[Gross_Sales]]*OrdersRawTable9[[#This Row],[Discount_Pct]]</f>
        <v>8.5485000000000007</v>
      </c>
      <c r="Y672" s="45">
        <f>OrdersRawTable9[[#This Row],[Gross_Sales]]-OrdersRawTable9[[#This Row],[Discount_Amount]]</f>
        <v>48.441500000000005</v>
      </c>
      <c r="Z672" s="45">
        <f>OrdersRawTable9[[#This Row],[Unit_Cost]]*OrdersRawTable9[[#This Row],[Quantity]]</f>
        <v>33.65</v>
      </c>
      <c r="AA672" s="45">
        <f>OrdersRawTable9[[#This Row],[Net_Sales]]-OrdersRawTable9[[#This Row],[Total_Cost]]</f>
        <v>14.791500000000006</v>
      </c>
      <c r="AB672" s="48">
        <f>IF(OrdersRawTable9[[#This Row],[Net_Sales]]=0,0,OrdersRawTable9[[#This Row],[Profit]]/OrdersRawTable9[[#This Row],[Net_Sales]])</f>
        <v>0.30534768741678114</v>
      </c>
      <c r="AC672" s="45" t="str">
        <f>IF(COUNTIF(ReturnsRawTable[Order_Line_ID],OrdersRawTable9[[#This Row],[Order_Line_ID]])&gt;0,"Yes","No")</f>
        <v>Yes</v>
      </c>
      <c r="AD672" s="45" t="str">
        <f>IFERROR(VLOOKUP(OrdersRawTable9[[#This Row],[Order_Line_ID]],ReturnsRawTable[[#All],[Order_Line_ID]:[Return_Reason_Raw]],3,FALSE),"")</f>
        <v>Wrong item</v>
      </c>
      <c r="AE672" s="49">
        <f>IFERROR(VLOOKUP(OrdersRawTable9[[#This Row],[Order_Line_ID]],ReturnsRawTable[[#All],[Order_Line_ID]:[Return_Date]],2,FALSE),"")</f>
        <v>45674</v>
      </c>
      <c r="AF672" s="45" t="str">
        <f>IFERROR(VLOOKUP(OrdersRawTable9[[#This Row],[Order_Line_ID]],ReturnsRawTable[[Order_Line_ID]:[Refund_Status]],4,FALSE),"")</f>
        <v>Refunded</v>
      </c>
      <c r="AG672" s="45" t="str">
        <f>VLOOKUP(OrdersRawTable9[[#This Row],[Order_ID]],ShipmentsTable[],6,FALSE)</f>
        <v>Late</v>
      </c>
      <c r="AH672" s="49">
        <f>VLOOKUP(OrdersRawTable9[[#This Row],[Order_ID]],ShipmentsTable[],3,FALSE)</f>
        <v>45670</v>
      </c>
    </row>
    <row r="673" spans="1:34" ht="15" customHeight="1">
      <c r="A673" s="14" t="s">
        <v>1319</v>
      </c>
      <c r="B673" s="10" t="s">
        <v>1315</v>
      </c>
      <c r="C673" s="20">
        <v>45660</v>
      </c>
      <c r="D673" s="10" t="s">
        <v>1316</v>
      </c>
      <c r="E673" s="10" t="s">
        <v>1317</v>
      </c>
      <c r="F673" s="10" t="str">
        <f>TRIM(LEFT(OrdersRawTable9[[#This Row],[Customer_Info]],FIND(",",OrdersRawTable9[[#This Row],[Customer_Info]])-1))</f>
        <v>Omar Brown</v>
      </c>
      <c r="G67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673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673" s="10">
        <f>LEN(OrdersRawTable9[[#This Row],[Customer_Info]])-LEN(SUBSTITUTE(OrdersRawTable9[[#This Row],[Customer_Info]],",",""))</f>
        <v>2</v>
      </c>
      <c r="J673" s="10" t="s">
        <v>147</v>
      </c>
      <c r="K673" s="23">
        <v>2</v>
      </c>
      <c r="L673" s="26">
        <v>102.78</v>
      </c>
      <c r="M673" s="29">
        <v>0.1</v>
      </c>
      <c r="N673" s="10" t="s">
        <v>50</v>
      </c>
      <c r="O673" s="10" t="str">
        <f>IF(TRIM(OrdersRawTable9[[#This Row],[Sales_Channel_Raw]])="Market place","Marketplace",TRIM(OrdersRawTable9[[#This Row],[Sales_Channel_Raw]]))</f>
        <v>Marketplace</v>
      </c>
      <c r="P673" s="10" t="s">
        <v>98</v>
      </c>
      <c r="Q673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673" s="15" t="s">
        <v>42</v>
      </c>
      <c r="S673" t="str">
        <f>VLOOKUP(OrdersRawTable9[[#This Row],[Customer_ID_Raw]],CustomersTable11[],4,FALSE)</f>
        <v>Quebec</v>
      </c>
      <c r="T673" t="str">
        <f>VLOOKUP(OrdersRawTable9[[#This Row],[Customer_ID_Raw]],CustomersTable11[],5,FALSE)</f>
        <v>Small Business</v>
      </c>
      <c r="U673" s="45">
        <f>VLOOKUP(OrdersRawTable9[[#This Row],[Product_ID]],ProductsTable10[],4,FALSE)</f>
        <v>62.65</v>
      </c>
      <c r="V673" t="str">
        <f>VLOOKUP(OrdersRawTable9[[#This Row],[Product_ID]],ProductsTable10[],3,FALSE)</f>
        <v>Accessories</v>
      </c>
      <c r="W673" s="45">
        <f>OrdersRawTable9[[#This Row],[Unit_Price]]*OrdersRawTable9[[#This Row],[Quantity]]</f>
        <v>205.56</v>
      </c>
      <c r="X673" s="47">
        <f>OrdersRawTable9[[#This Row],[Gross_Sales]]*OrdersRawTable9[[#This Row],[Discount_Pct]]</f>
        <v>20.556000000000001</v>
      </c>
      <c r="Y673" s="45">
        <f>OrdersRawTable9[[#This Row],[Gross_Sales]]-OrdersRawTable9[[#This Row],[Discount_Amount]]</f>
        <v>185.00399999999999</v>
      </c>
      <c r="Z673" s="45">
        <f>OrdersRawTable9[[#This Row],[Unit_Cost]]*OrdersRawTable9[[#This Row],[Quantity]]</f>
        <v>125.3</v>
      </c>
      <c r="AA673" s="45">
        <f>OrdersRawTable9[[#This Row],[Net_Sales]]-OrdersRawTable9[[#This Row],[Total_Cost]]</f>
        <v>59.703999999999994</v>
      </c>
      <c r="AB673" s="48">
        <f>IF(OrdersRawTable9[[#This Row],[Net_Sales]]=0,0,OrdersRawTable9[[#This Row],[Profit]]/OrdersRawTable9[[#This Row],[Net_Sales]])</f>
        <v>0.32271734665196428</v>
      </c>
      <c r="AC673" s="45" t="str">
        <f>IF(COUNTIF(ReturnsRawTable[Order_Line_ID],OrdersRawTable9[[#This Row],[Order_Line_ID]])&gt;0,"Yes","No")</f>
        <v>No</v>
      </c>
      <c r="AD673" s="45" t="str">
        <f>IFERROR(VLOOKUP(OrdersRawTable9[[#This Row],[Order_Line_ID]],ReturnsRawTable[[#All],[Order_Line_ID]:[Return_Reason_Raw]],3,FALSE),"")</f>
        <v/>
      </c>
      <c r="AE673" s="49" t="str">
        <f>IFERROR(VLOOKUP(OrdersRawTable9[[#This Row],[Order_Line_ID]],ReturnsRawTable[[#All],[Order_Line_ID]:[Return_Date]],2,FALSE),"")</f>
        <v/>
      </c>
      <c r="AF673" s="45" t="str">
        <f>IFERROR(VLOOKUP(OrdersRawTable9[[#This Row],[Order_Line_ID]],ReturnsRawTable[[Order_Line_ID]:[Refund_Status]],4,FALSE),"")</f>
        <v/>
      </c>
      <c r="AG673" s="45" t="str">
        <f>VLOOKUP(OrdersRawTable9[[#This Row],[Order_ID]],ShipmentsTable[],6,FALSE)</f>
        <v>Late</v>
      </c>
      <c r="AH673" s="49">
        <f>VLOOKUP(OrdersRawTable9[[#This Row],[Order_ID]],ShipmentsTable[],3,FALSE)</f>
        <v>45670</v>
      </c>
    </row>
    <row r="674" spans="1:34" ht="15" customHeight="1">
      <c r="A674" s="14" t="s">
        <v>1320</v>
      </c>
      <c r="B674" s="10" t="s">
        <v>1321</v>
      </c>
      <c r="C674" s="20">
        <v>45980</v>
      </c>
      <c r="D674" s="10" t="s">
        <v>1322</v>
      </c>
      <c r="E674" s="10" t="s">
        <v>1323</v>
      </c>
      <c r="F674" s="10" t="str">
        <f>TRIM(LEFT(OrdersRawTable9[[#This Row],[Customer_Info]],FIND(",",OrdersRawTable9[[#This Row],[Customer_Info]])-1))</f>
        <v>Ethan Singh</v>
      </c>
      <c r="G67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674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674" s="10">
        <f>LEN(OrdersRawTable9[[#This Row],[Customer_Info]])-LEN(SUBSTITUTE(OrdersRawTable9[[#This Row],[Customer_Info]],",",""))</f>
        <v>2</v>
      </c>
      <c r="J674" s="10" t="s">
        <v>49</v>
      </c>
      <c r="K674" s="23">
        <v>3</v>
      </c>
      <c r="L674" s="26">
        <v>300.16000000000003</v>
      </c>
      <c r="M674" s="29">
        <v>0</v>
      </c>
      <c r="N674" s="10" t="s">
        <v>64</v>
      </c>
      <c r="O674" s="10" t="str">
        <f>IF(TRIM(OrdersRawTable9[[#This Row],[Sales_Channel_Raw]])="Market place","Marketplace",TRIM(OrdersRawTable9[[#This Row],[Sales_Channel_Raw]]))</f>
        <v>Retail Store</v>
      </c>
      <c r="P674" s="10"/>
      <c r="Q674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674" s="15" t="s">
        <v>101</v>
      </c>
      <c r="S674" t="str">
        <f>VLOOKUP(OrdersRawTable9[[#This Row],[Customer_ID_Raw]],CustomersTable11[],4,FALSE)</f>
        <v>Quebec</v>
      </c>
      <c r="T674" t="str">
        <f>VLOOKUP(OrdersRawTable9[[#This Row],[Customer_ID_Raw]],CustomersTable11[],5,FALSE)</f>
        <v>Consumer</v>
      </c>
      <c r="U674" s="45">
        <f>VLOOKUP(OrdersRawTable9[[#This Row],[Product_ID]],ProductsTable10[],4,FALSE)</f>
        <v>158.46</v>
      </c>
      <c r="V674" t="str">
        <f>VLOOKUP(OrdersRawTable9[[#This Row],[Product_ID]],ProductsTable10[],3,FALSE)</f>
        <v>Office</v>
      </c>
      <c r="W674" s="45">
        <f>OrdersRawTable9[[#This Row],[Unit_Price]]*OrdersRawTable9[[#This Row],[Quantity]]</f>
        <v>900.48</v>
      </c>
      <c r="X674" s="47">
        <f>OrdersRawTable9[[#This Row],[Gross_Sales]]*OrdersRawTable9[[#This Row],[Discount_Pct]]</f>
        <v>0</v>
      </c>
      <c r="Y674" s="45">
        <f>OrdersRawTable9[[#This Row],[Gross_Sales]]-OrdersRawTable9[[#This Row],[Discount_Amount]]</f>
        <v>900.48</v>
      </c>
      <c r="Z674" s="45">
        <f>OrdersRawTable9[[#This Row],[Unit_Cost]]*OrdersRawTable9[[#This Row],[Quantity]]</f>
        <v>475.38</v>
      </c>
      <c r="AA674" s="45">
        <f>OrdersRawTable9[[#This Row],[Net_Sales]]-OrdersRawTable9[[#This Row],[Total_Cost]]</f>
        <v>425.1</v>
      </c>
      <c r="AB674" s="48">
        <f>IF(OrdersRawTable9[[#This Row],[Net_Sales]]=0,0,OrdersRawTable9[[#This Row],[Profit]]/OrdersRawTable9[[#This Row],[Net_Sales]])</f>
        <v>0.47208155650319833</v>
      </c>
      <c r="AC674" s="45" t="str">
        <f>IF(COUNTIF(ReturnsRawTable[Order_Line_ID],OrdersRawTable9[[#This Row],[Order_Line_ID]])&gt;0,"Yes","No")</f>
        <v>Yes</v>
      </c>
      <c r="AD674" s="45" t="str">
        <f>IFERROR(VLOOKUP(OrdersRawTable9[[#This Row],[Order_Line_ID]],ReturnsRawTable[[#All],[Order_Line_ID]:[Return_Reason_Raw]],3,FALSE),"")</f>
        <v>Damaged</v>
      </c>
      <c r="AE674" s="49">
        <f>IFERROR(VLOOKUP(OrdersRawTable9[[#This Row],[Order_Line_ID]],ReturnsRawTable[[#All],[Order_Line_ID]:[Return_Date]],2,FALSE),"")</f>
        <v>45989</v>
      </c>
      <c r="AF674" s="45" t="str">
        <f>IFERROR(VLOOKUP(OrdersRawTable9[[#This Row],[Order_Line_ID]],ReturnsRawTable[[Order_Line_ID]:[Refund_Status]],4,FALSE),"")</f>
        <v>Refunded</v>
      </c>
      <c r="AG674" s="45" t="str">
        <f>VLOOKUP(OrdersRawTable9[[#This Row],[Order_ID]],ShipmentsTable[],6,FALSE)</f>
        <v>On time</v>
      </c>
      <c r="AH674" s="49">
        <f>VLOOKUP(OrdersRawTable9[[#This Row],[Order_ID]],ShipmentsTable[],3,FALSE)</f>
        <v>45983</v>
      </c>
    </row>
    <row r="675" spans="1:34" ht="15" customHeight="1">
      <c r="A675" s="14" t="s">
        <v>1324</v>
      </c>
      <c r="B675" s="10" t="s">
        <v>1325</v>
      </c>
      <c r="C675" s="20">
        <v>45874</v>
      </c>
      <c r="D675" s="10" t="s">
        <v>75</v>
      </c>
      <c r="E675" s="10" t="s">
        <v>76</v>
      </c>
      <c r="F675" s="10" t="str">
        <f>TRIM(LEFT(OrdersRawTable9[[#This Row],[Customer_Info]],FIND(",",OrdersRawTable9[[#This Row],[Customer_Info]])-1))</f>
        <v>Yara Tremblay</v>
      </c>
      <c r="G67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675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75" s="10">
        <f>LEN(OrdersRawTable9[[#This Row],[Customer_Info]])-LEN(SUBSTITUTE(OrdersRawTable9[[#This Row],[Customer_Info]],",",""))</f>
        <v>2</v>
      </c>
      <c r="J675" s="10" t="s">
        <v>178</v>
      </c>
      <c r="K675" s="23">
        <v>2</v>
      </c>
      <c r="L675" s="26">
        <v>61.81</v>
      </c>
      <c r="M675" s="29">
        <v>0</v>
      </c>
      <c r="N675" s="10" t="s">
        <v>40</v>
      </c>
      <c r="O675" s="10" t="str">
        <f>IF(TRIM(OrdersRawTable9[[#This Row],[Sales_Channel_Raw]])="Market place","Marketplace",TRIM(OrdersRawTable9[[#This Row],[Sales_Channel_Raw]]))</f>
        <v>Online</v>
      </c>
      <c r="P675" s="10" t="s">
        <v>58</v>
      </c>
      <c r="Q675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675" s="15" t="s">
        <v>52</v>
      </c>
      <c r="S675" t="str">
        <f>VLOOKUP(OrdersRawTable9[[#This Row],[Customer_ID_Raw]],CustomersTable11[],4,FALSE)</f>
        <v>Alberta</v>
      </c>
      <c r="T675" t="str">
        <f>VLOOKUP(OrdersRawTable9[[#This Row],[Customer_ID_Raw]],CustomersTable11[],5,FALSE)</f>
        <v>Corporate</v>
      </c>
      <c r="U675" s="45">
        <f>VLOOKUP(OrdersRawTable9[[#This Row],[Product_ID]],ProductsTable10[],4,FALSE)</f>
        <v>33.19</v>
      </c>
      <c r="V675" t="str">
        <f>VLOOKUP(OrdersRawTable9[[#This Row],[Product_ID]],ProductsTable10[],3,FALSE)</f>
        <v>Office</v>
      </c>
      <c r="W675" s="45">
        <f>OrdersRawTable9[[#This Row],[Unit_Price]]*OrdersRawTable9[[#This Row],[Quantity]]</f>
        <v>123.62</v>
      </c>
      <c r="X675" s="47">
        <f>OrdersRawTable9[[#This Row],[Gross_Sales]]*OrdersRawTable9[[#This Row],[Discount_Pct]]</f>
        <v>0</v>
      </c>
      <c r="Y675" s="45">
        <f>OrdersRawTable9[[#This Row],[Gross_Sales]]-OrdersRawTable9[[#This Row],[Discount_Amount]]</f>
        <v>123.62</v>
      </c>
      <c r="Z675" s="45">
        <f>OrdersRawTable9[[#This Row],[Unit_Cost]]*OrdersRawTable9[[#This Row],[Quantity]]</f>
        <v>66.38</v>
      </c>
      <c r="AA675" s="45">
        <f>OrdersRawTable9[[#This Row],[Net_Sales]]-OrdersRawTable9[[#This Row],[Total_Cost]]</f>
        <v>57.240000000000009</v>
      </c>
      <c r="AB675" s="48">
        <f>IF(OrdersRawTable9[[#This Row],[Net_Sales]]=0,0,OrdersRawTable9[[#This Row],[Profit]]/OrdersRawTable9[[#This Row],[Net_Sales]])</f>
        <v>0.46303187186539402</v>
      </c>
      <c r="AC675" s="45" t="str">
        <f>IF(COUNTIF(ReturnsRawTable[Order_Line_ID],OrdersRawTable9[[#This Row],[Order_Line_ID]])&gt;0,"Yes","No")</f>
        <v>No</v>
      </c>
      <c r="AD675" s="45" t="str">
        <f>IFERROR(VLOOKUP(OrdersRawTable9[[#This Row],[Order_Line_ID]],ReturnsRawTable[[#All],[Order_Line_ID]:[Return_Reason_Raw]],3,FALSE),"")</f>
        <v/>
      </c>
      <c r="AE675" s="49" t="str">
        <f>IFERROR(VLOOKUP(OrdersRawTable9[[#This Row],[Order_Line_ID]],ReturnsRawTable[[#All],[Order_Line_ID]:[Return_Date]],2,FALSE),"")</f>
        <v/>
      </c>
      <c r="AF675" s="45" t="str">
        <f>IFERROR(VLOOKUP(OrdersRawTable9[[#This Row],[Order_Line_ID]],ReturnsRawTable[[Order_Line_ID]:[Refund_Status]],4,FALSE),"")</f>
        <v/>
      </c>
      <c r="AG675" s="45" t="str">
        <f>VLOOKUP(OrdersRawTable9[[#This Row],[Order_ID]],ShipmentsTable[],6,FALSE)</f>
        <v>Late</v>
      </c>
      <c r="AH675" s="49">
        <f>VLOOKUP(OrdersRawTable9[[#This Row],[Order_ID]],ShipmentsTable[],3,FALSE)</f>
        <v>45880</v>
      </c>
    </row>
    <row r="676" spans="1:34" ht="15" customHeight="1">
      <c r="A676" s="14" t="s">
        <v>1326</v>
      </c>
      <c r="B676" s="10" t="s">
        <v>1325</v>
      </c>
      <c r="C676" s="20">
        <v>45874</v>
      </c>
      <c r="D676" s="10" t="s">
        <v>75</v>
      </c>
      <c r="E676" s="10" t="s">
        <v>76</v>
      </c>
      <c r="F676" s="10" t="str">
        <f>TRIM(LEFT(OrdersRawTable9[[#This Row],[Customer_Info]],FIND(",",OrdersRawTable9[[#This Row],[Customer_Info]])-1))</f>
        <v>Yara Tremblay</v>
      </c>
      <c r="G67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676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76" s="10">
        <f>LEN(OrdersRawTable9[[#This Row],[Customer_Info]])-LEN(SUBSTITUTE(OrdersRawTable9[[#This Row],[Customer_Info]],",",""))</f>
        <v>2</v>
      </c>
      <c r="J676" s="10" t="s">
        <v>117</v>
      </c>
      <c r="K676" s="23">
        <v>1</v>
      </c>
      <c r="L676" s="26">
        <v>251.17</v>
      </c>
      <c r="M676" s="29">
        <v>0</v>
      </c>
      <c r="N676" s="10" t="s">
        <v>66</v>
      </c>
      <c r="O676" s="10" t="str">
        <f>IF(TRIM(OrdersRawTable9[[#This Row],[Sales_Channel_Raw]])="Market place","Marketplace",TRIM(OrdersRawTable9[[#This Row],[Sales_Channel_Raw]]))</f>
        <v>Marketplace</v>
      </c>
      <c r="P676" s="10" t="s">
        <v>58</v>
      </c>
      <c r="Q676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676" s="15" t="s">
        <v>52</v>
      </c>
      <c r="S676" t="str">
        <f>VLOOKUP(OrdersRawTable9[[#This Row],[Customer_ID_Raw]],CustomersTable11[],4,FALSE)</f>
        <v>Alberta</v>
      </c>
      <c r="T676" t="str">
        <f>VLOOKUP(OrdersRawTable9[[#This Row],[Customer_ID_Raw]],CustomersTable11[],5,FALSE)</f>
        <v>Corporate</v>
      </c>
      <c r="U676" s="45">
        <f>VLOOKUP(OrdersRawTable9[[#This Row],[Product_ID]],ProductsTable10[],4,FALSE)</f>
        <v>151.59</v>
      </c>
      <c r="V676" t="str">
        <f>VLOOKUP(OrdersRawTable9[[#This Row],[Product_ID]],ProductsTable10[],3,FALSE)</f>
        <v>Fitness</v>
      </c>
      <c r="W676" s="45">
        <f>OrdersRawTable9[[#This Row],[Unit_Price]]*OrdersRawTable9[[#This Row],[Quantity]]</f>
        <v>251.17</v>
      </c>
      <c r="X676" s="47">
        <f>OrdersRawTable9[[#This Row],[Gross_Sales]]*OrdersRawTable9[[#This Row],[Discount_Pct]]</f>
        <v>0</v>
      </c>
      <c r="Y676" s="45">
        <f>OrdersRawTable9[[#This Row],[Gross_Sales]]-OrdersRawTable9[[#This Row],[Discount_Amount]]</f>
        <v>251.17</v>
      </c>
      <c r="Z676" s="45">
        <f>OrdersRawTable9[[#This Row],[Unit_Cost]]*OrdersRawTable9[[#This Row],[Quantity]]</f>
        <v>151.59</v>
      </c>
      <c r="AA676" s="45">
        <f>OrdersRawTable9[[#This Row],[Net_Sales]]-OrdersRawTable9[[#This Row],[Total_Cost]]</f>
        <v>99.579999999999984</v>
      </c>
      <c r="AB676" s="48">
        <f>IF(OrdersRawTable9[[#This Row],[Net_Sales]]=0,0,OrdersRawTable9[[#This Row],[Profit]]/OrdersRawTable9[[#This Row],[Net_Sales]])</f>
        <v>0.39646454592507063</v>
      </c>
      <c r="AC676" s="45" t="str">
        <f>IF(COUNTIF(ReturnsRawTable[Order_Line_ID],OrdersRawTable9[[#This Row],[Order_Line_ID]])&gt;0,"Yes","No")</f>
        <v>No</v>
      </c>
      <c r="AD676" s="45" t="str">
        <f>IFERROR(VLOOKUP(OrdersRawTable9[[#This Row],[Order_Line_ID]],ReturnsRawTable[[#All],[Order_Line_ID]:[Return_Reason_Raw]],3,FALSE),"")</f>
        <v/>
      </c>
      <c r="AE676" s="49" t="str">
        <f>IFERROR(VLOOKUP(OrdersRawTable9[[#This Row],[Order_Line_ID]],ReturnsRawTable[[#All],[Order_Line_ID]:[Return_Date]],2,FALSE),"")</f>
        <v/>
      </c>
      <c r="AF676" s="45" t="str">
        <f>IFERROR(VLOOKUP(OrdersRawTable9[[#This Row],[Order_Line_ID]],ReturnsRawTable[[Order_Line_ID]:[Refund_Status]],4,FALSE),"")</f>
        <v/>
      </c>
      <c r="AG676" s="45" t="str">
        <f>VLOOKUP(OrdersRawTable9[[#This Row],[Order_ID]],ShipmentsTable[],6,FALSE)</f>
        <v>Late</v>
      </c>
      <c r="AH676" s="49">
        <f>VLOOKUP(OrdersRawTable9[[#This Row],[Order_ID]],ShipmentsTable[],3,FALSE)</f>
        <v>45880</v>
      </c>
    </row>
    <row r="677" spans="1:34" ht="15" customHeight="1">
      <c r="A677" s="14" t="s">
        <v>1327</v>
      </c>
      <c r="B677" s="10" t="s">
        <v>1325</v>
      </c>
      <c r="C677" s="20">
        <v>45874</v>
      </c>
      <c r="D677" s="10" t="s">
        <v>75</v>
      </c>
      <c r="E677" s="10" t="s">
        <v>76</v>
      </c>
      <c r="F677" s="10" t="str">
        <f>TRIM(LEFT(OrdersRawTable9[[#This Row],[Customer_Info]],FIND(",",OrdersRawTable9[[#This Row],[Customer_Info]])-1))</f>
        <v>Yara Tremblay</v>
      </c>
      <c r="G67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677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77" s="10">
        <f>LEN(OrdersRawTable9[[#This Row],[Customer_Info]])-LEN(SUBSTITUTE(OrdersRawTable9[[#This Row],[Customer_Info]],",",""))</f>
        <v>2</v>
      </c>
      <c r="J677" s="10" t="s">
        <v>521</v>
      </c>
      <c r="K677" s="23">
        <v>4</v>
      </c>
      <c r="L677" s="26">
        <v>37.82</v>
      </c>
      <c r="M677" s="29">
        <v>0.05</v>
      </c>
      <c r="N677" s="10" t="s">
        <v>64</v>
      </c>
      <c r="O677" s="10" t="str">
        <f>IF(TRIM(OrdersRawTable9[[#This Row],[Sales_Channel_Raw]])="Market place","Marketplace",TRIM(OrdersRawTable9[[#This Row],[Sales_Channel_Raw]]))</f>
        <v>Retail Store</v>
      </c>
      <c r="P677" s="10" t="s">
        <v>41</v>
      </c>
      <c r="Q677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677" s="15" t="s">
        <v>42</v>
      </c>
      <c r="S677" t="str">
        <f>VLOOKUP(OrdersRawTable9[[#This Row],[Customer_ID_Raw]],CustomersTable11[],4,FALSE)</f>
        <v>Alberta</v>
      </c>
      <c r="T677" t="str">
        <f>VLOOKUP(OrdersRawTable9[[#This Row],[Customer_ID_Raw]],CustomersTable11[],5,FALSE)</f>
        <v>Corporate</v>
      </c>
      <c r="U677" s="45">
        <f>VLOOKUP(OrdersRawTable9[[#This Row],[Product_ID]],ProductsTable10[],4,FALSE)</f>
        <v>24.76</v>
      </c>
      <c r="V677" t="str">
        <f>VLOOKUP(OrdersRawTable9[[#This Row],[Product_ID]],ProductsTable10[],3,FALSE)</f>
        <v>Electronics</v>
      </c>
      <c r="W677" s="45">
        <f>OrdersRawTable9[[#This Row],[Unit_Price]]*OrdersRawTable9[[#This Row],[Quantity]]</f>
        <v>151.28</v>
      </c>
      <c r="X677" s="47">
        <f>OrdersRawTable9[[#This Row],[Gross_Sales]]*OrdersRawTable9[[#This Row],[Discount_Pct]]</f>
        <v>7.5640000000000001</v>
      </c>
      <c r="Y677" s="45">
        <f>OrdersRawTable9[[#This Row],[Gross_Sales]]-OrdersRawTable9[[#This Row],[Discount_Amount]]</f>
        <v>143.71600000000001</v>
      </c>
      <c r="Z677" s="45">
        <f>OrdersRawTable9[[#This Row],[Unit_Cost]]*OrdersRawTable9[[#This Row],[Quantity]]</f>
        <v>99.04</v>
      </c>
      <c r="AA677" s="45">
        <f>OrdersRawTable9[[#This Row],[Net_Sales]]-OrdersRawTable9[[#This Row],[Total_Cost]]</f>
        <v>44.676000000000002</v>
      </c>
      <c r="AB677" s="48">
        <f>IF(OrdersRawTable9[[#This Row],[Net_Sales]]=0,0,OrdersRawTable9[[#This Row],[Profit]]/OrdersRawTable9[[#This Row],[Net_Sales]])</f>
        <v>0.31086309109632887</v>
      </c>
      <c r="AC677" s="45" t="str">
        <f>IF(COUNTIF(ReturnsRawTable[Order_Line_ID],OrdersRawTable9[[#This Row],[Order_Line_ID]])&gt;0,"Yes","No")</f>
        <v>No</v>
      </c>
      <c r="AD677" s="45" t="str">
        <f>IFERROR(VLOOKUP(OrdersRawTable9[[#This Row],[Order_Line_ID]],ReturnsRawTable[[#All],[Order_Line_ID]:[Return_Reason_Raw]],3,FALSE),"")</f>
        <v/>
      </c>
      <c r="AE677" s="49" t="str">
        <f>IFERROR(VLOOKUP(OrdersRawTable9[[#This Row],[Order_Line_ID]],ReturnsRawTable[[#All],[Order_Line_ID]:[Return_Date]],2,FALSE),"")</f>
        <v/>
      </c>
      <c r="AF677" s="45" t="str">
        <f>IFERROR(VLOOKUP(OrdersRawTable9[[#This Row],[Order_Line_ID]],ReturnsRawTable[[Order_Line_ID]:[Refund_Status]],4,FALSE),"")</f>
        <v/>
      </c>
      <c r="AG677" s="45" t="str">
        <f>VLOOKUP(OrdersRawTable9[[#This Row],[Order_ID]],ShipmentsTable[],6,FALSE)</f>
        <v>Late</v>
      </c>
      <c r="AH677" s="49">
        <f>VLOOKUP(OrdersRawTable9[[#This Row],[Order_ID]],ShipmentsTable[],3,FALSE)</f>
        <v>45880</v>
      </c>
    </row>
    <row r="678" spans="1:34" ht="15" customHeight="1">
      <c r="A678" s="14" t="s">
        <v>1328</v>
      </c>
      <c r="B678" s="10" t="s">
        <v>1329</v>
      </c>
      <c r="C678" s="20">
        <v>45773</v>
      </c>
      <c r="D678" s="10" t="s">
        <v>652</v>
      </c>
      <c r="E678" s="10" t="s">
        <v>653</v>
      </c>
      <c r="F678" s="10" t="str">
        <f>TRIM(LEFT(OrdersRawTable9[[#This Row],[Customer_Info]],FIND(",",OrdersRawTable9[[#This Row],[Customer_Info]])-1))</f>
        <v>Liam Wilson</v>
      </c>
      <c r="G67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678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678" s="10">
        <f>LEN(OrdersRawTable9[[#This Row],[Customer_Info]])-LEN(SUBSTITUTE(OrdersRawTable9[[#This Row],[Customer_Info]],",",""))</f>
        <v>2</v>
      </c>
      <c r="J678" s="10" t="s">
        <v>279</v>
      </c>
      <c r="K678" s="23">
        <v>2</v>
      </c>
      <c r="L678" s="26">
        <v>52.79</v>
      </c>
      <c r="M678" s="29">
        <v>0</v>
      </c>
      <c r="N678" s="10" t="s">
        <v>66</v>
      </c>
      <c r="O678" s="10" t="str">
        <f>IF(TRIM(OrdersRawTable9[[#This Row],[Sales_Channel_Raw]])="Market place","Marketplace",TRIM(OrdersRawTable9[[#This Row],[Sales_Channel_Raw]]))</f>
        <v>Marketplace</v>
      </c>
      <c r="P678" s="10" t="s">
        <v>41</v>
      </c>
      <c r="Q678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678" s="15" t="s">
        <v>101</v>
      </c>
      <c r="S678" t="str">
        <f>VLOOKUP(OrdersRawTable9[[#This Row],[Customer_ID_Raw]],CustomersTable11[],4,FALSE)</f>
        <v>Quebec</v>
      </c>
      <c r="T678" t="str">
        <f>VLOOKUP(OrdersRawTable9[[#This Row],[Customer_ID_Raw]],CustomersTable11[],5,FALSE)</f>
        <v>Small Business</v>
      </c>
      <c r="U678" s="45">
        <f>VLOOKUP(OrdersRawTable9[[#This Row],[Product_ID]],ProductsTable10[],4,FALSE)</f>
        <v>28.17</v>
      </c>
      <c r="V678" t="str">
        <f>VLOOKUP(OrdersRawTable9[[#This Row],[Product_ID]],ProductsTable10[],3,FALSE)</f>
        <v>Office</v>
      </c>
      <c r="W678" s="45">
        <f>OrdersRawTable9[[#This Row],[Unit_Price]]*OrdersRawTable9[[#This Row],[Quantity]]</f>
        <v>105.58</v>
      </c>
      <c r="X678" s="47">
        <f>OrdersRawTable9[[#This Row],[Gross_Sales]]*OrdersRawTable9[[#This Row],[Discount_Pct]]</f>
        <v>0</v>
      </c>
      <c r="Y678" s="45">
        <f>OrdersRawTable9[[#This Row],[Gross_Sales]]-OrdersRawTable9[[#This Row],[Discount_Amount]]</f>
        <v>105.58</v>
      </c>
      <c r="Z678" s="45">
        <f>OrdersRawTable9[[#This Row],[Unit_Cost]]*OrdersRawTable9[[#This Row],[Quantity]]</f>
        <v>56.34</v>
      </c>
      <c r="AA678" s="45">
        <f>OrdersRawTable9[[#This Row],[Net_Sales]]-OrdersRawTable9[[#This Row],[Total_Cost]]</f>
        <v>49.239999999999995</v>
      </c>
      <c r="AB678" s="48">
        <f>IF(OrdersRawTable9[[#This Row],[Net_Sales]]=0,0,OrdersRawTable9[[#This Row],[Profit]]/OrdersRawTable9[[#This Row],[Net_Sales]])</f>
        <v>0.46637620761507859</v>
      </c>
      <c r="AC678" s="45" t="str">
        <f>IF(COUNTIF(ReturnsRawTable[Order_Line_ID],OrdersRawTable9[[#This Row],[Order_Line_ID]])&gt;0,"Yes","No")</f>
        <v>Yes</v>
      </c>
      <c r="AD678" s="45" t="str">
        <f>IFERROR(VLOOKUP(OrdersRawTable9[[#This Row],[Order_Line_ID]],ReturnsRawTable[[#All],[Order_Line_ID]:[Return_Reason_Raw]],3,FALSE),"")</f>
        <v>Late Delivery</v>
      </c>
      <c r="AE678" s="49">
        <f>IFERROR(VLOOKUP(OrdersRawTable9[[#This Row],[Order_Line_ID]],ReturnsRawTable[[#All],[Order_Line_ID]:[Return_Date]],2,FALSE),"")</f>
        <v>45778</v>
      </c>
      <c r="AF678" s="45" t="str">
        <f>IFERROR(VLOOKUP(OrdersRawTable9[[#This Row],[Order_Line_ID]],ReturnsRawTable[[Order_Line_ID]:[Refund_Status]],4,FALSE),"")</f>
        <v>Refunded</v>
      </c>
      <c r="AG678" s="45" t="str">
        <f>VLOOKUP(OrdersRawTable9[[#This Row],[Order_ID]],ShipmentsTable[],6,FALSE)</f>
        <v>On time</v>
      </c>
      <c r="AH678" s="49">
        <f>VLOOKUP(OrdersRawTable9[[#This Row],[Order_ID]],ShipmentsTable[],3,FALSE)</f>
        <v>45774</v>
      </c>
    </row>
    <row r="679" spans="1:34" ht="15" customHeight="1">
      <c r="A679" s="14" t="s">
        <v>1330</v>
      </c>
      <c r="B679" s="10" t="s">
        <v>1329</v>
      </c>
      <c r="C679" s="20">
        <v>45773</v>
      </c>
      <c r="D679" s="10" t="s">
        <v>652</v>
      </c>
      <c r="E679" s="10" t="s">
        <v>653</v>
      </c>
      <c r="F679" s="10" t="str">
        <f>TRIM(LEFT(OrdersRawTable9[[#This Row],[Customer_Info]],FIND(",",OrdersRawTable9[[#This Row],[Customer_Info]])-1))</f>
        <v>Liam Wilson</v>
      </c>
      <c r="G67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679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679" s="10">
        <f>LEN(OrdersRawTable9[[#This Row],[Customer_Info]])-LEN(SUBSTITUTE(OrdersRawTable9[[#This Row],[Customer_Info]],",",""))</f>
        <v>2</v>
      </c>
      <c r="J679" s="10" t="s">
        <v>521</v>
      </c>
      <c r="K679" s="23">
        <v>1</v>
      </c>
      <c r="L679" s="26">
        <v>37.82</v>
      </c>
      <c r="M679" s="29">
        <v>0.1</v>
      </c>
      <c r="N679" s="10" t="s">
        <v>66</v>
      </c>
      <c r="O679" s="10" t="str">
        <f>IF(TRIM(OrdersRawTable9[[#This Row],[Sales_Channel_Raw]])="Market place","Marketplace",TRIM(OrdersRawTable9[[#This Row],[Sales_Channel_Raw]]))</f>
        <v>Marketplace</v>
      </c>
      <c r="P679" s="10" t="s">
        <v>98</v>
      </c>
      <c r="Q679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679" s="15" t="s">
        <v>67</v>
      </c>
      <c r="S679" t="str">
        <f>VLOOKUP(OrdersRawTable9[[#This Row],[Customer_ID_Raw]],CustomersTable11[],4,FALSE)</f>
        <v>Quebec</v>
      </c>
      <c r="T679" t="str">
        <f>VLOOKUP(OrdersRawTable9[[#This Row],[Customer_ID_Raw]],CustomersTable11[],5,FALSE)</f>
        <v>Small Business</v>
      </c>
      <c r="U679" s="45">
        <f>VLOOKUP(OrdersRawTable9[[#This Row],[Product_ID]],ProductsTable10[],4,FALSE)</f>
        <v>24.76</v>
      </c>
      <c r="V679" t="str">
        <f>VLOOKUP(OrdersRawTable9[[#This Row],[Product_ID]],ProductsTable10[],3,FALSE)</f>
        <v>Electronics</v>
      </c>
      <c r="W679" s="45">
        <f>OrdersRawTable9[[#This Row],[Unit_Price]]*OrdersRawTable9[[#This Row],[Quantity]]</f>
        <v>37.82</v>
      </c>
      <c r="X679" s="47">
        <f>OrdersRawTable9[[#This Row],[Gross_Sales]]*OrdersRawTable9[[#This Row],[Discount_Pct]]</f>
        <v>3.782</v>
      </c>
      <c r="Y679" s="45">
        <f>OrdersRawTable9[[#This Row],[Gross_Sales]]-OrdersRawTable9[[#This Row],[Discount_Amount]]</f>
        <v>34.037999999999997</v>
      </c>
      <c r="Z679" s="45">
        <f>OrdersRawTable9[[#This Row],[Unit_Cost]]*OrdersRawTable9[[#This Row],[Quantity]]</f>
        <v>24.76</v>
      </c>
      <c r="AA679" s="45">
        <f>OrdersRawTable9[[#This Row],[Net_Sales]]-OrdersRawTable9[[#This Row],[Total_Cost]]</f>
        <v>9.2779999999999951</v>
      </c>
      <c r="AB679" s="48">
        <f>IF(OrdersRawTable9[[#This Row],[Net_Sales]]=0,0,OrdersRawTable9[[#This Row],[Profit]]/OrdersRawTable9[[#This Row],[Net_Sales]])</f>
        <v>0.27257770726834701</v>
      </c>
      <c r="AC679" s="45" t="str">
        <f>IF(COUNTIF(ReturnsRawTable[Order_Line_ID],OrdersRawTable9[[#This Row],[Order_Line_ID]])&gt;0,"Yes","No")</f>
        <v>Yes</v>
      </c>
      <c r="AD679" s="45" t="str">
        <f>IFERROR(VLOOKUP(OrdersRawTable9[[#This Row],[Order_Line_ID]],ReturnsRawTable[[#All],[Order_Line_ID]:[Return_Reason_Raw]],3,FALSE),"")</f>
        <v>Damaged</v>
      </c>
      <c r="AE679" s="49">
        <f>IFERROR(VLOOKUP(OrdersRawTable9[[#This Row],[Order_Line_ID]],ReturnsRawTable[[#All],[Order_Line_ID]:[Return_Date]],2,FALSE),"")</f>
        <v>45780</v>
      </c>
      <c r="AF679" s="45" t="str">
        <f>IFERROR(VLOOKUP(OrdersRawTable9[[#This Row],[Order_Line_ID]],ReturnsRawTable[[Order_Line_ID]:[Refund_Status]],4,FALSE),"")</f>
        <v>Refunded</v>
      </c>
      <c r="AG679" s="45" t="str">
        <f>VLOOKUP(OrdersRawTable9[[#This Row],[Order_ID]],ShipmentsTable[],6,FALSE)</f>
        <v>On time</v>
      </c>
      <c r="AH679" s="49">
        <f>VLOOKUP(OrdersRawTable9[[#This Row],[Order_ID]],ShipmentsTable[],3,FALSE)</f>
        <v>45774</v>
      </c>
    </row>
    <row r="680" spans="1:34" ht="15" customHeight="1">
      <c r="A680" s="14" t="s">
        <v>1331</v>
      </c>
      <c r="B680" s="10" t="s">
        <v>1329</v>
      </c>
      <c r="C680" s="20">
        <v>45773</v>
      </c>
      <c r="D680" s="10" t="s">
        <v>652</v>
      </c>
      <c r="E680" s="10" t="s">
        <v>653</v>
      </c>
      <c r="F680" s="10" t="str">
        <f>TRIM(LEFT(OrdersRawTable9[[#This Row],[Customer_Info]],FIND(",",OrdersRawTable9[[#This Row],[Customer_Info]])-1))</f>
        <v>Liam Wilson</v>
      </c>
      <c r="G68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680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680" s="10">
        <f>LEN(OrdersRawTable9[[#This Row],[Customer_Info]])-LEN(SUBSTITUTE(OrdersRawTable9[[#This Row],[Customer_Info]],",",""))</f>
        <v>2</v>
      </c>
      <c r="J680" s="10" t="s">
        <v>44</v>
      </c>
      <c r="K680" s="23">
        <v>4</v>
      </c>
      <c r="L680" s="26">
        <v>238.47</v>
      </c>
      <c r="M680" s="29">
        <v>0.15</v>
      </c>
      <c r="N680" s="10" t="s">
        <v>45</v>
      </c>
      <c r="O680" s="10" t="str">
        <f>IF(TRIM(OrdersRawTable9[[#This Row],[Sales_Channel_Raw]])="Market place","Marketplace",TRIM(OrdersRawTable9[[#This Row],[Sales_Channel_Raw]]))</f>
        <v>Retail Store</v>
      </c>
      <c r="P680" s="10" t="s">
        <v>46</v>
      </c>
      <c r="Q680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680" s="15" t="s">
        <v>101</v>
      </c>
      <c r="S680" t="str">
        <f>VLOOKUP(OrdersRawTable9[[#This Row],[Customer_ID_Raw]],CustomersTable11[],4,FALSE)</f>
        <v>Quebec</v>
      </c>
      <c r="T680" t="str">
        <f>VLOOKUP(OrdersRawTable9[[#This Row],[Customer_ID_Raw]],CustomersTable11[],5,FALSE)</f>
        <v>Small Business</v>
      </c>
      <c r="U680" s="45">
        <f>VLOOKUP(OrdersRawTable9[[#This Row],[Product_ID]],ProductsTable10[],4,FALSE)</f>
        <v>127.65</v>
      </c>
      <c r="V680" t="str">
        <f>VLOOKUP(OrdersRawTable9[[#This Row],[Product_ID]],ProductsTable10[],3,FALSE)</f>
        <v>Accessories</v>
      </c>
      <c r="W680" s="45">
        <f>OrdersRawTable9[[#This Row],[Unit_Price]]*OrdersRawTable9[[#This Row],[Quantity]]</f>
        <v>953.88</v>
      </c>
      <c r="X680" s="47">
        <f>OrdersRawTable9[[#This Row],[Gross_Sales]]*OrdersRawTable9[[#This Row],[Discount_Pct]]</f>
        <v>143.08199999999999</v>
      </c>
      <c r="Y680" s="45">
        <f>OrdersRawTable9[[#This Row],[Gross_Sales]]-OrdersRawTable9[[#This Row],[Discount_Amount]]</f>
        <v>810.798</v>
      </c>
      <c r="Z680" s="45">
        <f>OrdersRawTable9[[#This Row],[Unit_Cost]]*OrdersRawTable9[[#This Row],[Quantity]]</f>
        <v>510.6</v>
      </c>
      <c r="AA680" s="45">
        <f>OrdersRawTable9[[#This Row],[Net_Sales]]-OrdersRawTable9[[#This Row],[Total_Cost]]</f>
        <v>300.19799999999998</v>
      </c>
      <c r="AB680" s="48">
        <f>IF(OrdersRawTable9[[#This Row],[Net_Sales]]=0,0,OrdersRawTable9[[#This Row],[Profit]]/OrdersRawTable9[[#This Row],[Net_Sales]])</f>
        <v>0.3702500499507892</v>
      </c>
      <c r="AC680" s="45" t="str">
        <f>IF(COUNTIF(ReturnsRawTable[Order_Line_ID],OrdersRawTable9[[#This Row],[Order_Line_ID]])&gt;0,"Yes","No")</f>
        <v>No</v>
      </c>
      <c r="AD680" s="45" t="str">
        <f>IFERROR(VLOOKUP(OrdersRawTable9[[#This Row],[Order_Line_ID]],ReturnsRawTable[[#All],[Order_Line_ID]:[Return_Reason_Raw]],3,FALSE),"")</f>
        <v/>
      </c>
      <c r="AE680" s="49" t="str">
        <f>IFERROR(VLOOKUP(OrdersRawTable9[[#This Row],[Order_Line_ID]],ReturnsRawTable[[#All],[Order_Line_ID]:[Return_Date]],2,FALSE),"")</f>
        <v/>
      </c>
      <c r="AF680" s="45" t="str">
        <f>IFERROR(VLOOKUP(OrdersRawTable9[[#This Row],[Order_Line_ID]],ReturnsRawTable[[Order_Line_ID]:[Refund_Status]],4,FALSE),"")</f>
        <v/>
      </c>
      <c r="AG680" s="45" t="str">
        <f>VLOOKUP(OrdersRawTable9[[#This Row],[Order_ID]],ShipmentsTable[],6,FALSE)</f>
        <v>On time</v>
      </c>
      <c r="AH680" s="49">
        <f>VLOOKUP(OrdersRawTable9[[#This Row],[Order_ID]],ShipmentsTable[],3,FALSE)</f>
        <v>45774</v>
      </c>
    </row>
    <row r="681" spans="1:34" ht="15" customHeight="1">
      <c r="A681" s="14" t="s">
        <v>1332</v>
      </c>
      <c r="B681" s="10" t="s">
        <v>1333</v>
      </c>
      <c r="C681" s="20">
        <v>45713.041666666664</v>
      </c>
      <c r="D681" s="10" t="s">
        <v>1334</v>
      </c>
      <c r="E681" s="10" t="s">
        <v>116</v>
      </c>
      <c r="F681" s="10" t="str">
        <f>TRIM(LEFT(OrdersRawTable9[[#This Row],[Customer_Info]],FIND(",",OrdersRawTable9[[#This Row],[Customer_Info]])-1))</f>
        <v>Ethan Martin</v>
      </c>
      <c r="G68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681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681" s="10">
        <f>LEN(OrdersRawTable9[[#This Row],[Customer_Info]])-LEN(SUBSTITUTE(OrdersRawTable9[[#This Row],[Customer_Info]],",",""))</f>
        <v>2</v>
      </c>
      <c r="J681" s="10" t="s">
        <v>220</v>
      </c>
      <c r="K681" s="23">
        <v>2</v>
      </c>
      <c r="L681" s="26">
        <v>25.01</v>
      </c>
      <c r="M681" s="29">
        <v>0.05</v>
      </c>
      <c r="N681" s="10" t="s">
        <v>45</v>
      </c>
      <c r="O681" s="10" t="str">
        <f>IF(TRIM(OrdersRawTable9[[#This Row],[Sales_Channel_Raw]])="Market place","Marketplace",TRIM(OrdersRawTable9[[#This Row],[Sales_Channel_Raw]]))</f>
        <v>Retail Store</v>
      </c>
      <c r="P681" s="10"/>
      <c r="Q681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681" s="15" t="s">
        <v>42</v>
      </c>
      <c r="S681" t="str">
        <f>VLOOKUP(OrdersRawTable9[[#This Row],[Customer_ID_Raw]],CustomersTable11[],4,FALSE)</f>
        <v>Ontario</v>
      </c>
      <c r="T681" t="str">
        <f>VLOOKUP(OrdersRawTable9[[#This Row],[Customer_ID_Raw]],CustomersTable11[],5,FALSE)</f>
        <v>Consumer</v>
      </c>
      <c r="U681" s="45">
        <f>VLOOKUP(OrdersRawTable9[[#This Row],[Product_ID]],ProductsTable10[],4,FALSE)</f>
        <v>16.86</v>
      </c>
      <c r="V681" t="str">
        <f>VLOOKUP(OrdersRawTable9[[#This Row],[Product_ID]],ProductsTable10[],3,FALSE)</f>
        <v>Office</v>
      </c>
      <c r="W681" s="45">
        <f>OrdersRawTable9[[#This Row],[Unit_Price]]*OrdersRawTable9[[#This Row],[Quantity]]</f>
        <v>50.02</v>
      </c>
      <c r="X681" s="47">
        <f>OrdersRawTable9[[#This Row],[Gross_Sales]]*OrdersRawTable9[[#This Row],[Discount_Pct]]</f>
        <v>2.5010000000000003</v>
      </c>
      <c r="Y681" s="45">
        <f>OrdersRawTable9[[#This Row],[Gross_Sales]]-OrdersRawTable9[[#This Row],[Discount_Amount]]</f>
        <v>47.519000000000005</v>
      </c>
      <c r="Z681" s="45">
        <f>OrdersRawTable9[[#This Row],[Unit_Cost]]*OrdersRawTable9[[#This Row],[Quantity]]</f>
        <v>33.72</v>
      </c>
      <c r="AA681" s="45">
        <f>OrdersRawTable9[[#This Row],[Net_Sales]]-OrdersRawTable9[[#This Row],[Total_Cost]]</f>
        <v>13.799000000000007</v>
      </c>
      <c r="AB681" s="48">
        <f>IF(OrdersRawTable9[[#This Row],[Net_Sales]]=0,0,OrdersRawTable9[[#This Row],[Profit]]/OrdersRawTable9[[#This Row],[Net_Sales]])</f>
        <v>0.29038910751488889</v>
      </c>
      <c r="AC681" s="45" t="str">
        <f>IF(COUNTIF(ReturnsRawTable[Order_Line_ID],OrdersRawTable9[[#This Row],[Order_Line_ID]])&gt;0,"Yes","No")</f>
        <v>Yes</v>
      </c>
      <c r="AD681" s="45" t="str">
        <f>IFERROR(VLOOKUP(OrdersRawTable9[[#This Row],[Order_Line_ID]],ReturnsRawTable[[#All],[Order_Line_ID]:[Return_Reason_Raw]],3,FALSE),"")</f>
        <v>Wrong item</v>
      </c>
      <c r="AE681" s="49">
        <f>IFERROR(VLOOKUP(OrdersRawTable9[[#This Row],[Order_Line_ID]],ReturnsRawTable[[#All],[Order_Line_ID]:[Return_Date]],2,FALSE),"")</f>
        <v>45737.041666666664</v>
      </c>
      <c r="AF681" s="45" t="str">
        <f>IFERROR(VLOOKUP(OrdersRawTable9[[#This Row],[Order_Line_ID]],ReturnsRawTable[[Order_Line_ID]:[Refund_Status]],4,FALSE),"")</f>
        <v>Refunded</v>
      </c>
      <c r="AG681" s="45" t="str">
        <f>VLOOKUP(OrdersRawTable9[[#This Row],[Order_ID]],ShipmentsTable[],6,FALSE)</f>
        <v>Late</v>
      </c>
      <c r="AH681" s="49">
        <f>VLOOKUP(OrdersRawTable9[[#This Row],[Order_ID]],ShipmentsTable[],3,FALSE)</f>
        <v>45721.041666666664</v>
      </c>
    </row>
    <row r="682" spans="1:34" ht="15" customHeight="1">
      <c r="A682" s="14" t="s">
        <v>1335</v>
      </c>
      <c r="B682" s="10" t="s">
        <v>1333</v>
      </c>
      <c r="C682" s="20">
        <v>45713.041666666664</v>
      </c>
      <c r="D682" s="10" t="s">
        <v>144</v>
      </c>
      <c r="E682" s="10" t="s">
        <v>116</v>
      </c>
      <c r="F682" s="10" t="str">
        <f>TRIM(LEFT(OrdersRawTable9[[#This Row],[Customer_Info]],FIND(",",OrdersRawTable9[[#This Row],[Customer_Info]])-1))</f>
        <v>Ethan Martin</v>
      </c>
      <c r="G68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682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682" s="10">
        <f>LEN(OrdersRawTable9[[#This Row],[Customer_Info]])-LEN(SUBSTITUTE(OrdersRawTable9[[#This Row],[Customer_Info]],",",""))</f>
        <v>2</v>
      </c>
      <c r="J682" s="10" t="s">
        <v>119</v>
      </c>
      <c r="K682" s="23">
        <v>1</v>
      </c>
      <c r="L682" s="26">
        <v>103.3</v>
      </c>
      <c r="M682" s="29">
        <v>0</v>
      </c>
      <c r="N682" s="10" t="s">
        <v>66</v>
      </c>
      <c r="O682" s="10" t="str">
        <f>IF(TRIM(OrdersRawTable9[[#This Row],[Sales_Channel_Raw]])="Market place","Marketplace",TRIM(OrdersRawTable9[[#This Row],[Sales_Channel_Raw]]))</f>
        <v>Marketplace</v>
      </c>
      <c r="P682" s="10" t="s">
        <v>98</v>
      </c>
      <c r="Q682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682" s="15" t="s">
        <v>67</v>
      </c>
      <c r="S682" t="str">
        <f>VLOOKUP(OrdersRawTable9[[#This Row],[Customer_ID_Raw]],CustomersTable11[],4,FALSE)</f>
        <v>Ontario</v>
      </c>
      <c r="T682" t="str">
        <f>VLOOKUP(OrdersRawTable9[[#This Row],[Customer_ID_Raw]],CustomersTable11[],5,FALSE)</f>
        <v>Consumer</v>
      </c>
      <c r="U682" s="45">
        <f>VLOOKUP(OrdersRawTable9[[#This Row],[Product_ID]],ProductsTable10[],4,FALSE)</f>
        <v>70.180000000000007</v>
      </c>
      <c r="V682" t="str">
        <f>VLOOKUP(OrdersRawTable9[[#This Row],[Product_ID]],ProductsTable10[],3,FALSE)</f>
        <v>Home</v>
      </c>
      <c r="W682" s="45">
        <f>OrdersRawTable9[[#This Row],[Unit_Price]]*OrdersRawTable9[[#This Row],[Quantity]]</f>
        <v>103.3</v>
      </c>
      <c r="X682" s="47">
        <f>OrdersRawTable9[[#This Row],[Gross_Sales]]*OrdersRawTable9[[#This Row],[Discount_Pct]]</f>
        <v>0</v>
      </c>
      <c r="Y682" s="45">
        <f>OrdersRawTable9[[#This Row],[Gross_Sales]]-OrdersRawTable9[[#This Row],[Discount_Amount]]</f>
        <v>103.3</v>
      </c>
      <c r="Z682" s="45">
        <f>OrdersRawTable9[[#This Row],[Unit_Cost]]*OrdersRawTable9[[#This Row],[Quantity]]</f>
        <v>70.180000000000007</v>
      </c>
      <c r="AA682" s="45">
        <f>OrdersRawTable9[[#This Row],[Net_Sales]]-OrdersRawTable9[[#This Row],[Total_Cost]]</f>
        <v>33.11999999999999</v>
      </c>
      <c r="AB682" s="48">
        <f>IF(OrdersRawTable9[[#This Row],[Net_Sales]]=0,0,OrdersRawTable9[[#This Row],[Profit]]/OrdersRawTable9[[#This Row],[Net_Sales]])</f>
        <v>0.32061955469506281</v>
      </c>
      <c r="AC682" s="45" t="str">
        <f>IF(COUNTIF(ReturnsRawTable[Order_Line_ID],OrdersRawTable9[[#This Row],[Order_Line_ID]])&gt;0,"Yes","No")</f>
        <v>No</v>
      </c>
      <c r="AD682" s="45" t="str">
        <f>IFERROR(VLOOKUP(OrdersRawTable9[[#This Row],[Order_Line_ID]],ReturnsRawTable[[#All],[Order_Line_ID]:[Return_Reason_Raw]],3,FALSE),"")</f>
        <v/>
      </c>
      <c r="AE682" s="49" t="str">
        <f>IFERROR(VLOOKUP(OrdersRawTable9[[#This Row],[Order_Line_ID]],ReturnsRawTable[[#All],[Order_Line_ID]:[Return_Date]],2,FALSE),"")</f>
        <v/>
      </c>
      <c r="AF682" s="45" t="str">
        <f>IFERROR(VLOOKUP(OrdersRawTable9[[#This Row],[Order_Line_ID]],ReturnsRawTable[[Order_Line_ID]:[Refund_Status]],4,FALSE),"")</f>
        <v/>
      </c>
      <c r="AG682" s="45" t="str">
        <f>VLOOKUP(OrdersRawTable9[[#This Row],[Order_ID]],ShipmentsTable[],6,FALSE)</f>
        <v>Late</v>
      </c>
      <c r="AH682" s="49">
        <f>VLOOKUP(OrdersRawTable9[[#This Row],[Order_ID]],ShipmentsTable[],3,FALSE)</f>
        <v>45721.041666666664</v>
      </c>
    </row>
    <row r="683" spans="1:34" ht="15" customHeight="1">
      <c r="A683" s="14" t="s">
        <v>1336</v>
      </c>
      <c r="B683" s="10" t="s">
        <v>1333</v>
      </c>
      <c r="C683" s="20">
        <v>45713.041666666664</v>
      </c>
      <c r="D683" s="10" t="s">
        <v>144</v>
      </c>
      <c r="E683" s="10" t="s">
        <v>116</v>
      </c>
      <c r="F683" s="10" t="str">
        <f>TRIM(LEFT(OrdersRawTable9[[#This Row],[Customer_Info]],FIND(",",OrdersRawTable9[[#This Row],[Customer_Info]])-1))</f>
        <v>Ethan Martin</v>
      </c>
      <c r="G68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683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683" s="10">
        <f>LEN(OrdersRawTable9[[#This Row],[Customer_Info]])-LEN(SUBSTITUTE(OrdersRawTable9[[#This Row],[Customer_Info]],",",""))</f>
        <v>2</v>
      </c>
      <c r="J683" s="10" t="s">
        <v>136</v>
      </c>
      <c r="K683" s="23">
        <v>1</v>
      </c>
      <c r="L683" s="26">
        <v>141.46</v>
      </c>
      <c r="M683" s="29">
        <v>0.1</v>
      </c>
      <c r="N683" s="10" t="s">
        <v>40</v>
      </c>
      <c r="O683" s="10" t="str">
        <f>IF(TRIM(OrdersRawTable9[[#This Row],[Sales_Channel_Raw]])="Market place","Marketplace",TRIM(OrdersRawTable9[[#This Row],[Sales_Channel_Raw]]))</f>
        <v>Online</v>
      </c>
      <c r="P683" s="10" t="s">
        <v>51</v>
      </c>
      <c r="Q683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683" s="15" t="s">
        <v>42</v>
      </c>
      <c r="S683" t="str">
        <f>VLOOKUP(OrdersRawTable9[[#This Row],[Customer_ID_Raw]],CustomersTable11[],4,FALSE)</f>
        <v>Ontario</v>
      </c>
      <c r="T683" t="str">
        <f>VLOOKUP(OrdersRawTable9[[#This Row],[Customer_ID_Raw]],CustomersTable11[],5,FALSE)</f>
        <v>Consumer</v>
      </c>
      <c r="U683" s="45">
        <f>VLOOKUP(OrdersRawTable9[[#This Row],[Product_ID]],ProductsTable10[],4,FALSE)</f>
        <v>78.650000000000006</v>
      </c>
      <c r="V683" t="str">
        <f>VLOOKUP(OrdersRawTable9[[#This Row],[Product_ID]],ProductsTable10[],3,FALSE)</f>
        <v>Fitness</v>
      </c>
      <c r="W683" s="45">
        <f>OrdersRawTable9[[#This Row],[Unit_Price]]*OrdersRawTable9[[#This Row],[Quantity]]</f>
        <v>141.46</v>
      </c>
      <c r="X683" s="47">
        <f>OrdersRawTable9[[#This Row],[Gross_Sales]]*OrdersRawTable9[[#This Row],[Discount_Pct]]</f>
        <v>14.146000000000001</v>
      </c>
      <c r="Y683" s="45">
        <f>OrdersRawTable9[[#This Row],[Gross_Sales]]-OrdersRawTable9[[#This Row],[Discount_Amount]]</f>
        <v>127.31400000000001</v>
      </c>
      <c r="Z683" s="45">
        <f>OrdersRawTable9[[#This Row],[Unit_Cost]]*OrdersRawTable9[[#This Row],[Quantity]]</f>
        <v>78.650000000000006</v>
      </c>
      <c r="AA683" s="45">
        <f>OrdersRawTable9[[#This Row],[Net_Sales]]-OrdersRawTable9[[#This Row],[Total_Cost]]</f>
        <v>48.664000000000001</v>
      </c>
      <c r="AB683" s="48">
        <f>IF(OrdersRawTable9[[#This Row],[Net_Sales]]=0,0,OrdersRawTable9[[#This Row],[Profit]]/OrdersRawTable9[[#This Row],[Net_Sales]])</f>
        <v>0.38223604631069635</v>
      </c>
      <c r="AC683" s="45" t="str">
        <f>IF(COUNTIF(ReturnsRawTable[Order_Line_ID],OrdersRawTable9[[#This Row],[Order_Line_ID]])&gt;0,"Yes","No")</f>
        <v>Yes</v>
      </c>
      <c r="AD683" s="45" t="str">
        <f>IFERROR(VLOOKUP(OrdersRawTable9[[#This Row],[Order_Line_ID]],ReturnsRawTable[[#All],[Order_Line_ID]:[Return_Reason_Raw]],3,FALSE),"")</f>
        <v>Late Delivery</v>
      </c>
      <c r="AE683" s="49">
        <f>IFERROR(VLOOKUP(OrdersRawTable9[[#This Row],[Order_Line_ID]],ReturnsRawTable[[#All],[Order_Line_ID]:[Return_Date]],2,FALSE),"")</f>
        <v>45722.041666666664</v>
      </c>
      <c r="AF683" s="45" t="str">
        <f>IFERROR(VLOOKUP(OrdersRawTable9[[#This Row],[Order_Line_ID]],ReturnsRawTable[[Order_Line_ID]:[Refund_Status]],4,FALSE),"")</f>
        <v>Refunded</v>
      </c>
      <c r="AG683" s="45" t="str">
        <f>VLOOKUP(OrdersRawTable9[[#This Row],[Order_ID]],ShipmentsTable[],6,FALSE)</f>
        <v>Late</v>
      </c>
      <c r="AH683" s="49">
        <f>VLOOKUP(OrdersRawTable9[[#This Row],[Order_ID]],ShipmentsTable[],3,FALSE)</f>
        <v>45721.041666666664</v>
      </c>
    </row>
    <row r="684" spans="1:34" ht="15" customHeight="1">
      <c r="A684" s="14" t="s">
        <v>1337</v>
      </c>
      <c r="B684" s="10" t="s">
        <v>1338</v>
      </c>
      <c r="C684" s="20">
        <v>45855</v>
      </c>
      <c r="D684" s="10" t="s">
        <v>490</v>
      </c>
      <c r="E684" s="10" t="s">
        <v>491</v>
      </c>
      <c r="F684" s="10" t="str">
        <f>TRIM(LEFT(OrdersRawTable9[[#This Row],[Customer_Info]],FIND(",",OrdersRawTable9[[#This Row],[Customer_Info]])-1))</f>
        <v>Adam Gagnon</v>
      </c>
      <c r="G68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684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684" s="10">
        <f>LEN(OrdersRawTable9[[#This Row],[Customer_Info]])-LEN(SUBSTITUTE(OrdersRawTable9[[#This Row],[Customer_Info]],",",""))</f>
        <v>2</v>
      </c>
      <c r="J684" s="10" t="s">
        <v>80</v>
      </c>
      <c r="K684" s="23">
        <v>3</v>
      </c>
      <c r="L684" s="26">
        <v>142.16</v>
      </c>
      <c r="M684" s="29">
        <v>0.15</v>
      </c>
      <c r="N684" s="10" t="s">
        <v>45</v>
      </c>
      <c r="O684" s="10" t="str">
        <f>IF(TRIM(OrdersRawTable9[[#This Row],[Sales_Channel_Raw]])="Market place","Marketplace",TRIM(OrdersRawTable9[[#This Row],[Sales_Channel_Raw]]))</f>
        <v>Retail Store</v>
      </c>
      <c r="P684" s="10" t="s">
        <v>58</v>
      </c>
      <c r="Q684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684" s="15" t="s">
        <v>52</v>
      </c>
      <c r="S684" t="str">
        <f>VLOOKUP(OrdersRawTable9[[#This Row],[Customer_ID_Raw]],CustomersTable11[],4,FALSE)</f>
        <v>Alberta</v>
      </c>
      <c r="T684" t="str">
        <f>VLOOKUP(OrdersRawTable9[[#This Row],[Customer_ID_Raw]],CustomersTable11[],5,FALSE)</f>
        <v>Consumer</v>
      </c>
      <c r="U684" s="45">
        <f>VLOOKUP(OrdersRawTable9[[#This Row],[Product_ID]],ProductsTable10[],4,FALSE)</f>
        <v>85.34</v>
      </c>
      <c r="V684" t="str">
        <f>VLOOKUP(OrdersRawTable9[[#This Row],[Product_ID]],ProductsTable10[],3,FALSE)</f>
        <v>Home</v>
      </c>
      <c r="W684" s="45">
        <f>OrdersRawTable9[[#This Row],[Unit_Price]]*OrdersRawTable9[[#This Row],[Quantity]]</f>
        <v>426.48</v>
      </c>
      <c r="X684" s="47">
        <f>OrdersRawTable9[[#This Row],[Gross_Sales]]*OrdersRawTable9[[#This Row],[Discount_Pct]]</f>
        <v>63.972000000000001</v>
      </c>
      <c r="Y684" s="45">
        <f>OrdersRawTable9[[#This Row],[Gross_Sales]]-OrdersRawTable9[[#This Row],[Discount_Amount]]</f>
        <v>362.50800000000004</v>
      </c>
      <c r="Z684" s="45">
        <f>OrdersRawTable9[[#This Row],[Unit_Cost]]*OrdersRawTable9[[#This Row],[Quantity]]</f>
        <v>256.02</v>
      </c>
      <c r="AA684" s="45">
        <f>OrdersRawTable9[[#This Row],[Net_Sales]]-OrdersRawTable9[[#This Row],[Total_Cost]]</f>
        <v>106.48800000000006</v>
      </c>
      <c r="AB684" s="48">
        <f>IF(OrdersRawTable9[[#This Row],[Net_Sales]]=0,0,OrdersRawTable9[[#This Row],[Profit]]/OrdersRawTable9[[#This Row],[Net_Sales]])</f>
        <v>0.29375351716375925</v>
      </c>
      <c r="AC684" s="45" t="str">
        <f>IF(COUNTIF(ReturnsRawTable[Order_Line_ID],OrdersRawTable9[[#This Row],[Order_Line_ID]])&gt;0,"Yes","No")</f>
        <v>No</v>
      </c>
      <c r="AD684" s="45" t="str">
        <f>IFERROR(VLOOKUP(OrdersRawTable9[[#This Row],[Order_Line_ID]],ReturnsRawTable[[#All],[Order_Line_ID]:[Return_Reason_Raw]],3,FALSE),"")</f>
        <v/>
      </c>
      <c r="AE684" s="49" t="str">
        <f>IFERROR(VLOOKUP(OrdersRawTable9[[#This Row],[Order_Line_ID]],ReturnsRawTable[[#All],[Order_Line_ID]:[Return_Date]],2,FALSE),"")</f>
        <v/>
      </c>
      <c r="AF684" s="45" t="str">
        <f>IFERROR(VLOOKUP(OrdersRawTable9[[#This Row],[Order_Line_ID]],ReturnsRawTable[[Order_Line_ID]:[Refund_Status]],4,FALSE),"")</f>
        <v/>
      </c>
      <c r="AG684" s="45" t="str">
        <f>VLOOKUP(OrdersRawTable9[[#This Row],[Order_ID]],ShipmentsTable[],6,FALSE)</f>
        <v>Late</v>
      </c>
      <c r="AH684" s="49">
        <f>VLOOKUP(OrdersRawTable9[[#This Row],[Order_ID]],ShipmentsTable[],3,FALSE)</f>
        <v>45863</v>
      </c>
    </row>
    <row r="685" spans="1:34" ht="15" customHeight="1">
      <c r="A685" s="14" t="s">
        <v>1339</v>
      </c>
      <c r="B685" s="10" t="s">
        <v>1338</v>
      </c>
      <c r="C685" s="20">
        <v>45855</v>
      </c>
      <c r="D685" s="10" t="s">
        <v>490</v>
      </c>
      <c r="E685" s="10" t="s">
        <v>491</v>
      </c>
      <c r="F685" s="10" t="str">
        <f>TRIM(LEFT(OrdersRawTable9[[#This Row],[Customer_Info]],FIND(",",OrdersRawTable9[[#This Row],[Customer_Info]])-1))</f>
        <v>Adam Gagnon</v>
      </c>
      <c r="G68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685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685" s="10">
        <f>LEN(OrdersRawTable9[[#This Row],[Customer_Info]])-LEN(SUBSTITUTE(OrdersRawTable9[[#This Row],[Customer_Info]],",",""))</f>
        <v>2</v>
      </c>
      <c r="J685" s="10" t="s">
        <v>276</v>
      </c>
      <c r="K685" s="23">
        <v>4</v>
      </c>
      <c r="L685" s="26">
        <v>182.94</v>
      </c>
      <c r="M685" s="29">
        <v>0</v>
      </c>
      <c r="N685" s="10" t="s">
        <v>50</v>
      </c>
      <c r="O685" s="10" t="str">
        <f>IF(TRIM(OrdersRawTable9[[#This Row],[Sales_Channel_Raw]])="Market place","Marketplace",TRIM(OrdersRawTable9[[#This Row],[Sales_Channel_Raw]]))</f>
        <v>Marketplace</v>
      </c>
      <c r="P685" s="10" t="s">
        <v>46</v>
      </c>
      <c r="Q685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685" s="15" t="s">
        <v>47</v>
      </c>
      <c r="S685" t="str">
        <f>VLOOKUP(OrdersRawTable9[[#This Row],[Customer_ID_Raw]],CustomersTable11[],4,FALSE)</f>
        <v>Alberta</v>
      </c>
      <c r="T685" t="str">
        <f>VLOOKUP(OrdersRawTable9[[#This Row],[Customer_ID_Raw]],CustomersTable11[],5,FALSE)</f>
        <v>Consumer</v>
      </c>
      <c r="U685" s="45">
        <f>VLOOKUP(OrdersRawTable9[[#This Row],[Product_ID]],ProductsTable10[],4,FALSE)</f>
        <v>118.95</v>
      </c>
      <c r="V685" t="str">
        <f>VLOOKUP(OrdersRawTable9[[#This Row],[Product_ID]],ProductsTable10[],3,FALSE)</f>
        <v>Fitness</v>
      </c>
      <c r="W685" s="45">
        <f>OrdersRawTable9[[#This Row],[Unit_Price]]*OrdersRawTable9[[#This Row],[Quantity]]</f>
        <v>731.76</v>
      </c>
      <c r="X685" s="47">
        <f>OrdersRawTable9[[#This Row],[Gross_Sales]]*OrdersRawTable9[[#This Row],[Discount_Pct]]</f>
        <v>0</v>
      </c>
      <c r="Y685" s="45">
        <f>OrdersRawTable9[[#This Row],[Gross_Sales]]-OrdersRawTable9[[#This Row],[Discount_Amount]]</f>
        <v>731.76</v>
      </c>
      <c r="Z685" s="45">
        <f>OrdersRawTable9[[#This Row],[Unit_Cost]]*OrdersRawTable9[[#This Row],[Quantity]]</f>
        <v>475.8</v>
      </c>
      <c r="AA685" s="45">
        <f>OrdersRawTable9[[#This Row],[Net_Sales]]-OrdersRawTable9[[#This Row],[Total_Cost]]</f>
        <v>255.95999999999998</v>
      </c>
      <c r="AB685" s="48">
        <f>IF(OrdersRawTable9[[#This Row],[Net_Sales]]=0,0,OrdersRawTable9[[#This Row],[Profit]]/OrdersRawTable9[[#This Row],[Net_Sales]])</f>
        <v>0.34978681534929484</v>
      </c>
      <c r="AC685" s="45" t="str">
        <f>IF(COUNTIF(ReturnsRawTable[Order_Line_ID],OrdersRawTable9[[#This Row],[Order_Line_ID]])&gt;0,"Yes","No")</f>
        <v>No</v>
      </c>
      <c r="AD685" s="45" t="str">
        <f>IFERROR(VLOOKUP(OrdersRawTable9[[#This Row],[Order_Line_ID]],ReturnsRawTable[[#All],[Order_Line_ID]:[Return_Reason_Raw]],3,FALSE),"")</f>
        <v/>
      </c>
      <c r="AE685" s="49" t="str">
        <f>IFERROR(VLOOKUP(OrdersRawTable9[[#This Row],[Order_Line_ID]],ReturnsRawTable[[#All],[Order_Line_ID]:[Return_Date]],2,FALSE),"")</f>
        <v/>
      </c>
      <c r="AF685" s="45" t="str">
        <f>IFERROR(VLOOKUP(OrdersRawTable9[[#This Row],[Order_Line_ID]],ReturnsRawTable[[Order_Line_ID]:[Refund_Status]],4,FALSE),"")</f>
        <v/>
      </c>
      <c r="AG685" s="45" t="str">
        <f>VLOOKUP(OrdersRawTable9[[#This Row],[Order_ID]],ShipmentsTable[],6,FALSE)</f>
        <v>Late</v>
      </c>
      <c r="AH685" s="49">
        <f>VLOOKUP(OrdersRawTable9[[#This Row],[Order_ID]],ShipmentsTable[],3,FALSE)</f>
        <v>45863</v>
      </c>
    </row>
    <row r="686" spans="1:34" ht="15" customHeight="1">
      <c r="A686" s="14" t="s">
        <v>1340</v>
      </c>
      <c r="B686" s="10" t="s">
        <v>1341</v>
      </c>
      <c r="C686" s="20">
        <v>45984</v>
      </c>
      <c r="D686" s="10" t="s">
        <v>249</v>
      </c>
      <c r="E686" s="10" t="s">
        <v>250</v>
      </c>
      <c r="F686" s="10" t="str">
        <f>TRIM(LEFT(OrdersRawTable9[[#This Row],[Customer_Info]],FIND(",",OrdersRawTable9[[#This Row],[Customer_Info]])-1))</f>
        <v>Maya Dubois</v>
      </c>
      <c r="G68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686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686" s="10">
        <f>LEN(OrdersRawTable9[[#This Row],[Customer_Info]])-LEN(SUBSTITUTE(OrdersRawTable9[[#This Row],[Customer_Info]],",",""))</f>
        <v>2</v>
      </c>
      <c r="J686" s="10" t="s">
        <v>204</v>
      </c>
      <c r="K686" s="23">
        <v>3</v>
      </c>
      <c r="L686" s="26">
        <v>244.25</v>
      </c>
      <c r="M686" s="29">
        <v>0.05</v>
      </c>
      <c r="N686" s="10" t="s">
        <v>45</v>
      </c>
      <c r="O686" s="10" t="str">
        <f>IF(TRIM(OrdersRawTable9[[#This Row],[Sales_Channel_Raw]])="Market place","Marketplace",TRIM(OrdersRawTable9[[#This Row],[Sales_Channel_Raw]]))</f>
        <v>Retail Store</v>
      </c>
      <c r="P686" s="10"/>
      <c r="Q686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686" s="15" t="s">
        <v>67</v>
      </c>
      <c r="S686" t="str">
        <f>VLOOKUP(OrdersRawTable9[[#This Row],[Customer_ID_Raw]],CustomersTable11[],4,FALSE)</f>
        <v>Manitoba</v>
      </c>
      <c r="T686" t="str">
        <f>VLOOKUP(OrdersRawTable9[[#This Row],[Customer_ID_Raw]],CustomersTable11[],5,FALSE)</f>
        <v>Small Business</v>
      </c>
      <c r="U686" s="45">
        <f>VLOOKUP(OrdersRawTable9[[#This Row],[Product_ID]],ProductsTable10[],4,FALSE)</f>
        <v>150.96</v>
      </c>
      <c r="V686" t="str">
        <f>VLOOKUP(OrdersRawTable9[[#This Row],[Product_ID]],ProductsTable10[],3,FALSE)</f>
        <v>Office</v>
      </c>
      <c r="W686" s="45">
        <f>OrdersRawTable9[[#This Row],[Unit_Price]]*OrdersRawTable9[[#This Row],[Quantity]]</f>
        <v>732.75</v>
      </c>
      <c r="X686" s="47">
        <f>OrdersRawTable9[[#This Row],[Gross_Sales]]*OrdersRawTable9[[#This Row],[Discount_Pct]]</f>
        <v>36.637500000000003</v>
      </c>
      <c r="Y686" s="45">
        <f>OrdersRawTable9[[#This Row],[Gross_Sales]]-OrdersRawTable9[[#This Row],[Discount_Amount]]</f>
        <v>696.11249999999995</v>
      </c>
      <c r="Z686" s="45">
        <f>OrdersRawTable9[[#This Row],[Unit_Cost]]*OrdersRawTable9[[#This Row],[Quantity]]</f>
        <v>452.88</v>
      </c>
      <c r="AA686" s="45">
        <f>OrdersRawTable9[[#This Row],[Net_Sales]]-OrdersRawTable9[[#This Row],[Total_Cost]]</f>
        <v>243.23249999999996</v>
      </c>
      <c r="AB686" s="48">
        <f>IF(OrdersRawTable9[[#This Row],[Net_Sales]]=0,0,OrdersRawTable9[[#This Row],[Profit]]/OrdersRawTable9[[#This Row],[Net_Sales]])</f>
        <v>0.34941550395948928</v>
      </c>
      <c r="AC686" s="45" t="str">
        <f>IF(COUNTIF(ReturnsRawTable[Order_Line_ID],OrdersRawTable9[[#This Row],[Order_Line_ID]])&gt;0,"Yes","No")</f>
        <v>Yes</v>
      </c>
      <c r="AD686" s="45" t="str">
        <f>IFERROR(VLOOKUP(OrdersRawTable9[[#This Row],[Order_Line_ID]],ReturnsRawTable[[#All],[Order_Line_ID]:[Return_Reason_Raw]],3,FALSE),"")</f>
        <v>Damaged</v>
      </c>
      <c r="AE686" s="49">
        <f>IFERROR(VLOOKUP(OrdersRawTable9[[#This Row],[Order_Line_ID]],ReturnsRawTable[[#All],[Order_Line_ID]:[Return_Date]],2,FALSE),"")</f>
        <v>46002</v>
      </c>
      <c r="AF686" s="45" t="str">
        <f>IFERROR(VLOOKUP(OrdersRawTable9[[#This Row],[Order_Line_ID]],ReturnsRawTable[[Order_Line_ID]:[Refund_Status]],4,FALSE),"")</f>
        <v>Pending</v>
      </c>
      <c r="AG686" s="45" t="str">
        <f>VLOOKUP(OrdersRawTable9[[#This Row],[Order_ID]],ShipmentsTable[],6,FALSE)</f>
        <v>Late</v>
      </c>
      <c r="AH686" s="49">
        <f>VLOOKUP(OrdersRawTable9[[#This Row],[Order_ID]],ShipmentsTable[],3,FALSE)</f>
        <v>45990</v>
      </c>
    </row>
    <row r="687" spans="1:34" ht="15" customHeight="1">
      <c r="A687" s="14" t="s">
        <v>1342</v>
      </c>
      <c r="B687" s="10" t="s">
        <v>1343</v>
      </c>
      <c r="C687" s="20">
        <v>45837</v>
      </c>
      <c r="D687" s="10" t="s">
        <v>1344</v>
      </c>
      <c r="E687" s="10" t="s">
        <v>1345</v>
      </c>
      <c r="F687" s="10" t="str">
        <f>TRIM(LEFT(OrdersRawTable9[[#This Row],[Customer_Info]],FIND(",",OrdersRawTable9[[#This Row],[Customer_Info]])-1))</f>
        <v>Adam Brown</v>
      </c>
      <c r="G68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687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687" s="10">
        <f>LEN(OrdersRawTable9[[#This Row],[Customer_Info]])-LEN(SUBSTITUTE(OrdersRawTable9[[#This Row],[Customer_Info]],",",""))</f>
        <v>2</v>
      </c>
      <c r="J687" s="10" t="s">
        <v>456</v>
      </c>
      <c r="K687" s="23">
        <v>2</v>
      </c>
      <c r="L687" s="26">
        <v>275.76</v>
      </c>
      <c r="M687" s="29">
        <v>0</v>
      </c>
      <c r="N687" s="10" t="s">
        <v>50</v>
      </c>
      <c r="O687" s="10" t="str">
        <f>IF(TRIM(OrdersRawTable9[[#This Row],[Sales_Channel_Raw]])="Market place","Marketplace",TRIM(OrdersRawTable9[[#This Row],[Sales_Channel_Raw]]))</f>
        <v>Marketplace</v>
      </c>
      <c r="P687" s="10" t="s">
        <v>41</v>
      </c>
      <c r="Q687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687" s="15" t="s">
        <v>42</v>
      </c>
      <c r="S687" t="str">
        <f>VLOOKUP(OrdersRawTable9[[#This Row],[Customer_ID_Raw]],CustomersTable11[],4,FALSE)</f>
        <v>Manitoba</v>
      </c>
      <c r="T687" t="str">
        <f>VLOOKUP(OrdersRawTable9[[#This Row],[Customer_ID_Raw]],CustomersTable11[],5,FALSE)</f>
        <v>Consumer</v>
      </c>
      <c r="U687" s="45">
        <f>VLOOKUP(OrdersRawTable9[[#This Row],[Product_ID]],ProductsTable10[],4,FALSE)</f>
        <v>156.97</v>
      </c>
      <c r="V687" t="str">
        <f>VLOOKUP(OrdersRawTable9[[#This Row],[Product_ID]],ProductsTable10[],3,FALSE)</f>
        <v>Home</v>
      </c>
      <c r="W687" s="45">
        <f>OrdersRawTable9[[#This Row],[Unit_Price]]*OrdersRawTable9[[#This Row],[Quantity]]</f>
        <v>551.52</v>
      </c>
      <c r="X687" s="47">
        <f>OrdersRawTable9[[#This Row],[Gross_Sales]]*OrdersRawTable9[[#This Row],[Discount_Pct]]</f>
        <v>0</v>
      </c>
      <c r="Y687" s="45">
        <f>OrdersRawTable9[[#This Row],[Gross_Sales]]-OrdersRawTable9[[#This Row],[Discount_Amount]]</f>
        <v>551.52</v>
      </c>
      <c r="Z687" s="45">
        <f>OrdersRawTable9[[#This Row],[Unit_Cost]]*OrdersRawTable9[[#This Row],[Quantity]]</f>
        <v>313.94</v>
      </c>
      <c r="AA687" s="45">
        <f>OrdersRawTable9[[#This Row],[Net_Sales]]-OrdersRawTable9[[#This Row],[Total_Cost]]</f>
        <v>237.57999999999998</v>
      </c>
      <c r="AB687" s="48">
        <f>IF(OrdersRawTable9[[#This Row],[Net_Sales]]=0,0,OrdersRawTable9[[#This Row],[Profit]]/OrdersRawTable9[[#This Row],[Net_Sales]])</f>
        <v>0.43077313606034229</v>
      </c>
      <c r="AC687" s="45" t="str">
        <f>IF(COUNTIF(ReturnsRawTable[Order_Line_ID],OrdersRawTable9[[#This Row],[Order_Line_ID]])&gt;0,"Yes","No")</f>
        <v>No</v>
      </c>
      <c r="AD687" s="45" t="str">
        <f>IFERROR(VLOOKUP(OrdersRawTable9[[#This Row],[Order_Line_ID]],ReturnsRawTable[[#All],[Order_Line_ID]:[Return_Reason_Raw]],3,FALSE),"")</f>
        <v/>
      </c>
      <c r="AE687" s="49" t="str">
        <f>IFERROR(VLOOKUP(OrdersRawTable9[[#This Row],[Order_Line_ID]],ReturnsRawTable[[#All],[Order_Line_ID]:[Return_Date]],2,FALSE),"")</f>
        <v/>
      </c>
      <c r="AF687" s="45" t="str">
        <f>IFERROR(VLOOKUP(OrdersRawTable9[[#This Row],[Order_Line_ID]],ReturnsRawTable[[Order_Line_ID]:[Refund_Status]],4,FALSE),"")</f>
        <v/>
      </c>
      <c r="AG687" s="45" t="str">
        <f>VLOOKUP(OrdersRawTable9[[#This Row],[Order_ID]],ShipmentsTable[],6,FALSE)</f>
        <v>On time</v>
      </c>
      <c r="AH687" s="49">
        <f>VLOOKUP(OrdersRawTable9[[#This Row],[Order_ID]],ShipmentsTable[],3,FALSE)</f>
        <v>45840</v>
      </c>
    </row>
    <row r="688" spans="1:34" ht="15" customHeight="1">
      <c r="A688" s="14" t="s">
        <v>1346</v>
      </c>
      <c r="B688" s="10" t="s">
        <v>1343</v>
      </c>
      <c r="C688" s="20">
        <v>45837</v>
      </c>
      <c r="D688" s="10" t="s">
        <v>1344</v>
      </c>
      <c r="E688" s="10" t="s">
        <v>1345</v>
      </c>
      <c r="F688" s="10" t="str">
        <f>TRIM(LEFT(OrdersRawTable9[[#This Row],[Customer_Info]],FIND(",",OrdersRawTable9[[#This Row],[Customer_Info]])-1))</f>
        <v>Adam Brown</v>
      </c>
      <c r="G68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688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688" s="10">
        <f>LEN(OrdersRawTable9[[#This Row],[Customer_Info]])-LEN(SUBSTITUTE(OrdersRawTable9[[#This Row],[Customer_Info]],",",""))</f>
        <v>2</v>
      </c>
      <c r="J688" s="10" t="s">
        <v>83</v>
      </c>
      <c r="K688" s="23">
        <v>1</v>
      </c>
      <c r="L688" s="26">
        <v>115.28</v>
      </c>
      <c r="M688" s="29">
        <v>0.05</v>
      </c>
      <c r="N688" s="10" t="s">
        <v>64</v>
      </c>
      <c r="O688" s="10" t="str">
        <f>IF(TRIM(OrdersRawTable9[[#This Row],[Sales_Channel_Raw]])="Market place","Marketplace",TRIM(OrdersRawTable9[[#This Row],[Sales_Channel_Raw]]))</f>
        <v>Retail Store</v>
      </c>
      <c r="P688" s="10" t="s">
        <v>46</v>
      </c>
      <c r="Q688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688" s="15" t="s">
        <v>67</v>
      </c>
      <c r="S688" t="str">
        <f>VLOOKUP(OrdersRawTable9[[#This Row],[Customer_ID_Raw]],CustomersTable11[],4,FALSE)</f>
        <v>Manitoba</v>
      </c>
      <c r="T688" t="str">
        <f>VLOOKUP(OrdersRawTable9[[#This Row],[Customer_ID_Raw]],CustomersTable11[],5,FALSE)</f>
        <v>Consumer</v>
      </c>
      <c r="U688" s="45">
        <f>VLOOKUP(OrdersRawTable9[[#This Row],[Product_ID]],ProductsTable10[],4,FALSE)</f>
        <v>61.65</v>
      </c>
      <c r="V688" t="str">
        <f>VLOOKUP(OrdersRawTable9[[#This Row],[Product_ID]],ProductsTable10[],3,FALSE)</f>
        <v>Office</v>
      </c>
      <c r="W688" s="45">
        <f>OrdersRawTable9[[#This Row],[Unit_Price]]*OrdersRawTable9[[#This Row],[Quantity]]</f>
        <v>115.28</v>
      </c>
      <c r="X688" s="47">
        <f>OrdersRawTable9[[#This Row],[Gross_Sales]]*OrdersRawTable9[[#This Row],[Discount_Pct]]</f>
        <v>5.7640000000000002</v>
      </c>
      <c r="Y688" s="45">
        <f>OrdersRawTable9[[#This Row],[Gross_Sales]]-OrdersRawTable9[[#This Row],[Discount_Amount]]</f>
        <v>109.51600000000001</v>
      </c>
      <c r="Z688" s="45">
        <f>OrdersRawTable9[[#This Row],[Unit_Cost]]*OrdersRawTable9[[#This Row],[Quantity]]</f>
        <v>61.65</v>
      </c>
      <c r="AA688" s="45">
        <f>OrdersRawTable9[[#This Row],[Net_Sales]]-OrdersRawTable9[[#This Row],[Total_Cost]]</f>
        <v>47.866000000000007</v>
      </c>
      <c r="AB688" s="48">
        <f>IF(OrdersRawTable9[[#This Row],[Net_Sales]]=0,0,OrdersRawTable9[[#This Row],[Profit]]/OrdersRawTable9[[#This Row],[Net_Sales]])</f>
        <v>0.43706855619270246</v>
      </c>
      <c r="AC688" s="45" t="str">
        <f>IF(COUNTIF(ReturnsRawTable[Order_Line_ID],OrdersRawTable9[[#This Row],[Order_Line_ID]])&gt;0,"Yes","No")</f>
        <v>No</v>
      </c>
      <c r="AD688" s="45" t="str">
        <f>IFERROR(VLOOKUP(OrdersRawTable9[[#This Row],[Order_Line_ID]],ReturnsRawTable[[#All],[Order_Line_ID]:[Return_Reason_Raw]],3,FALSE),"")</f>
        <v/>
      </c>
      <c r="AE688" s="49" t="str">
        <f>IFERROR(VLOOKUP(OrdersRawTable9[[#This Row],[Order_Line_ID]],ReturnsRawTable[[#All],[Order_Line_ID]:[Return_Date]],2,FALSE),"")</f>
        <v/>
      </c>
      <c r="AF688" s="45" t="str">
        <f>IFERROR(VLOOKUP(OrdersRawTable9[[#This Row],[Order_Line_ID]],ReturnsRawTable[[Order_Line_ID]:[Refund_Status]],4,FALSE),"")</f>
        <v/>
      </c>
      <c r="AG688" s="45" t="str">
        <f>VLOOKUP(OrdersRawTable9[[#This Row],[Order_ID]],ShipmentsTable[],6,FALSE)</f>
        <v>On time</v>
      </c>
      <c r="AH688" s="49">
        <f>VLOOKUP(OrdersRawTable9[[#This Row],[Order_ID]],ShipmentsTable[],3,FALSE)</f>
        <v>45840</v>
      </c>
    </row>
    <row r="689" spans="1:34" ht="15" customHeight="1">
      <c r="A689" s="14" t="s">
        <v>1347</v>
      </c>
      <c r="B689" s="10" t="s">
        <v>1343</v>
      </c>
      <c r="C689" s="20">
        <v>45837</v>
      </c>
      <c r="D689" s="10" t="s">
        <v>1344</v>
      </c>
      <c r="E689" s="10" t="s">
        <v>1345</v>
      </c>
      <c r="F689" s="10" t="str">
        <f>TRIM(LEFT(OrdersRawTable9[[#This Row],[Customer_Info]],FIND(",",OrdersRawTable9[[#This Row],[Customer_Info]])-1))</f>
        <v>Adam Brown</v>
      </c>
      <c r="G68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689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689" s="10">
        <f>LEN(OrdersRawTable9[[#This Row],[Customer_Info]])-LEN(SUBSTITUTE(OrdersRawTable9[[#This Row],[Customer_Info]],",",""))</f>
        <v>2</v>
      </c>
      <c r="J689" s="10" t="s">
        <v>117</v>
      </c>
      <c r="K689" s="23">
        <v>2</v>
      </c>
      <c r="L689" s="26">
        <v>251.17</v>
      </c>
      <c r="M689" s="29">
        <v>0.05</v>
      </c>
      <c r="N689" s="10" t="s">
        <v>40</v>
      </c>
      <c r="O689" s="10" t="str">
        <f>IF(TRIM(OrdersRawTable9[[#This Row],[Sales_Channel_Raw]])="Market place","Marketplace",TRIM(OrdersRawTable9[[#This Row],[Sales_Channel_Raw]]))</f>
        <v>Online</v>
      </c>
      <c r="P689" s="10" t="s">
        <v>98</v>
      </c>
      <c r="Q689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689" s="15" t="s">
        <v>42</v>
      </c>
      <c r="S689" t="str">
        <f>VLOOKUP(OrdersRawTable9[[#This Row],[Customer_ID_Raw]],CustomersTable11[],4,FALSE)</f>
        <v>Manitoba</v>
      </c>
      <c r="T689" t="str">
        <f>VLOOKUP(OrdersRawTable9[[#This Row],[Customer_ID_Raw]],CustomersTable11[],5,FALSE)</f>
        <v>Consumer</v>
      </c>
      <c r="U689" s="45">
        <f>VLOOKUP(OrdersRawTable9[[#This Row],[Product_ID]],ProductsTable10[],4,FALSE)</f>
        <v>151.59</v>
      </c>
      <c r="V689" t="str">
        <f>VLOOKUP(OrdersRawTable9[[#This Row],[Product_ID]],ProductsTable10[],3,FALSE)</f>
        <v>Fitness</v>
      </c>
      <c r="W689" s="45">
        <f>OrdersRawTable9[[#This Row],[Unit_Price]]*OrdersRawTable9[[#This Row],[Quantity]]</f>
        <v>502.34</v>
      </c>
      <c r="X689" s="47">
        <f>OrdersRawTable9[[#This Row],[Gross_Sales]]*OrdersRawTable9[[#This Row],[Discount_Pct]]</f>
        <v>25.117000000000001</v>
      </c>
      <c r="Y689" s="45">
        <f>OrdersRawTable9[[#This Row],[Gross_Sales]]-OrdersRawTable9[[#This Row],[Discount_Amount]]</f>
        <v>477.22299999999996</v>
      </c>
      <c r="Z689" s="45">
        <f>OrdersRawTable9[[#This Row],[Unit_Cost]]*OrdersRawTable9[[#This Row],[Quantity]]</f>
        <v>303.18</v>
      </c>
      <c r="AA689" s="45">
        <f>OrdersRawTable9[[#This Row],[Net_Sales]]-OrdersRawTable9[[#This Row],[Total_Cost]]</f>
        <v>174.04299999999995</v>
      </c>
      <c r="AB689" s="48">
        <f>IF(OrdersRawTable9[[#This Row],[Net_Sales]]=0,0,OrdersRawTable9[[#This Row],[Profit]]/OrdersRawTable9[[#This Row],[Net_Sales]])</f>
        <v>0.36469952202639011</v>
      </c>
      <c r="AC689" s="45" t="str">
        <f>IF(COUNTIF(ReturnsRawTable[Order_Line_ID],OrdersRawTable9[[#This Row],[Order_Line_ID]])&gt;0,"Yes","No")</f>
        <v>No</v>
      </c>
      <c r="AD689" s="45" t="str">
        <f>IFERROR(VLOOKUP(OrdersRawTable9[[#This Row],[Order_Line_ID]],ReturnsRawTable[[#All],[Order_Line_ID]:[Return_Reason_Raw]],3,FALSE),"")</f>
        <v/>
      </c>
      <c r="AE689" s="49" t="str">
        <f>IFERROR(VLOOKUP(OrdersRawTable9[[#This Row],[Order_Line_ID]],ReturnsRawTable[[#All],[Order_Line_ID]:[Return_Date]],2,FALSE),"")</f>
        <v/>
      </c>
      <c r="AF689" s="45" t="str">
        <f>IFERROR(VLOOKUP(OrdersRawTable9[[#This Row],[Order_Line_ID]],ReturnsRawTable[[Order_Line_ID]:[Refund_Status]],4,FALSE),"")</f>
        <v/>
      </c>
      <c r="AG689" s="45" t="str">
        <f>VLOOKUP(OrdersRawTable9[[#This Row],[Order_ID]],ShipmentsTable[],6,FALSE)</f>
        <v>On time</v>
      </c>
      <c r="AH689" s="49">
        <f>VLOOKUP(OrdersRawTable9[[#This Row],[Order_ID]],ShipmentsTable[],3,FALSE)</f>
        <v>45840</v>
      </c>
    </row>
    <row r="690" spans="1:34" ht="15" customHeight="1">
      <c r="A690" s="14" t="s">
        <v>1348</v>
      </c>
      <c r="B690" s="10" t="s">
        <v>1349</v>
      </c>
      <c r="C690" s="20">
        <v>45948</v>
      </c>
      <c r="D690" s="10" t="s">
        <v>1097</v>
      </c>
      <c r="E690" s="10" t="s">
        <v>1098</v>
      </c>
      <c r="F690" s="10" t="str">
        <f>TRIM(LEFT(OrdersRawTable9[[#This Row],[Customer_Info]],FIND(",",OrdersRawTable9[[#This Row],[Customer_Info]])-1))</f>
        <v>Ethan Dubois</v>
      </c>
      <c r="G69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690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690" s="10">
        <f>LEN(OrdersRawTable9[[#This Row],[Customer_Info]])-LEN(SUBSTITUTE(OrdersRawTable9[[#This Row],[Customer_Info]],",",""))</f>
        <v>2</v>
      </c>
      <c r="J690" s="10" t="s">
        <v>69</v>
      </c>
      <c r="K690" s="23">
        <v>2</v>
      </c>
      <c r="L690" s="26">
        <v>75.75</v>
      </c>
      <c r="M690" s="29">
        <v>0.05</v>
      </c>
      <c r="N690" s="10" t="s">
        <v>66</v>
      </c>
      <c r="O690" s="10" t="str">
        <f>IF(TRIM(OrdersRawTable9[[#This Row],[Sales_Channel_Raw]])="Market place","Marketplace",TRIM(OrdersRawTable9[[#This Row],[Sales_Channel_Raw]]))</f>
        <v>Marketplace</v>
      </c>
      <c r="P690" s="10" t="s">
        <v>58</v>
      </c>
      <c r="Q690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690" s="15" t="s">
        <v>52</v>
      </c>
      <c r="S690" t="str">
        <f>VLOOKUP(OrdersRawTable9[[#This Row],[Customer_ID_Raw]],CustomersTable11[],4,FALSE)</f>
        <v>British Columbia</v>
      </c>
      <c r="T690" t="str">
        <f>VLOOKUP(OrdersRawTable9[[#This Row],[Customer_ID_Raw]],CustomersTable11[],5,FALSE)</f>
        <v>Small Business</v>
      </c>
      <c r="U690" s="45">
        <f>VLOOKUP(OrdersRawTable9[[#This Row],[Product_ID]],ProductsTable10[],4,FALSE)</f>
        <v>42.37</v>
      </c>
      <c r="V690" t="str">
        <f>VLOOKUP(OrdersRawTable9[[#This Row],[Product_ID]],ProductsTable10[],3,FALSE)</f>
        <v>Office</v>
      </c>
      <c r="W690" s="45">
        <f>OrdersRawTable9[[#This Row],[Unit_Price]]*OrdersRawTable9[[#This Row],[Quantity]]</f>
        <v>151.5</v>
      </c>
      <c r="X690" s="47">
        <f>OrdersRawTable9[[#This Row],[Gross_Sales]]*OrdersRawTable9[[#This Row],[Discount_Pct]]</f>
        <v>7.5750000000000002</v>
      </c>
      <c r="Y690" s="45">
        <f>OrdersRawTable9[[#This Row],[Gross_Sales]]-OrdersRawTable9[[#This Row],[Discount_Amount]]</f>
        <v>143.92500000000001</v>
      </c>
      <c r="Z690" s="45">
        <f>OrdersRawTable9[[#This Row],[Unit_Cost]]*OrdersRawTable9[[#This Row],[Quantity]]</f>
        <v>84.74</v>
      </c>
      <c r="AA690" s="45">
        <f>OrdersRawTable9[[#This Row],[Net_Sales]]-OrdersRawTable9[[#This Row],[Total_Cost]]</f>
        <v>59.185000000000016</v>
      </c>
      <c r="AB690" s="48">
        <f>IF(OrdersRawTable9[[#This Row],[Net_Sales]]=0,0,OrdersRawTable9[[#This Row],[Profit]]/OrdersRawTable9[[#This Row],[Net_Sales]])</f>
        <v>0.41122112211221129</v>
      </c>
      <c r="AC690" s="45" t="str">
        <f>IF(COUNTIF(ReturnsRawTable[Order_Line_ID],OrdersRawTable9[[#This Row],[Order_Line_ID]])&gt;0,"Yes","No")</f>
        <v>No</v>
      </c>
      <c r="AD690" s="45" t="str">
        <f>IFERROR(VLOOKUP(OrdersRawTable9[[#This Row],[Order_Line_ID]],ReturnsRawTable[[#All],[Order_Line_ID]:[Return_Reason_Raw]],3,FALSE),"")</f>
        <v/>
      </c>
      <c r="AE690" s="49" t="str">
        <f>IFERROR(VLOOKUP(OrdersRawTable9[[#This Row],[Order_Line_ID]],ReturnsRawTable[[#All],[Order_Line_ID]:[Return_Date]],2,FALSE),"")</f>
        <v/>
      </c>
      <c r="AF690" s="45" t="str">
        <f>IFERROR(VLOOKUP(OrdersRawTable9[[#This Row],[Order_Line_ID]],ReturnsRawTable[[Order_Line_ID]:[Refund_Status]],4,FALSE),"")</f>
        <v/>
      </c>
      <c r="AG690" s="45" t="str">
        <f>VLOOKUP(OrdersRawTable9[[#This Row],[Order_ID]],ShipmentsTable[],6,FALSE)</f>
        <v>Late</v>
      </c>
      <c r="AH690" s="49">
        <f>VLOOKUP(OrdersRawTable9[[#This Row],[Order_ID]],ShipmentsTable[],3,FALSE)</f>
        <v>45956</v>
      </c>
    </row>
    <row r="691" spans="1:34" ht="15" customHeight="1">
      <c r="A691" s="14" t="s">
        <v>1350</v>
      </c>
      <c r="B691" s="10" t="s">
        <v>1349</v>
      </c>
      <c r="C691" s="20">
        <v>45948</v>
      </c>
      <c r="D691" s="10" t="s">
        <v>1097</v>
      </c>
      <c r="E691" s="10" t="s">
        <v>1098</v>
      </c>
      <c r="F691" s="10" t="str">
        <f>TRIM(LEFT(OrdersRawTable9[[#This Row],[Customer_Info]],FIND(",",OrdersRawTable9[[#This Row],[Customer_Info]])-1))</f>
        <v>Ethan Dubois</v>
      </c>
      <c r="G69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691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691" s="10">
        <f>LEN(OrdersRawTable9[[#This Row],[Customer_Info]])-LEN(SUBSTITUTE(OrdersRawTable9[[#This Row],[Customer_Info]],",",""))</f>
        <v>2</v>
      </c>
      <c r="J691" s="10" t="s">
        <v>112</v>
      </c>
      <c r="K691" s="23">
        <v>3</v>
      </c>
      <c r="L691" s="26">
        <v>88.61</v>
      </c>
      <c r="M691" s="29">
        <v>0.15</v>
      </c>
      <c r="N691" s="10" t="s">
        <v>64</v>
      </c>
      <c r="O691" s="10" t="str">
        <f>IF(TRIM(OrdersRawTable9[[#This Row],[Sales_Channel_Raw]])="Market place","Marketplace",TRIM(OrdersRawTable9[[#This Row],[Sales_Channel_Raw]]))</f>
        <v>Retail Store</v>
      </c>
      <c r="P691" s="10" t="s">
        <v>51</v>
      </c>
      <c r="Q691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691" s="15" t="s">
        <v>67</v>
      </c>
      <c r="S691" t="str">
        <f>VLOOKUP(OrdersRawTable9[[#This Row],[Customer_ID_Raw]],CustomersTable11[],4,FALSE)</f>
        <v>British Columbia</v>
      </c>
      <c r="T691" t="str">
        <f>VLOOKUP(OrdersRawTable9[[#This Row],[Customer_ID_Raw]],CustomersTable11[],5,FALSE)</f>
        <v>Small Business</v>
      </c>
      <c r="U691" s="45">
        <f>VLOOKUP(OrdersRawTable9[[#This Row],[Product_ID]],ProductsTable10[],4,FALSE)</f>
        <v>49.75</v>
      </c>
      <c r="V691" t="str">
        <f>VLOOKUP(OrdersRawTable9[[#This Row],[Product_ID]],ProductsTable10[],3,FALSE)</f>
        <v>Electronics</v>
      </c>
      <c r="W691" s="45">
        <f>OrdersRawTable9[[#This Row],[Unit_Price]]*OrdersRawTable9[[#This Row],[Quantity]]</f>
        <v>265.83</v>
      </c>
      <c r="X691" s="47">
        <f>OrdersRawTable9[[#This Row],[Gross_Sales]]*OrdersRawTable9[[#This Row],[Discount_Pct]]</f>
        <v>39.874499999999998</v>
      </c>
      <c r="Y691" s="45">
        <f>OrdersRawTable9[[#This Row],[Gross_Sales]]-OrdersRawTable9[[#This Row],[Discount_Amount]]</f>
        <v>225.95549999999997</v>
      </c>
      <c r="Z691" s="45">
        <f>OrdersRawTable9[[#This Row],[Unit_Cost]]*OrdersRawTable9[[#This Row],[Quantity]]</f>
        <v>149.25</v>
      </c>
      <c r="AA691" s="45">
        <f>OrdersRawTable9[[#This Row],[Net_Sales]]-OrdersRawTable9[[#This Row],[Total_Cost]]</f>
        <v>76.705499999999972</v>
      </c>
      <c r="AB691" s="48">
        <f>IF(OrdersRawTable9[[#This Row],[Net_Sales]]=0,0,OrdersRawTable9[[#This Row],[Profit]]/OrdersRawTable9[[#This Row],[Net_Sales]])</f>
        <v>0.33947171013761551</v>
      </c>
      <c r="AC691" s="45" t="str">
        <f>IF(COUNTIF(ReturnsRawTable[Order_Line_ID],OrdersRawTable9[[#This Row],[Order_Line_ID]])&gt;0,"Yes","No")</f>
        <v>No</v>
      </c>
      <c r="AD691" s="45" t="str">
        <f>IFERROR(VLOOKUP(OrdersRawTable9[[#This Row],[Order_Line_ID]],ReturnsRawTable[[#All],[Order_Line_ID]:[Return_Reason_Raw]],3,FALSE),"")</f>
        <v/>
      </c>
      <c r="AE691" s="49" t="str">
        <f>IFERROR(VLOOKUP(OrdersRawTable9[[#This Row],[Order_Line_ID]],ReturnsRawTable[[#All],[Order_Line_ID]:[Return_Date]],2,FALSE),"")</f>
        <v/>
      </c>
      <c r="AF691" s="45" t="str">
        <f>IFERROR(VLOOKUP(OrdersRawTable9[[#This Row],[Order_Line_ID]],ReturnsRawTable[[Order_Line_ID]:[Refund_Status]],4,FALSE),"")</f>
        <v/>
      </c>
      <c r="AG691" s="45" t="str">
        <f>VLOOKUP(OrdersRawTable9[[#This Row],[Order_ID]],ShipmentsTable[],6,FALSE)</f>
        <v>Late</v>
      </c>
      <c r="AH691" s="49">
        <f>VLOOKUP(OrdersRawTable9[[#This Row],[Order_ID]],ShipmentsTable[],3,FALSE)</f>
        <v>45956</v>
      </c>
    </row>
    <row r="692" spans="1:34" ht="15" customHeight="1">
      <c r="A692" s="14" t="s">
        <v>1351</v>
      </c>
      <c r="B692" s="10" t="s">
        <v>1352</v>
      </c>
      <c r="C692" s="20">
        <v>45970</v>
      </c>
      <c r="D692" s="10" t="s">
        <v>927</v>
      </c>
      <c r="E692" s="10" t="s">
        <v>928</v>
      </c>
      <c r="F692" s="10" t="str">
        <f>TRIM(LEFT(OrdersRawTable9[[#This Row],[Customer_Info]],FIND(",",OrdersRawTable9[[#This Row],[Customer_Info]])-1))</f>
        <v>Daniel Wilson</v>
      </c>
      <c r="G69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692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692" s="10">
        <f>LEN(OrdersRawTable9[[#This Row],[Customer_Info]])-LEN(SUBSTITUTE(OrdersRawTable9[[#This Row],[Customer_Info]],",",""))</f>
        <v>2</v>
      </c>
      <c r="J692" s="10" t="s">
        <v>150</v>
      </c>
      <c r="K692" s="23">
        <v>1</v>
      </c>
      <c r="L692" s="26">
        <v>263.04000000000002</v>
      </c>
      <c r="M692" s="29">
        <v>0.05</v>
      </c>
      <c r="N692" s="10" t="s">
        <v>66</v>
      </c>
      <c r="O692" s="10" t="str">
        <f>IF(TRIM(OrdersRawTable9[[#This Row],[Sales_Channel_Raw]])="Market place","Marketplace",TRIM(OrdersRawTable9[[#This Row],[Sales_Channel_Raw]]))</f>
        <v>Marketplace</v>
      </c>
      <c r="P692" s="10" t="s">
        <v>46</v>
      </c>
      <c r="Q692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692" s="15" t="s">
        <v>67</v>
      </c>
      <c r="S692" t="str">
        <f>VLOOKUP(OrdersRawTable9[[#This Row],[Customer_ID_Raw]],CustomersTable11[],4,FALSE)</f>
        <v>British Columbia</v>
      </c>
      <c r="T692" t="str">
        <f>VLOOKUP(OrdersRawTable9[[#This Row],[Customer_ID_Raw]],CustomersTable11[],5,FALSE)</f>
        <v>Consumer</v>
      </c>
      <c r="U692" s="45">
        <f>VLOOKUP(OrdersRawTable9[[#This Row],[Product_ID]],ProductsTable10[],4,FALSE)</f>
        <v>161.84</v>
      </c>
      <c r="V692" t="str">
        <f>VLOOKUP(OrdersRawTable9[[#This Row],[Product_ID]],ProductsTable10[],3,FALSE)</f>
        <v>Office</v>
      </c>
      <c r="W692" s="45">
        <f>OrdersRawTable9[[#This Row],[Unit_Price]]*OrdersRawTable9[[#This Row],[Quantity]]</f>
        <v>263.04000000000002</v>
      </c>
      <c r="X692" s="47">
        <f>OrdersRawTable9[[#This Row],[Gross_Sales]]*OrdersRawTable9[[#This Row],[Discount_Pct]]</f>
        <v>13.152000000000001</v>
      </c>
      <c r="Y692" s="45">
        <f>OrdersRawTable9[[#This Row],[Gross_Sales]]-OrdersRawTable9[[#This Row],[Discount_Amount]]</f>
        <v>249.88800000000003</v>
      </c>
      <c r="Z692" s="45">
        <f>OrdersRawTable9[[#This Row],[Unit_Cost]]*OrdersRawTable9[[#This Row],[Quantity]]</f>
        <v>161.84</v>
      </c>
      <c r="AA692" s="45">
        <f>OrdersRawTable9[[#This Row],[Net_Sales]]-OrdersRawTable9[[#This Row],[Total_Cost]]</f>
        <v>88.04800000000003</v>
      </c>
      <c r="AB692" s="48">
        <f>IF(OrdersRawTable9[[#This Row],[Net_Sales]]=0,0,OrdersRawTable9[[#This Row],[Profit]]/OrdersRawTable9[[#This Row],[Net_Sales]])</f>
        <v>0.35234985273402492</v>
      </c>
      <c r="AC692" s="45" t="str">
        <f>IF(COUNTIF(ReturnsRawTable[Order_Line_ID],OrdersRawTable9[[#This Row],[Order_Line_ID]])&gt;0,"Yes","No")</f>
        <v>No</v>
      </c>
      <c r="AD692" s="45" t="str">
        <f>IFERROR(VLOOKUP(OrdersRawTable9[[#This Row],[Order_Line_ID]],ReturnsRawTable[[#All],[Order_Line_ID]:[Return_Reason_Raw]],3,FALSE),"")</f>
        <v/>
      </c>
      <c r="AE692" s="49" t="str">
        <f>IFERROR(VLOOKUP(OrdersRawTable9[[#This Row],[Order_Line_ID]],ReturnsRawTable[[#All],[Order_Line_ID]:[Return_Date]],2,FALSE),"")</f>
        <v/>
      </c>
      <c r="AF692" s="45" t="str">
        <f>IFERROR(VLOOKUP(OrdersRawTable9[[#This Row],[Order_Line_ID]],ReturnsRawTable[[Order_Line_ID]:[Refund_Status]],4,FALSE),"")</f>
        <v/>
      </c>
      <c r="AG692" s="45" t="str">
        <f>VLOOKUP(OrdersRawTable9[[#This Row],[Order_ID]],ShipmentsTable[],6,FALSE)</f>
        <v>On time</v>
      </c>
      <c r="AH692" s="49">
        <f>VLOOKUP(OrdersRawTable9[[#This Row],[Order_ID]],ShipmentsTable[],3,FALSE)</f>
        <v>45973</v>
      </c>
    </row>
    <row r="693" spans="1:34" ht="15" customHeight="1">
      <c r="A693" s="14" t="s">
        <v>1353</v>
      </c>
      <c r="B693" s="10" t="s">
        <v>1352</v>
      </c>
      <c r="C693" s="20">
        <v>45970</v>
      </c>
      <c r="D693" s="10" t="s">
        <v>927</v>
      </c>
      <c r="E693" s="10" t="s">
        <v>928</v>
      </c>
      <c r="F693" s="10" t="str">
        <f>TRIM(LEFT(OrdersRawTable9[[#This Row],[Customer_Info]],FIND(",",OrdersRawTable9[[#This Row],[Customer_Info]])-1))</f>
        <v>Daniel Wilson</v>
      </c>
      <c r="G69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693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693" s="10">
        <f>LEN(OrdersRawTable9[[#This Row],[Customer_Info]])-LEN(SUBSTITUTE(OrdersRawTable9[[#This Row],[Customer_Info]],",",""))</f>
        <v>2</v>
      </c>
      <c r="J693" s="10" t="s">
        <v>117</v>
      </c>
      <c r="K693" s="23">
        <v>3</v>
      </c>
      <c r="L693" s="26">
        <v>251.17</v>
      </c>
      <c r="M693" s="29">
        <v>0.15</v>
      </c>
      <c r="N693" s="10" t="s">
        <v>64</v>
      </c>
      <c r="O693" s="10" t="str">
        <f>IF(TRIM(OrdersRawTable9[[#This Row],[Sales_Channel_Raw]])="Market place","Marketplace",TRIM(OrdersRawTable9[[#This Row],[Sales_Channel_Raw]]))</f>
        <v>Retail Store</v>
      </c>
      <c r="P693" s="10" t="s">
        <v>41</v>
      </c>
      <c r="Q693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693" s="15" t="s">
        <v>47</v>
      </c>
      <c r="S693" t="str">
        <f>VLOOKUP(OrdersRawTable9[[#This Row],[Customer_ID_Raw]],CustomersTable11[],4,FALSE)</f>
        <v>British Columbia</v>
      </c>
      <c r="T693" t="str">
        <f>VLOOKUP(OrdersRawTable9[[#This Row],[Customer_ID_Raw]],CustomersTable11[],5,FALSE)</f>
        <v>Consumer</v>
      </c>
      <c r="U693" s="45">
        <f>VLOOKUP(OrdersRawTable9[[#This Row],[Product_ID]],ProductsTable10[],4,FALSE)</f>
        <v>151.59</v>
      </c>
      <c r="V693" t="str">
        <f>VLOOKUP(OrdersRawTable9[[#This Row],[Product_ID]],ProductsTable10[],3,FALSE)</f>
        <v>Fitness</v>
      </c>
      <c r="W693" s="45">
        <f>OrdersRawTable9[[#This Row],[Unit_Price]]*OrdersRawTable9[[#This Row],[Quantity]]</f>
        <v>753.51</v>
      </c>
      <c r="X693" s="47">
        <f>OrdersRawTable9[[#This Row],[Gross_Sales]]*OrdersRawTable9[[#This Row],[Discount_Pct]]</f>
        <v>113.0265</v>
      </c>
      <c r="Y693" s="45">
        <f>OrdersRawTable9[[#This Row],[Gross_Sales]]-OrdersRawTable9[[#This Row],[Discount_Amount]]</f>
        <v>640.48350000000005</v>
      </c>
      <c r="Z693" s="45">
        <f>OrdersRawTable9[[#This Row],[Unit_Cost]]*OrdersRawTable9[[#This Row],[Quantity]]</f>
        <v>454.77</v>
      </c>
      <c r="AA693" s="45">
        <f>OrdersRawTable9[[#This Row],[Net_Sales]]-OrdersRawTable9[[#This Row],[Total_Cost]]</f>
        <v>185.71350000000007</v>
      </c>
      <c r="AB693" s="48">
        <f>IF(OrdersRawTable9[[#This Row],[Net_Sales]]=0,0,OrdersRawTable9[[#This Row],[Profit]]/OrdersRawTable9[[#This Row],[Net_Sales]])</f>
        <v>0.28995828932361262</v>
      </c>
      <c r="AC693" s="45" t="str">
        <f>IF(COUNTIF(ReturnsRawTable[Order_Line_ID],OrdersRawTable9[[#This Row],[Order_Line_ID]])&gt;0,"Yes","No")</f>
        <v>No</v>
      </c>
      <c r="AD693" s="45" t="str">
        <f>IFERROR(VLOOKUP(OrdersRawTable9[[#This Row],[Order_Line_ID]],ReturnsRawTable[[#All],[Order_Line_ID]:[Return_Reason_Raw]],3,FALSE),"")</f>
        <v/>
      </c>
      <c r="AE693" s="49" t="str">
        <f>IFERROR(VLOOKUP(OrdersRawTable9[[#This Row],[Order_Line_ID]],ReturnsRawTable[[#All],[Order_Line_ID]:[Return_Date]],2,FALSE),"")</f>
        <v/>
      </c>
      <c r="AF693" s="45" t="str">
        <f>IFERROR(VLOOKUP(OrdersRawTable9[[#This Row],[Order_Line_ID]],ReturnsRawTable[[Order_Line_ID]:[Refund_Status]],4,FALSE),"")</f>
        <v/>
      </c>
      <c r="AG693" s="45" t="str">
        <f>VLOOKUP(OrdersRawTable9[[#This Row],[Order_ID]],ShipmentsTable[],6,FALSE)</f>
        <v>On time</v>
      </c>
      <c r="AH693" s="49">
        <f>VLOOKUP(OrdersRawTable9[[#This Row],[Order_ID]],ShipmentsTable[],3,FALSE)</f>
        <v>45973</v>
      </c>
    </row>
    <row r="694" spans="1:34" ht="15" customHeight="1">
      <c r="A694" s="14" t="s">
        <v>1354</v>
      </c>
      <c r="B694" s="10" t="s">
        <v>1355</v>
      </c>
      <c r="C694" s="20">
        <v>45727.041666666664</v>
      </c>
      <c r="D694" s="10" t="s">
        <v>748</v>
      </c>
      <c r="E694" s="10" t="s">
        <v>749</v>
      </c>
      <c r="F694" s="10" t="str">
        <f>TRIM(LEFT(OrdersRawTable9[[#This Row],[Customer_Info]],FIND(",",OrdersRawTable9[[#This Row],[Customer_Info]])-1))</f>
        <v>Liam Singh</v>
      </c>
      <c r="G69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694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94" s="10">
        <f>LEN(OrdersRawTable9[[#This Row],[Customer_Info]])-LEN(SUBSTITUTE(OrdersRawTable9[[#This Row],[Customer_Info]],",",""))</f>
        <v>2</v>
      </c>
      <c r="J694" s="10" t="s">
        <v>106</v>
      </c>
      <c r="K694" s="23">
        <v>2</v>
      </c>
      <c r="L694" s="26">
        <v>195.38</v>
      </c>
      <c r="M694" s="29">
        <v>0.05</v>
      </c>
      <c r="N694" s="10" t="s">
        <v>40</v>
      </c>
      <c r="O694" s="10" t="str">
        <f>IF(TRIM(OrdersRawTable9[[#This Row],[Sales_Channel_Raw]])="Market place","Marketplace",TRIM(OrdersRawTable9[[#This Row],[Sales_Channel_Raw]]))</f>
        <v>Online</v>
      </c>
      <c r="P694" s="10" t="s">
        <v>41</v>
      </c>
      <c r="Q694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694" s="15" t="s">
        <v>52</v>
      </c>
      <c r="S694" t="str">
        <f>VLOOKUP(OrdersRawTable9[[#This Row],[Customer_ID_Raw]],CustomersTable11[],4,FALSE)</f>
        <v>Alberta</v>
      </c>
      <c r="T694" t="str">
        <f>VLOOKUP(OrdersRawTable9[[#This Row],[Customer_ID_Raw]],CustomersTable11[],5,FALSE)</f>
        <v>Corporate</v>
      </c>
      <c r="U694" s="45">
        <f>VLOOKUP(OrdersRawTable9[[#This Row],[Product_ID]],ProductsTable10[],4,FALSE)</f>
        <v>114.29</v>
      </c>
      <c r="V694" t="str">
        <f>VLOOKUP(OrdersRawTable9[[#This Row],[Product_ID]],ProductsTable10[],3,FALSE)</f>
        <v>Electronics</v>
      </c>
      <c r="W694" s="45">
        <f>OrdersRawTable9[[#This Row],[Unit_Price]]*OrdersRawTable9[[#This Row],[Quantity]]</f>
        <v>390.76</v>
      </c>
      <c r="X694" s="47">
        <f>OrdersRawTable9[[#This Row],[Gross_Sales]]*OrdersRawTable9[[#This Row],[Discount_Pct]]</f>
        <v>19.538</v>
      </c>
      <c r="Y694" s="45">
        <f>OrdersRawTable9[[#This Row],[Gross_Sales]]-OrdersRawTable9[[#This Row],[Discount_Amount]]</f>
        <v>371.22199999999998</v>
      </c>
      <c r="Z694" s="45">
        <f>OrdersRawTable9[[#This Row],[Unit_Cost]]*OrdersRawTable9[[#This Row],[Quantity]]</f>
        <v>228.58</v>
      </c>
      <c r="AA694" s="45">
        <f>OrdersRawTable9[[#This Row],[Net_Sales]]-OrdersRawTable9[[#This Row],[Total_Cost]]</f>
        <v>142.64199999999997</v>
      </c>
      <c r="AB694" s="48">
        <f>IF(OrdersRawTable9[[#This Row],[Net_Sales]]=0,0,OrdersRawTable9[[#This Row],[Profit]]/OrdersRawTable9[[#This Row],[Net_Sales]])</f>
        <v>0.38424985588138627</v>
      </c>
      <c r="AC694" s="45" t="str">
        <f>IF(COUNTIF(ReturnsRawTable[Order_Line_ID],OrdersRawTable9[[#This Row],[Order_Line_ID]])&gt;0,"Yes","No")</f>
        <v>No</v>
      </c>
      <c r="AD694" s="45" t="str">
        <f>IFERROR(VLOOKUP(OrdersRawTable9[[#This Row],[Order_Line_ID]],ReturnsRawTable[[#All],[Order_Line_ID]:[Return_Reason_Raw]],3,FALSE),"")</f>
        <v/>
      </c>
      <c r="AE694" s="49" t="str">
        <f>IFERROR(VLOOKUP(OrdersRawTable9[[#This Row],[Order_Line_ID]],ReturnsRawTable[[#All],[Order_Line_ID]:[Return_Date]],2,FALSE),"")</f>
        <v/>
      </c>
      <c r="AF694" s="45" t="str">
        <f>IFERROR(VLOOKUP(OrdersRawTable9[[#This Row],[Order_Line_ID]],ReturnsRawTable[[Order_Line_ID]:[Refund_Status]],4,FALSE),"")</f>
        <v/>
      </c>
      <c r="AG694" s="45" t="str">
        <f>VLOOKUP(OrdersRawTable9[[#This Row],[Order_ID]],ShipmentsTable[],6,FALSE)</f>
        <v>On time</v>
      </c>
      <c r="AH694" s="49">
        <f>VLOOKUP(OrdersRawTable9[[#This Row],[Order_ID]],ShipmentsTable[],3,FALSE)</f>
        <v>45732.041666666664</v>
      </c>
    </row>
    <row r="695" spans="1:34" ht="15" customHeight="1">
      <c r="A695" s="14" t="s">
        <v>1356</v>
      </c>
      <c r="B695" s="10" t="s">
        <v>1355</v>
      </c>
      <c r="C695" s="20">
        <v>45727.041666666664</v>
      </c>
      <c r="D695" s="10" t="s">
        <v>748</v>
      </c>
      <c r="E695" s="10" t="s">
        <v>749</v>
      </c>
      <c r="F695" s="10" t="str">
        <f>TRIM(LEFT(OrdersRawTable9[[#This Row],[Customer_Info]],FIND(",",OrdersRawTable9[[#This Row],[Customer_Info]])-1))</f>
        <v>Liam Singh</v>
      </c>
      <c r="G69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695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95" s="10">
        <f>LEN(OrdersRawTable9[[#This Row],[Customer_Info]])-LEN(SUBSTITUTE(OrdersRawTable9[[#This Row],[Customer_Info]],",",""))</f>
        <v>2</v>
      </c>
      <c r="J695" s="10" t="s">
        <v>72</v>
      </c>
      <c r="K695" s="23">
        <v>3</v>
      </c>
      <c r="L695" s="26">
        <v>210.2</v>
      </c>
      <c r="M695" s="29">
        <v>0.15</v>
      </c>
      <c r="N695" s="10" t="s">
        <v>40</v>
      </c>
      <c r="O695" s="10" t="str">
        <f>IF(TRIM(OrdersRawTable9[[#This Row],[Sales_Channel_Raw]])="Market place","Marketplace",TRIM(OrdersRawTable9[[#This Row],[Sales_Channel_Raw]]))</f>
        <v>Online</v>
      </c>
      <c r="P695" s="10" t="s">
        <v>51</v>
      </c>
      <c r="Q695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695" s="15" t="s">
        <v>42</v>
      </c>
      <c r="S695" t="str">
        <f>VLOOKUP(OrdersRawTable9[[#This Row],[Customer_ID_Raw]],CustomersTable11[],4,FALSE)</f>
        <v>Alberta</v>
      </c>
      <c r="T695" t="str">
        <f>VLOOKUP(OrdersRawTable9[[#This Row],[Customer_ID_Raw]],CustomersTable11[],5,FALSE)</f>
        <v>Corporate</v>
      </c>
      <c r="U695" s="45">
        <f>VLOOKUP(OrdersRawTable9[[#This Row],[Product_ID]],ProductsTable10[],4,FALSE)</f>
        <v>136.25</v>
      </c>
      <c r="V695" t="str">
        <f>VLOOKUP(OrdersRawTable9[[#This Row],[Product_ID]],ProductsTable10[],3,FALSE)</f>
        <v>Fitness</v>
      </c>
      <c r="W695" s="45">
        <f>OrdersRawTable9[[#This Row],[Unit_Price]]*OrdersRawTable9[[#This Row],[Quantity]]</f>
        <v>630.59999999999991</v>
      </c>
      <c r="X695" s="47">
        <f>OrdersRawTable9[[#This Row],[Gross_Sales]]*OrdersRawTable9[[#This Row],[Discount_Pct]]</f>
        <v>94.589999999999989</v>
      </c>
      <c r="Y695" s="45">
        <f>OrdersRawTable9[[#This Row],[Gross_Sales]]-OrdersRawTable9[[#This Row],[Discount_Amount]]</f>
        <v>536.00999999999988</v>
      </c>
      <c r="Z695" s="45">
        <f>OrdersRawTable9[[#This Row],[Unit_Cost]]*OrdersRawTable9[[#This Row],[Quantity]]</f>
        <v>408.75</v>
      </c>
      <c r="AA695" s="45">
        <f>OrdersRawTable9[[#This Row],[Net_Sales]]-OrdersRawTable9[[#This Row],[Total_Cost]]</f>
        <v>127.25999999999988</v>
      </c>
      <c r="AB695" s="48">
        <f>IF(OrdersRawTable9[[#This Row],[Net_Sales]]=0,0,OrdersRawTable9[[#This Row],[Profit]]/OrdersRawTable9[[#This Row],[Net_Sales]])</f>
        <v>0.23742094363911104</v>
      </c>
      <c r="AC695" s="45" t="str">
        <f>IF(COUNTIF(ReturnsRawTable[Order_Line_ID],OrdersRawTable9[[#This Row],[Order_Line_ID]])&gt;0,"Yes","No")</f>
        <v>No</v>
      </c>
      <c r="AD695" s="45" t="str">
        <f>IFERROR(VLOOKUP(OrdersRawTable9[[#This Row],[Order_Line_ID]],ReturnsRawTable[[#All],[Order_Line_ID]:[Return_Reason_Raw]],3,FALSE),"")</f>
        <v/>
      </c>
      <c r="AE695" s="49" t="str">
        <f>IFERROR(VLOOKUP(OrdersRawTable9[[#This Row],[Order_Line_ID]],ReturnsRawTable[[#All],[Order_Line_ID]:[Return_Date]],2,FALSE),"")</f>
        <v/>
      </c>
      <c r="AF695" s="45" t="str">
        <f>IFERROR(VLOOKUP(OrdersRawTable9[[#This Row],[Order_Line_ID]],ReturnsRawTable[[Order_Line_ID]:[Refund_Status]],4,FALSE),"")</f>
        <v/>
      </c>
      <c r="AG695" s="45" t="str">
        <f>VLOOKUP(OrdersRawTable9[[#This Row],[Order_ID]],ShipmentsTable[],6,FALSE)</f>
        <v>On time</v>
      </c>
      <c r="AH695" s="49">
        <f>VLOOKUP(OrdersRawTable9[[#This Row],[Order_ID]],ShipmentsTable[],3,FALSE)</f>
        <v>45732.041666666664</v>
      </c>
    </row>
    <row r="696" spans="1:34" ht="15" customHeight="1">
      <c r="A696" s="14" t="s">
        <v>1357</v>
      </c>
      <c r="B696" s="10" t="s">
        <v>1355</v>
      </c>
      <c r="C696" s="20">
        <v>45727.041666666664</v>
      </c>
      <c r="D696" s="10" t="s">
        <v>748</v>
      </c>
      <c r="E696" s="10" t="s">
        <v>749</v>
      </c>
      <c r="F696" s="10" t="str">
        <f>TRIM(LEFT(OrdersRawTable9[[#This Row],[Customer_Info]],FIND(",",OrdersRawTable9[[#This Row],[Customer_Info]])-1))</f>
        <v>Liam Singh</v>
      </c>
      <c r="G69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696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696" s="10">
        <f>LEN(OrdersRawTable9[[#This Row],[Customer_Info]])-LEN(SUBSTITUTE(OrdersRawTable9[[#This Row],[Customer_Info]],",",""))</f>
        <v>2</v>
      </c>
      <c r="J696" s="10" t="s">
        <v>136</v>
      </c>
      <c r="K696" s="23">
        <v>3</v>
      </c>
      <c r="L696" s="26">
        <v>141.46</v>
      </c>
      <c r="M696" s="29">
        <v>0</v>
      </c>
      <c r="N696" s="10" t="s">
        <v>40</v>
      </c>
      <c r="O696" s="10" t="str">
        <f>IF(TRIM(OrdersRawTable9[[#This Row],[Sales_Channel_Raw]])="Market place","Marketplace",TRIM(OrdersRawTable9[[#This Row],[Sales_Channel_Raw]]))</f>
        <v>Online</v>
      </c>
      <c r="P696" s="10" t="s">
        <v>98</v>
      </c>
      <c r="Q696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696" s="15" t="s">
        <v>42</v>
      </c>
      <c r="S696" t="str">
        <f>VLOOKUP(OrdersRawTable9[[#This Row],[Customer_ID_Raw]],CustomersTable11[],4,FALSE)</f>
        <v>Alberta</v>
      </c>
      <c r="T696" t="str">
        <f>VLOOKUP(OrdersRawTable9[[#This Row],[Customer_ID_Raw]],CustomersTable11[],5,FALSE)</f>
        <v>Corporate</v>
      </c>
      <c r="U696" s="45">
        <f>VLOOKUP(OrdersRawTable9[[#This Row],[Product_ID]],ProductsTable10[],4,FALSE)</f>
        <v>78.650000000000006</v>
      </c>
      <c r="V696" t="str">
        <f>VLOOKUP(OrdersRawTable9[[#This Row],[Product_ID]],ProductsTable10[],3,FALSE)</f>
        <v>Fitness</v>
      </c>
      <c r="W696" s="45">
        <f>OrdersRawTable9[[#This Row],[Unit_Price]]*OrdersRawTable9[[#This Row],[Quantity]]</f>
        <v>424.38</v>
      </c>
      <c r="X696" s="47">
        <f>OrdersRawTable9[[#This Row],[Gross_Sales]]*OrdersRawTable9[[#This Row],[Discount_Pct]]</f>
        <v>0</v>
      </c>
      <c r="Y696" s="45">
        <f>OrdersRawTable9[[#This Row],[Gross_Sales]]-OrdersRawTable9[[#This Row],[Discount_Amount]]</f>
        <v>424.38</v>
      </c>
      <c r="Z696" s="45">
        <f>OrdersRawTable9[[#This Row],[Unit_Cost]]*OrdersRawTable9[[#This Row],[Quantity]]</f>
        <v>235.95000000000002</v>
      </c>
      <c r="AA696" s="45">
        <f>OrdersRawTable9[[#This Row],[Net_Sales]]-OrdersRawTable9[[#This Row],[Total_Cost]]</f>
        <v>188.42999999999998</v>
      </c>
      <c r="AB696" s="48">
        <f>IF(OrdersRawTable9[[#This Row],[Net_Sales]]=0,0,OrdersRawTable9[[#This Row],[Profit]]/OrdersRawTable9[[#This Row],[Net_Sales]])</f>
        <v>0.44401244167962672</v>
      </c>
      <c r="AC696" s="45" t="str">
        <f>IF(COUNTIF(ReturnsRawTable[Order_Line_ID],OrdersRawTable9[[#This Row],[Order_Line_ID]])&gt;0,"Yes","No")</f>
        <v>No</v>
      </c>
      <c r="AD696" s="45" t="str">
        <f>IFERROR(VLOOKUP(OrdersRawTable9[[#This Row],[Order_Line_ID]],ReturnsRawTable[[#All],[Order_Line_ID]:[Return_Reason_Raw]],3,FALSE),"")</f>
        <v/>
      </c>
      <c r="AE696" s="49" t="str">
        <f>IFERROR(VLOOKUP(OrdersRawTable9[[#This Row],[Order_Line_ID]],ReturnsRawTable[[#All],[Order_Line_ID]:[Return_Date]],2,FALSE),"")</f>
        <v/>
      </c>
      <c r="AF696" s="45" t="str">
        <f>IFERROR(VLOOKUP(OrdersRawTable9[[#This Row],[Order_Line_ID]],ReturnsRawTable[[Order_Line_ID]:[Refund_Status]],4,FALSE),"")</f>
        <v/>
      </c>
      <c r="AG696" s="45" t="str">
        <f>VLOOKUP(OrdersRawTable9[[#This Row],[Order_ID]],ShipmentsTable[],6,FALSE)</f>
        <v>On time</v>
      </c>
      <c r="AH696" s="49">
        <f>VLOOKUP(OrdersRawTable9[[#This Row],[Order_ID]],ShipmentsTable[],3,FALSE)</f>
        <v>45732.041666666664</v>
      </c>
    </row>
    <row r="697" spans="1:34" ht="15" customHeight="1">
      <c r="A697" s="14" t="s">
        <v>1358</v>
      </c>
      <c r="B697" s="10" t="s">
        <v>1359</v>
      </c>
      <c r="C697" s="20">
        <v>45920</v>
      </c>
      <c r="D697" s="10" t="s">
        <v>1360</v>
      </c>
      <c r="E697" s="10" t="s">
        <v>1361</v>
      </c>
      <c r="F697" s="10" t="str">
        <f>TRIM(LEFT(OrdersRawTable9[[#This Row],[Customer_Info]],FIND(",",OrdersRawTable9[[#This Row],[Customer_Info]])-1))</f>
        <v>Maya Dubois</v>
      </c>
      <c r="G69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697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697" s="10">
        <f>LEN(OrdersRawTable9[[#This Row],[Customer_Info]])-LEN(SUBSTITUTE(OrdersRawTable9[[#This Row],[Customer_Info]],",",""))</f>
        <v>2</v>
      </c>
      <c r="J697" s="10" t="s">
        <v>88</v>
      </c>
      <c r="K697" s="23">
        <v>1</v>
      </c>
      <c r="L697" s="26">
        <v>147.46</v>
      </c>
      <c r="M697" s="29">
        <v>0</v>
      </c>
      <c r="N697" s="10" t="s">
        <v>40</v>
      </c>
      <c r="O697" s="10" t="str">
        <f>IF(TRIM(OrdersRawTable9[[#This Row],[Sales_Channel_Raw]])="Market place","Marketplace",TRIM(OrdersRawTable9[[#This Row],[Sales_Channel_Raw]]))</f>
        <v>Online</v>
      </c>
      <c r="P697" s="10" t="s">
        <v>98</v>
      </c>
      <c r="Q697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697" s="15" t="s">
        <v>101</v>
      </c>
      <c r="S697" t="str">
        <f>VLOOKUP(OrdersRawTable9[[#This Row],[Customer_ID_Raw]],CustomersTable11[],4,FALSE)</f>
        <v>Nova Scotia</v>
      </c>
      <c r="T697" t="str">
        <f>VLOOKUP(OrdersRawTable9[[#This Row],[Customer_ID_Raw]],CustomersTable11[],5,FALSE)</f>
        <v>Small Business</v>
      </c>
      <c r="U697" s="45">
        <f>VLOOKUP(OrdersRawTable9[[#This Row],[Product_ID]],ProductsTable10[],4,FALSE)</f>
        <v>100.95</v>
      </c>
      <c r="V697" t="str">
        <f>VLOOKUP(OrdersRawTable9[[#This Row],[Product_ID]],ProductsTable10[],3,FALSE)</f>
        <v>Electronics</v>
      </c>
      <c r="W697" s="45">
        <f>OrdersRawTable9[[#This Row],[Unit_Price]]*OrdersRawTable9[[#This Row],[Quantity]]</f>
        <v>147.46</v>
      </c>
      <c r="X697" s="47">
        <f>OrdersRawTable9[[#This Row],[Gross_Sales]]*OrdersRawTable9[[#This Row],[Discount_Pct]]</f>
        <v>0</v>
      </c>
      <c r="Y697" s="45">
        <f>OrdersRawTable9[[#This Row],[Gross_Sales]]-OrdersRawTable9[[#This Row],[Discount_Amount]]</f>
        <v>147.46</v>
      </c>
      <c r="Z697" s="45">
        <f>OrdersRawTable9[[#This Row],[Unit_Cost]]*OrdersRawTable9[[#This Row],[Quantity]]</f>
        <v>100.95</v>
      </c>
      <c r="AA697" s="45">
        <f>OrdersRawTable9[[#This Row],[Net_Sales]]-OrdersRawTable9[[#This Row],[Total_Cost]]</f>
        <v>46.510000000000005</v>
      </c>
      <c r="AB697" s="48">
        <f>IF(OrdersRawTable9[[#This Row],[Net_Sales]]=0,0,OrdersRawTable9[[#This Row],[Profit]]/OrdersRawTable9[[#This Row],[Net_Sales]])</f>
        <v>0.31540756815407572</v>
      </c>
      <c r="AC697" s="45" t="str">
        <f>IF(COUNTIF(ReturnsRawTable[Order_Line_ID],OrdersRawTable9[[#This Row],[Order_Line_ID]])&gt;0,"Yes","No")</f>
        <v>No</v>
      </c>
      <c r="AD697" s="45" t="str">
        <f>IFERROR(VLOOKUP(OrdersRawTable9[[#This Row],[Order_Line_ID]],ReturnsRawTable[[#All],[Order_Line_ID]:[Return_Reason_Raw]],3,FALSE),"")</f>
        <v/>
      </c>
      <c r="AE697" s="49" t="str">
        <f>IFERROR(VLOOKUP(OrdersRawTable9[[#This Row],[Order_Line_ID]],ReturnsRawTable[[#All],[Order_Line_ID]:[Return_Date]],2,FALSE),"")</f>
        <v/>
      </c>
      <c r="AF697" s="45" t="str">
        <f>IFERROR(VLOOKUP(OrdersRawTable9[[#This Row],[Order_Line_ID]],ReturnsRawTable[[Order_Line_ID]:[Refund_Status]],4,FALSE),"")</f>
        <v/>
      </c>
      <c r="AG697" s="45" t="str">
        <f>VLOOKUP(OrdersRawTable9[[#This Row],[Order_ID]],ShipmentsTable[],6,FALSE)</f>
        <v>Late</v>
      </c>
      <c r="AH697" s="49">
        <f>VLOOKUP(OrdersRawTable9[[#This Row],[Order_ID]],ShipmentsTable[],3,FALSE)</f>
        <v>45930</v>
      </c>
    </row>
    <row r="698" spans="1:34" ht="15" customHeight="1">
      <c r="A698" s="14" t="s">
        <v>1362</v>
      </c>
      <c r="B698" s="10" t="s">
        <v>1359</v>
      </c>
      <c r="C698" s="20">
        <v>45920</v>
      </c>
      <c r="D698" s="10" t="s">
        <v>1363</v>
      </c>
      <c r="E698" s="10" t="s">
        <v>1361</v>
      </c>
      <c r="F698" s="10" t="str">
        <f>TRIM(LEFT(OrdersRawTable9[[#This Row],[Customer_Info]],FIND(",",OrdersRawTable9[[#This Row],[Customer_Info]])-1))</f>
        <v>Maya Dubois</v>
      </c>
      <c r="G69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698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698" s="10">
        <f>LEN(OrdersRawTable9[[#This Row],[Customer_Info]])-LEN(SUBSTITUTE(OrdersRawTable9[[#This Row],[Customer_Info]],",",""))</f>
        <v>2</v>
      </c>
      <c r="J698" s="10" t="s">
        <v>201</v>
      </c>
      <c r="K698" s="23">
        <v>1</v>
      </c>
      <c r="L698" s="26">
        <v>154.47</v>
      </c>
      <c r="M698" s="29">
        <v>0</v>
      </c>
      <c r="N698" s="10" t="s">
        <v>66</v>
      </c>
      <c r="O698" s="10" t="str">
        <f>IF(TRIM(OrdersRawTable9[[#This Row],[Sales_Channel_Raw]])="Market place","Marketplace",TRIM(OrdersRawTable9[[#This Row],[Sales_Channel_Raw]]))</f>
        <v>Marketplace</v>
      </c>
      <c r="P698" s="10" t="s">
        <v>98</v>
      </c>
      <c r="Q698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698" s="15" t="s">
        <v>42</v>
      </c>
      <c r="S698" t="str">
        <f>VLOOKUP(OrdersRawTable9[[#This Row],[Customer_ID_Raw]],CustomersTable11[],4,FALSE)</f>
        <v>Nova Scotia</v>
      </c>
      <c r="T698" t="str">
        <f>VLOOKUP(OrdersRawTable9[[#This Row],[Customer_ID_Raw]],CustomersTable11[],5,FALSE)</f>
        <v>Small Business</v>
      </c>
      <c r="U698" s="45">
        <f>VLOOKUP(OrdersRawTable9[[#This Row],[Product_ID]],ProductsTable10[],4,FALSE)</f>
        <v>102.57</v>
      </c>
      <c r="V698" t="str">
        <f>VLOOKUP(OrdersRawTable9[[#This Row],[Product_ID]],ProductsTable10[],3,FALSE)</f>
        <v>Fitness</v>
      </c>
      <c r="W698" s="45">
        <f>OrdersRawTable9[[#This Row],[Unit_Price]]*OrdersRawTable9[[#This Row],[Quantity]]</f>
        <v>154.47</v>
      </c>
      <c r="X698" s="47">
        <f>OrdersRawTable9[[#This Row],[Gross_Sales]]*OrdersRawTable9[[#This Row],[Discount_Pct]]</f>
        <v>0</v>
      </c>
      <c r="Y698" s="45">
        <f>OrdersRawTable9[[#This Row],[Gross_Sales]]-OrdersRawTable9[[#This Row],[Discount_Amount]]</f>
        <v>154.47</v>
      </c>
      <c r="Z698" s="45">
        <f>OrdersRawTable9[[#This Row],[Unit_Cost]]*OrdersRawTable9[[#This Row],[Quantity]]</f>
        <v>102.57</v>
      </c>
      <c r="AA698" s="45">
        <f>OrdersRawTable9[[#This Row],[Net_Sales]]-OrdersRawTable9[[#This Row],[Total_Cost]]</f>
        <v>51.900000000000006</v>
      </c>
      <c r="AB698" s="48">
        <f>IF(OrdersRawTable9[[#This Row],[Net_Sales]]=0,0,OrdersRawTable9[[#This Row],[Profit]]/OrdersRawTable9[[#This Row],[Net_Sales]])</f>
        <v>0.33598757040201988</v>
      </c>
      <c r="AC698" s="45" t="str">
        <f>IF(COUNTIF(ReturnsRawTable[Order_Line_ID],OrdersRawTable9[[#This Row],[Order_Line_ID]])&gt;0,"Yes","No")</f>
        <v>No</v>
      </c>
      <c r="AD698" s="45" t="str">
        <f>IFERROR(VLOOKUP(OrdersRawTable9[[#This Row],[Order_Line_ID]],ReturnsRawTable[[#All],[Order_Line_ID]:[Return_Reason_Raw]],3,FALSE),"")</f>
        <v/>
      </c>
      <c r="AE698" s="49" t="str">
        <f>IFERROR(VLOOKUP(OrdersRawTable9[[#This Row],[Order_Line_ID]],ReturnsRawTable[[#All],[Order_Line_ID]:[Return_Date]],2,FALSE),"")</f>
        <v/>
      </c>
      <c r="AF698" s="45" t="str">
        <f>IFERROR(VLOOKUP(OrdersRawTable9[[#This Row],[Order_Line_ID]],ReturnsRawTable[[Order_Line_ID]:[Refund_Status]],4,FALSE),"")</f>
        <v/>
      </c>
      <c r="AG698" s="45" t="str">
        <f>VLOOKUP(OrdersRawTable9[[#This Row],[Order_ID]],ShipmentsTable[],6,FALSE)</f>
        <v>Late</v>
      </c>
      <c r="AH698" s="49">
        <f>VLOOKUP(OrdersRawTable9[[#This Row],[Order_ID]],ShipmentsTable[],3,FALSE)</f>
        <v>45930</v>
      </c>
    </row>
    <row r="699" spans="1:34" ht="15" customHeight="1">
      <c r="A699" s="14" t="s">
        <v>1364</v>
      </c>
      <c r="B699" s="10" t="s">
        <v>1365</v>
      </c>
      <c r="C699" s="20">
        <v>45986</v>
      </c>
      <c r="D699" s="10" t="s">
        <v>268</v>
      </c>
      <c r="E699" s="10" t="s">
        <v>269</v>
      </c>
      <c r="F699" s="10" t="str">
        <f>TRIM(LEFT(OrdersRawTable9[[#This Row],[Customer_Info]],FIND(",",OrdersRawTable9[[#This Row],[Customer_Info]])-1))</f>
        <v>Emma Khan</v>
      </c>
      <c r="G69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699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699" s="10">
        <f>LEN(OrdersRawTable9[[#This Row],[Customer_Info]])-LEN(SUBSTITUTE(OrdersRawTable9[[#This Row],[Customer_Info]],",",""))</f>
        <v>2</v>
      </c>
      <c r="J699" s="10" t="s">
        <v>128</v>
      </c>
      <c r="K699" s="23">
        <v>4</v>
      </c>
      <c r="L699" s="26">
        <v>25.15</v>
      </c>
      <c r="M699" s="29">
        <v>0.1</v>
      </c>
      <c r="N699" s="10" t="s">
        <v>64</v>
      </c>
      <c r="O699" s="10" t="str">
        <f>IF(TRIM(OrdersRawTable9[[#This Row],[Sales_Channel_Raw]])="Market place","Marketplace",TRIM(OrdersRawTable9[[#This Row],[Sales_Channel_Raw]]))</f>
        <v>Retail Store</v>
      </c>
      <c r="P699" s="10" t="s">
        <v>41</v>
      </c>
      <c r="Q699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699" s="15" t="s">
        <v>52</v>
      </c>
      <c r="S699" t="str">
        <f>VLOOKUP(OrdersRawTable9[[#This Row],[Customer_ID_Raw]],CustomersTable11[],4,FALSE)</f>
        <v>Ontario</v>
      </c>
      <c r="T699" t="str">
        <f>VLOOKUP(OrdersRawTable9[[#This Row],[Customer_ID_Raw]],CustomersTable11[],5,FALSE)</f>
        <v>Consumer</v>
      </c>
      <c r="U699" s="45">
        <f>VLOOKUP(OrdersRawTable9[[#This Row],[Product_ID]],ProductsTable10[],4,FALSE)</f>
        <v>14.24</v>
      </c>
      <c r="V699" t="str">
        <f>VLOOKUP(OrdersRawTable9[[#This Row],[Product_ID]],ProductsTable10[],3,FALSE)</f>
        <v>Electronics</v>
      </c>
      <c r="W699" s="45">
        <f>OrdersRawTable9[[#This Row],[Unit_Price]]*OrdersRawTable9[[#This Row],[Quantity]]</f>
        <v>100.6</v>
      </c>
      <c r="X699" s="47">
        <f>OrdersRawTable9[[#This Row],[Gross_Sales]]*OrdersRawTable9[[#This Row],[Discount_Pct]]</f>
        <v>10.06</v>
      </c>
      <c r="Y699" s="45">
        <f>OrdersRawTable9[[#This Row],[Gross_Sales]]-OrdersRawTable9[[#This Row],[Discount_Amount]]</f>
        <v>90.539999999999992</v>
      </c>
      <c r="Z699" s="45">
        <f>OrdersRawTable9[[#This Row],[Unit_Cost]]*OrdersRawTable9[[#This Row],[Quantity]]</f>
        <v>56.96</v>
      </c>
      <c r="AA699" s="45">
        <f>OrdersRawTable9[[#This Row],[Net_Sales]]-OrdersRawTable9[[#This Row],[Total_Cost]]</f>
        <v>33.579999999999991</v>
      </c>
      <c r="AB699" s="48">
        <f>IF(OrdersRawTable9[[#This Row],[Net_Sales]]=0,0,OrdersRawTable9[[#This Row],[Profit]]/OrdersRawTable9[[#This Row],[Net_Sales]])</f>
        <v>0.37088579633311236</v>
      </c>
      <c r="AC699" s="45" t="str">
        <f>IF(COUNTIF(ReturnsRawTable[Order_Line_ID],OrdersRawTable9[[#This Row],[Order_Line_ID]])&gt;0,"Yes","No")</f>
        <v>No</v>
      </c>
      <c r="AD699" s="45" t="str">
        <f>IFERROR(VLOOKUP(OrdersRawTable9[[#This Row],[Order_Line_ID]],ReturnsRawTable[[#All],[Order_Line_ID]:[Return_Reason_Raw]],3,FALSE),"")</f>
        <v/>
      </c>
      <c r="AE699" s="49" t="str">
        <f>IFERROR(VLOOKUP(OrdersRawTable9[[#This Row],[Order_Line_ID]],ReturnsRawTable[[#All],[Order_Line_ID]:[Return_Date]],2,FALSE),"")</f>
        <v/>
      </c>
      <c r="AF699" s="45" t="str">
        <f>IFERROR(VLOOKUP(OrdersRawTable9[[#This Row],[Order_Line_ID]],ReturnsRawTable[[Order_Line_ID]:[Refund_Status]],4,FALSE),"")</f>
        <v/>
      </c>
      <c r="AG699" s="45" t="str">
        <f>VLOOKUP(OrdersRawTable9[[#This Row],[Order_ID]],ShipmentsTable[],6,FALSE)</f>
        <v>Late</v>
      </c>
      <c r="AH699" s="49">
        <f>VLOOKUP(OrdersRawTable9[[#This Row],[Order_ID]],ShipmentsTable[],3,FALSE)</f>
        <v>45991</v>
      </c>
    </row>
    <row r="700" spans="1:34" ht="15" customHeight="1">
      <c r="A700" s="14" t="s">
        <v>1366</v>
      </c>
      <c r="B700" s="10" t="s">
        <v>1365</v>
      </c>
      <c r="C700" s="20">
        <v>45986</v>
      </c>
      <c r="D700" s="10" t="s">
        <v>268</v>
      </c>
      <c r="E700" s="10" t="s">
        <v>269</v>
      </c>
      <c r="F700" s="10" t="str">
        <f>TRIM(LEFT(OrdersRawTable9[[#This Row],[Customer_Info]],FIND(",",OrdersRawTable9[[#This Row],[Customer_Info]])-1))</f>
        <v>Emma Khan</v>
      </c>
      <c r="G70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700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00" s="10">
        <f>LEN(OrdersRawTable9[[#This Row],[Customer_Info]])-LEN(SUBSTITUTE(OrdersRawTable9[[#This Row],[Customer_Info]],",",""))</f>
        <v>2</v>
      </c>
      <c r="J700" s="10" t="s">
        <v>241</v>
      </c>
      <c r="K700" s="23">
        <v>1</v>
      </c>
      <c r="L700" s="26">
        <v>300.56</v>
      </c>
      <c r="M700" s="29">
        <v>0</v>
      </c>
      <c r="N700" s="10" t="s">
        <v>64</v>
      </c>
      <c r="O700" s="10" t="str">
        <f>IF(TRIM(OrdersRawTable9[[#This Row],[Sales_Channel_Raw]])="Market place","Marketplace",TRIM(OrdersRawTable9[[#This Row],[Sales_Channel_Raw]]))</f>
        <v>Retail Store</v>
      </c>
      <c r="P700" s="10" t="s">
        <v>58</v>
      </c>
      <c r="Q700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700" s="15" t="s">
        <v>67</v>
      </c>
      <c r="S700" t="str">
        <f>VLOOKUP(OrdersRawTable9[[#This Row],[Customer_ID_Raw]],CustomersTable11[],4,FALSE)</f>
        <v>Ontario</v>
      </c>
      <c r="T700" t="str">
        <f>VLOOKUP(OrdersRawTable9[[#This Row],[Customer_ID_Raw]],CustomersTable11[],5,FALSE)</f>
        <v>Consumer</v>
      </c>
      <c r="U700" s="45">
        <f>VLOOKUP(OrdersRawTable9[[#This Row],[Product_ID]],ProductsTable10[],4,FALSE)</f>
        <v>158.86000000000001</v>
      </c>
      <c r="V700" t="str">
        <f>VLOOKUP(OrdersRawTable9[[#This Row],[Product_ID]],ProductsTable10[],3,FALSE)</f>
        <v>Accessories</v>
      </c>
      <c r="W700" s="45">
        <f>OrdersRawTable9[[#This Row],[Unit_Price]]*OrdersRawTable9[[#This Row],[Quantity]]</f>
        <v>300.56</v>
      </c>
      <c r="X700" s="47">
        <f>OrdersRawTable9[[#This Row],[Gross_Sales]]*OrdersRawTable9[[#This Row],[Discount_Pct]]</f>
        <v>0</v>
      </c>
      <c r="Y700" s="45">
        <f>OrdersRawTable9[[#This Row],[Gross_Sales]]-OrdersRawTable9[[#This Row],[Discount_Amount]]</f>
        <v>300.56</v>
      </c>
      <c r="Z700" s="45">
        <f>OrdersRawTable9[[#This Row],[Unit_Cost]]*OrdersRawTable9[[#This Row],[Quantity]]</f>
        <v>158.86000000000001</v>
      </c>
      <c r="AA700" s="45">
        <f>OrdersRawTable9[[#This Row],[Net_Sales]]-OrdersRawTable9[[#This Row],[Total_Cost]]</f>
        <v>141.69999999999999</v>
      </c>
      <c r="AB700" s="48">
        <f>IF(OrdersRawTable9[[#This Row],[Net_Sales]]=0,0,OrdersRawTable9[[#This Row],[Profit]]/OrdersRawTable9[[#This Row],[Net_Sales]])</f>
        <v>0.47145328719723179</v>
      </c>
      <c r="AC700" s="45" t="str">
        <f>IF(COUNTIF(ReturnsRawTable[Order_Line_ID],OrdersRawTable9[[#This Row],[Order_Line_ID]])&gt;0,"Yes","No")</f>
        <v>No</v>
      </c>
      <c r="AD700" s="45" t="str">
        <f>IFERROR(VLOOKUP(OrdersRawTable9[[#This Row],[Order_Line_ID]],ReturnsRawTable[[#All],[Order_Line_ID]:[Return_Reason_Raw]],3,FALSE),"")</f>
        <v/>
      </c>
      <c r="AE700" s="49" t="str">
        <f>IFERROR(VLOOKUP(OrdersRawTable9[[#This Row],[Order_Line_ID]],ReturnsRawTable[[#All],[Order_Line_ID]:[Return_Date]],2,FALSE),"")</f>
        <v/>
      </c>
      <c r="AF700" s="45" t="str">
        <f>IFERROR(VLOOKUP(OrdersRawTable9[[#This Row],[Order_Line_ID]],ReturnsRawTable[[Order_Line_ID]:[Refund_Status]],4,FALSE),"")</f>
        <v/>
      </c>
      <c r="AG700" s="45" t="str">
        <f>VLOOKUP(OrdersRawTable9[[#This Row],[Order_ID]],ShipmentsTable[],6,FALSE)</f>
        <v>Late</v>
      </c>
      <c r="AH700" s="49">
        <f>VLOOKUP(OrdersRawTable9[[#This Row],[Order_ID]],ShipmentsTable[],3,FALSE)</f>
        <v>45991</v>
      </c>
    </row>
    <row r="701" spans="1:34" ht="15" customHeight="1">
      <c r="A701" s="14" t="s">
        <v>1367</v>
      </c>
      <c r="B701" s="10" t="s">
        <v>1365</v>
      </c>
      <c r="C701" s="20">
        <v>45986</v>
      </c>
      <c r="D701" s="10" t="s">
        <v>268</v>
      </c>
      <c r="E701" s="10" t="s">
        <v>269</v>
      </c>
      <c r="F701" s="10" t="str">
        <f>TRIM(LEFT(OrdersRawTable9[[#This Row],[Customer_Info]],FIND(",",OrdersRawTable9[[#This Row],[Customer_Info]])-1))</f>
        <v>Emma Khan</v>
      </c>
      <c r="G70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701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01" s="10">
        <f>LEN(OrdersRawTable9[[#This Row],[Customer_Info]])-LEN(SUBSTITUTE(OrdersRawTable9[[#This Row],[Customer_Info]],",",""))</f>
        <v>2</v>
      </c>
      <c r="J701" s="10" t="s">
        <v>80</v>
      </c>
      <c r="K701" s="23">
        <v>4</v>
      </c>
      <c r="L701" s="26">
        <v>142.16</v>
      </c>
      <c r="M701" s="29">
        <v>0</v>
      </c>
      <c r="N701" s="10" t="s">
        <v>50</v>
      </c>
      <c r="O701" s="10" t="str">
        <f>IF(TRIM(OrdersRawTable9[[#This Row],[Sales_Channel_Raw]])="Market place","Marketplace",TRIM(OrdersRawTable9[[#This Row],[Sales_Channel_Raw]]))</f>
        <v>Marketplace</v>
      </c>
      <c r="P701" s="10" t="s">
        <v>51</v>
      </c>
      <c r="Q701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701" s="15" t="s">
        <v>67</v>
      </c>
      <c r="S701" t="str">
        <f>VLOOKUP(OrdersRawTable9[[#This Row],[Customer_ID_Raw]],CustomersTable11[],4,FALSE)</f>
        <v>Ontario</v>
      </c>
      <c r="T701" t="str">
        <f>VLOOKUP(OrdersRawTable9[[#This Row],[Customer_ID_Raw]],CustomersTable11[],5,FALSE)</f>
        <v>Consumer</v>
      </c>
      <c r="U701" s="45">
        <f>VLOOKUP(OrdersRawTable9[[#This Row],[Product_ID]],ProductsTable10[],4,FALSE)</f>
        <v>85.34</v>
      </c>
      <c r="V701" t="str">
        <f>VLOOKUP(OrdersRawTable9[[#This Row],[Product_ID]],ProductsTable10[],3,FALSE)</f>
        <v>Home</v>
      </c>
      <c r="W701" s="45">
        <f>OrdersRawTable9[[#This Row],[Unit_Price]]*OrdersRawTable9[[#This Row],[Quantity]]</f>
        <v>568.64</v>
      </c>
      <c r="X701" s="47">
        <f>OrdersRawTable9[[#This Row],[Gross_Sales]]*OrdersRawTable9[[#This Row],[Discount_Pct]]</f>
        <v>0</v>
      </c>
      <c r="Y701" s="45">
        <f>OrdersRawTable9[[#This Row],[Gross_Sales]]-OrdersRawTable9[[#This Row],[Discount_Amount]]</f>
        <v>568.64</v>
      </c>
      <c r="Z701" s="45">
        <f>OrdersRawTable9[[#This Row],[Unit_Cost]]*OrdersRawTable9[[#This Row],[Quantity]]</f>
        <v>341.36</v>
      </c>
      <c r="AA701" s="45">
        <f>OrdersRawTable9[[#This Row],[Net_Sales]]-OrdersRawTable9[[#This Row],[Total_Cost]]</f>
        <v>227.27999999999997</v>
      </c>
      <c r="AB701" s="48">
        <f>IF(OrdersRawTable9[[#This Row],[Net_Sales]]=0,0,OrdersRawTable9[[#This Row],[Profit]]/OrdersRawTable9[[#This Row],[Net_Sales]])</f>
        <v>0.39969048958919523</v>
      </c>
      <c r="AC701" s="45" t="str">
        <f>IF(COUNTIF(ReturnsRawTable[Order_Line_ID],OrdersRawTable9[[#This Row],[Order_Line_ID]])&gt;0,"Yes","No")</f>
        <v>No</v>
      </c>
      <c r="AD701" s="45" t="str">
        <f>IFERROR(VLOOKUP(OrdersRawTable9[[#This Row],[Order_Line_ID]],ReturnsRawTable[[#All],[Order_Line_ID]:[Return_Reason_Raw]],3,FALSE),"")</f>
        <v/>
      </c>
      <c r="AE701" s="49" t="str">
        <f>IFERROR(VLOOKUP(OrdersRawTable9[[#This Row],[Order_Line_ID]],ReturnsRawTable[[#All],[Order_Line_ID]:[Return_Date]],2,FALSE),"")</f>
        <v/>
      </c>
      <c r="AF701" s="45" t="str">
        <f>IFERROR(VLOOKUP(OrdersRawTable9[[#This Row],[Order_Line_ID]],ReturnsRawTable[[Order_Line_ID]:[Refund_Status]],4,FALSE),"")</f>
        <v/>
      </c>
      <c r="AG701" s="45" t="str">
        <f>VLOOKUP(OrdersRawTable9[[#This Row],[Order_ID]],ShipmentsTable[],6,FALSE)</f>
        <v>Late</v>
      </c>
      <c r="AH701" s="49">
        <f>VLOOKUP(OrdersRawTable9[[#This Row],[Order_ID]],ShipmentsTable[],3,FALSE)</f>
        <v>45991</v>
      </c>
    </row>
    <row r="702" spans="1:34" ht="15" customHeight="1">
      <c r="A702" s="14" t="s">
        <v>1368</v>
      </c>
      <c r="B702" s="10" t="s">
        <v>1369</v>
      </c>
      <c r="C702" s="20">
        <v>45920</v>
      </c>
      <c r="D702" s="10" t="s">
        <v>378</v>
      </c>
      <c r="E702" s="10" t="s">
        <v>135</v>
      </c>
      <c r="F702" s="10" t="str">
        <f>TRIM(LEFT(OrdersRawTable9[[#This Row],[Customer_Info]],FIND(",",OrdersRawTable9[[#This Row],[Customer_Info]])-1))</f>
        <v>Emma Tremblay</v>
      </c>
      <c r="G70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702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02" s="10">
        <f>LEN(OrdersRawTable9[[#This Row],[Customer_Info]])-LEN(SUBSTITUTE(OrdersRawTable9[[#This Row],[Customer_Info]],",",""))</f>
        <v>2</v>
      </c>
      <c r="J702" s="10" t="s">
        <v>108</v>
      </c>
      <c r="K702" s="23">
        <v>4</v>
      </c>
      <c r="L702" s="26">
        <v>33.369999999999997</v>
      </c>
      <c r="M702" s="29">
        <v>0</v>
      </c>
      <c r="N702" s="10" t="s">
        <v>66</v>
      </c>
      <c r="O702" s="10" t="str">
        <f>IF(TRIM(OrdersRawTable9[[#This Row],[Sales_Channel_Raw]])="Market place","Marketplace",TRIM(OrdersRawTable9[[#This Row],[Sales_Channel_Raw]]))</f>
        <v>Marketplace</v>
      </c>
      <c r="P702" s="10" t="s">
        <v>41</v>
      </c>
      <c r="Q702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702" s="15" t="s">
        <v>47</v>
      </c>
      <c r="S702" t="str">
        <f>VLOOKUP(OrdersRawTable9[[#This Row],[Customer_ID_Raw]],CustomersTable11[],4,FALSE)</f>
        <v>Alberta</v>
      </c>
      <c r="T702" t="str">
        <f>VLOOKUP(OrdersRawTable9[[#This Row],[Customer_ID_Raw]],CustomersTable11[],5,FALSE)</f>
        <v>Consumer</v>
      </c>
      <c r="U702" s="45">
        <f>VLOOKUP(OrdersRawTable9[[#This Row],[Product_ID]],ProductsTable10[],4,FALSE)</f>
        <v>18.670000000000002</v>
      </c>
      <c r="V702" t="str">
        <f>VLOOKUP(OrdersRawTable9[[#This Row],[Product_ID]],ProductsTable10[],3,FALSE)</f>
        <v>Fitness</v>
      </c>
      <c r="W702" s="45">
        <f>OrdersRawTable9[[#This Row],[Unit_Price]]*OrdersRawTable9[[#This Row],[Quantity]]</f>
        <v>133.47999999999999</v>
      </c>
      <c r="X702" s="47">
        <f>OrdersRawTable9[[#This Row],[Gross_Sales]]*OrdersRawTable9[[#This Row],[Discount_Pct]]</f>
        <v>0</v>
      </c>
      <c r="Y702" s="45">
        <f>OrdersRawTable9[[#This Row],[Gross_Sales]]-OrdersRawTable9[[#This Row],[Discount_Amount]]</f>
        <v>133.47999999999999</v>
      </c>
      <c r="Z702" s="45">
        <f>OrdersRawTable9[[#This Row],[Unit_Cost]]*OrdersRawTable9[[#This Row],[Quantity]]</f>
        <v>74.680000000000007</v>
      </c>
      <c r="AA702" s="45">
        <f>OrdersRawTable9[[#This Row],[Net_Sales]]-OrdersRawTable9[[#This Row],[Total_Cost]]</f>
        <v>58.799999999999983</v>
      </c>
      <c r="AB702" s="48">
        <f>IF(OrdersRawTable9[[#This Row],[Net_Sales]]=0,0,OrdersRawTable9[[#This Row],[Profit]]/OrdersRawTable9[[#This Row],[Net_Sales]])</f>
        <v>0.44051543302367385</v>
      </c>
      <c r="AC702" s="45" t="str">
        <f>IF(COUNTIF(ReturnsRawTable[Order_Line_ID],OrdersRawTable9[[#This Row],[Order_Line_ID]])&gt;0,"Yes","No")</f>
        <v>No</v>
      </c>
      <c r="AD702" s="45" t="str">
        <f>IFERROR(VLOOKUP(OrdersRawTable9[[#This Row],[Order_Line_ID]],ReturnsRawTable[[#All],[Order_Line_ID]:[Return_Reason_Raw]],3,FALSE),"")</f>
        <v/>
      </c>
      <c r="AE702" s="49" t="str">
        <f>IFERROR(VLOOKUP(OrdersRawTable9[[#This Row],[Order_Line_ID]],ReturnsRawTable[[#All],[Order_Line_ID]:[Return_Date]],2,FALSE),"")</f>
        <v/>
      </c>
      <c r="AF702" s="45" t="str">
        <f>IFERROR(VLOOKUP(OrdersRawTable9[[#This Row],[Order_Line_ID]],ReturnsRawTable[[Order_Line_ID]:[Refund_Status]],4,FALSE),"")</f>
        <v/>
      </c>
      <c r="AG702" s="45" t="str">
        <f>VLOOKUP(OrdersRawTable9[[#This Row],[Order_ID]],ShipmentsTable[],6,FALSE)</f>
        <v>Late</v>
      </c>
      <c r="AH702" s="49">
        <f>VLOOKUP(OrdersRawTable9[[#This Row],[Order_ID]],ShipmentsTable[],3,FALSE)</f>
        <v>45928</v>
      </c>
    </row>
    <row r="703" spans="1:34" ht="15" customHeight="1">
      <c r="A703" s="14" t="s">
        <v>1370</v>
      </c>
      <c r="B703" s="10" t="s">
        <v>1369</v>
      </c>
      <c r="C703" s="20">
        <v>45920</v>
      </c>
      <c r="D703" s="10" t="s">
        <v>378</v>
      </c>
      <c r="E703" s="10" t="s">
        <v>135</v>
      </c>
      <c r="F703" s="10" t="str">
        <f>TRIM(LEFT(OrdersRawTable9[[#This Row],[Customer_Info]],FIND(",",OrdersRawTable9[[#This Row],[Customer_Info]])-1))</f>
        <v>Emma Tremblay</v>
      </c>
      <c r="G70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703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03" s="10">
        <f>LEN(OrdersRawTable9[[#This Row],[Customer_Info]])-LEN(SUBSTITUTE(OrdersRawTable9[[#This Row],[Customer_Info]],",",""))</f>
        <v>2</v>
      </c>
      <c r="J703" s="10" t="s">
        <v>276</v>
      </c>
      <c r="K703" s="23">
        <v>3</v>
      </c>
      <c r="L703" s="26">
        <v>182.94</v>
      </c>
      <c r="M703" s="29">
        <v>0</v>
      </c>
      <c r="N703" s="10" t="s">
        <v>64</v>
      </c>
      <c r="O703" s="10" t="str">
        <f>IF(TRIM(OrdersRawTable9[[#This Row],[Sales_Channel_Raw]])="Market place","Marketplace",TRIM(OrdersRawTable9[[#This Row],[Sales_Channel_Raw]]))</f>
        <v>Retail Store</v>
      </c>
      <c r="P703" s="10" t="s">
        <v>98</v>
      </c>
      <c r="Q703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703" s="15" t="s">
        <v>101</v>
      </c>
      <c r="S703" t="str">
        <f>VLOOKUP(OrdersRawTable9[[#This Row],[Customer_ID_Raw]],CustomersTable11[],4,FALSE)</f>
        <v>Alberta</v>
      </c>
      <c r="T703" t="str">
        <f>VLOOKUP(OrdersRawTable9[[#This Row],[Customer_ID_Raw]],CustomersTable11[],5,FALSE)</f>
        <v>Consumer</v>
      </c>
      <c r="U703" s="45">
        <f>VLOOKUP(OrdersRawTable9[[#This Row],[Product_ID]],ProductsTable10[],4,FALSE)</f>
        <v>118.95</v>
      </c>
      <c r="V703" t="str">
        <f>VLOOKUP(OrdersRawTable9[[#This Row],[Product_ID]],ProductsTable10[],3,FALSE)</f>
        <v>Fitness</v>
      </c>
      <c r="W703" s="45">
        <f>OrdersRawTable9[[#This Row],[Unit_Price]]*OrdersRawTable9[[#This Row],[Quantity]]</f>
        <v>548.81999999999994</v>
      </c>
      <c r="X703" s="47">
        <f>OrdersRawTable9[[#This Row],[Gross_Sales]]*OrdersRawTable9[[#This Row],[Discount_Pct]]</f>
        <v>0</v>
      </c>
      <c r="Y703" s="45">
        <f>OrdersRawTable9[[#This Row],[Gross_Sales]]-OrdersRawTable9[[#This Row],[Discount_Amount]]</f>
        <v>548.81999999999994</v>
      </c>
      <c r="Z703" s="45">
        <f>OrdersRawTable9[[#This Row],[Unit_Cost]]*OrdersRawTable9[[#This Row],[Quantity]]</f>
        <v>356.85</v>
      </c>
      <c r="AA703" s="45">
        <f>OrdersRawTable9[[#This Row],[Net_Sales]]-OrdersRawTable9[[#This Row],[Total_Cost]]</f>
        <v>191.96999999999991</v>
      </c>
      <c r="AB703" s="48">
        <f>IF(OrdersRawTable9[[#This Row],[Net_Sales]]=0,0,OrdersRawTable9[[#This Row],[Profit]]/OrdersRawTable9[[#This Row],[Net_Sales]])</f>
        <v>0.34978681534929473</v>
      </c>
      <c r="AC703" s="45" t="str">
        <f>IF(COUNTIF(ReturnsRawTable[Order_Line_ID],OrdersRawTable9[[#This Row],[Order_Line_ID]])&gt;0,"Yes","No")</f>
        <v>No</v>
      </c>
      <c r="AD703" s="45" t="str">
        <f>IFERROR(VLOOKUP(OrdersRawTable9[[#This Row],[Order_Line_ID]],ReturnsRawTable[[#All],[Order_Line_ID]:[Return_Reason_Raw]],3,FALSE),"")</f>
        <v/>
      </c>
      <c r="AE703" s="49" t="str">
        <f>IFERROR(VLOOKUP(OrdersRawTable9[[#This Row],[Order_Line_ID]],ReturnsRawTable[[#All],[Order_Line_ID]:[Return_Date]],2,FALSE),"")</f>
        <v/>
      </c>
      <c r="AF703" s="45" t="str">
        <f>IFERROR(VLOOKUP(OrdersRawTable9[[#This Row],[Order_Line_ID]],ReturnsRawTable[[Order_Line_ID]:[Refund_Status]],4,FALSE),"")</f>
        <v/>
      </c>
      <c r="AG703" s="45" t="str">
        <f>VLOOKUP(OrdersRawTable9[[#This Row],[Order_ID]],ShipmentsTable[],6,FALSE)</f>
        <v>Late</v>
      </c>
      <c r="AH703" s="49">
        <f>VLOOKUP(OrdersRawTable9[[#This Row],[Order_ID]],ShipmentsTable[],3,FALSE)</f>
        <v>45928</v>
      </c>
    </row>
    <row r="704" spans="1:34" ht="15" customHeight="1">
      <c r="A704" s="14" t="s">
        <v>1371</v>
      </c>
      <c r="B704" s="10" t="s">
        <v>1369</v>
      </c>
      <c r="C704" s="20">
        <v>45920</v>
      </c>
      <c r="D704" s="10" t="s">
        <v>378</v>
      </c>
      <c r="E704" s="10" t="s">
        <v>135</v>
      </c>
      <c r="F704" s="10" t="str">
        <f>TRIM(LEFT(OrdersRawTable9[[#This Row],[Customer_Info]],FIND(",",OrdersRawTable9[[#This Row],[Customer_Info]])-1))</f>
        <v>Emma Tremblay</v>
      </c>
      <c r="G70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704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04" s="10">
        <f>LEN(OrdersRawTable9[[#This Row],[Customer_Info]])-LEN(SUBSTITUTE(OrdersRawTable9[[#This Row],[Customer_Info]],",",""))</f>
        <v>2</v>
      </c>
      <c r="J704" s="10" t="s">
        <v>80</v>
      </c>
      <c r="K704" s="23">
        <v>3</v>
      </c>
      <c r="L704" s="26">
        <v>142.16</v>
      </c>
      <c r="M704" s="29">
        <v>0.05</v>
      </c>
      <c r="N704" s="10" t="s">
        <v>50</v>
      </c>
      <c r="O704" s="10" t="str">
        <f>IF(TRIM(OrdersRawTable9[[#This Row],[Sales_Channel_Raw]])="Market place","Marketplace",TRIM(OrdersRawTable9[[#This Row],[Sales_Channel_Raw]]))</f>
        <v>Marketplace</v>
      </c>
      <c r="P704" s="10" t="s">
        <v>41</v>
      </c>
      <c r="Q704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704" s="15" t="s">
        <v>67</v>
      </c>
      <c r="S704" t="str">
        <f>VLOOKUP(OrdersRawTable9[[#This Row],[Customer_ID_Raw]],CustomersTable11[],4,FALSE)</f>
        <v>Alberta</v>
      </c>
      <c r="T704" t="str">
        <f>VLOOKUP(OrdersRawTable9[[#This Row],[Customer_ID_Raw]],CustomersTable11[],5,FALSE)</f>
        <v>Consumer</v>
      </c>
      <c r="U704" s="45">
        <f>VLOOKUP(OrdersRawTable9[[#This Row],[Product_ID]],ProductsTable10[],4,FALSE)</f>
        <v>85.34</v>
      </c>
      <c r="V704" t="str">
        <f>VLOOKUP(OrdersRawTable9[[#This Row],[Product_ID]],ProductsTable10[],3,FALSE)</f>
        <v>Home</v>
      </c>
      <c r="W704" s="45">
        <f>OrdersRawTable9[[#This Row],[Unit_Price]]*OrdersRawTable9[[#This Row],[Quantity]]</f>
        <v>426.48</v>
      </c>
      <c r="X704" s="47">
        <f>OrdersRawTable9[[#This Row],[Gross_Sales]]*OrdersRawTable9[[#This Row],[Discount_Pct]]</f>
        <v>21.324000000000002</v>
      </c>
      <c r="Y704" s="45">
        <f>OrdersRawTable9[[#This Row],[Gross_Sales]]-OrdersRawTable9[[#This Row],[Discount_Amount]]</f>
        <v>405.15600000000001</v>
      </c>
      <c r="Z704" s="45">
        <f>OrdersRawTable9[[#This Row],[Unit_Cost]]*OrdersRawTable9[[#This Row],[Quantity]]</f>
        <v>256.02</v>
      </c>
      <c r="AA704" s="45">
        <f>OrdersRawTable9[[#This Row],[Net_Sales]]-OrdersRawTable9[[#This Row],[Total_Cost]]</f>
        <v>149.13600000000002</v>
      </c>
      <c r="AB704" s="48">
        <f>IF(OrdersRawTable9[[#This Row],[Net_Sales]]=0,0,OrdersRawTable9[[#This Row],[Profit]]/OrdersRawTable9[[#This Row],[Net_Sales]])</f>
        <v>0.36809525219915296</v>
      </c>
      <c r="AC704" s="45" t="str">
        <f>IF(COUNTIF(ReturnsRawTable[Order_Line_ID],OrdersRawTable9[[#This Row],[Order_Line_ID]])&gt;0,"Yes","No")</f>
        <v>No</v>
      </c>
      <c r="AD704" s="45" t="str">
        <f>IFERROR(VLOOKUP(OrdersRawTable9[[#This Row],[Order_Line_ID]],ReturnsRawTable[[#All],[Order_Line_ID]:[Return_Reason_Raw]],3,FALSE),"")</f>
        <v/>
      </c>
      <c r="AE704" s="49" t="str">
        <f>IFERROR(VLOOKUP(OrdersRawTable9[[#This Row],[Order_Line_ID]],ReturnsRawTable[[#All],[Order_Line_ID]:[Return_Date]],2,FALSE),"")</f>
        <v/>
      </c>
      <c r="AF704" s="45" t="str">
        <f>IFERROR(VLOOKUP(OrdersRawTable9[[#This Row],[Order_Line_ID]],ReturnsRawTable[[Order_Line_ID]:[Refund_Status]],4,FALSE),"")</f>
        <v/>
      </c>
      <c r="AG704" s="45" t="str">
        <f>VLOOKUP(OrdersRawTable9[[#This Row],[Order_ID]],ShipmentsTable[],6,FALSE)</f>
        <v>Late</v>
      </c>
      <c r="AH704" s="49">
        <f>VLOOKUP(OrdersRawTable9[[#This Row],[Order_ID]],ShipmentsTable[],3,FALSE)</f>
        <v>45928</v>
      </c>
    </row>
    <row r="705" spans="1:34" ht="15" customHeight="1">
      <c r="A705" s="14" t="s">
        <v>1372</v>
      </c>
      <c r="B705" s="10" t="s">
        <v>1369</v>
      </c>
      <c r="C705" s="20">
        <v>45920</v>
      </c>
      <c r="D705" s="10" t="s">
        <v>378</v>
      </c>
      <c r="E705" s="10" t="s">
        <v>135</v>
      </c>
      <c r="F705" s="10" t="str">
        <f>TRIM(LEFT(OrdersRawTable9[[#This Row],[Customer_Info]],FIND(",",OrdersRawTable9[[#This Row],[Customer_Info]])-1))</f>
        <v>Emma Tremblay</v>
      </c>
      <c r="G70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705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05" s="10">
        <f>LEN(OrdersRawTable9[[#This Row],[Customer_Info]])-LEN(SUBSTITUTE(OrdersRawTable9[[#This Row],[Customer_Info]],",",""))</f>
        <v>2</v>
      </c>
      <c r="J705" s="10" t="s">
        <v>303</v>
      </c>
      <c r="K705" s="23">
        <v>1</v>
      </c>
      <c r="L705" s="26">
        <v>72.81</v>
      </c>
      <c r="M705" s="29">
        <v>0.05</v>
      </c>
      <c r="N705" s="10" t="s">
        <v>40</v>
      </c>
      <c r="O705" s="10" t="str">
        <f>IF(TRIM(OrdersRawTable9[[#This Row],[Sales_Channel_Raw]])="Market place","Marketplace",TRIM(OrdersRawTable9[[#This Row],[Sales_Channel_Raw]]))</f>
        <v>Online</v>
      </c>
      <c r="P705" s="10" t="s">
        <v>58</v>
      </c>
      <c r="Q705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705" s="15" t="s">
        <v>42</v>
      </c>
      <c r="S705" t="str">
        <f>VLOOKUP(OrdersRawTable9[[#This Row],[Customer_ID_Raw]],CustomersTable11[],4,FALSE)</f>
        <v>Alberta</v>
      </c>
      <c r="T705" t="str">
        <f>VLOOKUP(OrdersRawTable9[[#This Row],[Customer_ID_Raw]],CustomersTable11[],5,FALSE)</f>
        <v>Consumer</v>
      </c>
      <c r="U705" s="45">
        <f>VLOOKUP(OrdersRawTable9[[#This Row],[Product_ID]],ProductsTable10[],4,FALSE)</f>
        <v>37.99</v>
      </c>
      <c r="V705" t="str">
        <f>VLOOKUP(OrdersRawTable9[[#This Row],[Product_ID]],ProductsTable10[],3,FALSE)</f>
        <v>Accessories</v>
      </c>
      <c r="W705" s="45">
        <f>OrdersRawTable9[[#This Row],[Unit_Price]]*OrdersRawTable9[[#This Row],[Quantity]]</f>
        <v>72.81</v>
      </c>
      <c r="X705" s="47">
        <f>OrdersRawTable9[[#This Row],[Gross_Sales]]*OrdersRawTable9[[#This Row],[Discount_Pct]]</f>
        <v>3.6405000000000003</v>
      </c>
      <c r="Y705" s="45">
        <f>OrdersRawTable9[[#This Row],[Gross_Sales]]-OrdersRawTable9[[#This Row],[Discount_Amount]]</f>
        <v>69.169499999999999</v>
      </c>
      <c r="Z705" s="45">
        <f>OrdersRawTable9[[#This Row],[Unit_Cost]]*OrdersRawTable9[[#This Row],[Quantity]]</f>
        <v>37.99</v>
      </c>
      <c r="AA705" s="45">
        <f>OrdersRawTable9[[#This Row],[Net_Sales]]-OrdersRawTable9[[#This Row],[Total_Cost]]</f>
        <v>31.179499999999997</v>
      </c>
      <c r="AB705" s="48">
        <f>IF(OrdersRawTable9[[#This Row],[Net_Sales]]=0,0,OrdersRawTable9[[#This Row],[Profit]]/OrdersRawTable9[[#This Row],[Net_Sales]])</f>
        <v>0.45076948655115329</v>
      </c>
      <c r="AC705" s="45" t="str">
        <f>IF(COUNTIF(ReturnsRawTable[Order_Line_ID],OrdersRawTable9[[#This Row],[Order_Line_ID]])&gt;0,"Yes","No")</f>
        <v>No</v>
      </c>
      <c r="AD705" s="45" t="str">
        <f>IFERROR(VLOOKUP(OrdersRawTable9[[#This Row],[Order_Line_ID]],ReturnsRawTable[[#All],[Order_Line_ID]:[Return_Reason_Raw]],3,FALSE),"")</f>
        <v/>
      </c>
      <c r="AE705" s="49" t="str">
        <f>IFERROR(VLOOKUP(OrdersRawTable9[[#This Row],[Order_Line_ID]],ReturnsRawTable[[#All],[Order_Line_ID]:[Return_Date]],2,FALSE),"")</f>
        <v/>
      </c>
      <c r="AF705" s="45" t="str">
        <f>IFERROR(VLOOKUP(OrdersRawTable9[[#This Row],[Order_Line_ID]],ReturnsRawTable[[Order_Line_ID]:[Refund_Status]],4,FALSE),"")</f>
        <v/>
      </c>
      <c r="AG705" s="45" t="str">
        <f>VLOOKUP(OrdersRawTable9[[#This Row],[Order_ID]],ShipmentsTable[],6,FALSE)</f>
        <v>Late</v>
      </c>
      <c r="AH705" s="49">
        <f>VLOOKUP(OrdersRawTable9[[#This Row],[Order_ID]],ShipmentsTable[],3,FALSE)</f>
        <v>45928</v>
      </c>
    </row>
    <row r="706" spans="1:34" ht="15" customHeight="1">
      <c r="A706" s="14" t="s">
        <v>1373</v>
      </c>
      <c r="B706" s="10" t="s">
        <v>1374</v>
      </c>
      <c r="C706" s="20">
        <v>45852</v>
      </c>
      <c r="D706" s="10" t="s">
        <v>910</v>
      </c>
      <c r="E706" s="10" t="s">
        <v>911</v>
      </c>
      <c r="F706" s="10" t="str">
        <f>TRIM(LEFT(OrdersRawTable9[[#This Row],[Customer_Info]],FIND(",",OrdersRawTable9[[#This Row],[Customer_Info]])-1))</f>
        <v>Ethan Martin</v>
      </c>
      <c r="G70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706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06" s="10">
        <f>LEN(OrdersRawTable9[[#This Row],[Customer_Info]])-LEN(SUBSTITUTE(OrdersRawTable9[[#This Row],[Customer_Info]],",",""))</f>
        <v>2</v>
      </c>
      <c r="J706" s="10" t="s">
        <v>241</v>
      </c>
      <c r="K706" s="23">
        <v>1</v>
      </c>
      <c r="L706" s="26">
        <v>300.56</v>
      </c>
      <c r="M706" s="29">
        <v>0.15</v>
      </c>
      <c r="N706" s="10" t="s">
        <v>40</v>
      </c>
      <c r="O706" s="10" t="str">
        <f>IF(TRIM(OrdersRawTable9[[#This Row],[Sales_Channel_Raw]])="Market place","Marketplace",TRIM(OrdersRawTable9[[#This Row],[Sales_Channel_Raw]]))</f>
        <v>Online</v>
      </c>
      <c r="P706" s="10"/>
      <c r="Q706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706" s="15" t="s">
        <v>52</v>
      </c>
      <c r="S706" t="str">
        <f>VLOOKUP(OrdersRawTable9[[#This Row],[Customer_ID_Raw]],CustomersTable11[],4,FALSE)</f>
        <v>Quebec</v>
      </c>
      <c r="T706" t="str">
        <f>VLOOKUP(OrdersRawTable9[[#This Row],[Customer_ID_Raw]],CustomersTable11[],5,FALSE)</f>
        <v>Consumer</v>
      </c>
      <c r="U706" s="45">
        <f>VLOOKUP(OrdersRawTable9[[#This Row],[Product_ID]],ProductsTable10[],4,FALSE)</f>
        <v>158.86000000000001</v>
      </c>
      <c r="V706" t="str">
        <f>VLOOKUP(OrdersRawTable9[[#This Row],[Product_ID]],ProductsTable10[],3,FALSE)</f>
        <v>Accessories</v>
      </c>
      <c r="W706" s="45">
        <f>OrdersRawTable9[[#This Row],[Unit_Price]]*OrdersRawTable9[[#This Row],[Quantity]]</f>
        <v>300.56</v>
      </c>
      <c r="X706" s="47">
        <f>OrdersRawTable9[[#This Row],[Gross_Sales]]*OrdersRawTable9[[#This Row],[Discount_Pct]]</f>
        <v>45.083999999999996</v>
      </c>
      <c r="Y706" s="45">
        <f>OrdersRawTable9[[#This Row],[Gross_Sales]]-OrdersRawTable9[[#This Row],[Discount_Amount]]</f>
        <v>255.476</v>
      </c>
      <c r="Z706" s="45">
        <f>OrdersRawTable9[[#This Row],[Unit_Cost]]*OrdersRawTable9[[#This Row],[Quantity]]</f>
        <v>158.86000000000001</v>
      </c>
      <c r="AA706" s="45">
        <f>OrdersRawTable9[[#This Row],[Net_Sales]]-OrdersRawTable9[[#This Row],[Total_Cost]]</f>
        <v>96.615999999999985</v>
      </c>
      <c r="AB706" s="48">
        <f>IF(OrdersRawTable9[[#This Row],[Net_Sales]]=0,0,OrdersRawTable9[[#This Row],[Profit]]/OrdersRawTable9[[#This Row],[Net_Sales]])</f>
        <v>0.37818033787909622</v>
      </c>
      <c r="AC706" s="45" t="str">
        <f>IF(COUNTIF(ReturnsRawTable[Order_Line_ID],OrdersRawTable9[[#This Row],[Order_Line_ID]])&gt;0,"Yes","No")</f>
        <v>No</v>
      </c>
      <c r="AD706" s="45" t="str">
        <f>IFERROR(VLOOKUP(OrdersRawTable9[[#This Row],[Order_Line_ID]],ReturnsRawTable[[#All],[Order_Line_ID]:[Return_Reason_Raw]],3,FALSE),"")</f>
        <v/>
      </c>
      <c r="AE706" s="49" t="str">
        <f>IFERROR(VLOOKUP(OrdersRawTable9[[#This Row],[Order_Line_ID]],ReturnsRawTable[[#All],[Order_Line_ID]:[Return_Date]],2,FALSE),"")</f>
        <v/>
      </c>
      <c r="AF706" s="45" t="str">
        <f>IFERROR(VLOOKUP(OrdersRawTable9[[#This Row],[Order_Line_ID]],ReturnsRawTable[[Order_Line_ID]:[Refund_Status]],4,FALSE),"")</f>
        <v/>
      </c>
      <c r="AG706" s="45" t="str">
        <f>VLOOKUP(OrdersRawTable9[[#This Row],[Order_ID]],ShipmentsTable[],6,FALSE)</f>
        <v>On time</v>
      </c>
      <c r="AH706" s="49">
        <f>VLOOKUP(OrdersRawTable9[[#This Row],[Order_ID]],ShipmentsTable[],3,FALSE)</f>
        <v>45853</v>
      </c>
    </row>
    <row r="707" spans="1:34" ht="15" customHeight="1">
      <c r="A707" s="14" t="s">
        <v>1375</v>
      </c>
      <c r="B707" s="10" t="s">
        <v>1374</v>
      </c>
      <c r="C707" s="20">
        <v>45852</v>
      </c>
      <c r="D707" s="10" t="s">
        <v>910</v>
      </c>
      <c r="E707" s="10" t="s">
        <v>911</v>
      </c>
      <c r="F707" s="10" t="str">
        <f>TRIM(LEFT(OrdersRawTable9[[#This Row],[Customer_Info]],FIND(",",OrdersRawTable9[[#This Row],[Customer_Info]])-1))</f>
        <v>Ethan Martin</v>
      </c>
      <c r="G70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707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07" s="10">
        <f>LEN(OrdersRawTable9[[#This Row],[Customer_Info]])-LEN(SUBSTITUTE(OrdersRawTable9[[#This Row],[Customer_Info]],",",""))</f>
        <v>2</v>
      </c>
      <c r="J707" s="10" t="s">
        <v>196</v>
      </c>
      <c r="K707" s="23">
        <v>4</v>
      </c>
      <c r="L707" s="26">
        <v>183.73</v>
      </c>
      <c r="M707" s="29">
        <v>0.05</v>
      </c>
      <c r="N707" s="10" t="s">
        <v>50</v>
      </c>
      <c r="O707" s="10" t="str">
        <f>IF(TRIM(OrdersRawTable9[[#This Row],[Sales_Channel_Raw]])="Market place","Marketplace",TRIM(OrdersRawTable9[[#This Row],[Sales_Channel_Raw]]))</f>
        <v>Marketplace</v>
      </c>
      <c r="P707" s="10"/>
      <c r="Q707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707" s="15" t="s">
        <v>101</v>
      </c>
      <c r="S707" t="str">
        <f>VLOOKUP(OrdersRawTable9[[#This Row],[Customer_ID_Raw]],CustomersTable11[],4,FALSE)</f>
        <v>Quebec</v>
      </c>
      <c r="T707" t="str">
        <f>VLOOKUP(OrdersRawTable9[[#This Row],[Customer_ID_Raw]],CustomersTable11[],5,FALSE)</f>
        <v>Consumer</v>
      </c>
      <c r="U707" s="45">
        <f>VLOOKUP(OrdersRawTable9[[#This Row],[Product_ID]],ProductsTable10[],4,FALSE)</f>
        <v>98.11</v>
      </c>
      <c r="V707" t="str">
        <f>VLOOKUP(OrdersRawTable9[[#This Row],[Product_ID]],ProductsTable10[],3,FALSE)</f>
        <v>Home</v>
      </c>
      <c r="W707" s="45">
        <f>OrdersRawTable9[[#This Row],[Unit_Price]]*OrdersRawTable9[[#This Row],[Quantity]]</f>
        <v>734.92</v>
      </c>
      <c r="X707" s="47">
        <f>OrdersRawTable9[[#This Row],[Gross_Sales]]*OrdersRawTable9[[#This Row],[Discount_Pct]]</f>
        <v>36.746000000000002</v>
      </c>
      <c r="Y707" s="45">
        <f>OrdersRawTable9[[#This Row],[Gross_Sales]]-OrdersRawTable9[[#This Row],[Discount_Amount]]</f>
        <v>698.17399999999998</v>
      </c>
      <c r="Z707" s="45">
        <f>OrdersRawTable9[[#This Row],[Unit_Cost]]*OrdersRawTable9[[#This Row],[Quantity]]</f>
        <v>392.44</v>
      </c>
      <c r="AA707" s="45">
        <f>OrdersRawTable9[[#This Row],[Net_Sales]]-OrdersRawTable9[[#This Row],[Total_Cost]]</f>
        <v>305.73399999999998</v>
      </c>
      <c r="AB707" s="48">
        <f>IF(OrdersRawTable9[[#This Row],[Net_Sales]]=0,0,OrdersRawTable9[[#This Row],[Profit]]/OrdersRawTable9[[#This Row],[Net_Sales]])</f>
        <v>0.43790516404220148</v>
      </c>
      <c r="AC707" s="45" t="str">
        <f>IF(COUNTIF(ReturnsRawTable[Order_Line_ID],OrdersRawTable9[[#This Row],[Order_Line_ID]])&gt;0,"Yes","No")</f>
        <v>No</v>
      </c>
      <c r="AD707" s="45" t="str">
        <f>IFERROR(VLOOKUP(OrdersRawTable9[[#This Row],[Order_Line_ID]],ReturnsRawTable[[#All],[Order_Line_ID]:[Return_Reason_Raw]],3,FALSE),"")</f>
        <v/>
      </c>
      <c r="AE707" s="49" t="str">
        <f>IFERROR(VLOOKUP(OrdersRawTable9[[#This Row],[Order_Line_ID]],ReturnsRawTable[[#All],[Order_Line_ID]:[Return_Date]],2,FALSE),"")</f>
        <v/>
      </c>
      <c r="AF707" s="45" t="str">
        <f>IFERROR(VLOOKUP(OrdersRawTable9[[#This Row],[Order_Line_ID]],ReturnsRawTable[[Order_Line_ID]:[Refund_Status]],4,FALSE),"")</f>
        <v/>
      </c>
      <c r="AG707" s="45" t="str">
        <f>VLOOKUP(OrdersRawTable9[[#This Row],[Order_ID]],ShipmentsTable[],6,FALSE)</f>
        <v>On time</v>
      </c>
      <c r="AH707" s="49">
        <f>VLOOKUP(OrdersRawTable9[[#This Row],[Order_ID]],ShipmentsTable[],3,FALSE)</f>
        <v>45853</v>
      </c>
    </row>
    <row r="708" spans="1:34" ht="15" customHeight="1">
      <c r="A708" s="14" t="s">
        <v>1376</v>
      </c>
      <c r="B708" s="10" t="s">
        <v>1377</v>
      </c>
      <c r="C708" s="20">
        <v>45985</v>
      </c>
      <c r="D708" s="10" t="s">
        <v>733</v>
      </c>
      <c r="E708" s="10" t="s">
        <v>734</v>
      </c>
      <c r="F708" s="10" t="str">
        <f>TRIM(LEFT(OrdersRawTable9[[#This Row],[Customer_Info]],FIND(",",OrdersRawTable9[[#This Row],[Customer_Info]])-1))</f>
        <v>Amina Khan</v>
      </c>
      <c r="G70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708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708" s="10">
        <f>LEN(OrdersRawTable9[[#This Row],[Customer_Info]])-LEN(SUBSTITUTE(OrdersRawTable9[[#This Row],[Customer_Info]],",",""))</f>
        <v>2</v>
      </c>
      <c r="J708" s="10" t="s">
        <v>77</v>
      </c>
      <c r="K708" s="23">
        <v>3</v>
      </c>
      <c r="L708" s="26">
        <v>34.909999999999997</v>
      </c>
      <c r="M708" s="29">
        <v>0.1</v>
      </c>
      <c r="N708" s="10" t="s">
        <v>45</v>
      </c>
      <c r="O708" s="10" t="str">
        <f>IF(TRIM(OrdersRawTable9[[#This Row],[Sales_Channel_Raw]])="Market place","Marketplace",TRIM(OrdersRawTable9[[#This Row],[Sales_Channel_Raw]]))</f>
        <v>Retail Store</v>
      </c>
      <c r="P708" s="10" t="s">
        <v>98</v>
      </c>
      <c r="Q708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708" s="15" t="s">
        <v>47</v>
      </c>
      <c r="S708" t="str">
        <f>VLOOKUP(OrdersRawTable9[[#This Row],[Customer_ID_Raw]],CustomersTable11[],4,FALSE)</f>
        <v>Quebec</v>
      </c>
      <c r="T708" t="str">
        <f>VLOOKUP(OrdersRawTable9[[#This Row],[Customer_ID_Raw]],CustomersTable11[],5,FALSE)</f>
        <v>Corporate</v>
      </c>
      <c r="U708" s="45">
        <f>VLOOKUP(OrdersRawTable9[[#This Row],[Product_ID]],ProductsTable10[],4,FALSE)</f>
        <v>19.670000000000002</v>
      </c>
      <c r="V708" t="str">
        <f>VLOOKUP(OrdersRawTable9[[#This Row],[Product_ID]],ProductsTable10[],3,FALSE)</f>
        <v>Accessories</v>
      </c>
      <c r="W708" s="45">
        <f>OrdersRawTable9[[#This Row],[Unit_Price]]*OrdersRawTable9[[#This Row],[Quantity]]</f>
        <v>104.72999999999999</v>
      </c>
      <c r="X708" s="47">
        <f>OrdersRawTable9[[#This Row],[Gross_Sales]]*OrdersRawTable9[[#This Row],[Discount_Pct]]</f>
        <v>10.472999999999999</v>
      </c>
      <c r="Y708" s="45">
        <f>OrdersRawTable9[[#This Row],[Gross_Sales]]-OrdersRawTable9[[#This Row],[Discount_Amount]]</f>
        <v>94.256999999999991</v>
      </c>
      <c r="Z708" s="45">
        <f>OrdersRawTable9[[#This Row],[Unit_Cost]]*OrdersRawTable9[[#This Row],[Quantity]]</f>
        <v>59.010000000000005</v>
      </c>
      <c r="AA708" s="45">
        <f>OrdersRawTable9[[#This Row],[Net_Sales]]-OrdersRawTable9[[#This Row],[Total_Cost]]</f>
        <v>35.246999999999986</v>
      </c>
      <c r="AB708" s="48">
        <f>IF(OrdersRawTable9[[#This Row],[Net_Sales]]=0,0,OrdersRawTable9[[#This Row],[Profit]]/OrdersRawTable9[[#This Row],[Net_Sales]])</f>
        <v>0.37394570164550101</v>
      </c>
      <c r="AC708" s="45" t="str">
        <f>IF(COUNTIF(ReturnsRawTable[Order_Line_ID],OrdersRawTable9[[#This Row],[Order_Line_ID]])&gt;0,"Yes","No")</f>
        <v>No</v>
      </c>
      <c r="AD708" s="45" t="str">
        <f>IFERROR(VLOOKUP(OrdersRawTable9[[#This Row],[Order_Line_ID]],ReturnsRawTable[[#All],[Order_Line_ID]:[Return_Reason_Raw]],3,FALSE),"")</f>
        <v/>
      </c>
      <c r="AE708" s="49" t="str">
        <f>IFERROR(VLOOKUP(OrdersRawTable9[[#This Row],[Order_Line_ID]],ReturnsRawTable[[#All],[Order_Line_ID]:[Return_Date]],2,FALSE),"")</f>
        <v/>
      </c>
      <c r="AF708" s="45" t="str">
        <f>IFERROR(VLOOKUP(OrdersRawTable9[[#This Row],[Order_Line_ID]],ReturnsRawTable[[Order_Line_ID]:[Refund_Status]],4,FALSE),"")</f>
        <v/>
      </c>
      <c r="AG708" s="45" t="str">
        <f>VLOOKUP(OrdersRawTable9[[#This Row],[Order_ID]],ShipmentsTable[],6,FALSE)</f>
        <v>Late</v>
      </c>
      <c r="AH708" s="49">
        <f>VLOOKUP(OrdersRawTable9[[#This Row],[Order_ID]],ShipmentsTable[],3,FALSE)</f>
        <v>45990</v>
      </c>
    </row>
    <row r="709" spans="1:34" ht="15" customHeight="1">
      <c r="A709" s="14" t="s">
        <v>1378</v>
      </c>
      <c r="B709" s="10" t="s">
        <v>1377</v>
      </c>
      <c r="C709" s="20">
        <v>45985</v>
      </c>
      <c r="D709" s="10" t="s">
        <v>733</v>
      </c>
      <c r="E709" s="10" t="s">
        <v>734</v>
      </c>
      <c r="F709" s="10" t="str">
        <f>TRIM(LEFT(OrdersRawTable9[[#This Row],[Customer_Info]],FIND(",",OrdersRawTable9[[#This Row],[Customer_Info]])-1))</f>
        <v>Amina Khan</v>
      </c>
      <c r="G70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709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709" s="10">
        <f>LEN(OrdersRawTable9[[#This Row],[Customer_Info]])-LEN(SUBSTITUTE(OrdersRawTable9[[#This Row],[Customer_Info]],",",""))</f>
        <v>2</v>
      </c>
      <c r="J709" s="10" t="s">
        <v>241</v>
      </c>
      <c r="K709" s="23">
        <v>4</v>
      </c>
      <c r="L709" s="26">
        <v>300.56</v>
      </c>
      <c r="M709" s="29">
        <v>0.1</v>
      </c>
      <c r="N709" s="10" t="s">
        <v>70</v>
      </c>
      <c r="O709" s="10" t="str">
        <f>IF(TRIM(OrdersRawTable9[[#This Row],[Sales_Channel_Raw]])="Market place","Marketplace",TRIM(OrdersRawTable9[[#This Row],[Sales_Channel_Raw]]))</f>
        <v>online</v>
      </c>
      <c r="P709" s="10" t="s">
        <v>41</v>
      </c>
      <c r="Q709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709" s="15" t="s">
        <v>47</v>
      </c>
      <c r="S709" t="str">
        <f>VLOOKUP(OrdersRawTable9[[#This Row],[Customer_ID_Raw]],CustomersTable11[],4,FALSE)</f>
        <v>Quebec</v>
      </c>
      <c r="T709" t="str">
        <f>VLOOKUP(OrdersRawTable9[[#This Row],[Customer_ID_Raw]],CustomersTable11[],5,FALSE)</f>
        <v>Corporate</v>
      </c>
      <c r="U709" s="45">
        <f>VLOOKUP(OrdersRawTable9[[#This Row],[Product_ID]],ProductsTable10[],4,FALSE)</f>
        <v>158.86000000000001</v>
      </c>
      <c r="V709" t="str">
        <f>VLOOKUP(OrdersRawTable9[[#This Row],[Product_ID]],ProductsTable10[],3,FALSE)</f>
        <v>Accessories</v>
      </c>
      <c r="W709" s="45">
        <f>OrdersRawTable9[[#This Row],[Unit_Price]]*OrdersRawTable9[[#This Row],[Quantity]]</f>
        <v>1202.24</v>
      </c>
      <c r="X709" s="47">
        <f>OrdersRawTable9[[#This Row],[Gross_Sales]]*OrdersRawTable9[[#This Row],[Discount_Pct]]</f>
        <v>120.224</v>
      </c>
      <c r="Y709" s="45">
        <f>OrdersRawTable9[[#This Row],[Gross_Sales]]-OrdersRawTable9[[#This Row],[Discount_Amount]]</f>
        <v>1082.0160000000001</v>
      </c>
      <c r="Z709" s="45">
        <f>OrdersRawTable9[[#This Row],[Unit_Cost]]*OrdersRawTable9[[#This Row],[Quantity]]</f>
        <v>635.44000000000005</v>
      </c>
      <c r="AA709" s="45">
        <f>OrdersRawTable9[[#This Row],[Net_Sales]]-OrdersRawTable9[[#This Row],[Total_Cost]]</f>
        <v>446.57600000000002</v>
      </c>
      <c r="AB709" s="48">
        <f>IF(OrdersRawTable9[[#This Row],[Net_Sales]]=0,0,OrdersRawTable9[[#This Row],[Profit]]/OrdersRawTable9[[#This Row],[Net_Sales]])</f>
        <v>0.4127258746635909</v>
      </c>
      <c r="AC709" s="45" t="str">
        <f>IF(COUNTIF(ReturnsRawTable[Order_Line_ID],OrdersRawTable9[[#This Row],[Order_Line_ID]])&gt;0,"Yes","No")</f>
        <v>Yes</v>
      </c>
      <c r="AD709" s="45" t="str">
        <f>IFERROR(VLOOKUP(OrdersRawTable9[[#This Row],[Order_Line_ID]],ReturnsRawTable[[#All],[Order_Line_ID]:[Return_Reason_Raw]],3,FALSE),"")</f>
        <v>Damaged</v>
      </c>
      <c r="AE709" s="49">
        <f>IFERROR(VLOOKUP(OrdersRawTable9[[#This Row],[Order_Line_ID]],ReturnsRawTable[[#All],[Order_Line_ID]:[Return_Date]],2,FALSE),"")</f>
        <v>45997</v>
      </c>
      <c r="AF709" s="45" t="str">
        <f>IFERROR(VLOOKUP(OrdersRawTable9[[#This Row],[Order_Line_ID]],ReturnsRawTable[[Order_Line_ID]:[Refund_Status]],4,FALSE),"")</f>
        <v>Pending</v>
      </c>
      <c r="AG709" s="45" t="str">
        <f>VLOOKUP(OrdersRawTable9[[#This Row],[Order_ID]],ShipmentsTable[],6,FALSE)</f>
        <v>Late</v>
      </c>
      <c r="AH709" s="49">
        <f>VLOOKUP(OrdersRawTable9[[#This Row],[Order_ID]],ShipmentsTable[],3,FALSE)</f>
        <v>45990</v>
      </c>
    </row>
    <row r="710" spans="1:34" ht="15" customHeight="1">
      <c r="A710" s="14" t="s">
        <v>1379</v>
      </c>
      <c r="B710" s="10" t="s">
        <v>1380</v>
      </c>
      <c r="C710" s="20">
        <v>45992</v>
      </c>
      <c r="D710" s="10" t="s">
        <v>55</v>
      </c>
      <c r="E710" s="10" t="s">
        <v>56</v>
      </c>
      <c r="F710" s="10" t="str">
        <f>TRIM(LEFT(OrdersRawTable9[[#This Row],[Customer_Info]],FIND(",",OrdersRawTable9[[#This Row],[Customer_Info]])-1))</f>
        <v>Omar Gagnon</v>
      </c>
      <c r="G71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710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10" s="10">
        <f>LEN(OrdersRawTable9[[#This Row],[Customer_Info]])-LEN(SUBSTITUTE(OrdersRawTable9[[#This Row],[Customer_Info]],",",""))</f>
        <v>2</v>
      </c>
      <c r="J710" s="10" t="s">
        <v>110</v>
      </c>
      <c r="K710" s="23">
        <v>2</v>
      </c>
      <c r="L710" s="26">
        <v>133.24</v>
      </c>
      <c r="M710" s="29">
        <v>0</v>
      </c>
      <c r="N710" s="10" t="s">
        <v>50</v>
      </c>
      <c r="O710" s="10" t="str">
        <f>IF(TRIM(OrdersRawTable9[[#This Row],[Sales_Channel_Raw]])="Market place","Marketplace",TRIM(OrdersRawTable9[[#This Row],[Sales_Channel_Raw]]))</f>
        <v>Marketplace</v>
      </c>
      <c r="P710" s="10"/>
      <c r="Q710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710" s="15" t="s">
        <v>42</v>
      </c>
      <c r="S710" t="str">
        <f>VLOOKUP(OrdersRawTable9[[#This Row],[Customer_ID_Raw]],CustomersTable11[],4,FALSE)</f>
        <v>Alberta</v>
      </c>
      <c r="T710" t="str">
        <f>VLOOKUP(OrdersRawTable9[[#This Row],[Customer_ID_Raw]],CustomersTable11[],5,FALSE)</f>
        <v>Consumer</v>
      </c>
      <c r="U710" s="45">
        <f>VLOOKUP(OrdersRawTable9[[#This Row],[Product_ID]],ProductsTable10[],4,FALSE)</f>
        <v>77.540000000000006</v>
      </c>
      <c r="V710" t="str">
        <f>VLOOKUP(OrdersRawTable9[[#This Row],[Product_ID]],ProductsTable10[],3,FALSE)</f>
        <v>Electronics</v>
      </c>
      <c r="W710" s="45">
        <f>OrdersRawTable9[[#This Row],[Unit_Price]]*OrdersRawTable9[[#This Row],[Quantity]]</f>
        <v>266.48</v>
      </c>
      <c r="X710" s="47">
        <f>OrdersRawTable9[[#This Row],[Gross_Sales]]*OrdersRawTable9[[#This Row],[Discount_Pct]]</f>
        <v>0</v>
      </c>
      <c r="Y710" s="45">
        <f>OrdersRawTable9[[#This Row],[Gross_Sales]]-OrdersRawTable9[[#This Row],[Discount_Amount]]</f>
        <v>266.48</v>
      </c>
      <c r="Z710" s="45">
        <f>OrdersRawTable9[[#This Row],[Unit_Cost]]*OrdersRawTable9[[#This Row],[Quantity]]</f>
        <v>155.08000000000001</v>
      </c>
      <c r="AA710" s="45">
        <f>OrdersRawTable9[[#This Row],[Net_Sales]]-OrdersRawTable9[[#This Row],[Total_Cost]]</f>
        <v>111.4</v>
      </c>
      <c r="AB710" s="48">
        <f>IF(OrdersRawTable9[[#This Row],[Net_Sales]]=0,0,OrdersRawTable9[[#This Row],[Profit]]/OrdersRawTable9[[#This Row],[Net_Sales]])</f>
        <v>0.41804262984088864</v>
      </c>
      <c r="AC710" s="45" t="str">
        <f>IF(COUNTIF(ReturnsRawTable[Order_Line_ID],OrdersRawTable9[[#This Row],[Order_Line_ID]])&gt;0,"Yes","No")</f>
        <v>No</v>
      </c>
      <c r="AD710" s="45" t="str">
        <f>IFERROR(VLOOKUP(OrdersRawTable9[[#This Row],[Order_Line_ID]],ReturnsRawTable[[#All],[Order_Line_ID]:[Return_Reason_Raw]],3,FALSE),"")</f>
        <v/>
      </c>
      <c r="AE710" s="49" t="str">
        <f>IFERROR(VLOOKUP(OrdersRawTable9[[#This Row],[Order_Line_ID]],ReturnsRawTable[[#All],[Order_Line_ID]:[Return_Date]],2,FALSE),"")</f>
        <v/>
      </c>
      <c r="AF710" s="45" t="str">
        <f>IFERROR(VLOOKUP(OrdersRawTable9[[#This Row],[Order_Line_ID]],ReturnsRawTable[[Order_Line_ID]:[Refund_Status]],4,FALSE),"")</f>
        <v/>
      </c>
      <c r="AG710" s="45" t="str">
        <f>VLOOKUP(OrdersRawTable9[[#This Row],[Order_ID]],ShipmentsTable[],6,FALSE)</f>
        <v>On time</v>
      </c>
      <c r="AH710" s="49">
        <f>VLOOKUP(OrdersRawTable9[[#This Row],[Order_ID]],ShipmentsTable[],3,FALSE)</f>
        <v>45993</v>
      </c>
    </row>
    <row r="711" spans="1:34" ht="15" customHeight="1">
      <c r="A711" s="14" t="s">
        <v>1381</v>
      </c>
      <c r="B711" s="10" t="s">
        <v>1380</v>
      </c>
      <c r="C711" s="20">
        <v>45992</v>
      </c>
      <c r="D711" s="10" t="s">
        <v>55</v>
      </c>
      <c r="E711" s="10" t="s">
        <v>56</v>
      </c>
      <c r="F711" s="10" t="str">
        <f>TRIM(LEFT(OrdersRawTable9[[#This Row],[Customer_Info]],FIND(",",OrdersRawTable9[[#This Row],[Customer_Info]])-1))</f>
        <v>Omar Gagnon</v>
      </c>
      <c r="G71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711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11" s="10">
        <f>LEN(OrdersRawTable9[[#This Row],[Customer_Info]])-LEN(SUBSTITUTE(OrdersRawTable9[[#This Row],[Customer_Info]],",",""))</f>
        <v>2</v>
      </c>
      <c r="J711" s="10" t="s">
        <v>784</v>
      </c>
      <c r="K711" s="23">
        <v>1</v>
      </c>
      <c r="L711" s="26">
        <v>96.33</v>
      </c>
      <c r="M711" s="29">
        <v>0</v>
      </c>
      <c r="N711" s="10" t="s">
        <v>40</v>
      </c>
      <c r="O711" s="10" t="str">
        <f>IF(TRIM(OrdersRawTable9[[#This Row],[Sales_Channel_Raw]])="Market place","Marketplace",TRIM(OrdersRawTable9[[#This Row],[Sales_Channel_Raw]]))</f>
        <v>Online</v>
      </c>
      <c r="P711" s="10" t="s">
        <v>46</v>
      </c>
      <c r="Q711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711" s="15" t="s">
        <v>52</v>
      </c>
      <c r="S711" t="str">
        <f>VLOOKUP(OrdersRawTable9[[#This Row],[Customer_ID_Raw]],CustomersTable11[],4,FALSE)</f>
        <v>Alberta</v>
      </c>
      <c r="T711" t="str">
        <f>VLOOKUP(OrdersRawTable9[[#This Row],[Customer_ID_Raw]],CustomersTable11[],5,FALSE)</f>
        <v>Consumer</v>
      </c>
      <c r="U711" s="45">
        <f>VLOOKUP(OrdersRawTable9[[#This Row],[Product_ID]],ProductsTable10[],4,FALSE)</f>
        <v>57.85</v>
      </c>
      <c r="V711" t="str">
        <f>VLOOKUP(OrdersRawTable9[[#This Row],[Product_ID]],ProductsTable10[],3,FALSE)</f>
        <v>Accessories</v>
      </c>
      <c r="W711" s="45">
        <f>OrdersRawTable9[[#This Row],[Unit_Price]]*OrdersRawTable9[[#This Row],[Quantity]]</f>
        <v>96.33</v>
      </c>
      <c r="X711" s="47">
        <f>OrdersRawTable9[[#This Row],[Gross_Sales]]*OrdersRawTable9[[#This Row],[Discount_Pct]]</f>
        <v>0</v>
      </c>
      <c r="Y711" s="45">
        <f>OrdersRawTable9[[#This Row],[Gross_Sales]]-OrdersRawTable9[[#This Row],[Discount_Amount]]</f>
        <v>96.33</v>
      </c>
      <c r="Z711" s="45">
        <f>OrdersRawTable9[[#This Row],[Unit_Cost]]*OrdersRawTable9[[#This Row],[Quantity]]</f>
        <v>57.85</v>
      </c>
      <c r="AA711" s="45">
        <f>OrdersRawTable9[[#This Row],[Net_Sales]]-OrdersRawTable9[[#This Row],[Total_Cost]]</f>
        <v>38.479999999999997</v>
      </c>
      <c r="AB711" s="48">
        <f>IF(OrdersRawTable9[[#This Row],[Net_Sales]]=0,0,OrdersRawTable9[[#This Row],[Profit]]/OrdersRawTable9[[#This Row],[Net_Sales]])</f>
        <v>0.39946018893387314</v>
      </c>
      <c r="AC711" s="45" t="str">
        <f>IF(COUNTIF(ReturnsRawTable[Order_Line_ID],OrdersRawTable9[[#This Row],[Order_Line_ID]])&gt;0,"Yes","No")</f>
        <v>No</v>
      </c>
      <c r="AD711" s="45" t="str">
        <f>IFERROR(VLOOKUP(OrdersRawTable9[[#This Row],[Order_Line_ID]],ReturnsRawTable[[#All],[Order_Line_ID]:[Return_Reason_Raw]],3,FALSE),"")</f>
        <v/>
      </c>
      <c r="AE711" s="49" t="str">
        <f>IFERROR(VLOOKUP(OrdersRawTable9[[#This Row],[Order_Line_ID]],ReturnsRawTable[[#All],[Order_Line_ID]:[Return_Date]],2,FALSE),"")</f>
        <v/>
      </c>
      <c r="AF711" s="45" t="str">
        <f>IFERROR(VLOOKUP(OrdersRawTable9[[#This Row],[Order_Line_ID]],ReturnsRawTable[[Order_Line_ID]:[Refund_Status]],4,FALSE),"")</f>
        <v/>
      </c>
      <c r="AG711" s="45" t="str">
        <f>VLOOKUP(OrdersRawTable9[[#This Row],[Order_ID]],ShipmentsTable[],6,FALSE)</f>
        <v>On time</v>
      </c>
      <c r="AH711" s="49">
        <f>VLOOKUP(OrdersRawTable9[[#This Row],[Order_ID]],ShipmentsTable[],3,FALSE)</f>
        <v>45993</v>
      </c>
    </row>
    <row r="712" spans="1:34" ht="15" customHeight="1">
      <c r="A712" s="14" t="s">
        <v>1382</v>
      </c>
      <c r="B712" s="10" t="s">
        <v>1383</v>
      </c>
      <c r="C712" s="20">
        <v>45782</v>
      </c>
      <c r="D712" s="10" t="s">
        <v>1384</v>
      </c>
      <c r="E712" s="10" t="s">
        <v>1385</v>
      </c>
      <c r="F712" s="10" t="str">
        <f>TRIM(LEFT(OrdersRawTable9[[#This Row],[Customer_Info]],FIND(",",OrdersRawTable9[[#This Row],[Customer_Info]])-1))</f>
        <v>Sofia Khan</v>
      </c>
      <c r="G71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712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12" s="10">
        <f>LEN(OrdersRawTable9[[#This Row],[Customer_Info]])-LEN(SUBSTITUTE(OrdersRawTable9[[#This Row],[Customer_Info]],",",""))</f>
        <v>2</v>
      </c>
      <c r="J712" s="10" t="s">
        <v>279</v>
      </c>
      <c r="K712" s="23">
        <v>2</v>
      </c>
      <c r="L712" s="26">
        <v>52.79</v>
      </c>
      <c r="M712" s="29">
        <v>0</v>
      </c>
      <c r="N712" s="10" t="s">
        <v>50</v>
      </c>
      <c r="O712" s="10" t="str">
        <f>IF(TRIM(OrdersRawTable9[[#This Row],[Sales_Channel_Raw]])="Market place","Marketplace",TRIM(OrdersRawTable9[[#This Row],[Sales_Channel_Raw]]))</f>
        <v>Marketplace</v>
      </c>
      <c r="P712" s="10" t="s">
        <v>51</v>
      </c>
      <c r="Q712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712" s="15" t="s">
        <v>42</v>
      </c>
      <c r="S712" t="str">
        <f>VLOOKUP(OrdersRawTable9[[#This Row],[Customer_ID_Raw]],CustomersTable11[],4,FALSE)</f>
        <v>Nova Scotia</v>
      </c>
      <c r="T712" t="str">
        <f>VLOOKUP(OrdersRawTable9[[#This Row],[Customer_ID_Raw]],CustomersTable11[],5,FALSE)</f>
        <v>Consumer</v>
      </c>
      <c r="U712" s="45">
        <f>VLOOKUP(OrdersRawTable9[[#This Row],[Product_ID]],ProductsTable10[],4,FALSE)</f>
        <v>28.17</v>
      </c>
      <c r="V712" t="str">
        <f>VLOOKUP(OrdersRawTable9[[#This Row],[Product_ID]],ProductsTable10[],3,FALSE)</f>
        <v>Office</v>
      </c>
      <c r="W712" s="45">
        <f>OrdersRawTable9[[#This Row],[Unit_Price]]*OrdersRawTable9[[#This Row],[Quantity]]</f>
        <v>105.58</v>
      </c>
      <c r="X712" s="47">
        <f>OrdersRawTable9[[#This Row],[Gross_Sales]]*OrdersRawTable9[[#This Row],[Discount_Pct]]</f>
        <v>0</v>
      </c>
      <c r="Y712" s="45">
        <f>OrdersRawTable9[[#This Row],[Gross_Sales]]-OrdersRawTable9[[#This Row],[Discount_Amount]]</f>
        <v>105.58</v>
      </c>
      <c r="Z712" s="45">
        <f>OrdersRawTable9[[#This Row],[Unit_Cost]]*OrdersRawTable9[[#This Row],[Quantity]]</f>
        <v>56.34</v>
      </c>
      <c r="AA712" s="45">
        <f>OrdersRawTable9[[#This Row],[Net_Sales]]-OrdersRawTable9[[#This Row],[Total_Cost]]</f>
        <v>49.239999999999995</v>
      </c>
      <c r="AB712" s="48">
        <f>IF(OrdersRawTable9[[#This Row],[Net_Sales]]=0,0,OrdersRawTable9[[#This Row],[Profit]]/OrdersRawTable9[[#This Row],[Net_Sales]])</f>
        <v>0.46637620761507859</v>
      </c>
      <c r="AC712" s="45" t="str">
        <f>IF(COUNTIF(ReturnsRawTable[Order_Line_ID],OrdersRawTable9[[#This Row],[Order_Line_ID]])&gt;0,"Yes","No")</f>
        <v>No</v>
      </c>
      <c r="AD712" s="45" t="str">
        <f>IFERROR(VLOOKUP(OrdersRawTable9[[#This Row],[Order_Line_ID]],ReturnsRawTable[[#All],[Order_Line_ID]:[Return_Reason_Raw]],3,FALSE),"")</f>
        <v/>
      </c>
      <c r="AE712" s="49" t="str">
        <f>IFERROR(VLOOKUP(OrdersRawTable9[[#This Row],[Order_Line_ID]],ReturnsRawTable[[#All],[Order_Line_ID]:[Return_Date]],2,FALSE),"")</f>
        <v/>
      </c>
      <c r="AF712" s="45" t="str">
        <f>IFERROR(VLOOKUP(OrdersRawTable9[[#This Row],[Order_Line_ID]],ReturnsRawTable[[Order_Line_ID]:[Refund_Status]],4,FALSE),"")</f>
        <v/>
      </c>
      <c r="AG712" s="45" t="str">
        <f>VLOOKUP(OrdersRawTable9[[#This Row],[Order_ID]],ShipmentsTable[],6,FALSE)</f>
        <v>Late</v>
      </c>
      <c r="AH712" s="49">
        <f>VLOOKUP(OrdersRawTable9[[#This Row],[Order_ID]],ShipmentsTable[],3,FALSE)</f>
        <v>45787</v>
      </c>
    </row>
    <row r="713" spans="1:34" ht="15" customHeight="1">
      <c r="A713" s="14" t="s">
        <v>1386</v>
      </c>
      <c r="B713" s="10" t="s">
        <v>1383</v>
      </c>
      <c r="C713" s="20">
        <v>45782</v>
      </c>
      <c r="D713" s="10" t="s">
        <v>1384</v>
      </c>
      <c r="E713" s="10" t="s">
        <v>1385</v>
      </c>
      <c r="F713" s="10" t="str">
        <f>TRIM(LEFT(OrdersRawTable9[[#This Row],[Customer_Info]],FIND(",",OrdersRawTable9[[#This Row],[Customer_Info]])-1))</f>
        <v>Sofia Khan</v>
      </c>
      <c r="G71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713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13" s="10">
        <f>LEN(OrdersRawTable9[[#This Row],[Customer_Info]])-LEN(SUBSTITUTE(OrdersRawTable9[[#This Row],[Customer_Info]],",",""))</f>
        <v>2</v>
      </c>
      <c r="J713" s="10" t="s">
        <v>241</v>
      </c>
      <c r="K713" s="23">
        <v>2</v>
      </c>
      <c r="L713" s="26">
        <v>300.56</v>
      </c>
      <c r="M713" s="29">
        <v>0.05</v>
      </c>
      <c r="N713" s="10" t="s">
        <v>40</v>
      </c>
      <c r="O713" s="10" t="str">
        <f>IF(TRIM(OrdersRawTable9[[#This Row],[Sales_Channel_Raw]])="Market place","Marketplace",TRIM(OrdersRawTable9[[#This Row],[Sales_Channel_Raw]]))</f>
        <v>Online</v>
      </c>
      <c r="P713" s="10" t="s">
        <v>46</v>
      </c>
      <c r="Q713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713" s="15" t="s">
        <v>42</v>
      </c>
      <c r="S713" t="str">
        <f>VLOOKUP(OrdersRawTable9[[#This Row],[Customer_ID_Raw]],CustomersTable11[],4,FALSE)</f>
        <v>Nova Scotia</v>
      </c>
      <c r="T713" t="str">
        <f>VLOOKUP(OrdersRawTable9[[#This Row],[Customer_ID_Raw]],CustomersTable11[],5,FALSE)</f>
        <v>Consumer</v>
      </c>
      <c r="U713" s="45">
        <f>VLOOKUP(OrdersRawTable9[[#This Row],[Product_ID]],ProductsTable10[],4,FALSE)</f>
        <v>158.86000000000001</v>
      </c>
      <c r="V713" t="str">
        <f>VLOOKUP(OrdersRawTable9[[#This Row],[Product_ID]],ProductsTable10[],3,FALSE)</f>
        <v>Accessories</v>
      </c>
      <c r="W713" s="45">
        <f>OrdersRawTable9[[#This Row],[Unit_Price]]*OrdersRawTable9[[#This Row],[Quantity]]</f>
        <v>601.12</v>
      </c>
      <c r="X713" s="47">
        <f>OrdersRawTable9[[#This Row],[Gross_Sales]]*OrdersRawTable9[[#This Row],[Discount_Pct]]</f>
        <v>30.056000000000001</v>
      </c>
      <c r="Y713" s="45">
        <f>OrdersRawTable9[[#This Row],[Gross_Sales]]-OrdersRawTable9[[#This Row],[Discount_Amount]]</f>
        <v>571.06399999999996</v>
      </c>
      <c r="Z713" s="45">
        <f>OrdersRawTable9[[#This Row],[Unit_Cost]]*OrdersRawTable9[[#This Row],[Quantity]]</f>
        <v>317.72000000000003</v>
      </c>
      <c r="AA713" s="45">
        <f>OrdersRawTable9[[#This Row],[Net_Sales]]-OrdersRawTable9[[#This Row],[Total_Cost]]</f>
        <v>253.34399999999994</v>
      </c>
      <c r="AB713" s="48">
        <f>IF(OrdersRawTable9[[#This Row],[Net_Sales]]=0,0,OrdersRawTable9[[#This Row],[Profit]]/OrdersRawTable9[[#This Row],[Net_Sales]])</f>
        <v>0.44363503915498081</v>
      </c>
      <c r="AC713" s="45" t="str">
        <f>IF(COUNTIF(ReturnsRawTable[Order_Line_ID],OrdersRawTable9[[#This Row],[Order_Line_ID]])&gt;0,"Yes","No")</f>
        <v>No</v>
      </c>
      <c r="AD713" s="45" t="str">
        <f>IFERROR(VLOOKUP(OrdersRawTable9[[#This Row],[Order_Line_ID]],ReturnsRawTable[[#All],[Order_Line_ID]:[Return_Reason_Raw]],3,FALSE),"")</f>
        <v/>
      </c>
      <c r="AE713" s="49" t="str">
        <f>IFERROR(VLOOKUP(OrdersRawTable9[[#This Row],[Order_Line_ID]],ReturnsRawTable[[#All],[Order_Line_ID]:[Return_Date]],2,FALSE),"")</f>
        <v/>
      </c>
      <c r="AF713" s="45" t="str">
        <f>IFERROR(VLOOKUP(OrdersRawTable9[[#This Row],[Order_Line_ID]],ReturnsRawTable[[Order_Line_ID]:[Refund_Status]],4,FALSE),"")</f>
        <v/>
      </c>
      <c r="AG713" s="45" t="str">
        <f>VLOOKUP(OrdersRawTable9[[#This Row],[Order_ID]],ShipmentsTable[],6,FALSE)</f>
        <v>Late</v>
      </c>
      <c r="AH713" s="49">
        <f>VLOOKUP(OrdersRawTable9[[#This Row],[Order_ID]],ShipmentsTable[],3,FALSE)</f>
        <v>45787</v>
      </c>
    </row>
    <row r="714" spans="1:34" ht="15" customHeight="1">
      <c r="A714" s="14" t="s">
        <v>1387</v>
      </c>
      <c r="B714" s="10" t="s">
        <v>1383</v>
      </c>
      <c r="C714" s="20">
        <v>45782</v>
      </c>
      <c r="D714" s="10" t="s">
        <v>1384</v>
      </c>
      <c r="E714" s="10" t="s">
        <v>1385</v>
      </c>
      <c r="F714" s="10" t="str">
        <f>TRIM(LEFT(OrdersRawTable9[[#This Row],[Customer_Info]],FIND(",",OrdersRawTable9[[#This Row],[Customer_Info]])-1))</f>
        <v>Sofia Khan</v>
      </c>
      <c r="G71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714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14" s="10">
        <f>LEN(OrdersRawTable9[[#This Row],[Customer_Info]])-LEN(SUBSTITUTE(OrdersRawTable9[[#This Row],[Customer_Info]],",",""))</f>
        <v>2</v>
      </c>
      <c r="J714" s="10" t="s">
        <v>316</v>
      </c>
      <c r="K714" s="23">
        <v>4</v>
      </c>
      <c r="L714" s="26">
        <v>180.37</v>
      </c>
      <c r="M714" s="29">
        <v>0.05</v>
      </c>
      <c r="N714" s="10" t="s">
        <v>66</v>
      </c>
      <c r="O714" s="10" t="str">
        <f>IF(TRIM(OrdersRawTable9[[#This Row],[Sales_Channel_Raw]])="Market place","Marketplace",TRIM(OrdersRawTable9[[#This Row],[Sales_Channel_Raw]]))</f>
        <v>Marketplace</v>
      </c>
      <c r="P714" s="10" t="s">
        <v>98</v>
      </c>
      <c r="Q714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714" s="15" t="s">
        <v>47</v>
      </c>
      <c r="S714" t="str">
        <f>VLOOKUP(OrdersRawTable9[[#This Row],[Customer_ID_Raw]],CustomersTable11[],4,FALSE)</f>
        <v>Nova Scotia</v>
      </c>
      <c r="T714" t="str">
        <f>VLOOKUP(OrdersRawTable9[[#This Row],[Customer_ID_Raw]],CustomersTable11[],5,FALSE)</f>
        <v>Consumer</v>
      </c>
      <c r="U714" s="45">
        <f>VLOOKUP(OrdersRawTable9[[#This Row],[Product_ID]],ProductsTable10[],4,FALSE)</f>
        <v>107.55</v>
      </c>
      <c r="V714" t="str">
        <f>VLOOKUP(OrdersRawTable9[[#This Row],[Product_ID]],ProductsTable10[],3,FALSE)</f>
        <v>Accessories</v>
      </c>
      <c r="W714" s="45">
        <f>OrdersRawTable9[[#This Row],[Unit_Price]]*OrdersRawTable9[[#This Row],[Quantity]]</f>
        <v>721.48</v>
      </c>
      <c r="X714" s="47">
        <f>OrdersRawTable9[[#This Row],[Gross_Sales]]*OrdersRawTable9[[#This Row],[Discount_Pct]]</f>
        <v>36.074000000000005</v>
      </c>
      <c r="Y714" s="45">
        <f>OrdersRawTable9[[#This Row],[Gross_Sales]]-OrdersRawTable9[[#This Row],[Discount_Amount]]</f>
        <v>685.40600000000006</v>
      </c>
      <c r="Z714" s="45">
        <f>OrdersRawTable9[[#This Row],[Unit_Cost]]*OrdersRawTable9[[#This Row],[Quantity]]</f>
        <v>430.2</v>
      </c>
      <c r="AA714" s="45">
        <f>OrdersRawTable9[[#This Row],[Net_Sales]]-OrdersRawTable9[[#This Row],[Total_Cost]]</f>
        <v>255.20600000000007</v>
      </c>
      <c r="AB714" s="48">
        <f>IF(OrdersRawTable9[[#This Row],[Net_Sales]]=0,0,OrdersRawTable9[[#This Row],[Profit]]/OrdersRawTable9[[#This Row],[Net_Sales]])</f>
        <v>0.37234281579093276</v>
      </c>
      <c r="AC714" s="45" t="str">
        <f>IF(COUNTIF(ReturnsRawTable[Order_Line_ID],OrdersRawTable9[[#This Row],[Order_Line_ID]])&gt;0,"Yes","No")</f>
        <v>No</v>
      </c>
      <c r="AD714" s="45" t="str">
        <f>IFERROR(VLOOKUP(OrdersRawTable9[[#This Row],[Order_Line_ID]],ReturnsRawTable[[#All],[Order_Line_ID]:[Return_Reason_Raw]],3,FALSE),"")</f>
        <v/>
      </c>
      <c r="AE714" s="49" t="str">
        <f>IFERROR(VLOOKUP(OrdersRawTable9[[#This Row],[Order_Line_ID]],ReturnsRawTable[[#All],[Order_Line_ID]:[Return_Date]],2,FALSE),"")</f>
        <v/>
      </c>
      <c r="AF714" s="45" t="str">
        <f>IFERROR(VLOOKUP(OrdersRawTable9[[#This Row],[Order_Line_ID]],ReturnsRawTable[[Order_Line_ID]:[Refund_Status]],4,FALSE),"")</f>
        <v/>
      </c>
      <c r="AG714" s="45" t="str">
        <f>VLOOKUP(OrdersRawTable9[[#This Row],[Order_ID]],ShipmentsTable[],6,FALSE)</f>
        <v>Late</v>
      </c>
      <c r="AH714" s="49">
        <f>VLOOKUP(OrdersRawTable9[[#This Row],[Order_ID]],ShipmentsTable[],3,FALSE)</f>
        <v>45787</v>
      </c>
    </row>
    <row r="715" spans="1:34" ht="15" customHeight="1">
      <c r="A715" s="14" t="s">
        <v>1388</v>
      </c>
      <c r="B715" s="10" t="s">
        <v>1389</v>
      </c>
      <c r="C715" s="20">
        <v>45734.041666666664</v>
      </c>
      <c r="D715" s="10" t="s">
        <v>992</v>
      </c>
      <c r="E715" s="10" t="s">
        <v>993</v>
      </c>
      <c r="F715" s="10" t="str">
        <f>TRIM(LEFT(OrdersRawTable9[[#This Row],[Customer_Info]],FIND(",",OrdersRawTable9[[#This Row],[Customer_Info]])-1))</f>
        <v>Amina Wilson</v>
      </c>
      <c r="G71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Regina</v>
      </c>
      <c r="H715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15" s="10">
        <f>LEN(OrdersRawTable9[[#This Row],[Customer_Info]])-LEN(SUBSTITUTE(OrdersRawTable9[[#This Row],[Customer_Info]],",",""))</f>
        <v>2</v>
      </c>
      <c r="J715" s="10" t="s">
        <v>112</v>
      </c>
      <c r="K715" s="23">
        <v>3</v>
      </c>
      <c r="L715" s="26">
        <v>88.61</v>
      </c>
      <c r="M715" s="29">
        <v>0</v>
      </c>
      <c r="N715" s="10" t="s">
        <v>50</v>
      </c>
      <c r="O715" s="10" t="str">
        <f>IF(TRIM(OrdersRawTable9[[#This Row],[Sales_Channel_Raw]])="Market place","Marketplace",TRIM(OrdersRawTable9[[#This Row],[Sales_Channel_Raw]]))</f>
        <v>Marketplace</v>
      </c>
      <c r="P715" s="10" t="s">
        <v>98</v>
      </c>
      <c r="Q715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715" s="15" t="s">
        <v>101</v>
      </c>
      <c r="S715" t="str">
        <f>VLOOKUP(OrdersRawTable9[[#This Row],[Customer_ID_Raw]],CustomersTable11[],4,FALSE)</f>
        <v>Saskatchewan</v>
      </c>
      <c r="T715" t="str">
        <f>VLOOKUP(OrdersRawTable9[[#This Row],[Customer_ID_Raw]],CustomersTable11[],5,FALSE)</f>
        <v>Consumer</v>
      </c>
      <c r="U715" s="45">
        <f>VLOOKUP(OrdersRawTable9[[#This Row],[Product_ID]],ProductsTable10[],4,FALSE)</f>
        <v>49.75</v>
      </c>
      <c r="V715" t="str">
        <f>VLOOKUP(OrdersRawTable9[[#This Row],[Product_ID]],ProductsTable10[],3,FALSE)</f>
        <v>Electronics</v>
      </c>
      <c r="W715" s="45">
        <f>OrdersRawTable9[[#This Row],[Unit_Price]]*OrdersRawTable9[[#This Row],[Quantity]]</f>
        <v>265.83</v>
      </c>
      <c r="X715" s="47">
        <f>OrdersRawTable9[[#This Row],[Gross_Sales]]*OrdersRawTable9[[#This Row],[Discount_Pct]]</f>
        <v>0</v>
      </c>
      <c r="Y715" s="45">
        <f>OrdersRawTable9[[#This Row],[Gross_Sales]]-OrdersRawTable9[[#This Row],[Discount_Amount]]</f>
        <v>265.83</v>
      </c>
      <c r="Z715" s="45">
        <f>OrdersRawTable9[[#This Row],[Unit_Cost]]*OrdersRawTable9[[#This Row],[Quantity]]</f>
        <v>149.25</v>
      </c>
      <c r="AA715" s="45">
        <f>OrdersRawTable9[[#This Row],[Net_Sales]]-OrdersRawTable9[[#This Row],[Total_Cost]]</f>
        <v>116.57999999999998</v>
      </c>
      <c r="AB715" s="48">
        <f>IF(OrdersRawTable9[[#This Row],[Net_Sales]]=0,0,OrdersRawTable9[[#This Row],[Profit]]/OrdersRawTable9[[#This Row],[Net_Sales]])</f>
        <v>0.43855095361697322</v>
      </c>
      <c r="AC715" s="45" t="str">
        <f>IF(COUNTIF(ReturnsRawTable[Order_Line_ID],OrdersRawTable9[[#This Row],[Order_Line_ID]])&gt;0,"Yes","No")</f>
        <v>No</v>
      </c>
      <c r="AD715" s="45" t="str">
        <f>IFERROR(VLOOKUP(OrdersRawTable9[[#This Row],[Order_Line_ID]],ReturnsRawTable[[#All],[Order_Line_ID]:[Return_Reason_Raw]],3,FALSE),"")</f>
        <v/>
      </c>
      <c r="AE715" s="49" t="str">
        <f>IFERROR(VLOOKUP(OrdersRawTable9[[#This Row],[Order_Line_ID]],ReturnsRawTable[[#All],[Order_Line_ID]:[Return_Date]],2,FALSE),"")</f>
        <v/>
      </c>
      <c r="AF715" s="45" t="str">
        <f>IFERROR(VLOOKUP(OrdersRawTable9[[#This Row],[Order_Line_ID]],ReturnsRawTable[[Order_Line_ID]:[Refund_Status]],4,FALSE),"")</f>
        <v/>
      </c>
      <c r="AG715" s="45" t="str">
        <f>VLOOKUP(OrdersRawTable9[[#This Row],[Order_ID]],ShipmentsTable[],6,FALSE)</f>
        <v>On time</v>
      </c>
      <c r="AH715" s="49">
        <f>VLOOKUP(OrdersRawTable9[[#This Row],[Order_ID]],ShipmentsTable[],3,FALSE)</f>
        <v>45735.041666666664</v>
      </c>
    </row>
    <row r="716" spans="1:34" ht="15" customHeight="1">
      <c r="A716" s="14" t="s">
        <v>1390</v>
      </c>
      <c r="B716" s="10" t="s">
        <v>1389</v>
      </c>
      <c r="C716" s="20">
        <v>45734.041666666664</v>
      </c>
      <c r="D716" s="10" t="s">
        <v>992</v>
      </c>
      <c r="E716" s="10" t="s">
        <v>993</v>
      </c>
      <c r="F716" s="10" t="str">
        <f>TRIM(LEFT(OrdersRawTable9[[#This Row],[Customer_Info]],FIND(",",OrdersRawTable9[[#This Row],[Customer_Info]])-1))</f>
        <v>Amina Wilson</v>
      </c>
      <c r="G71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Regina</v>
      </c>
      <c r="H716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16" s="10">
        <f>LEN(OrdersRawTable9[[#This Row],[Customer_Info]])-LEN(SUBSTITUTE(OrdersRawTable9[[#This Row],[Customer_Info]],",",""))</f>
        <v>2</v>
      </c>
      <c r="J716" s="10" t="s">
        <v>100</v>
      </c>
      <c r="K716" s="23">
        <v>4</v>
      </c>
      <c r="L716" s="26">
        <v>42.72</v>
      </c>
      <c r="M716" s="29">
        <v>0.1</v>
      </c>
      <c r="N716" s="10" t="s">
        <v>45</v>
      </c>
      <c r="O716" s="10" t="str">
        <f>IF(TRIM(OrdersRawTable9[[#This Row],[Sales_Channel_Raw]])="Market place","Marketplace",TRIM(OrdersRawTable9[[#This Row],[Sales_Channel_Raw]]))</f>
        <v>Retail Store</v>
      </c>
      <c r="P716" s="10" t="s">
        <v>41</v>
      </c>
      <c r="Q716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716" s="15" t="s">
        <v>42</v>
      </c>
      <c r="S716" t="str">
        <f>VLOOKUP(OrdersRawTable9[[#This Row],[Customer_ID_Raw]],CustomersTable11[],4,FALSE)</f>
        <v>Saskatchewan</v>
      </c>
      <c r="T716" t="str">
        <f>VLOOKUP(OrdersRawTable9[[#This Row],[Customer_ID_Raw]],CustomersTable11[],5,FALSE)</f>
        <v>Consumer</v>
      </c>
      <c r="U716" s="45">
        <f>VLOOKUP(OrdersRawTable9[[#This Row],[Product_ID]],ProductsTable10[],4,FALSE)</f>
        <v>24.46</v>
      </c>
      <c r="V716" t="str">
        <f>VLOOKUP(OrdersRawTable9[[#This Row],[Product_ID]],ProductsTable10[],3,FALSE)</f>
        <v>Electronics</v>
      </c>
      <c r="W716" s="45">
        <f>OrdersRawTable9[[#This Row],[Unit_Price]]*OrdersRawTable9[[#This Row],[Quantity]]</f>
        <v>170.88</v>
      </c>
      <c r="X716" s="47">
        <f>OrdersRawTable9[[#This Row],[Gross_Sales]]*OrdersRawTable9[[#This Row],[Discount_Pct]]</f>
        <v>17.088000000000001</v>
      </c>
      <c r="Y716" s="45">
        <f>OrdersRawTable9[[#This Row],[Gross_Sales]]-OrdersRawTable9[[#This Row],[Discount_Amount]]</f>
        <v>153.792</v>
      </c>
      <c r="Z716" s="45">
        <f>OrdersRawTable9[[#This Row],[Unit_Cost]]*OrdersRawTable9[[#This Row],[Quantity]]</f>
        <v>97.84</v>
      </c>
      <c r="AA716" s="45">
        <f>OrdersRawTable9[[#This Row],[Net_Sales]]-OrdersRawTable9[[#This Row],[Total_Cost]]</f>
        <v>55.951999999999998</v>
      </c>
      <c r="AB716" s="48">
        <f>IF(OrdersRawTable9[[#This Row],[Net_Sales]]=0,0,OrdersRawTable9[[#This Row],[Profit]]/OrdersRawTable9[[#This Row],[Net_Sales]])</f>
        <v>0.36381606325426546</v>
      </c>
      <c r="AC716" s="45" t="str">
        <f>IF(COUNTIF(ReturnsRawTable[Order_Line_ID],OrdersRawTable9[[#This Row],[Order_Line_ID]])&gt;0,"Yes","No")</f>
        <v>No</v>
      </c>
      <c r="AD716" s="45" t="str">
        <f>IFERROR(VLOOKUP(OrdersRawTable9[[#This Row],[Order_Line_ID]],ReturnsRawTable[[#All],[Order_Line_ID]:[Return_Reason_Raw]],3,FALSE),"")</f>
        <v/>
      </c>
      <c r="AE716" s="49" t="str">
        <f>IFERROR(VLOOKUP(OrdersRawTable9[[#This Row],[Order_Line_ID]],ReturnsRawTable[[#All],[Order_Line_ID]:[Return_Date]],2,FALSE),"")</f>
        <v/>
      </c>
      <c r="AF716" s="45" t="str">
        <f>IFERROR(VLOOKUP(OrdersRawTable9[[#This Row],[Order_Line_ID]],ReturnsRawTable[[Order_Line_ID]:[Refund_Status]],4,FALSE),"")</f>
        <v/>
      </c>
      <c r="AG716" s="45" t="str">
        <f>VLOOKUP(OrdersRawTable9[[#This Row],[Order_ID]],ShipmentsTable[],6,FALSE)</f>
        <v>On time</v>
      </c>
      <c r="AH716" s="49">
        <f>VLOOKUP(OrdersRawTable9[[#This Row],[Order_ID]],ShipmentsTable[],3,FALSE)</f>
        <v>45735.041666666664</v>
      </c>
    </row>
    <row r="717" spans="1:34" ht="15" customHeight="1">
      <c r="A717" s="14" t="s">
        <v>1391</v>
      </c>
      <c r="B717" s="10" t="s">
        <v>1389</v>
      </c>
      <c r="C717" s="20">
        <v>45734.041666666664</v>
      </c>
      <c r="D717" s="10" t="s">
        <v>992</v>
      </c>
      <c r="E717" s="10" t="s">
        <v>993</v>
      </c>
      <c r="F717" s="10" t="str">
        <f>TRIM(LEFT(OrdersRawTable9[[#This Row],[Customer_Info]],FIND(",",OrdersRawTable9[[#This Row],[Customer_Info]])-1))</f>
        <v>Amina Wilson</v>
      </c>
      <c r="G71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Regina</v>
      </c>
      <c r="H717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17" s="10">
        <f>LEN(OrdersRawTable9[[#This Row],[Customer_Info]])-LEN(SUBSTITUTE(OrdersRawTable9[[#This Row],[Customer_Info]],",",""))</f>
        <v>2</v>
      </c>
      <c r="J717" s="10" t="s">
        <v>784</v>
      </c>
      <c r="K717" s="23">
        <v>3</v>
      </c>
      <c r="L717" s="26">
        <v>96.33</v>
      </c>
      <c r="M717" s="29">
        <v>0</v>
      </c>
      <c r="N717" s="10" t="s">
        <v>40</v>
      </c>
      <c r="O717" s="10" t="str">
        <f>IF(TRIM(OrdersRawTable9[[#This Row],[Sales_Channel_Raw]])="Market place","Marketplace",TRIM(OrdersRawTable9[[#This Row],[Sales_Channel_Raw]]))</f>
        <v>Online</v>
      </c>
      <c r="P717" s="10" t="s">
        <v>46</v>
      </c>
      <c r="Q717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717" s="15" t="s">
        <v>47</v>
      </c>
      <c r="S717" t="str">
        <f>VLOOKUP(OrdersRawTable9[[#This Row],[Customer_ID_Raw]],CustomersTable11[],4,FALSE)</f>
        <v>Saskatchewan</v>
      </c>
      <c r="T717" t="str">
        <f>VLOOKUP(OrdersRawTable9[[#This Row],[Customer_ID_Raw]],CustomersTable11[],5,FALSE)</f>
        <v>Consumer</v>
      </c>
      <c r="U717" s="45">
        <f>VLOOKUP(OrdersRawTable9[[#This Row],[Product_ID]],ProductsTable10[],4,FALSE)</f>
        <v>57.85</v>
      </c>
      <c r="V717" t="str">
        <f>VLOOKUP(OrdersRawTable9[[#This Row],[Product_ID]],ProductsTable10[],3,FALSE)</f>
        <v>Accessories</v>
      </c>
      <c r="W717" s="45">
        <f>OrdersRawTable9[[#This Row],[Unit_Price]]*OrdersRawTable9[[#This Row],[Quantity]]</f>
        <v>288.99</v>
      </c>
      <c r="X717" s="47">
        <f>OrdersRawTable9[[#This Row],[Gross_Sales]]*OrdersRawTable9[[#This Row],[Discount_Pct]]</f>
        <v>0</v>
      </c>
      <c r="Y717" s="45">
        <f>OrdersRawTable9[[#This Row],[Gross_Sales]]-OrdersRawTable9[[#This Row],[Discount_Amount]]</f>
        <v>288.99</v>
      </c>
      <c r="Z717" s="45">
        <f>OrdersRawTable9[[#This Row],[Unit_Cost]]*OrdersRawTable9[[#This Row],[Quantity]]</f>
        <v>173.55</v>
      </c>
      <c r="AA717" s="45">
        <f>OrdersRawTable9[[#This Row],[Net_Sales]]-OrdersRawTable9[[#This Row],[Total_Cost]]</f>
        <v>115.44</v>
      </c>
      <c r="AB717" s="48">
        <f>IF(OrdersRawTable9[[#This Row],[Net_Sales]]=0,0,OrdersRawTable9[[#This Row],[Profit]]/OrdersRawTable9[[#This Row],[Net_Sales]])</f>
        <v>0.39946018893387314</v>
      </c>
      <c r="AC717" s="45" t="str">
        <f>IF(COUNTIF(ReturnsRawTable[Order_Line_ID],OrdersRawTable9[[#This Row],[Order_Line_ID]])&gt;0,"Yes","No")</f>
        <v>No</v>
      </c>
      <c r="AD717" s="45" t="str">
        <f>IFERROR(VLOOKUP(OrdersRawTable9[[#This Row],[Order_Line_ID]],ReturnsRawTable[[#All],[Order_Line_ID]:[Return_Reason_Raw]],3,FALSE),"")</f>
        <v/>
      </c>
      <c r="AE717" s="49" t="str">
        <f>IFERROR(VLOOKUP(OrdersRawTable9[[#This Row],[Order_Line_ID]],ReturnsRawTable[[#All],[Order_Line_ID]:[Return_Date]],2,FALSE),"")</f>
        <v/>
      </c>
      <c r="AF717" s="45" t="str">
        <f>IFERROR(VLOOKUP(OrdersRawTable9[[#This Row],[Order_Line_ID]],ReturnsRawTable[[Order_Line_ID]:[Refund_Status]],4,FALSE),"")</f>
        <v/>
      </c>
      <c r="AG717" s="45" t="str">
        <f>VLOOKUP(OrdersRawTable9[[#This Row],[Order_ID]],ShipmentsTable[],6,FALSE)</f>
        <v>On time</v>
      </c>
      <c r="AH717" s="49">
        <f>VLOOKUP(OrdersRawTable9[[#This Row],[Order_ID]],ShipmentsTable[],3,FALSE)</f>
        <v>45735.041666666664</v>
      </c>
    </row>
    <row r="718" spans="1:34" ht="15" customHeight="1">
      <c r="A718" s="14" t="s">
        <v>1392</v>
      </c>
      <c r="B718" s="10" t="s">
        <v>1389</v>
      </c>
      <c r="C718" s="20">
        <v>45734.041666666664</v>
      </c>
      <c r="D718" s="10" t="s">
        <v>992</v>
      </c>
      <c r="E718" s="10" t="s">
        <v>993</v>
      </c>
      <c r="F718" s="10" t="str">
        <f>TRIM(LEFT(OrdersRawTable9[[#This Row],[Customer_Info]],FIND(",",OrdersRawTable9[[#This Row],[Customer_Info]])-1))</f>
        <v>Amina Wilson</v>
      </c>
      <c r="G71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Regina</v>
      </c>
      <c r="H718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18" s="10">
        <f>LEN(OrdersRawTable9[[#This Row],[Customer_Info]])-LEN(SUBSTITUTE(OrdersRawTable9[[#This Row],[Customer_Info]],",",""))</f>
        <v>2</v>
      </c>
      <c r="J718" s="10" t="s">
        <v>88</v>
      </c>
      <c r="K718" s="23">
        <v>3</v>
      </c>
      <c r="L718" s="26">
        <v>147.46</v>
      </c>
      <c r="M718" s="29">
        <v>0</v>
      </c>
      <c r="N718" s="10" t="s">
        <v>40</v>
      </c>
      <c r="O718" s="10" t="str">
        <f>IF(TRIM(OrdersRawTable9[[#This Row],[Sales_Channel_Raw]])="Market place","Marketplace",TRIM(OrdersRawTable9[[#This Row],[Sales_Channel_Raw]]))</f>
        <v>Online</v>
      </c>
      <c r="P718" s="10" t="s">
        <v>46</v>
      </c>
      <c r="Q718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718" s="15" t="s">
        <v>47</v>
      </c>
      <c r="S718" t="str">
        <f>VLOOKUP(OrdersRawTable9[[#This Row],[Customer_ID_Raw]],CustomersTable11[],4,FALSE)</f>
        <v>Saskatchewan</v>
      </c>
      <c r="T718" t="str">
        <f>VLOOKUP(OrdersRawTable9[[#This Row],[Customer_ID_Raw]],CustomersTable11[],5,FALSE)</f>
        <v>Consumer</v>
      </c>
      <c r="U718" s="45">
        <f>VLOOKUP(OrdersRawTable9[[#This Row],[Product_ID]],ProductsTable10[],4,FALSE)</f>
        <v>100.95</v>
      </c>
      <c r="V718" t="str">
        <f>VLOOKUP(OrdersRawTable9[[#This Row],[Product_ID]],ProductsTable10[],3,FALSE)</f>
        <v>Electronics</v>
      </c>
      <c r="W718" s="45">
        <f>OrdersRawTable9[[#This Row],[Unit_Price]]*OrdersRawTable9[[#This Row],[Quantity]]</f>
        <v>442.38</v>
      </c>
      <c r="X718" s="47">
        <f>OrdersRawTable9[[#This Row],[Gross_Sales]]*OrdersRawTable9[[#This Row],[Discount_Pct]]</f>
        <v>0</v>
      </c>
      <c r="Y718" s="45">
        <f>OrdersRawTable9[[#This Row],[Gross_Sales]]-OrdersRawTable9[[#This Row],[Discount_Amount]]</f>
        <v>442.38</v>
      </c>
      <c r="Z718" s="45">
        <f>OrdersRawTable9[[#This Row],[Unit_Cost]]*OrdersRawTable9[[#This Row],[Quantity]]</f>
        <v>302.85000000000002</v>
      </c>
      <c r="AA718" s="45">
        <f>OrdersRawTable9[[#This Row],[Net_Sales]]-OrdersRawTable9[[#This Row],[Total_Cost]]</f>
        <v>139.52999999999997</v>
      </c>
      <c r="AB718" s="48">
        <f>IF(OrdersRawTable9[[#This Row],[Net_Sales]]=0,0,OrdersRawTable9[[#This Row],[Profit]]/OrdersRawTable9[[#This Row],[Net_Sales]])</f>
        <v>0.31540756815407561</v>
      </c>
      <c r="AC718" s="45" t="str">
        <f>IF(COUNTIF(ReturnsRawTable[Order_Line_ID],OrdersRawTable9[[#This Row],[Order_Line_ID]])&gt;0,"Yes","No")</f>
        <v>No</v>
      </c>
      <c r="AD718" s="45" t="str">
        <f>IFERROR(VLOOKUP(OrdersRawTable9[[#This Row],[Order_Line_ID]],ReturnsRawTable[[#All],[Order_Line_ID]:[Return_Reason_Raw]],3,FALSE),"")</f>
        <v/>
      </c>
      <c r="AE718" s="49" t="str">
        <f>IFERROR(VLOOKUP(OrdersRawTable9[[#This Row],[Order_Line_ID]],ReturnsRawTable[[#All],[Order_Line_ID]:[Return_Date]],2,FALSE),"")</f>
        <v/>
      </c>
      <c r="AF718" s="45" t="str">
        <f>IFERROR(VLOOKUP(OrdersRawTable9[[#This Row],[Order_Line_ID]],ReturnsRawTable[[Order_Line_ID]:[Refund_Status]],4,FALSE),"")</f>
        <v/>
      </c>
      <c r="AG718" s="45" t="str">
        <f>VLOOKUP(OrdersRawTable9[[#This Row],[Order_ID]],ShipmentsTable[],6,FALSE)</f>
        <v>On time</v>
      </c>
      <c r="AH718" s="49">
        <f>VLOOKUP(OrdersRawTable9[[#This Row],[Order_ID]],ShipmentsTable[],3,FALSE)</f>
        <v>45735.041666666664</v>
      </c>
    </row>
    <row r="719" spans="1:34" ht="15" customHeight="1">
      <c r="A719" s="14" t="s">
        <v>1393</v>
      </c>
      <c r="B719" s="10" t="s">
        <v>1394</v>
      </c>
      <c r="C719" s="20">
        <v>45945</v>
      </c>
      <c r="D719" s="10" t="s">
        <v>96</v>
      </c>
      <c r="E719" s="10" t="s">
        <v>97</v>
      </c>
      <c r="F719" s="10" t="str">
        <f>TRIM(LEFT(OrdersRawTable9[[#This Row],[Customer_Info]],FIND(",",OrdersRawTable9[[#This Row],[Customer_Info]])-1))</f>
        <v>Ethan Dubois</v>
      </c>
      <c r="G71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719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19" s="10">
        <f>LEN(OrdersRawTable9[[#This Row],[Customer_Info]])-LEN(SUBSTITUTE(OrdersRawTable9[[#This Row],[Customer_Info]],",",""))</f>
        <v>2</v>
      </c>
      <c r="J719" s="10" t="s">
        <v>152</v>
      </c>
      <c r="K719" s="23">
        <v>4</v>
      </c>
      <c r="L719" s="26">
        <v>234.37</v>
      </c>
      <c r="M719" s="29">
        <v>0.1</v>
      </c>
      <c r="N719" s="10" t="s">
        <v>45</v>
      </c>
      <c r="O719" s="10" t="str">
        <f>IF(TRIM(OrdersRawTable9[[#This Row],[Sales_Channel_Raw]])="Market place","Marketplace",TRIM(OrdersRawTable9[[#This Row],[Sales_Channel_Raw]]))</f>
        <v>Retail Store</v>
      </c>
      <c r="P719" s="10" t="s">
        <v>58</v>
      </c>
      <c r="Q719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719" s="15" t="s">
        <v>67</v>
      </c>
      <c r="S719" t="str">
        <f>VLOOKUP(OrdersRawTable9[[#This Row],[Customer_ID_Raw]],CustomersTable11[],4,FALSE)</f>
        <v>Alberta</v>
      </c>
      <c r="T719" t="str">
        <f>VLOOKUP(OrdersRawTable9[[#This Row],[Customer_ID_Raw]],CustomersTable11[],5,FALSE)</f>
        <v>Consumer</v>
      </c>
      <c r="U719" s="45">
        <f>VLOOKUP(OrdersRawTable9[[#This Row],[Product_ID]],ProductsTable10[],4,FALSE)</f>
        <v>129.41999999999999</v>
      </c>
      <c r="V719" t="str">
        <f>VLOOKUP(OrdersRawTable9[[#This Row],[Product_ID]],ProductsTable10[],3,FALSE)</f>
        <v>Home</v>
      </c>
      <c r="W719" s="45">
        <f>OrdersRawTable9[[#This Row],[Unit_Price]]*OrdersRawTable9[[#This Row],[Quantity]]</f>
        <v>937.48</v>
      </c>
      <c r="X719" s="47">
        <f>OrdersRawTable9[[#This Row],[Gross_Sales]]*OrdersRawTable9[[#This Row],[Discount_Pct]]</f>
        <v>93.748000000000005</v>
      </c>
      <c r="Y719" s="45">
        <f>OrdersRawTable9[[#This Row],[Gross_Sales]]-OrdersRawTable9[[#This Row],[Discount_Amount]]</f>
        <v>843.73199999999997</v>
      </c>
      <c r="Z719" s="45">
        <f>OrdersRawTable9[[#This Row],[Unit_Cost]]*OrdersRawTable9[[#This Row],[Quantity]]</f>
        <v>517.67999999999995</v>
      </c>
      <c r="AA719" s="45">
        <f>OrdersRawTable9[[#This Row],[Net_Sales]]-OrdersRawTable9[[#This Row],[Total_Cost]]</f>
        <v>326.05200000000002</v>
      </c>
      <c r="AB719" s="48">
        <f>IF(OrdersRawTable9[[#This Row],[Net_Sales]]=0,0,OrdersRawTable9[[#This Row],[Profit]]/OrdersRawTable9[[#This Row],[Net_Sales]])</f>
        <v>0.38644024405853994</v>
      </c>
      <c r="AC719" s="45" t="str">
        <f>IF(COUNTIF(ReturnsRawTable[Order_Line_ID],OrdersRawTable9[[#This Row],[Order_Line_ID]])&gt;0,"Yes","No")</f>
        <v>No</v>
      </c>
      <c r="AD719" s="45" t="str">
        <f>IFERROR(VLOOKUP(OrdersRawTable9[[#This Row],[Order_Line_ID]],ReturnsRawTable[[#All],[Order_Line_ID]:[Return_Reason_Raw]],3,FALSE),"")</f>
        <v/>
      </c>
      <c r="AE719" s="49" t="str">
        <f>IFERROR(VLOOKUP(OrdersRawTable9[[#This Row],[Order_Line_ID]],ReturnsRawTable[[#All],[Order_Line_ID]:[Return_Date]],2,FALSE),"")</f>
        <v/>
      </c>
      <c r="AF719" s="45" t="str">
        <f>IFERROR(VLOOKUP(OrdersRawTable9[[#This Row],[Order_Line_ID]],ReturnsRawTable[[Order_Line_ID]:[Refund_Status]],4,FALSE),"")</f>
        <v/>
      </c>
      <c r="AG719" s="45" t="str">
        <f>VLOOKUP(OrdersRawTable9[[#This Row],[Order_ID]],ShipmentsTable[],6,FALSE)</f>
        <v>Late</v>
      </c>
      <c r="AH719" s="49">
        <f>VLOOKUP(OrdersRawTable9[[#This Row],[Order_ID]],ShipmentsTable[],3,FALSE)</f>
        <v>45954</v>
      </c>
    </row>
    <row r="720" spans="1:34" ht="15" customHeight="1">
      <c r="A720" s="14" t="s">
        <v>1395</v>
      </c>
      <c r="B720" s="10" t="s">
        <v>1394</v>
      </c>
      <c r="C720" s="20">
        <v>45945</v>
      </c>
      <c r="D720" s="10" t="s">
        <v>96</v>
      </c>
      <c r="E720" s="10" t="s">
        <v>97</v>
      </c>
      <c r="F720" s="10" t="str">
        <f>TRIM(LEFT(OrdersRawTable9[[#This Row],[Customer_Info]],FIND(",",OrdersRawTable9[[#This Row],[Customer_Info]])-1))</f>
        <v>Ethan Dubois</v>
      </c>
      <c r="G72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720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20" s="10">
        <f>LEN(OrdersRawTable9[[#This Row],[Customer_Info]])-LEN(SUBSTITUTE(OrdersRawTable9[[#This Row],[Customer_Info]],",",""))</f>
        <v>2</v>
      </c>
      <c r="J720" s="10" t="s">
        <v>428</v>
      </c>
      <c r="K720" s="23">
        <v>1</v>
      </c>
      <c r="L720" s="26">
        <v>110.88</v>
      </c>
      <c r="M720" s="29">
        <v>0</v>
      </c>
      <c r="N720" s="10" t="s">
        <v>70</v>
      </c>
      <c r="O720" s="10" t="str">
        <f>IF(TRIM(OrdersRawTable9[[#This Row],[Sales_Channel_Raw]])="Market place","Marketplace",TRIM(OrdersRawTable9[[#This Row],[Sales_Channel_Raw]]))</f>
        <v>online</v>
      </c>
      <c r="P720" s="10" t="s">
        <v>51</v>
      </c>
      <c r="Q720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720" s="15" t="s">
        <v>101</v>
      </c>
      <c r="S720" t="str">
        <f>VLOOKUP(OrdersRawTable9[[#This Row],[Customer_ID_Raw]],CustomersTable11[],4,FALSE)</f>
        <v>Alberta</v>
      </c>
      <c r="T720" t="str">
        <f>VLOOKUP(OrdersRawTable9[[#This Row],[Customer_ID_Raw]],CustomersTable11[],5,FALSE)</f>
        <v>Consumer</v>
      </c>
      <c r="U720" s="45">
        <f>VLOOKUP(OrdersRawTable9[[#This Row],[Product_ID]],ProductsTable10[],4,FALSE)</f>
        <v>57.09</v>
      </c>
      <c r="V720" t="str">
        <f>VLOOKUP(OrdersRawTable9[[#This Row],[Product_ID]],ProductsTable10[],3,FALSE)</f>
        <v>Electronics</v>
      </c>
      <c r="W720" s="45">
        <f>OrdersRawTable9[[#This Row],[Unit_Price]]*OrdersRawTable9[[#This Row],[Quantity]]</f>
        <v>110.88</v>
      </c>
      <c r="X720" s="47">
        <f>OrdersRawTable9[[#This Row],[Gross_Sales]]*OrdersRawTable9[[#This Row],[Discount_Pct]]</f>
        <v>0</v>
      </c>
      <c r="Y720" s="45">
        <f>OrdersRawTable9[[#This Row],[Gross_Sales]]-OrdersRawTable9[[#This Row],[Discount_Amount]]</f>
        <v>110.88</v>
      </c>
      <c r="Z720" s="45">
        <f>OrdersRawTable9[[#This Row],[Unit_Cost]]*OrdersRawTable9[[#This Row],[Quantity]]</f>
        <v>57.09</v>
      </c>
      <c r="AA720" s="45">
        <f>OrdersRawTable9[[#This Row],[Net_Sales]]-OrdersRawTable9[[#This Row],[Total_Cost]]</f>
        <v>53.789999999999992</v>
      </c>
      <c r="AB720" s="48">
        <f>IF(OrdersRawTable9[[#This Row],[Net_Sales]]=0,0,OrdersRawTable9[[#This Row],[Profit]]/OrdersRawTable9[[#This Row],[Net_Sales]])</f>
        <v>0.48511904761904756</v>
      </c>
      <c r="AC720" s="45" t="str">
        <f>IF(COUNTIF(ReturnsRawTable[Order_Line_ID],OrdersRawTable9[[#This Row],[Order_Line_ID]])&gt;0,"Yes","No")</f>
        <v>No</v>
      </c>
      <c r="AD720" s="45" t="str">
        <f>IFERROR(VLOOKUP(OrdersRawTable9[[#This Row],[Order_Line_ID]],ReturnsRawTable[[#All],[Order_Line_ID]:[Return_Reason_Raw]],3,FALSE),"")</f>
        <v/>
      </c>
      <c r="AE720" s="49" t="str">
        <f>IFERROR(VLOOKUP(OrdersRawTable9[[#This Row],[Order_Line_ID]],ReturnsRawTable[[#All],[Order_Line_ID]:[Return_Date]],2,FALSE),"")</f>
        <v/>
      </c>
      <c r="AF720" s="45" t="str">
        <f>IFERROR(VLOOKUP(OrdersRawTable9[[#This Row],[Order_Line_ID]],ReturnsRawTable[[Order_Line_ID]:[Refund_Status]],4,FALSE),"")</f>
        <v/>
      </c>
      <c r="AG720" s="45" t="str">
        <f>VLOOKUP(OrdersRawTable9[[#This Row],[Order_ID]],ShipmentsTable[],6,FALSE)</f>
        <v>Late</v>
      </c>
      <c r="AH720" s="49">
        <f>VLOOKUP(OrdersRawTable9[[#This Row],[Order_ID]],ShipmentsTable[],3,FALSE)</f>
        <v>45954</v>
      </c>
    </row>
    <row r="721" spans="1:34" ht="15" customHeight="1">
      <c r="A721" s="14" t="s">
        <v>1396</v>
      </c>
      <c r="B721" s="10" t="s">
        <v>1394</v>
      </c>
      <c r="C721" s="20">
        <v>45945</v>
      </c>
      <c r="D721" s="10" t="s">
        <v>96</v>
      </c>
      <c r="E721" s="10" t="s">
        <v>97</v>
      </c>
      <c r="F721" s="10" t="str">
        <f>TRIM(LEFT(OrdersRawTable9[[#This Row],[Customer_Info]],FIND(",",OrdersRawTable9[[#This Row],[Customer_Info]])-1))</f>
        <v>Ethan Dubois</v>
      </c>
      <c r="G72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721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21" s="10">
        <f>LEN(OrdersRawTable9[[#This Row],[Customer_Info]])-LEN(SUBSTITUTE(OrdersRawTable9[[#This Row],[Customer_Info]],",",""))</f>
        <v>2</v>
      </c>
      <c r="J721" s="10" t="s">
        <v>63</v>
      </c>
      <c r="K721" s="23">
        <v>2</v>
      </c>
      <c r="L721" s="26">
        <v>105.38</v>
      </c>
      <c r="M721" s="29">
        <v>0</v>
      </c>
      <c r="N721" s="10" t="s">
        <v>64</v>
      </c>
      <c r="O721" s="10" t="str">
        <f>IF(TRIM(OrdersRawTable9[[#This Row],[Sales_Channel_Raw]])="Market place","Marketplace",TRIM(OrdersRawTable9[[#This Row],[Sales_Channel_Raw]]))</f>
        <v>Retail Store</v>
      </c>
      <c r="P721" s="10" t="s">
        <v>98</v>
      </c>
      <c r="Q721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721" s="15" t="s">
        <v>52</v>
      </c>
      <c r="S721" t="str">
        <f>VLOOKUP(OrdersRawTable9[[#This Row],[Customer_ID_Raw]],CustomersTable11[],4,FALSE)</f>
        <v>Alberta</v>
      </c>
      <c r="T721" t="str">
        <f>VLOOKUP(OrdersRawTable9[[#This Row],[Customer_ID_Raw]],CustomersTable11[],5,FALSE)</f>
        <v>Consumer</v>
      </c>
      <c r="U721" s="45">
        <f>VLOOKUP(OrdersRawTable9[[#This Row],[Product_ID]],ProductsTable10[],4,FALSE)</f>
        <v>67.290000000000006</v>
      </c>
      <c r="V721" t="str">
        <f>VLOOKUP(OrdersRawTable9[[#This Row],[Product_ID]],ProductsTable10[],3,FALSE)</f>
        <v>Electronics</v>
      </c>
      <c r="W721" s="45">
        <f>OrdersRawTable9[[#This Row],[Unit_Price]]*OrdersRawTable9[[#This Row],[Quantity]]</f>
        <v>210.76</v>
      </c>
      <c r="X721" s="47">
        <f>OrdersRawTable9[[#This Row],[Gross_Sales]]*OrdersRawTable9[[#This Row],[Discount_Pct]]</f>
        <v>0</v>
      </c>
      <c r="Y721" s="45">
        <f>OrdersRawTable9[[#This Row],[Gross_Sales]]-OrdersRawTable9[[#This Row],[Discount_Amount]]</f>
        <v>210.76</v>
      </c>
      <c r="Z721" s="45">
        <f>OrdersRawTable9[[#This Row],[Unit_Cost]]*OrdersRawTable9[[#This Row],[Quantity]]</f>
        <v>134.58000000000001</v>
      </c>
      <c r="AA721" s="45">
        <f>OrdersRawTable9[[#This Row],[Net_Sales]]-OrdersRawTable9[[#This Row],[Total_Cost]]</f>
        <v>76.179999999999978</v>
      </c>
      <c r="AB721" s="48">
        <f>IF(OrdersRawTable9[[#This Row],[Net_Sales]]=0,0,OrdersRawTable9[[#This Row],[Profit]]/OrdersRawTable9[[#This Row],[Net_Sales]])</f>
        <v>0.36145378629721003</v>
      </c>
      <c r="AC721" s="45" t="str">
        <f>IF(COUNTIF(ReturnsRawTable[Order_Line_ID],OrdersRawTable9[[#This Row],[Order_Line_ID]])&gt;0,"Yes","No")</f>
        <v>No</v>
      </c>
      <c r="AD721" s="45" t="str">
        <f>IFERROR(VLOOKUP(OrdersRawTable9[[#This Row],[Order_Line_ID]],ReturnsRawTable[[#All],[Order_Line_ID]:[Return_Reason_Raw]],3,FALSE),"")</f>
        <v/>
      </c>
      <c r="AE721" s="49" t="str">
        <f>IFERROR(VLOOKUP(OrdersRawTable9[[#This Row],[Order_Line_ID]],ReturnsRawTable[[#All],[Order_Line_ID]:[Return_Date]],2,FALSE),"")</f>
        <v/>
      </c>
      <c r="AF721" s="45" t="str">
        <f>IFERROR(VLOOKUP(OrdersRawTable9[[#This Row],[Order_Line_ID]],ReturnsRawTable[[Order_Line_ID]:[Refund_Status]],4,FALSE),"")</f>
        <v/>
      </c>
      <c r="AG721" s="45" t="str">
        <f>VLOOKUP(OrdersRawTable9[[#This Row],[Order_ID]],ShipmentsTable[],6,FALSE)</f>
        <v>Late</v>
      </c>
      <c r="AH721" s="49">
        <f>VLOOKUP(OrdersRawTable9[[#This Row],[Order_ID]],ShipmentsTable[],3,FALSE)</f>
        <v>45954</v>
      </c>
    </row>
    <row r="722" spans="1:34" ht="15" customHeight="1">
      <c r="A722" s="14" t="s">
        <v>1397</v>
      </c>
      <c r="B722" s="10" t="s">
        <v>1398</v>
      </c>
      <c r="C722" s="20">
        <v>45833</v>
      </c>
      <c r="D722" s="10" t="s">
        <v>1123</v>
      </c>
      <c r="E722" s="10" t="s">
        <v>275</v>
      </c>
      <c r="F722" s="10" t="str">
        <f>TRIM(LEFT(OrdersRawTable9[[#This Row],[Customer_Info]],FIND(",",OrdersRawTable9[[#This Row],[Customer_Info]])-1))</f>
        <v>Adam Wilson</v>
      </c>
      <c r="G72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722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22" s="10">
        <f>LEN(OrdersRawTable9[[#This Row],[Customer_Info]])-LEN(SUBSTITUTE(OrdersRawTable9[[#This Row],[Customer_Info]],",",""))</f>
        <v>2</v>
      </c>
      <c r="J722" s="10" t="s">
        <v>130</v>
      </c>
      <c r="K722" s="23">
        <v>2</v>
      </c>
      <c r="L722" s="26">
        <v>265.73</v>
      </c>
      <c r="M722" s="29">
        <v>0</v>
      </c>
      <c r="N722" s="10" t="s">
        <v>64</v>
      </c>
      <c r="O722" s="10" t="str">
        <f>IF(TRIM(OrdersRawTable9[[#This Row],[Sales_Channel_Raw]])="Market place","Marketplace",TRIM(OrdersRawTable9[[#This Row],[Sales_Channel_Raw]]))</f>
        <v>Retail Store</v>
      </c>
      <c r="P722" s="10"/>
      <c r="Q722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722" s="15" t="s">
        <v>47</v>
      </c>
      <c r="S722" t="str">
        <f>VLOOKUP(OrdersRawTable9[[#This Row],[Customer_ID_Raw]],CustomersTable11[],4,FALSE)</f>
        <v>Alberta</v>
      </c>
      <c r="T722" t="str">
        <f>VLOOKUP(OrdersRawTable9[[#This Row],[Customer_ID_Raw]],CustomersTable11[],5,FALSE)</f>
        <v>Consumer</v>
      </c>
      <c r="U722" s="45">
        <f>VLOOKUP(OrdersRawTable9[[#This Row],[Product_ID]],ProductsTable10[],4,FALSE)</f>
        <v>154.16999999999999</v>
      </c>
      <c r="V722" t="str">
        <f>VLOOKUP(OrdersRawTable9[[#This Row],[Product_ID]],ProductsTable10[],3,FALSE)</f>
        <v>Electronics</v>
      </c>
      <c r="W722" s="45">
        <f>OrdersRawTable9[[#This Row],[Unit_Price]]*OrdersRawTable9[[#This Row],[Quantity]]</f>
        <v>531.46</v>
      </c>
      <c r="X722" s="47">
        <f>OrdersRawTable9[[#This Row],[Gross_Sales]]*OrdersRawTable9[[#This Row],[Discount_Pct]]</f>
        <v>0</v>
      </c>
      <c r="Y722" s="45">
        <f>OrdersRawTable9[[#This Row],[Gross_Sales]]-OrdersRawTable9[[#This Row],[Discount_Amount]]</f>
        <v>531.46</v>
      </c>
      <c r="Z722" s="45">
        <f>OrdersRawTable9[[#This Row],[Unit_Cost]]*OrdersRawTable9[[#This Row],[Quantity]]</f>
        <v>308.33999999999997</v>
      </c>
      <c r="AA722" s="45">
        <f>OrdersRawTable9[[#This Row],[Net_Sales]]-OrdersRawTable9[[#This Row],[Total_Cost]]</f>
        <v>223.12000000000006</v>
      </c>
      <c r="AB722" s="48">
        <f>IF(OrdersRawTable9[[#This Row],[Net_Sales]]=0,0,OrdersRawTable9[[#This Row],[Profit]]/OrdersRawTable9[[#This Row],[Net_Sales]])</f>
        <v>0.41982463402701997</v>
      </c>
      <c r="AC722" s="45" t="str">
        <f>IF(COUNTIF(ReturnsRawTable[Order_Line_ID],OrdersRawTable9[[#This Row],[Order_Line_ID]])&gt;0,"Yes","No")</f>
        <v>No</v>
      </c>
      <c r="AD722" s="45" t="str">
        <f>IFERROR(VLOOKUP(OrdersRawTable9[[#This Row],[Order_Line_ID]],ReturnsRawTable[[#All],[Order_Line_ID]:[Return_Reason_Raw]],3,FALSE),"")</f>
        <v/>
      </c>
      <c r="AE722" s="49" t="str">
        <f>IFERROR(VLOOKUP(OrdersRawTable9[[#This Row],[Order_Line_ID]],ReturnsRawTable[[#All],[Order_Line_ID]:[Return_Date]],2,FALSE),"")</f>
        <v/>
      </c>
      <c r="AF722" s="45" t="str">
        <f>IFERROR(VLOOKUP(OrdersRawTable9[[#This Row],[Order_Line_ID]],ReturnsRawTable[[Order_Line_ID]:[Refund_Status]],4,FALSE),"")</f>
        <v/>
      </c>
      <c r="AG722" s="45" t="str">
        <f>VLOOKUP(OrdersRawTable9[[#This Row],[Order_ID]],ShipmentsTable[],6,FALSE)</f>
        <v>Late</v>
      </c>
      <c r="AH722" s="49">
        <f>VLOOKUP(OrdersRawTable9[[#This Row],[Order_ID]],ShipmentsTable[],3,FALSE)</f>
        <v>45840</v>
      </c>
    </row>
    <row r="723" spans="1:34" ht="15" customHeight="1">
      <c r="A723" s="14" t="s">
        <v>1399</v>
      </c>
      <c r="B723" s="10" t="s">
        <v>1400</v>
      </c>
      <c r="C723" s="20">
        <v>45893</v>
      </c>
      <c r="D723" s="10" t="s">
        <v>598</v>
      </c>
      <c r="E723" s="10" t="s">
        <v>599</v>
      </c>
      <c r="F723" s="10" t="str">
        <f>TRIM(LEFT(OrdersRawTable9[[#This Row],[Customer_Info]],FIND(",",OrdersRawTable9[[#This Row],[Customer_Info]])-1))</f>
        <v>Yara Dubois</v>
      </c>
      <c r="G72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723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723" s="10">
        <f>LEN(OrdersRawTable9[[#This Row],[Customer_Info]])-LEN(SUBSTITUTE(OrdersRawTable9[[#This Row],[Customer_Info]],",",""))</f>
        <v>2</v>
      </c>
      <c r="J723" s="10" t="s">
        <v>93</v>
      </c>
      <c r="K723" s="23">
        <v>2</v>
      </c>
      <c r="L723" s="26">
        <v>208.89</v>
      </c>
      <c r="M723" s="29">
        <v>0</v>
      </c>
      <c r="N723" s="10" t="s">
        <v>70</v>
      </c>
      <c r="O723" s="10" t="str">
        <f>IF(TRIM(OrdersRawTable9[[#This Row],[Sales_Channel_Raw]])="Market place","Marketplace",TRIM(OrdersRawTable9[[#This Row],[Sales_Channel_Raw]]))</f>
        <v>online</v>
      </c>
      <c r="P723" s="10" t="s">
        <v>51</v>
      </c>
      <c r="Q723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723" s="15" t="s">
        <v>101</v>
      </c>
      <c r="S723" t="str">
        <f>VLOOKUP(OrdersRawTable9[[#This Row],[Customer_ID_Raw]],CustomersTable11[],4,FALSE)</f>
        <v>Quebec</v>
      </c>
      <c r="T723" t="str">
        <f>VLOOKUP(OrdersRawTable9[[#This Row],[Customer_ID_Raw]],CustomersTable11[],5,FALSE)</f>
        <v>Small Business</v>
      </c>
      <c r="U723" s="45">
        <f>VLOOKUP(OrdersRawTable9[[#This Row],[Product_ID]],ProductsTable10[],4,FALSE)</f>
        <v>133.05000000000001</v>
      </c>
      <c r="V723" t="str">
        <f>VLOOKUP(OrdersRawTable9[[#This Row],[Product_ID]],ProductsTable10[],3,FALSE)</f>
        <v>Accessories</v>
      </c>
      <c r="W723" s="45">
        <f>OrdersRawTable9[[#This Row],[Unit_Price]]*OrdersRawTable9[[#This Row],[Quantity]]</f>
        <v>417.78</v>
      </c>
      <c r="X723" s="47">
        <f>OrdersRawTable9[[#This Row],[Gross_Sales]]*OrdersRawTable9[[#This Row],[Discount_Pct]]</f>
        <v>0</v>
      </c>
      <c r="Y723" s="45">
        <f>OrdersRawTable9[[#This Row],[Gross_Sales]]-OrdersRawTable9[[#This Row],[Discount_Amount]]</f>
        <v>417.78</v>
      </c>
      <c r="Z723" s="45">
        <f>OrdersRawTable9[[#This Row],[Unit_Cost]]*OrdersRawTable9[[#This Row],[Quantity]]</f>
        <v>266.10000000000002</v>
      </c>
      <c r="AA723" s="45">
        <f>OrdersRawTable9[[#This Row],[Net_Sales]]-OrdersRawTable9[[#This Row],[Total_Cost]]</f>
        <v>151.67999999999995</v>
      </c>
      <c r="AB723" s="48">
        <f>IF(OrdersRawTable9[[#This Row],[Net_Sales]]=0,0,OrdersRawTable9[[#This Row],[Profit]]/OrdersRawTable9[[#This Row],[Net_Sales]])</f>
        <v>0.36306189860692223</v>
      </c>
      <c r="AC723" s="45" t="str">
        <f>IF(COUNTIF(ReturnsRawTable[Order_Line_ID],OrdersRawTable9[[#This Row],[Order_Line_ID]])&gt;0,"Yes","No")</f>
        <v>No</v>
      </c>
      <c r="AD723" s="45" t="str">
        <f>IFERROR(VLOOKUP(OrdersRawTable9[[#This Row],[Order_Line_ID]],ReturnsRawTable[[#All],[Order_Line_ID]:[Return_Reason_Raw]],3,FALSE),"")</f>
        <v/>
      </c>
      <c r="AE723" s="49" t="str">
        <f>IFERROR(VLOOKUP(OrdersRawTable9[[#This Row],[Order_Line_ID]],ReturnsRawTable[[#All],[Order_Line_ID]:[Return_Date]],2,FALSE),"")</f>
        <v/>
      </c>
      <c r="AF723" s="45" t="str">
        <f>IFERROR(VLOOKUP(OrdersRawTable9[[#This Row],[Order_Line_ID]],ReturnsRawTable[[Order_Line_ID]:[Refund_Status]],4,FALSE),"")</f>
        <v/>
      </c>
      <c r="AG723" s="45" t="str">
        <f>VLOOKUP(OrdersRawTable9[[#This Row],[Order_ID]],ShipmentsTable[],6,FALSE)</f>
        <v>Late</v>
      </c>
      <c r="AH723" s="49">
        <f>VLOOKUP(OrdersRawTable9[[#This Row],[Order_ID]],ShipmentsTable[],3,FALSE)</f>
        <v>45903</v>
      </c>
    </row>
    <row r="724" spans="1:34" ht="15" customHeight="1">
      <c r="A724" s="14" t="s">
        <v>1401</v>
      </c>
      <c r="B724" s="10" t="s">
        <v>1400</v>
      </c>
      <c r="C724" s="20">
        <v>45893</v>
      </c>
      <c r="D724" s="10" t="s">
        <v>598</v>
      </c>
      <c r="E724" s="10" t="s">
        <v>599</v>
      </c>
      <c r="F724" s="10" t="str">
        <f>TRIM(LEFT(OrdersRawTable9[[#This Row],[Customer_Info]],FIND(",",OrdersRawTable9[[#This Row],[Customer_Info]])-1))</f>
        <v>Yara Dubois</v>
      </c>
      <c r="G72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724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724" s="10">
        <f>LEN(OrdersRawTable9[[#This Row],[Customer_Info]])-LEN(SUBSTITUTE(OrdersRawTable9[[#This Row],[Customer_Info]],",",""))</f>
        <v>2</v>
      </c>
      <c r="J724" s="10" t="s">
        <v>100</v>
      </c>
      <c r="K724" s="23">
        <v>3</v>
      </c>
      <c r="L724" s="26">
        <v>42.72</v>
      </c>
      <c r="M724" s="29">
        <v>0</v>
      </c>
      <c r="N724" s="10" t="s">
        <v>50</v>
      </c>
      <c r="O724" s="10" t="str">
        <f>IF(TRIM(OrdersRawTable9[[#This Row],[Sales_Channel_Raw]])="Market place","Marketplace",TRIM(OrdersRawTable9[[#This Row],[Sales_Channel_Raw]]))</f>
        <v>Marketplace</v>
      </c>
      <c r="P724" s="10" t="s">
        <v>51</v>
      </c>
      <c r="Q724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724" s="15" t="s">
        <v>67</v>
      </c>
      <c r="S724" t="str">
        <f>VLOOKUP(OrdersRawTable9[[#This Row],[Customer_ID_Raw]],CustomersTable11[],4,FALSE)</f>
        <v>Quebec</v>
      </c>
      <c r="T724" t="str">
        <f>VLOOKUP(OrdersRawTable9[[#This Row],[Customer_ID_Raw]],CustomersTable11[],5,FALSE)</f>
        <v>Small Business</v>
      </c>
      <c r="U724" s="45">
        <f>VLOOKUP(OrdersRawTable9[[#This Row],[Product_ID]],ProductsTable10[],4,FALSE)</f>
        <v>24.46</v>
      </c>
      <c r="V724" t="str">
        <f>VLOOKUP(OrdersRawTable9[[#This Row],[Product_ID]],ProductsTable10[],3,FALSE)</f>
        <v>Electronics</v>
      </c>
      <c r="W724" s="45">
        <f>OrdersRawTable9[[#This Row],[Unit_Price]]*OrdersRawTable9[[#This Row],[Quantity]]</f>
        <v>128.16</v>
      </c>
      <c r="X724" s="47">
        <f>OrdersRawTable9[[#This Row],[Gross_Sales]]*OrdersRawTable9[[#This Row],[Discount_Pct]]</f>
        <v>0</v>
      </c>
      <c r="Y724" s="45">
        <f>OrdersRawTable9[[#This Row],[Gross_Sales]]-OrdersRawTable9[[#This Row],[Discount_Amount]]</f>
        <v>128.16</v>
      </c>
      <c r="Z724" s="45">
        <f>OrdersRawTable9[[#This Row],[Unit_Cost]]*OrdersRawTable9[[#This Row],[Quantity]]</f>
        <v>73.38</v>
      </c>
      <c r="AA724" s="45">
        <f>OrdersRawTable9[[#This Row],[Net_Sales]]-OrdersRawTable9[[#This Row],[Total_Cost]]</f>
        <v>54.78</v>
      </c>
      <c r="AB724" s="48">
        <f>IF(OrdersRawTable9[[#This Row],[Net_Sales]]=0,0,OrdersRawTable9[[#This Row],[Profit]]/OrdersRawTable9[[#This Row],[Net_Sales]])</f>
        <v>0.42743445692883897</v>
      </c>
      <c r="AC724" s="45" t="str">
        <f>IF(COUNTIF(ReturnsRawTable[Order_Line_ID],OrdersRawTable9[[#This Row],[Order_Line_ID]])&gt;0,"Yes","No")</f>
        <v>No</v>
      </c>
      <c r="AD724" s="45" t="str">
        <f>IFERROR(VLOOKUP(OrdersRawTable9[[#This Row],[Order_Line_ID]],ReturnsRawTable[[#All],[Order_Line_ID]:[Return_Reason_Raw]],3,FALSE),"")</f>
        <v/>
      </c>
      <c r="AE724" s="49" t="str">
        <f>IFERROR(VLOOKUP(OrdersRawTable9[[#This Row],[Order_Line_ID]],ReturnsRawTable[[#All],[Order_Line_ID]:[Return_Date]],2,FALSE),"")</f>
        <v/>
      </c>
      <c r="AF724" s="45" t="str">
        <f>IFERROR(VLOOKUP(OrdersRawTable9[[#This Row],[Order_Line_ID]],ReturnsRawTable[[Order_Line_ID]:[Refund_Status]],4,FALSE),"")</f>
        <v/>
      </c>
      <c r="AG724" s="45" t="str">
        <f>VLOOKUP(OrdersRawTable9[[#This Row],[Order_ID]],ShipmentsTable[],6,FALSE)</f>
        <v>Late</v>
      </c>
      <c r="AH724" s="49">
        <f>VLOOKUP(OrdersRawTable9[[#This Row],[Order_ID]],ShipmentsTable[],3,FALSE)</f>
        <v>45903</v>
      </c>
    </row>
    <row r="725" spans="1:34" ht="15" customHeight="1">
      <c r="A725" s="14" t="s">
        <v>1402</v>
      </c>
      <c r="B725" s="10" t="s">
        <v>1400</v>
      </c>
      <c r="C725" s="20">
        <v>45893</v>
      </c>
      <c r="D725" s="10" t="s">
        <v>598</v>
      </c>
      <c r="E725" s="10" t="s">
        <v>599</v>
      </c>
      <c r="F725" s="10" t="str">
        <f>TRIM(LEFT(OrdersRawTable9[[#This Row],[Customer_Info]],FIND(",",OrdersRawTable9[[#This Row],[Customer_Info]])-1))</f>
        <v>Yara Dubois</v>
      </c>
      <c r="G72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725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725" s="10">
        <f>LEN(OrdersRawTable9[[#This Row],[Customer_Info]])-LEN(SUBSTITUTE(OrdersRawTable9[[#This Row],[Customer_Info]],",",""))</f>
        <v>2</v>
      </c>
      <c r="J725" s="10" t="s">
        <v>204</v>
      </c>
      <c r="K725" s="23">
        <v>1</v>
      </c>
      <c r="L725" s="26">
        <v>244.25</v>
      </c>
      <c r="M725" s="29">
        <v>0</v>
      </c>
      <c r="N725" s="10" t="s">
        <v>64</v>
      </c>
      <c r="O725" s="10" t="str">
        <f>IF(TRIM(OrdersRawTable9[[#This Row],[Sales_Channel_Raw]])="Market place","Marketplace",TRIM(OrdersRawTable9[[#This Row],[Sales_Channel_Raw]]))</f>
        <v>Retail Store</v>
      </c>
      <c r="P725" s="10" t="s">
        <v>41</v>
      </c>
      <c r="Q725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725" s="15" t="s">
        <v>67</v>
      </c>
      <c r="S725" t="str">
        <f>VLOOKUP(OrdersRawTable9[[#This Row],[Customer_ID_Raw]],CustomersTable11[],4,FALSE)</f>
        <v>Quebec</v>
      </c>
      <c r="T725" t="str">
        <f>VLOOKUP(OrdersRawTable9[[#This Row],[Customer_ID_Raw]],CustomersTable11[],5,FALSE)</f>
        <v>Small Business</v>
      </c>
      <c r="U725" s="45">
        <f>VLOOKUP(OrdersRawTable9[[#This Row],[Product_ID]],ProductsTable10[],4,FALSE)</f>
        <v>150.96</v>
      </c>
      <c r="V725" t="str">
        <f>VLOOKUP(OrdersRawTable9[[#This Row],[Product_ID]],ProductsTable10[],3,FALSE)</f>
        <v>Office</v>
      </c>
      <c r="W725" s="45">
        <f>OrdersRawTable9[[#This Row],[Unit_Price]]*OrdersRawTable9[[#This Row],[Quantity]]</f>
        <v>244.25</v>
      </c>
      <c r="X725" s="47">
        <f>OrdersRawTable9[[#This Row],[Gross_Sales]]*OrdersRawTable9[[#This Row],[Discount_Pct]]</f>
        <v>0</v>
      </c>
      <c r="Y725" s="45">
        <f>OrdersRawTable9[[#This Row],[Gross_Sales]]-OrdersRawTable9[[#This Row],[Discount_Amount]]</f>
        <v>244.25</v>
      </c>
      <c r="Z725" s="45">
        <f>OrdersRawTable9[[#This Row],[Unit_Cost]]*OrdersRawTable9[[#This Row],[Quantity]]</f>
        <v>150.96</v>
      </c>
      <c r="AA725" s="45">
        <f>OrdersRawTable9[[#This Row],[Net_Sales]]-OrdersRawTable9[[#This Row],[Total_Cost]]</f>
        <v>93.289999999999992</v>
      </c>
      <c r="AB725" s="48">
        <f>IF(OrdersRawTable9[[#This Row],[Net_Sales]]=0,0,OrdersRawTable9[[#This Row],[Profit]]/OrdersRawTable9[[#This Row],[Net_Sales]])</f>
        <v>0.38194472876151481</v>
      </c>
      <c r="AC725" s="45" t="str">
        <f>IF(COUNTIF(ReturnsRawTable[Order_Line_ID],OrdersRawTable9[[#This Row],[Order_Line_ID]])&gt;0,"Yes","No")</f>
        <v>No</v>
      </c>
      <c r="AD725" s="45" t="str">
        <f>IFERROR(VLOOKUP(OrdersRawTable9[[#This Row],[Order_Line_ID]],ReturnsRawTable[[#All],[Order_Line_ID]:[Return_Reason_Raw]],3,FALSE),"")</f>
        <v/>
      </c>
      <c r="AE725" s="49" t="str">
        <f>IFERROR(VLOOKUP(OrdersRawTable9[[#This Row],[Order_Line_ID]],ReturnsRawTable[[#All],[Order_Line_ID]:[Return_Date]],2,FALSE),"")</f>
        <v/>
      </c>
      <c r="AF725" s="45" t="str">
        <f>IFERROR(VLOOKUP(OrdersRawTable9[[#This Row],[Order_Line_ID]],ReturnsRawTable[[Order_Line_ID]:[Refund_Status]],4,FALSE),"")</f>
        <v/>
      </c>
      <c r="AG725" s="45" t="str">
        <f>VLOOKUP(OrdersRawTable9[[#This Row],[Order_ID]],ShipmentsTable[],6,FALSE)</f>
        <v>Late</v>
      </c>
      <c r="AH725" s="49">
        <f>VLOOKUP(OrdersRawTable9[[#This Row],[Order_ID]],ShipmentsTable[],3,FALSE)</f>
        <v>45903</v>
      </c>
    </row>
    <row r="726" spans="1:34" ht="15" customHeight="1">
      <c r="A726" s="14" t="s">
        <v>1403</v>
      </c>
      <c r="B726" s="10" t="s">
        <v>1404</v>
      </c>
      <c r="C726" s="20">
        <v>45816</v>
      </c>
      <c r="D726" s="10" t="s">
        <v>1405</v>
      </c>
      <c r="E726" s="10" t="s">
        <v>1406</v>
      </c>
      <c r="F726" s="10" t="str">
        <f>TRIM(LEFT(OrdersRawTable9[[#This Row],[Customer_Info]],FIND(",",OrdersRawTable9[[#This Row],[Customer_Info]])-1))</f>
        <v>Amina Wilson</v>
      </c>
      <c r="G72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726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726" s="10">
        <f>LEN(OrdersRawTable9[[#This Row],[Customer_Info]])-LEN(SUBSTITUTE(OrdersRawTable9[[#This Row],[Customer_Info]],",",""))</f>
        <v>2</v>
      </c>
      <c r="J726" s="10" t="s">
        <v>83</v>
      </c>
      <c r="K726" s="23">
        <v>3</v>
      </c>
      <c r="L726" s="26">
        <v>115.28</v>
      </c>
      <c r="M726" s="29">
        <v>0</v>
      </c>
      <c r="N726" s="10" t="s">
        <v>64</v>
      </c>
      <c r="O726" s="10" t="str">
        <f>IF(TRIM(OrdersRawTable9[[#This Row],[Sales_Channel_Raw]])="Market place","Marketplace",TRIM(OrdersRawTable9[[#This Row],[Sales_Channel_Raw]]))</f>
        <v>Retail Store</v>
      </c>
      <c r="P726" s="10"/>
      <c r="Q726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726" s="15" t="s">
        <v>52</v>
      </c>
      <c r="S726" t="str">
        <f>VLOOKUP(OrdersRawTable9[[#This Row],[Customer_ID_Raw]],CustomersTable11[],4,FALSE)</f>
        <v>Manitoba</v>
      </c>
      <c r="T726" t="str">
        <f>VLOOKUP(OrdersRawTable9[[#This Row],[Customer_ID_Raw]],CustomersTable11[],5,FALSE)</f>
        <v>Corporate</v>
      </c>
      <c r="U726" s="45">
        <f>VLOOKUP(OrdersRawTable9[[#This Row],[Product_ID]],ProductsTable10[],4,FALSE)</f>
        <v>61.65</v>
      </c>
      <c r="V726" t="str">
        <f>VLOOKUP(OrdersRawTable9[[#This Row],[Product_ID]],ProductsTable10[],3,FALSE)</f>
        <v>Office</v>
      </c>
      <c r="W726" s="45">
        <f>OrdersRawTable9[[#This Row],[Unit_Price]]*OrdersRawTable9[[#This Row],[Quantity]]</f>
        <v>345.84000000000003</v>
      </c>
      <c r="X726" s="47">
        <f>OrdersRawTable9[[#This Row],[Gross_Sales]]*OrdersRawTable9[[#This Row],[Discount_Pct]]</f>
        <v>0</v>
      </c>
      <c r="Y726" s="45">
        <f>OrdersRawTable9[[#This Row],[Gross_Sales]]-OrdersRawTable9[[#This Row],[Discount_Amount]]</f>
        <v>345.84000000000003</v>
      </c>
      <c r="Z726" s="45">
        <f>OrdersRawTable9[[#This Row],[Unit_Cost]]*OrdersRawTable9[[#This Row],[Quantity]]</f>
        <v>184.95</v>
      </c>
      <c r="AA726" s="45">
        <f>OrdersRawTable9[[#This Row],[Net_Sales]]-OrdersRawTable9[[#This Row],[Total_Cost]]</f>
        <v>160.89000000000004</v>
      </c>
      <c r="AB726" s="48">
        <f>IF(OrdersRawTable9[[#This Row],[Net_Sales]]=0,0,OrdersRawTable9[[#This Row],[Profit]]/OrdersRawTable9[[#This Row],[Net_Sales]])</f>
        <v>0.46521512838306739</v>
      </c>
      <c r="AC726" s="45" t="str">
        <f>IF(COUNTIF(ReturnsRawTable[Order_Line_ID],OrdersRawTable9[[#This Row],[Order_Line_ID]])&gt;0,"Yes","No")</f>
        <v>No</v>
      </c>
      <c r="AD726" s="45" t="str">
        <f>IFERROR(VLOOKUP(OrdersRawTable9[[#This Row],[Order_Line_ID]],ReturnsRawTable[[#All],[Order_Line_ID]:[Return_Reason_Raw]],3,FALSE),"")</f>
        <v/>
      </c>
      <c r="AE726" s="49" t="str">
        <f>IFERROR(VLOOKUP(OrdersRawTable9[[#This Row],[Order_Line_ID]],ReturnsRawTable[[#All],[Order_Line_ID]:[Return_Date]],2,FALSE),"")</f>
        <v/>
      </c>
      <c r="AF726" s="45" t="str">
        <f>IFERROR(VLOOKUP(OrdersRawTable9[[#This Row],[Order_Line_ID]],ReturnsRawTable[[Order_Line_ID]:[Refund_Status]],4,FALSE),"")</f>
        <v/>
      </c>
      <c r="AG726" s="45" t="str">
        <f>VLOOKUP(OrdersRawTable9[[#This Row],[Order_ID]],ShipmentsTable[],6,FALSE)</f>
        <v>Late</v>
      </c>
      <c r="AH726" s="49">
        <f>VLOOKUP(OrdersRawTable9[[#This Row],[Order_ID]],ShipmentsTable[],3,FALSE)</f>
        <v>45823</v>
      </c>
    </row>
    <row r="727" spans="1:34" ht="15" customHeight="1">
      <c r="A727" s="14" t="s">
        <v>1407</v>
      </c>
      <c r="B727" s="10" t="s">
        <v>1404</v>
      </c>
      <c r="C727" s="20">
        <v>45816</v>
      </c>
      <c r="D727" s="10" t="s">
        <v>1405</v>
      </c>
      <c r="E727" s="10" t="s">
        <v>1406</v>
      </c>
      <c r="F727" s="10" t="str">
        <f>TRIM(LEFT(OrdersRawTable9[[#This Row],[Customer_Info]],FIND(",",OrdersRawTable9[[#This Row],[Customer_Info]])-1))</f>
        <v>Amina Wilson</v>
      </c>
      <c r="G72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727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727" s="10">
        <f>LEN(OrdersRawTable9[[#This Row],[Customer_Info]])-LEN(SUBSTITUTE(OrdersRawTable9[[#This Row],[Customer_Info]],",",""))</f>
        <v>2</v>
      </c>
      <c r="J727" s="10" t="s">
        <v>332</v>
      </c>
      <c r="K727" s="23">
        <v>4</v>
      </c>
      <c r="L727" s="26">
        <v>273.89</v>
      </c>
      <c r="M727" s="29">
        <v>0</v>
      </c>
      <c r="N727" s="10" t="s">
        <v>45</v>
      </c>
      <c r="O727" s="10" t="str">
        <f>IF(TRIM(OrdersRawTable9[[#This Row],[Sales_Channel_Raw]])="Market place","Marketplace",TRIM(OrdersRawTable9[[#This Row],[Sales_Channel_Raw]]))</f>
        <v>Retail Store</v>
      </c>
      <c r="P727" s="10" t="s">
        <v>41</v>
      </c>
      <c r="Q727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727" s="15" t="s">
        <v>67</v>
      </c>
      <c r="S727" t="str">
        <f>VLOOKUP(OrdersRawTable9[[#This Row],[Customer_ID_Raw]],CustomersTable11[],4,FALSE)</f>
        <v>Manitoba</v>
      </c>
      <c r="T727" t="str">
        <f>VLOOKUP(OrdersRawTable9[[#This Row],[Customer_ID_Raw]],CustomersTable11[],5,FALSE)</f>
        <v>Corporate</v>
      </c>
      <c r="U727" s="45">
        <f>VLOOKUP(OrdersRawTable9[[#This Row],[Product_ID]],ProductsTable10[],4,FALSE)</f>
        <v>140.66999999999999</v>
      </c>
      <c r="V727" t="str">
        <f>VLOOKUP(OrdersRawTable9[[#This Row],[Product_ID]],ProductsTable10[],3,FALSE)</f>
        <v>Home</v>
      </c>
      <c r="W727" s="45">
        <f>OrdersRawTable9[[#This Row],[Unit_Price]]*OrdersRawTable9[[#This Row],[Quantity]]</f>
        <v>1095.56</v>
      </c>
      <c r="X727" s="47">
        <f>OrdersRawTable9[[#This Row],[Gross_Sales]]*OrdersRawTable9[[#This Row],[Discount_Pct]]</f>
        <v>0</v>
      </c>
      <c r="Y727" s="45">
        <f>OrdersRawTable9[[#This Row],[Gross_Sales]]-OrdersRawTable9[[#This Row],[Discount_Amount]]</f>
        <v>1095.56</v>
      </c>
      <c r="Z727" s="45">
        <f>OrdersRawTable9[[#This Row],[Unit_Cost]]*OrdersRawTable9[[#This Row],[Quantity]]</f>
        <v>562.67999999999995</v>
      </c>
      <c r="AA727" s="45">
        <f>OrdersRawTable9[[#This Row],[Net_Sales]]-OrdersRawTable9[[#This Row],[Total_Cost]]</f>
        <v>532.88</v>
      </c>
      <c r="AB727" s="48">
        <f>IF(OrdersRawTable9[[#This Row],[Net_Sales]]=0,0,OrdersRawTable9[[#This Row],[Profit]]/OrdersRawTable9[[#This Row],[Net_Sales]])</f>
        <v>0.48639964949432257</v>
      </c>
      <c r="AC727" s="45" t="str">
        <f>IF(COUNTIF(ReturnsRawTable[Order_Line_ID],OrdersRawTable9[[#This Row],[Order_Line_ID]])&gt;0,"Yes","No")</f>
        <v>No</v>
      </c>
      <c r="AD727" s="45" t="str">
        <f>IFERROR(VLOOKUP(OrdersRawTable9[[#This Row],[Order_Line_ID]],ReturnsRawTable[[#All],[Order_Line_ID]:[Return_Reason_Raw]],3,FALSE),"")</f>
        <v/>
      </c>
      <c r="AE727" s="49" t="str">
        <f>IFERROR(VLOOKUP(OrdersRawTable9[[#This Row],[Order_Line_ID]],ReturnsRawTable[[#All],[Order_Line_ID]:[Return_Date]],2,FALSE),"")</f>
        <v/>
      </c>
      <c r="AF727" s="45" t="str">
        <f>IFERROR(VLOOKUP(OrdersRawTable9[[#This Row],[Order_Line_ID]],ReturnsRawTable[[Order_Line_ID]:[Refund_Status]],4,FALSE),"")</f>
        <v/>
      </c>
      <c r="AG727" s="45" t="str">
        <f>VLOOKUP(OrdersRawTable9[[#This Row],[Order_ID]],ShipmentsTable[],6,FALSE)</f>
        <v>Late</v>
      </c>
      <c r="AH727" s="49">
        <f>VLOOKUP(OrdersRawTable9[[#This Row],[Order_ID]],ShipmentsTable[],3,FALSE)</f>
        <v>45823</v>
      </c>
    </row>
    <row r="728" spans="1:34" ht="15" customHeight="1">
      <c r="A728" s="14" t="s">
        <v>1408</v>
      </c>
      <c r="B728" s="10" t="s">
        <v>1409</v>
      </c>
      <c r="C728" s="20">
        <v>45789</v>
      </c>
      <c r="D728" s="10" t="s">
        <v>437</v>
      </c>
      <c r="E728" s="10" t="s">
        <v>438</v>
      </c>
      <c r="F728" s="10" t="str">
        <f>TRIM(LEFT(OrdersRawTable9[[#This Row],[Customer_Info]],FIND(",",OrdersRawTable9[[#This Row],[Customer_Info]])-1))</f>
        <v>Sara Dubois</v>
      </c>
      <c r="G72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728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28" s="10">
        <f>LEN(OrdersRawTable9[[#This Row],[Customer_Info]])-LEN(SUBSTITUTE(OrdersRawTable9[[#This Row],[Customer_Info]],",",""))</f>
        <v>2</v>
      </c>
      <c r="J728" s="10" t="s">
        <v>332</v>
      </c>
      <c r="K728" s="23">
        <v>3</v>
      </c>
      <c r="L728" s="26">
        <v>273.89</v>
      </c>
      <c r="M728" s="29">
        <v>0</v>
      </c>
      <c r="N728" s="10" t="s">
        <v>66</v>
      </c>
      <c r="O728" s="10" t="str">
        <f>IF(TRIM(OrdersRawTable9[[#This Row],[Sales_Channel_Raw]])="Market place","Marketplace",TRIM(OrdersRawTable9[[#This Row],[Sales_Channel_Raw]]))</f>
        <v>Marketplace</v>
      </c>
      <c r="P728" s="10" t="s">
        <v>51</v>
      </c>
      <c r="Q728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728" s="15" t="s">
        <v>42</v>
      </c>
      <c r="S728" t="str">
        <f>VLOOKUP(OrdersRawTable9[[#This Row],[Customer_ID_Raw]],CustomersTable11[],4,FALSE)</f>
        <v>Alberta</v>
      </c>
      <c r="T728" t="str">
        <f>VLOOKUP(OrdersRawTable9[[#This Row],[Customer_ID_Raw]],CustomersTable11[],5,FALSE)</f>
        <v>Consumer</v>
      </c>
      <c r="U728" s="45">
        <f>VLOOKUP(OrdersRawTable9[[#This Row],[Product_ID]],ProductsTable10[],4,FALSE)</f>
        <v>140.66999999999999</v>
      </c>
      <c r="V728" t="str">
        <f>VLOOKUP(OrdersRawTable9[[#This Row],[Product_ID]],ProductsTable10[],3,FALSE)</f>
        <v>Home</v>
      </c>
      <c r="W728" s="45">
        <f>OrdersRawTable9[[#This Row],[Unit_Price]]*OrdersRawTable9[[#This Row],[Quantity]]</f>
        <v>821.67</v>
      </c>
      <c r="X728" s="47">
        <f>OrdersRawTable9[[#This Row],[Gross_Sales]]*OrdersRawTable9[[#This Row],[Discount_Pct]]</f>
        <v>0</v>
      </c>
      <c r="Y728" s="45">
        <f>OrdersRawTable9[[#This Row],[Gross_Sales]]-OrdersRawTable9[[#This Row],[Discount_Amount]]</f>
        <v>821.67</v>
      </c>
      <c r="Z728" s="45">
        <f>OrdersRawTable9[[#This Row],[Unit_Cost]]*OrdersRawTable9[[#This Row],[Quantity]]</f>
        <v>422.01</v>
      </c>
      <c r="AA728" s="45">
        <f>OrdersRawTable9[[#This Row],[Net_Sales]]-OrdersRawTable9[[#This Row],[Total_Cost]]</f>
        <v>399.65999999999997</v>
      </c>
      <c r="AB728" s="48">
        <f>IF(OrdersRawTable9[[#This Row],[Net_Sales]]=0,0,OrdersRawTable9[[#This Row],[Profit]]/OrdersRawTable9[[#This Row],[Net_Sales]])</f>
        <v>0.48639964949432252</v>
      </c>
      <c r="AC728" s="45" t="str">
        <f>IF(COUNTIF(ReturnsRawTable[Order_Line_ID],OrdersRawTable9[[#This Row],[Order_Line_ID]])&gt;0,"Yes","No")</f>
        <v>No</v>
      </c>
      <c r="AD728" s="45" t="str">
        <f>IFERROR(VLOOKUP(OrdersRawTable9[[#This Row],[Order_Line_ID]],ReturnsRawTable[[#All],[Order_Line_ID]:[Return_Reason_Raw]],3,FALSE),"")</f>
        <v/>
      </c>
      <c r="AE728" s="49" t="str">
        <f>IFERROR(VLOOKUP(OrdersRawTable9[[#This Row],[Order_Line_ID]],ReturnsRawTable[[#All],[Order_Line_ID]:[Return_Date]],2,FALSE),"")</f>
        <v/>
      </c>
      <c r="AF728" s="45" t="str">
        <f>IFERROR(VLOOKUP(OrdersRawTable9[[#This Row],[Order_Line_ID]],ReturnsRawTable[[Order_Line_ID]:[Refund_Status]],4,FALSE),"")</f>
        <v/>
      </c>
      <c r="AG728" s="45" t="str">
        <f>VLOOKUP(OrdersRawTable9[[#This Row],[Order_ID]],ShipmentsTable[],6,FALSE)</f>
        <v>On time</v>
      </c>
      <c r="AH728" s="49">
        <f>VLOOKUP(OrdersRawTable9[[#This Row],[Order_ID]],ShipmentsTable[],3,FALSE)</f>
        <v>45791</v>
      </c>
    </row>
    <row r="729" spans="1:34" ht="15" customHeight="1">
      <c r="A729" s="14" t="s">
        <v>1410</v>
      </c>
      <c r="B729" s="10" t="s">
        <v>1409</v>
      </c>
      <c r="C729" s="20">
        <v>45789</v>
      </c>
      <c r="D729" s="10" t="s">
        <v>437</v>
      </c>
      <c r="E729" s="10" t="s">
        <v>438</v>
      </c>
      <c r="F729" s="10" t="str">
        <f>TRIM(LEFT(OrdersRawTable9[[#This Row],[Customer_Info]],FIND(",",OrdersRawTable9[[#This Row],[Customer_Info]])-1))</f>
        <v>Sara Dubois</v>
      </c>
      <c r="G72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729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29" s="10">
        <f>LEN(OrdersRawTable9[[#This Row],[Customer_Info]])-LEN(SUBSTITUTE(OrdersRawTable9[[#This Row],[Customer_Info]],",",""))</f>
        <v>2</v>
      </c>
      <c r="J729" s="10" t="s">
        <v>316</v>
      </c>
      <c r="K729" s="23">
        <v>2</v>
      </c>
      <c r="L729" s="26">
        <v>180.37</v>
      </c>
      <c r="M729" s="29">
        <v>0.1</v>
      </c>
      <c r="N729" s="10" t="s">
        <v>64</v>
      </c>
      <c r="O729" s="10" t="str">
        <f>IF(TRIM(OrdersRawTable9[[#This Row],[Sales_Channel_Raw]])="Market place","Marketplace",TRIM(OrdersRawTable9[[#This Row],[Sales_Channel_Raw]]))</f>
        <v>Retail Store</v>
      </c>
      <c r="P729" s="10" t="s">
        <v>98</v>
      </c>
      <c r="Q729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729" s="15" t="s">
        <v>67</v>
      </c>
      <c r="S729" t="str">
        <f>VLOOKUP(OrdersRawTable9[[#This Row],[Customer_ID_Raw]],CustomersTable11[],4,FALSE)</f>
        <v>Alberta</v>
      </c>
      <c r="T729" t="str">
        <f>VLOOKUP(OrdersRawTable9[[#This Row],[Customer_ID_Raw]],CustomersTable11[],5,FALSE)</f>
        <v>Consumer</v>
      </c>
      <c r="U729" s="45">
        <f>VLOOKUP(OrdersRawTable9[[#This Row],[Product_ID]],ProductsTable10[],4,FALSE)</f>
        <v>107.55</v>
      </c>
      <c r="V729" t="str">
        <f>VLOOKUP(OrdersRawTable9[[#This Row],[Product_ID]],ProductsTable10[],3,FALSE)</f>
        <v>Accessories</v>
      </c>
      <c r="W729" s="45">
        <f>OrdersRawTable9[[#This Row],[Unit_Price]]*OrdersRawTable9[[#This Row],[Quantity]]</f>
        <v>360.74</v>
      </c>
      <c r="X729" s="47">
        <f>OrdersRawTable9[[#This Row],[Gross_Sales]]*OrdersRawTable9[[#This Row],[Discount_Pct]]</f>
        <v>36.074000000000005</v>
      </c>
      <c r="Y729" s="45">
        <f>OrdersRawTable9[[#This Row],[Gross_Sales]]-OrdersRawTable9[[#This Row],[Discount_Amount]]</f>
        <v>324.666</v>
      </c>
      <c r="Z729" s="45">
        <f>OrdersRawTable9[[#This Row],[Unit_Cost]]*OrdersRawTable9[[#This Row],[Quantity]]</f>
        <v>215.1</v>
      </c>
      <c r="AA729" s="45">
        <f>OrdersRawTable9[[#This Row],[Net_Sales]]-OrdersRawTable9[[#This Row],[Total_Cost]]</f>
        <v>109.566</v>
      </c>
      <c r="AB729" s="48">
        <f>IF(OrdersRawTable9[[#This Row],[Net_Sales]]=0,0,OrdersRawTable9[[#This Row],[Profit]]/OrdersRawTable9[[#This Row],[Net_Sales]])</f>
        <v>0.33747297222376227</v>
      </c>
      <c r="AC729" s="45" t="str">
        <f>IF(COUNTIF(ReturnsRawTable[Order_Line_ID],OrdersRawTable9[[#This Row],[Order_Line_ID]])&gt;0,"Yes","No")</f>
        <v>No</v>
      </c>
      <c r="AD729" s="45" t="str">
        <f>IFERROR(VLOOKUP(OrdersRawTable9[[#This Row],[Order_Line_ID]],ReturnsRawTable[[#All],[Order_Line_ID]:[Return_Reason_Raw]],3,FALSE),"")</f>
        <v/>
      </c>
      <c r="AE729" s="49" t="str">
        <f>IFERROR(VLOOKUP(OrdersRawTable9[[#This Row],[Order_Line_ID]],ReturnsRawTable[[#All],[Order_Line_ID]:[Return_Date]],2,FALSE),"")</f>
        <v/>
      </c>
      <c r="AF729" s="45" t="str">
        <f>IFERROR(VLOOKUP(OrdersRawTable9[[#This Row],[Order_Line_ID]],ReturnsRawTable[[Order_Line_ID]:[Refund_Status]],4,FALSE),"")</f>
        <v/>
      </c>
      <c r="AG729" s="45" t="str">
        <f>VLOOKUP(OrdersRawTable9[[#This Row],[Order_ID]],ShipmentsTable[],6,FALSE)</f>
        <v>On time</v>
      </c>
      <c r="AH729" s="49">
        <f>VLOOKUP(OrdersRawTable9[[#This Row],[Order_ID]],ShipmentsTable[],3,FALSE)</f>
        <v>45791</v>
      </c>
    </row>
    <row r="730" spans="1:34" ht="15" customHeight="1">
      <c r="A730" s="14" t="s">
        <v>1411</v>
      </c>
      <c r="B730" s="10" t="s">
        <v>1409</v>
      </c>
      <c r="C730" s="20">
        <v>45789</v>
      </c>
      <c r="D730" s="10" t="s">
        <v>437</v>
      </c>
      <c r="E730" s="10" t="s">
        <v>438</v>
      </c>
      <c r="F730" s="10" t="str">
        <f>TRIM(LEFT(OrdersRawTable9[[#This Row],[Customer_Info]],FIND(",",OrdersRawTable9[[#This Row],[Customer_Info]])-1))</f>
        <v>Sara Dubois</v>
      </c>
      <c r="G73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730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30" s="10">
        <f>LEN(OrdersRawTable9[[#This Row],[Customer_Info]])-LEN(SUBSTITUTE(OrdersRawTable9[[#This Row],[Customer_Info]],",",""))</f>
        <v>2</v>
      </c>
      <c r="J730" s="10" t="s">
        <v>180</v>
      </c>
      <c r="K730" s="23">
        <v>2</v>
      </c>
      <c r="L730" s="26">
        <v>91.75</v>
      </c>
      <c r="M730" s="29">
        <v>0.05</v>
      </c>
      <c r="N730" s="10" t="s">
        <v>64</v>
      </c>
      <c r="O730" s="10" t="str">
        <f>IF(TRIM(OrdersRawTable9[[#This Row],[Sales_Channel_Raw]])="Market place","Marketplace",TRIM(OrdersRawTable9[[#This Row],[Sales_Channel_Raw]]))</f>
        <v>Retail Store</v>
      </c>
      <c r="P730" s="10" t="s">
        <v>51</v>
      </c>
      <c r="Q730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730" s="15" t="s">
        <v>67</v>
      </c>
      <c r="S730" t="str">
        <f>VLOOKUP(OrdersRawTable9[[#This Row],[Customer_ID_Raw]],CustomersTable11[],4,FALSE)</f>
        <v>Alberta</v>
      </c>
      <c r="T730" t="str">
        <f>VLOOKUP(OrdersRawTable9[[#This Row],[Customer_ID_Raw]],CustomersTable11[],5,FALSE)</f>
        <v>Consumer</v>
      </c>
      <c r="U730" s="45">
        <f>VLOOKUP(OrdersRawTable9[[#This Row],[Product_ID]],ProductsTable10[],4,FALSE)</f>
        <v>58.27</v>
      </c>
      <c r="V730" t="str">
        <f>VLOOKUP(OrdersRawTable9[[#This Row],[Product_ID]],ProductsTable10[],3,FALSE)</f>
        <v>Home</v>
      </c>
      <c r="W730" s="45">
        <f>OrdersRawTable9[[#This Row],[Unit_Price]]*OrdersRawTable9[[#This Row],[Quantity]]</f>
        <v>183.5</v>
      </c>
      <c r="X730" s="47">
        <f>OrdersRawTable9[[#This Row],[Gross_Sales]]*OrdersRawTable9[[#This Row],[Discount_Pct]]</f>
        <v>9.1750000000000007</v>
      </c>
      <c r="Y730" s="45">
        <f>OrdersRawTable9[[#This Row],[Gross_Sales]]-OrdersRawTable9[[#This Row],[Discount_Amount]]</f>
        <v>174.32499999999999</v>
      </c>
      <c r="Z730" s="45">
        <f>OrdersRawTable9[[#This Row],[Unit_Cost]]*OrdersRawTable9[[#This Row],[Quantity]]</f>
        <v>116.54</v>
      </c>
      <c r="AA730" s="45">
        <f>OrdersRawTable9[[#This Row],[Net_Sales]]-OrdersRawTable9[[#This Row],[Total_Cost]]</f>
        <v>57.784999999999982</v>
      </c>
      <c r="AB730" s="48">
        <f>IF(OrdersRawTable9[[#This Row],[Net_Sales]]=0,0,OrdersRawTable9[[#This Row],[Profit]]/OrdersRawTable9[[#This Row],[Net_Sales]])</f>
        <v>0.33147856016061944</v>
      </c>
      <c r="AC730" s="45" t="str">
        <f>IF(COUNTIF(ReturnsRawTable[Order_Line_ID],OrdersRawTable9[[#This Row],[Order_Line_ID]])&gt;0,"Yes","No")</f>
        <v>No</v>
      </c>
      <c r="AD730" s="45" t="str">
        <f>IFERROR(VLOOKUP(OrdersRawTable9[[#This Row],[Order_Line_ID]],ReturnsRawTable[[#All],[Order_Line_ID]:[Return_Reason_Raw]],3,FALSE),"")</f>
        <v/>
      </c>
      <c r="AE730" s="49" t="str">
        <f>IFERROR(VLOOKUP(OrdersRawTable9[[#This Row],[Order_Line_ID]],ReturnsRawTable[[#All],[Order_Line_ID]:[Return_Date]],2,FALSE),"")</f>
        <v/>
      </c>
      <c r="AF730" s="45" t="str">
        <f>IFERROR(VLOOKUP(OrdersRawTable9[[#This Row],[Order_Line_ID]],ReturnsRawTable[[Order_Line_ID]:[Refund_Status]],4,FALSE),"")</f>
        <v/>
      </c>
      <c r="AG730" s="45" t="str">
        <f>VLOOKUP(OrdersRawTable9[[#This Row],[Order_ID]],ShipmentsTable[],6,FALSE)</f>
        <v>On time</v>
      </c>
      <c r="AH730" s="49">
        <f>VLOOKUP(OrdersRawTable9[[#This Row],[Order_ID]],ShipmentsTable[],3,FALSE)</f>
        <v>45791</v>
      </c>
    </row>
    <row r="731" spans="1:34" ht="15" customHeight="1">
      <c r="A731" s="14" t="s">
        <v>1412</v>
      </c>
      <c r="B731" s="10" t="s">
        <v>1409</v>
      </c>
      <c r="C731" s="20">
        <v>45789</v>
      </c>
      <c r="D731" s="10" t="s">
        <v>437</v>
      </c>
      <c r="E731" s="10" t="s">
        <v>438</v>
      </c>
      <c r="F731" s="10" t="str">
        <f>TRIM(LEFT(OrdersRawTable9[[#This Row],[Customer_Info]],FIND(",",OrdersRawTable9[[#This Row],[Customer_Info]])-1))</f>
        <v>Sara Dubois</v>
      </c>
      <c r="G73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731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31" s="10">
        <f>LEN(OrdersRawTable9[[#This Row],[Customer_Info]])-LEN(SUBSTITUTE(OrdersRawTable9[[#This Row],[Customer_Info]],",",""))</f>
        <v>2</v>
      </c>
      <c r="J731" s="10" t="s">
        <v>57</v>
      </c>
      <c r="K731" s="23">
        <v>3</v>
      </c>
      <c r="L731" s="26">
        <v>208.81</v>
      </c>
      <c r="M731" s="29">
        <v>0</v>
      </c>
      <c r="N731" s="10" t="s">
        <v>50</v>
      </c>
      <c r="O731" s="10" t="str">
        <f>IF(TRIM(OrdersRawTable9[[#This Row],[Sales_Channel_Raw]])="Market place","Marketplace",TRIM(OrdersRawTable9[[#This Row],[Sales_Channel_Raw]]))</f>
        <v>Marketplace</v>
      </c>
      <c r="P731" s="10" t="s">
        <v>98</v>
      </c>
      <c r="Q731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731" s="15" t="s">
        <v>47</v>
      </c>
      <c r="S731" t="str">
        <f>VLOOKUP(OrdersRawTable9[[#This Row],[Customer_ID_Raw]],CustomersTable11[],4,FALSE)</f>
        <v>Alberta</v>
      </c>
      <c r="T731" t="str">
        <f>VLOOKUP(OrdersRawTable9[[#This Row],[Customer_ID_Raw]],CustomersTable11[],5,FALSE)</f>
        <v>Consumer</v>
      </c>
      <c r="U731" s="45">
        <f>VLOOKUP(OrdersRawTable9[[#This Row],[Product_ID]],ProductsTable10[],4,FALSE)</f>
        <v>139.04</v>
      </c>
      <c r="V731" t="str">
        <f>VLOOKUP(OrdersRawTable9[[#This Row],[Product_ID]],ProductsTable10[],3,FALSE)</f>
        <v>Fitness</v>
      </c>
      <c r="W731" s="45">
        <f>OrdersRawTable9[[#This Row],[Unit_Price]]*OrdersRawTable9[[#This Row],[Quantity]]</f>
        <v>626.43000000000006</v>
      </c>
      <c r="X731" s="47">
        <f>OrdersRawTable9[[#This Row],[Gross_Sales]]*OrdersRawTable9[[#This Row],[Discount_Pct]]</f>
        <v>0</v>
      </c>
      <c r="Y731" s="45">
        <f>OrdersRawTable9[[#This Row],[Gross_Sales]]-OrdersRawTable9[[#This Row],[Discount_Amount]]</f>
        <v>626.43000000000006</v>
      </c>
      <c r="Z731" s="45">
        <f>OrdersRawTable9[[#This Row],[Unit_Cost]]*OrdersRawTable9[[#This Row],[Quantity]]</f>
        <v>417.12</v>
      </c>
      <c r="AA731" s="45">
        <f>OrdersRawTable9[[#This Row],[Net_Sales]]-OrdersRawTable9[[#This Row],[Total_Cost]]</f>
        <v>209.31000000000006</v>
      </c>
      <c r="AB731" s="48">
        <f>IF(OrdersRawTable9[[#This Row],[Net_Sales]]=0,0,OrdersRawTable9[[#This Row],[Profit]]/OrdersRawTable9[[#This Row],[Net_Sales]])</f>
        <v>0.3341315071117284</v>
      </c>
      <c r="AC731" s="45" t="str">
        <f>IF(COUNTIF(ReturnsRawTable[Order_Line_ID],OrdersRawTable9[[#This Row],[Order_Line_ID]])&gt;0,"Yes","No")</f>
        <v>No</v>
      </c>
      <c r="AD731" s="45" t="str">
        <f>IFERROR(VLOOKUP(OrdersRawTable9[[#This Row],[Order_Line_ID]],ReturnsRawTable[[#All],[Order_Line_ID]:[Return_Reason_Raw]],3,FALSE),"")</f>
        <v/>
      </c>
      <c r="AE731" s="49" t="str">
        <f>IFERROR(VLOOKUP(OrdersRawTable9[[#This Row],[Order_Line_ID]],ReturnsRawTable[[#All],[Order_Line_ID]:[Return_Date]],2,FALSE),"")</f>
        <v/>
      </c>
      <c r="AF731" s="45" t="str">
        <f>IFERROR(VLOOKUP(OrdersRawTable9[[#This Row],[Order_Line_ID]],ReturnsRawTable[[Order_Line_ID]:[Refund_Status]],4,FALSE),"")</f>
        <v/>
      </c>
      <c r="AG731" s="45" t="str">
        <f>VLOOKUP(OrdersRawTable9[[#This Row],[Order_ID]],ShipmentsTable[],6,FALSE)</f>
        <v>On time</v>
      </c>
      <c r="AH731" s="49">
        <f>VLOOKUP(OrdersRawTable9[[#This Row],[Order_ID]],ShipmentsTable[],3,FALSE)</f>
        <v>45791</v>
      </c>
    </row>
    <row r="732" spans="1:34" ht="15" customHeight="1">
      <c r="A732" s="14" t="s">
        <v>1413</v>
      </c>
      <c r="B732" s="10" t="s">
        <v>1414</v>
      </c>
      <c r="C732" s="20">
        <v>45934</v>
      </c>
      <c r="D732" s="10" t="s">
        <v>1415</v>
      </c>
      <c r="E732" s="10" t="s">
        <v>1416</v>
      </c>
      <c r="F732" s="10" t="str">
        <f>TRIM(LEFT(OrdersRawTable9[[#This Row],[Customer_Info]],FIND(",",OrdersRawTable9[[#This Row],[Customer_Info]])-1))</f>
        <v>Maya Wilson</v>
      </c>
      <c r="G73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732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32" s="10">
        <f>LEN(OrdersRawTable9[[#This Row],[Customer_Info]])-LEN(SUBSTITUTE(OrdersRawTable9[[#This Row],[Customer_Info]],",",""))</f>
        <v>2</v>
      </c>
      <c r="J732" s="10" t="s">
        <v>495</v>
      </c>
      <c r="K732" s="23">
        <v>3</v>
      </c>
      <c r="L732" s="26">
        <v>207.71</v>
      </c>
      <c r="M732" s="29">
        <v>0</v>
      </c>
      <c r="N732" s="10" t="s">
        <v>50</v>
      </c>
      <c r="O732" s="10" t="str">
        <f>IF(TRIM(OrdersRawTable9[[#This Row],[Sales_Channel_Raw]])="Market place","Marketplace",TRIM(OrdersRawTable9[[#This Row],[Sales_Channel_Raw]]))</f>
        <v>Marketplace</v>
      </c>
      <c r="P732" s="10"/>
      <c r="Q732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732" s="15" t="s">
        <v>67</v>
      </c>
      <c r="S732" t="str">
        <f>VLOOKUP(OrdersRawTable9[[#This Row],[Customer_ID_Raw]],CustomersTable11[],4,FALSE)</f>
        <v>Manitoba</v>
      </c>
      <c r="T732" t="str">
        <f>VLOOKUP(OrdersRawTable9[[#This Row],[Customer_ID_Raw]],CustomersTable11[],5,FALSE)</f>
        <v>Consumer</v>
      </c>
      <c r="U732" s="45">
        <f>VLOOKUP(OrdersRawTable9[[#This Row],[Product_ID]],ProductsTable10[],4,FALSE)</f>
        <v>132.97</v>
      </c>
      <c r="V732" t="str">
        <f>VLOOKUP(OrdersRawTable9[[#This Row],[Product_ID]],ProductsTable10[],3,FALSE)</f>
        <v>Home</v>
      </c>
      <c r="W732" s="45">
        <f>OrdersRawTable9[[#This Row],[Unit_Price]]*OrdersRawTable9[[#This Row],[Quantity]]</f>
        <v>623.13</v>
      </c>
      <c r="X732" s="47">
        <f>OrdersRawTable9[[#This Row],[Gross_Sales]]*OrdersRawTable9[[#This Row],[Discount_Pct]]</f>
        <v>0</v>
      </c>
      <c r="Y732" s="45">
        <f>OrdersRawTable9[[#This Row],[Gross_Sales]]-OrdersRawTable9[[#This Row],[Discount_Amount]]</f>
        <v>623.13</v>
      </c>
      <c r="Z732" s="45">
        <f>OrdersRawTable9[[#This Row],[Unit_Cost]]*OrdersRawTable9[[#This Row],[Quantity]]</f>
        <v>398.90999999999997</v>
      </c>
      <c r="AA732" s="45">
        <f>OrdersRawTable9[[#This Row],[Net_Sales]]-OrdersRawTable9[[#This Row],[Total_Cost]]</f>
        <v>224.22000000000003</v>
      </c>
      <c r="AB732" s="48">
        <f>IF(OrdersRawTable9[[#This Row],[Net_Sales]]=0,0,OrdersRawTable9[[#This Row],[Profit]]/OrdersRawTable9[[#This Row],[Net_Sales]])</f>
        <v>0.35982860719272064</v>
      </c>
      <c r="AC732" s="45" t="str">
        <f>IF(COUNTIF(ReturnsRawTable[Order_Line_ID],OrdersRawTable9[[#This Row],[Order_Line_ID]])&gt;0,"Yes","No")</f>
        <v>Yes</v>
      </c>
      <c r="AD732" s="45" t="str">
        <f>IFERROR(VLOOKUP(OrdersRawTable9[[#This Row],[Order_Line_ID]],ReturnsRawTable[[#All],[Order_Line_ID]:[Return_Reason_Raw]],3,FALSE),"")</f>
        <v>Late Delivery</v>
      </c>
      <c r="AE732" s="49">
        <f>IFERROR(VLOOKUP(OrdersRawTable9[[#This Row],[Order_Line_ID]],ReturnsRawTable[[#All],[Order_Line_ID]:[Return_Date]],2,FALSE),"")</f>
        <v>45948</v>
      </c>
      <c r="AF732" s="45" t="str">
        <f>IFERROR(VLOOKUP(OrdersRawTable9[[#This Row],[Order_Line_ID]],ReturnsRawTable[[Order_Line_ID]:[Refund_Status]],4,FALSE),"")</f>
        <v>Refunded</v>
      </c>
      <c r="AG732" s="45" t="str">
        <f>VLOOKUP(OrdersRawTable9[[#This Row],[Order_ID]],ShipmentsTable[],6,FALSE)</f>
        <v>On time</v>
      </c>
      <c r="AH732" s="49">
        <f>VLOOKUP(OrdersRawTable9[[#This Row],[Order_ID]],ShipmentsTable[],3,FALSE)</f>
        <v>45939</v>
      </c>
    </row>
    <row r="733" spans="1:34" ht="15" customHeight="1">
      <c r="A733" s="14" t="s">
        <v>1417</v>
      </c>
      <c r="B733" s="10" t="s">
        <v>1414</v>
      </c>
      <c r="C733" s="20">
        <v>45934</v>
      </c>
      <c r="D733" s="10" t="s">
        <v>1415</v>
      </c>
      <c r="E733" s="10" t="s">
        <v>1416</v>
      </c>
      <c r="F733" s="10" t="str">
        <f>TRIM(LEFT(OrdersRawTable9[[#This Row],[Customer_Info]],FIND(",",OrdersRawTable9[[#This Row],[Customer_Info]])-1))</f>
        <v>Maya Wilson</v>
      </c>
      <c r="G73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733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33" s="10">
        <f>LEN(OrdersRawTable9[[#This Row],[Customer_Info]])-LEN(SUBSTITUTE(OrdersRawTable9[[#This Row],[Customer_Info]],",",""))</f>
        <v>2</v>
      </c>
      <c r="J733" s="10" t="s">
        <v>44</v>
      </c>
      <c r="K733" s="23">
        <v>1</v>
      </c>
      <c r="L733" s="26">
        <v>238.47</v>
      </c>
      <c r="M733" s="29">
        <v>0.15</v>
      </c>
      <c r="N733" s="10" t="s">
        <v>70</v>
      </c>
      <c r="O733" s="10" t="str">
        <f>IF(TRIM(OrdersRawTable9[[#This Row],[Sales_Channel_Raw]])="Market place","Marketplace",TRIM(OrdersRawTable9[[#This Row],[Sales_Channel_Raw]]))</f>
        <v>online</v>
      </c>
      <c r="P733" s="10" t="s">
        <v>46</v>
      </c>
      <c r="Q733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733" s="15" t="s">
        <v>67</v>
      </c>
      <c r="S733" t="str">
        <f>VLOOKUP(OrdersRawTable9[[#This Row],[Customer_ID_Raw]],CustomersTable11[],4,FALSE)</f>
        <v>Manitoba</v>
      </c>
      <c r="T733" t="str">
        <f>VLOOKUP(OrdersRawTable9[[#This Row],[Customer_ID_Raw]],CustomersTable11[],5,FALSE)</f>
        <v>Consumer</v>
      </c>
      <c r="U733" s="45">
        <f>VLOOKUP(OrdersRawTable9[[#This Row],[Product_ID]],ProductsTable10[],4,FALSE)</f>
        <v>127.65</v>
      </c>
      <c r="V733" t="str">
        <f>VLOOKUP(OrdersRawTable9[[#This Row],[Product_ID]],ProductsTable10[],3,FALSE)</f>
        <v>Accessories</v>
      </c>
      <c r="W733" s="45">
        <f>OrdersRawTable9[[#This Row],[Unit_Price]]*OrdersRawTable9[[#This Row],[Quantity]]</f>
        <v>238.47</v>
      </c>
      <c r="X733" s="47">
        <f>OrdersRawTable9[[#This Row],[Gross_Sales]]*OrdersRawTable9[[#This Row],[Discount_Pct]]</f>
        <v>35.770499999999998</v>
      </c>
      <c r="Y733" s="45">
        <f>OrdersRawTable9[[#This Row],[Gross_Sales]]-OrdersRawTable9[[#This Row],[Discount_Amount]]</f>
        <v>202.6995</v>
      </c>
      <c r="Z733" s="45">
        <f>OrdersRawTable9[[#This Row],[Unit_Cost]]*OrdersRawTable9[[#This Row],[Quantity]]</f>
        <v>127.65</v>
      </c>
      <c r="AA733" s="45">
        <f>OrdersRawTable9[[#This Row],[Net_Sales]]-OrdersRawTable9[[#This Row],[Total_Cost]]</f>
        <v>75.049499999999995</v>
      </c>
      <c r="AB733" s="48">
        <f>IF(OrdersRawTable9[[#This Row],[Net_Sales]]=0,0,OrdersRawTable9[[#This Row],[Profit]]/OrdersRawTable9[[#This Row],[Net_Sales]])</f>
        <v>0.3702500499507892</v>
      </c>
      <c r="AC733" s="45" t="str">
        <f>IF(COUNTIF(ReturnsRawTable[Order_Line_ID],OrdersRawTable9[[#This Row],[Order_Line_ID]])&gt;0,"Yes","No")</f>
        <v>No</v>
      </c>
      <c r="AD733" s="45" t="str">
        <f>IFERROR(VLOOKUP(OrdersRawTable9[[#This Row],[Order_Line_ID]],ReturnsRawTable[[#All],[Order_Line_ID]:[Return_Reason_Raw]],3,FALSE),"")</f>
        <v/>
      </c>
      <c r="AE733" s="49" t="str">
        <f>IFERROR(VLOOKUP(OrdersRawTable9[[#This Row],[Order_Line_ID]],ReturnsRawTable[[#All],[Order_Line_ID]:[Return_Date]],2,FALSE),"")</f>
        <v/>
      </c>
      <c r="AF733" s="45" t="str">
        <f>IFERROR(VLOOKUP(OrdersRawTable9[[#This Row],[Order_Line_ID]],ReturnsRawTable[[Order_Line_ID]:[Refund_Status]],4,FALSE),"")</f>
        <v/>
      </c>
      <c r="AG733" s="45" t="str">
        <f>VLOOKUP(OrdersRawTable9[[#This Row],[Order_ID]],ShipmentsTable[],6,FALSE)</f>
        <v>On time</v>
      </c>
      <c r="AH733" s="49">
        <f>VLOOKUP(OrdersRawTable9[[#This Row],[Order_ID]],ShipmentsTable[],3,FALSE)</f>
        <v>45939</v>
      </c>
    </row>
    <row r="734" spans="1:34" ht="15" customHeight="1">
      <c r="A734" s="14" t="s">
        <v>1418</v>
      </c>
      <c r="B734" s="10" t="s">
        <v>1419</v>
      </c>
      <c r="C734" s="20">
        <v>45731.041666666664</v>
      </c>
      <c r="D734" s="10" t="s">
        <v>425</v>
      </c>
      <c r="E734" s="10" t="s">
        <v>426</v>
      </c>
      <c r="F734" s="10" t="str">
        <f>TRIM(LEFT(OrdersRawTable9[[#This Row],[Customer_Info]],FIND(",",OrdersRawTable9[[#This Row],[Customer_Info]])-1))</f>
        <v>Noah Gagnon</v>
      </c>
      <c r="G73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734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734" s="10">
        <f>LEN(OrdersRawTable9[[#This Row],[Customer_Info]])-LEN(SUBSTITUTE(OrdersRawTable9[[#This Row],[Customer_Info]],",",""))</f>
        <v>2</v>
      </c>
      <c r="J734" s="10" t="s">
        <v>106</v>
      </c>
      <c r="K734" s="23">
        <v>1</v>
      </c>
      <c r="L734" s="26">
        <v>195.38</v>
      </c>
      <c r="M734" s="29">
        <v>0</v>
      </c>
      <c r="N734" s="10" t="s">
        <v>64</v>
      </c>
      <c r="O734" s="10" t="str">
        <f>IF(TRIM(OrdersRawTable9[[#This Row],[Sales_Channel_Raw]])="Market place","Marketplace",TRIM(OrdersRawTable9[[#This Row],[Sales_Channel_Raw]]))</f>
        <v>Retail Store</v>
      </c>
      <c r="P734" s="10" t="s">
        <v>51</v>
      </c>
      <c r="Q734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734" s="15" t="s">
        <v>42</v>
      </c>
      <c r="S734" t="str">
        <f>VLOOKUP(OrdersRawTable9[[#This Row],[Customer_ID_Raw]],CustomersTable11[],4,FALSE)</f>
        <v>Alberta</v>
      </c>
      <c r="T734" t="str">
        <f>VLOOKUP(OrdersRawTable9[[#This Row],[Customer_ID_Raw]],CustomersTable11[],5,FALSE)</f>
        <v>Small Business</v>
      </c>
      <c r="U734" s="45">
        <f>VLOOKUP(OrdersRawTable9[[#This Row],[Product_ID]],ProductsTable10[],4,FALSE)</f>
        <v>114.29</v>
      </c>
      <c r="V734" t="str">
        <f>VLOOKUP(OrdersRawTable9[[#This Row],[Product_ID]],ProductsTable10[],3,FALSE)</f>
        <v>Electronics</v>
      </c>
      <c r="W734" s="45">
        <f>OrdersRawTable9[[#This Row],[Unit_Price]]*OrdersRawTable9[[#This Row],[Quantity]]</f>
        <v>195.38</v>
      </c>
      <c r="X734" s="47">
        <f>OrdersRawTable9[[#This Row],[Gross_Sales]]*OrdersRawTable9[[#This Row],[Discount_Pct]]</f>
        <v>0</v>
      </c>
      <c r="Y734" s="45">
        <f>OrdersRawTable9[[#This Row],[Gross_Sales]]-OrdersRawTable9[[#This Row],[Discount_Amount]]</f>
        <v>195.38</v>
      </c>
      <c r="Z734" s="45">
        <f>OrdersRawTable9[[#This Row],[Unit_Cost]]*OrdersRawTable9[[#This Row],[Quantity]]</f>
        <v>114.29</v>
      </c>
      <c r="AA734" s="45">
        <f>OrdersRawTable9[[#This Row],[Net_Sales]]-OrdersRawTable9[[#This Row],[Total_Cost]]</f>
        <v>81.089999999999989</v>
      </c>
      <c r="AB734" s="48">
        <f>IF(OrdersRawTable9[[#This Row],[Net_Sales]]=0,0,OrdersRawTable9[[#This Row],[Profit]]/OrdersRawTable9[[#This Row],[Net_Sales]])</f>
        <v>0.41503736308731698</v>
      </c>
      <c r="AC734" s="45" t="str">
        <f>IF(COUNTIF(ReturnsRawTable[Order_Line_ID],OrdersRawTable9[[#This Row],[Order_Line_ID]])&gt;0,"Yes","No")</f>
        <v>No</v>
      </c>
      <c r="AD734" s="45" t="str">
        <f>IFERROR(VLOOKUP(OrdersRawTable9[[#This Row],[Order_Line_ID]],ReturnsRawTable[[#All],[Order_Line_ID]:[Return_Reason_Raw]],3,FALSE),"")</f>
        <v/>
      </c>
      <c r="AE734" s="49" t="str">
        <f>IFERROR(VLOOKUP(OrdersRawTable9[[#This Row],[Order_Line_ID]],ReturnsRawTable[[#All],[Order_Line_ID]:[Return_Date]],2,FALSE),"")</f>
        <v/>
      </c>
      <c r="AF734" s="45" t="str">
        <f>IFERROR(VLOOKUP(OrdersRawTable9[[#This Row],[Order_Line_ID]],ReturnsRawTable[[Order_Line_ID]:[Refund_Status]],4,FALSE),"")</f>
        <v/>
      </c>
      <c r="AG734" s="45" t="str">
        <f>VLOOKUP(OrdersRawTable9[[#This Row],[Order_ID]],ShipmentsTable[],6,FALSE)</f>
        <v>Late</v>
      </c>
      <c r="AH734" s="49">
        <f>VLOOKUP(OrdersRawTable9[[#This Row],[Order_ID]],ShipmentsTable[],3,FALSE)</f>
        <v>45740.041666666664</v>
      </c>
    </row>
    <row r="735" spans="1:34" ht="15" customHeight="1">
      <c r="A735" s="14" t="s">
        <v>1420</v>
      </c>
      <c r="B735" s="10" t="s">
        <v>1419</v>
      </c>
      <c r="C735" s="20">
        <v>45731.041666666664</v>
      </c>
      <c r="D735" s="10" t="s">
        <v>425</v>
      </c>
      <c r="E735" s="10" t="s">
        <v>426</v>
      </c>
      <c r="F735" s="10" t="str">
        <f>TRIM(LEFT(OrdersRawTable9[[#This Row],[Customer_Info]],FIND(",",OrdersRawTable9[[#This Row],[Customer_Info]])-1))</f>
        <v>Noah Gagnon</v>
      </c>
      <c r="G73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735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735" s="10">
        <f>LEN(OrdersRawTable9[[#This Row],[Customer_Info]])-LEN(SUBSTITUTE(OrdersRawTable9[[#This Row],[Customer_Info]],",",""))</f>
        <v>2</v>
      </c>
      <c r="J735" s="10" t="s">
        <v>495</v>
      </c>
      <c r="K735" s="23">
        <v>2</v>
      </c>
      <c r="L735" s="26">
        <v>207.71</v>
      </c>
      <c r="M735" s="29">
        <v>0.15</v>
      </c>
      <c r="N735" s="10" t="s">
        <v>66</v>
      </c>
      <c r="O735" s="10" t="str">
        <f>IF(TRIM(OrdersRawTable9[[#This Row],[Sales_Channel_Raw]])="Market place","Marketplace",TRIM(OrdersRawTable9[[#This Row],[Sales_Channel_Raw]]))</f>
        <v>Marketplace</v>
      </c>
      <c r="P735" s="10" t="s">
        <v>98</v>
      </c>
      <c r="Q735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735" s="15" t="s">
        <v>42</v>
      </c>
      <c r="S735" t="str">
        <f>VLOOKUP(OrdersRawTable9[[#This Row],[Customer_ID_Raw]],CustomersTable11[],4,FALSE)</f>
        <v>Alberta</v>
      </c>
      <c r="T735" t="str">
        <f>VLOOKUP(OrdersRawTable9[[#This Row],[Customer_ID_Raw]],CustomersTable11[],5,FALSE)</f>
        <v>Small Business</v>
      </c>
      <c r="U735" s="45">
        <f>VLOOKUP(OrdersRawTable9[[#This Row],[Product_ID]],ProductsTable10[],4,FALSE)</f>
        <v>132.97</v>
      </c>
      <c r="V735" t="str">
        <f>VLOOKUP(OrdersRawTable9[[#This Row],[Product_ID]],ProductsTable10[],3,FALSE)</f>
        <v>Home</v>
      </c>
      <c r="W735" s="45">
        <f>OrdersRawTable9[[#This Row],[Unit_Price]]*OrdersRawTable9[[#This Row],[Quantity]]</f>
        <v>415.42</v>
      </c>
      <c r="X735" s="47">
        <f>OrdersRawTable9[[#This Row],[Gross_Sales]]*OrdersRawTable9[[#This Row],[Discount_Pct]]</f>
        <v>62.313000000000002</v>
      </c>
      <c r="Y735" s="45">
        <f>OrdersRawTable9[[#This Row],[Gross_Sales]]-OrdersRawTable9[[#This Row],[Discount_Amount]]</f>
        <v>353.10700000000003</v>
      </c>
      <c r="Z735" s="45">
        <f>OrdersRawTable9[[#This Row],[Unit_Cost]]*OrdersRawTable9[[#This Row],[Quantity]]</f>
        <v>265.94</v>
      </c>
      <c r="AA735" s="45">
        <f>OrdersRawTable9[[#This Row],[Net_Sales]]-OrdersRawTable9[[#This Row],[Total_Cost]]</f>
        <v>87.16700000000003</v>
      </c>
      <c r="AB735" s="48">
        <f>IF(OrdersRawTable9[[#This Row],[Net_Sales]]=0,0,OrdersRawTable9[[#This Row],[Profit]]/OrdersRawTable9[[#This Row],[Net_Sales]])</f>
        <v>0.24685718493261255</v>
      </c>
      <c r="AC735" s="45" t="str">
        <f>IF(COUNTIF(ReturnsRawTable[Order_Line_ID],OrdersRawTable9[[#This Row],[Order_Line_ID]])&gt;0,"Yes","No")</f>
        <v>No</v>
      </c>
      <c r="AD735" s="45" t="str">
        <f>IFERROR(VLOOKUP(OrdersRawTable9[[#This Row],[Order_Line_ID]],ReturnsRawTable[[#All],[Order_Line_ID]:[Return_Reason_Raw]],3,FALSE),"")</f>
        <v/>
      </c>
      <c r="AE735" s="49" t="str">
        <f>IFERROR(VLOOKUP(OrdersRawTable9[[#This Row],[Order_Line_ID]],ReturnsRawTable[[#All],[Order_Line_ID]:[Return_Date]],2,FALSE),"")</f>
        <v/>
      </c>
      <c r="AF735" s="45" t="str">
        <f>IFERROR(VLOOKUP(OrdersRawTable9[[#This Row],[Order_Line_ID]],ReturnsRawTable[[Order_Line_ID]:[Refund_Status]],4,FALSE),"")</f>
        <v/>
      </c>
      <c r="AG735" s="45" t="str">
        <f>VLOOKUP(OrdersRawTable9[[#This Row],[Order_ID]],ShipmentsTable[],6,FALSE)</f>
        <v>Late</v>
      </c>
      <c r="AH735" s="49">
        <f>VLOOKUP(OrdersRawTable9[[#This Row],[Order_ID]],ShipmentsTable[],3,FALSE)</f>
        <v>45740.041666666664</v>
      </c>
    </row>
    <row r="736" spans="1:34" ht="15" customHeight="1">
      <c r="A736" s="14" t="s">
        <v>1421</v>
      </c>
      <c r="B736" s="10" t="s">
        <v>1419</v>
      </c>
      <c r="C736" s="20">
        <v>45731.041666666664</v>
      </c>
      <c r="D736" s="10" t="s">
        <v>425</v>
      </c>
      <c r="E736" s="10" t="s">
        <v>426</v>
      </c>
      <c r="F736" s="10" t="str">
        <f>TRIM(LEFT(OrdersRawTable9[[#This Row],[Customer_Info]],FIND(",",OrdersRawTable9[[#This Row],[Customer_Info]])-1))</f>
        <v>Noah Gagnon</v>
      </c>
      <c r="G73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736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736" s="10">
        <f>LEN(OrdersRawTable9[[#This Row],[Customer_Info]])-LEN(SUBSTITUTE(OrdersRawTable9[[#This Row],[Customer_Info]],",",""))</f>
        <v>2</v>
      </c>
      <c r="J736" s="10" t="s">
        <v>110</v>
      </c>
      <c r="K736" s="23">
        <v>2</v>
      </c>
      <c r="L736" s="26">
        <v>133.24</v>
      </c>
      <c r="M736" s="29">
        <v>0.05</v>
      </c>
      <c r="N736" s="10" t="s">
        <v>50</v>
      </c>
      <c r="O736" s="10" t="str">
        <f>IF(TRIM(OrdersRawTable9[[#This Row],[Sales_Channel_Raw]])="Market place","Marketplace",TRIM(OrdersRawTable9[[#This Row],[Sales_Channel_Raw]]))</f>
        <v>Marketplace</v>
      </c>
      <c r="P736" s="10"/>
      <c r="Q736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736" s="15" t="s">
        <v>42</v>
      </c>
      <c r="S736" t="str">
        <f>VLOOKUP(OrdersRawTable9[[#This Row],[Customer_ID_Raw]],CustomersTable11[],4,FALSE)</f>
        <v>Alberta</v>
      </c>
      <c r="T736" t="str">
        <f>VLOOKUP(OrdersRawTable9[[#This Row],[Customer_ID_Raw]],CustomersTable11[],5,FALSE)</f>
        <v>Small Business</v>
      </c>
      <c r="U736" s="45">
        <f>VLOOKUP(OrdersRawTable9[[#This Row],[Product_ID]],ProductsTable10[],4,FALSE)</f>
        <v>77.540000000000006</v>
      </c>
      <c r="V736" t="str">
        <f>VLOOKUP(OrdersRawTable9[[#This Row],[Product_ID]],ProductsTable10[],3,FALSE)</f>
        <v>Electronics</v>
      </c>
      <c r="W736" s="45">
        <f>OrdersRawTable9[[#This Row],[Unit_Price]]*OrdersRawTable9[[#This Row],[Quantity]]</f>
        <v>266.48</v>
      </c>
      <c r="X736" s="47">
        <f>OrdersRawTable9[[#This Row],[Gross_Sales]]*OrdersRawTable9[[#This Row],[Discount_Pct]]</f>
        <v>13.324000000000002</v>
      </c>
      <c r="Y736" s="45">
        <f>OrdersRawTable9[[#This Row],[Gross_Sales]]-OrdersRawTable9[[#This Row],[Discount_Amount]]</f>
        <v>253.15600000000001</v>
      </c>
      <c r="Z736" s="45">
        <f>OrdersRawTable9[[#This Row],[Unit_Cost]]*OrdersRawTable9[[#This Row],[Quantity]]</f>
        <v>155.08000000000001</v>
      </c>
      <c r="AA736" s="45">
        <f>OrdersRawTable9[[#This Row],[Net_Sales]]-OrdersRawTable9[[#This Row],[Total_Cost]]</f>
        <v>98.075999999999993</v>
      </c>
      <c r="AB736" s="48">
        <f>IF(OrdersRawTable9[[#This Row],[Net_Sales]]=0,0,OrdersRawTable9[[#This Row],[Profit]]/OrdersRawTable9[[#This Row],[Net_Sales]])</f>
        <v>0.38741329456935641</v>
      </c>
      <c r="AC736" s="45" t="str">
        <f>IF(COUNTIF(ReturnsRawTable[Order_Line_ID],OrdersRawTable9[[#This Row],[Order_Line_ID]])&gt;0,"Yes","No")</f>
        <v>No</v>
      </c>
      <c r="AD736" s="45" t="str">
        <f>IFERROR(VLOOKUP(OrdersRawTable9[[#This Row],[Order_Line_ID]],ReturnsRawTable[[#All],[Order_Line_ID]:[Return_Reason_Raw]],3,FALSE),"")</f>
        <v/>
      </c>
      <c r="AE736" s="49" t="str">
        <f>IFERROR(VLOOKUP(OrdersRawTable9[[#This Row],[Order_Line_ID]],ReturnsRawTable[[#All],[Order_Line_ID]:[Return_Date]],2,FALSE),"")</f>
        <v/>
      </c>
      <c r="AF736" s="45" t="str">
        <f>IFERROR(VLOOKUP(OrdersRawTable9[[#This Row],[Order_Line_ID]],ReturnsRawTable[[Order_Line_ID]:[Refund_Status]],4,FALSE),"")</f>
        <v/>
      </c>
      <c r="AG736" s="45" t="str">
        <f>VLOOKUP(OrdersRawTable9[[#This Row],[Order_ID]],ShipmentsTable[],6,FALSE)</f>
        <v>Late</v>
      </c>
      <c r="AH736" s="49">
        <f>VLOOKUP(OrdersRawTable9[[#This Row],[Order_ID]],ShipmentsTable[],3,FALSE)</f>
        <v>45740.041666666664</v>
      </c>
    </row>
    <row r="737" spans="1:34" ht="15" customHeight="1">
      <c r="A737" s="14" t="s">
        <v>1422</v>
      </c>
      <c r="B737" s="10" t="s">
        <v>1423</v>
      </c>
      <c r="C737" s="20">
        <v>45924</v>
      </c>
      <c r="D737" s="10" t="s">
        <v>866</v>
      </c>
      <c r="E737" s="10" t="s">
        <v>867</v>
      </c>
      <c r="F737" s="10" t="str">
        <f>TRIM(LEFT(OrdersRawTable9[[#This Row],[Customer_Info]],FIND(",",OrdersRawTable9[[#This Row],[Customer_Info]])-1))</f>
        <v>Maya Singh</v>
      </c>
      <c r="G73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737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737" s="10">
        <f>LEN(OrdersRawTable9[[#This Row],[Customer_Info]])-LEN(SUBSTITUTE(OrdersRawTable9[[#This Row],[Customer_Info]],",",""))</f>
        <v>2</v>
      </c>
      <c r="J737" s="10" t="s">
        <v>220</v>
      </c>
      <c r="K737" s="23">
        <v>3</v>
      </c>
      <c r="L737" s="26">
        <v>25.01</v>
      </c>
      <c r="M737" s="29">
        <v>0.05</v>
      </c>
      <c r="N737" s="10" t="s">
        <v>50</v>
      </c>
      <c r="O737" s="10" t="str">
        <f>IF(TRIM(OrdersRawTable9[[#This Row],[Sales_Channel_Raw]])="Market place","Marketplace",TRIM(OrdersRawTable9[[#This Row],[Sales_Channel_Raw]]))</f>
        <v>Marketplace</v>
      </c>
      <c r="P737" s="10" t="s">
        <v>98</v>
      </c>
      <c r="Q737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737" s="15" t="s">
        <v>42</v>
      </c>
      <c r="S737" t="str">
        <f>VLOOKUP(OrdersRawTable9[[#This Row],[Customer_ID_Raw]],CustomersTable11[],4,FALSE)</f>
        <v>Alberta</v>
      </c>
      <c r="T737" t="str">
        <f>VLOOKUP(OrdersRawTable9[[#This Row],[Customer_ID_Raw]],CustomersTable11[],5,FALSE)</f>
        <v>Small Business</v>
      </c>
      <c r="U737" s="45">
        <f>VLOOKUP(OrdersRawTable9[[#This Row],[Product_ID]],ProductsTable10[],4,FALSE)</f>
        <v>16.86</v>
      </c>
      <c r="V737" t="str">
        <f>VLOOKUP(OrdersRawTable9[[#This Row],[Product_ID]],ProductsTable10[],3,FALSE)</f>
        <v>Office</v>
      </c>
      <c r="W737" s="45">
        <f>OrdersRawTable9[[#This Row],[Unit_Price]]*OrdersRawTable9[[#This Row],[Quantity]]</f>
        <v>75.03</v>
      </c>
      <c r="X737" s="47">
        <f>OrdersRawTable9[[#This Row],[Gross_Sales]]*OrdersRawTable9[[#This Row],[Discount_Pct]]</f>
        <v>3.7515000000000001</v>
      </c>
      <c r="Y737" s="45">
        <f>OrdersRawTable9[[#This Row],[Gross_Sales]]-OrdersRawTable9[[#This Row],[Discount_Amount]]</f>
        <v>71.278500000000008</v>
      </c>
      <c r="Z737" s="45">
        <f>OrdersRawTable9[[#This Row],[Unit_Cost]]*OrdersRawTable9[[#This Row],[Quantity]]</f>
        <v>50.58</v>
      </c>
      <c r="AA737" s="45">
        <f>OrdersRawTable9[[#This Row],[Net_Sales]]-OrdersRawTable9[[#This Row],[Total_Cost]]</f>
        <v>20.69850000000001</v>
      </c>
      <c r="AB737" s="48">
        <f>IF(OrdersRawTable9[[#This Row],[Net_Sales]]=0,0,OrdersRawTable9[[#This Row],[Profit]]/OrdersRawTable9[[#This Row],[Net_Sales]])</f>
        <v>0.29038910751488889</v>
      </c>
      <c r="AC737" s="45" t="str">
        <f>IF(COUNTIF(ReturnsRawTable[Order_Line_ID],OrdersRawTable9[[#This Row],[Order_Line_ID]])&gt;0,"Yes","No")</f>
        <v>No</v>
      </c>
      <c r="AD737" s="45" t="str">
        <f>IFERROR(VLOOKUP(OrdersRawTable9[[#This Row],[Order_Line_ID]],ReturnsRawTable[[#All],[Order_Line_ID]:[Return_Reason_Raw]],3,FALSE),"")</f>
        <v/>
      </c>
      <c r="AE737" s="49" t="str">
        <f>IFERROR(VLOOKUP(OrdersRawTable9[[#This Row],[Order_Line_ID]],ReturnsRawTable[[#All],[Order_Line_ID]:[Return_Date]],2,FALSE),"")</f>
        <v/>
      </c>
      <c r="AF737" s="45" t="str">
        <f>IFERROR(VLOOKUP(OrdersRawTable9[[#This Row],[Order_Line_ID]],ReturnsRawTable[[Order_Line_ID]:[Refund_Status]],4,FALSE),"")</f>
        <v/>
      </c>
      <c r="AG737" s="45" t="str">
        <f>VLOOKUP(OrdersRawTable9[[#This Row],[Order_ID]],ShipmentsTable[],6,FALSE)</f>
        <v>On time</v>
      </c>
      <c r="AH737" s="49">
        <f>VLOOKUP(OrdersRawTable9[[#This Row],[Order_ID]],ShipmentsTable[],3,FALSE)</f>
        <v>45925</v>
      </c>
    </row>
    <row r="738" spans="1:34" ht="15" customHeight="1">
      <c r="A738" s="14" t="s">
        <v>1424</v>
      </c>
      <c r="B738" s="10" t="s">
        <v>1425</v>
      </c>
      <c r="C738" s="20">
        <v>45792</v>
      </c>
      <c r="D738" s="10" t="s">
        <v>75</v>
      </c>
      <c r="E738" s="10" t="s">
        <v>76</v>
      </c>
      <c r="F738" s="10" t="str">
        <f>TRIM(LEFT(OrdersRawTable9[[#This Row],[Customer_Info]],FIND(",",OrdersRawTable9[[#This Row],[Customer_Info]])-1))</f>
        <v>Yara Tremblay</v>
      </c>
      <c r="G73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738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738" s="10">
        <f>LEN(OrdersRawTable9[[#This Row],[Customer_Info]])-LEN(SUBSTITUTE(OrdersRawTable9[[#This Row],[Customer_Info]],",",""))</f>
        <v>2</v>
      </c>
      <c r="J738" s="10" t="s">
        <v>495</v>
      </c>
      <c r="K738" s="23">
        <v>2</v>
      </c>
      <c r="L738" s="26">
        <v>207.71</v>
      </c>
      <c r="M738" s="29">
        <v>0.15</v>
      </c>
      <c r="N738" s="10" t="s">
        <v>64</v>
      </c>
      <c r="O738" s="10" t="str">
        <f>IF(TRIM(OrdersRawTable9[[#This Row],[Sales_Channel_Raw]])="Market place","Marketplace",TRIM(OrdersRawTable9[[#This Row],[Sales_Channel_Raw]]))</f>
        <v>Retail Store</v>
      </c>
      <c r="P738" s="10" t="s">
        <v>58</v>
      </c>
      <c r="Q738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738" s="15" t="s">
        <v>42</v>
      </c>
      <c r="S738" t="str">
        <f>VLOOKUP(OrdersRawTable9[[#This Row],[Customer_ID_Raw]],CustomersTable11[],4,FALSE)</f>
        <v>Alberta</v>
      </c>
      <c r="T738" t="str">
        <f>VLOOKUP(OrdersRawTable9[[#This Row],[Customer_ID_Raw]],CustomersTable11[],5,FALSE)</f>
        <v>Corporate</v>
      </c>
      <c r="U738" s="45">
        <f>VLOOKUP(OrdersRawTable9[[#This Row],[Product_ID]],ProductsTable10[],4,FALSE)</f>
        <v>132.97</v>
      </c>
      <c r="V738" t="str">
        <f>VLOOKUP(OrdersRawTable9[[#This Row],[Product_ID]],ProductsTable10[],3,FALSE)</f>
        <v>Home</v>
      </c>
      <c r="W738" s="45">
        <f>OrdersRawTable9[[#This Row],[Unit_Price]]*OrdersRawTable9[[#This Row],[Quantity]]</f>
        <v>415.42</v>
      </c>
      <c r="X738" s="47">
        <f>OrdersRawTable9[[#This Row],[Gross_Sales]]*OrdersRawTable9[[#This Row],[Discount_Pct]]</f>
        <v>62.313000000000002</v>
      </c>
      <c r="Y738" s="45">
        <f>OrdersRawTable9[[#This Row],[Gross_Sales]]-OrdersRawTable9[[#This Row],[Discount_Amount]]</f>
        <v>353.10700000000003</v>
      </c>
      <c r="Z738" s="45">
        <f>OrdersRawTable9[[#This Row],[Unit_Cost]]*OrdersRawTable9[[#This Row],[Quantity]]</f>
        <v>265.94</v>
      </c>
      <c r="AA738" s="45">
        <f>OrdersRawTable9[[#This Row],[Net_Sales]]-OrdersRawTable9[[#This Row],[Total_Cost]]</f>
        <v>87.16700000000003</v>
      </c>
      <c r="AB738" s="48">
        <f>IF(OrdersRawTable9[[#This Row],[Net_Sales]]=0,0,OrdersRawTable9[[#This Row],[Profit]]/OrdersRawTable9[[#This Row],[Net_Sales]])</f>
        <v>0.24685718493261255</v>
      </c>
      <c r="AC738" s="45" t="str">
        <f>IF(COUNTIF(ReturnsRawTable[Order_Line_ID],OrdersRawTable9[[#This Row],[Order_Line_ID]])&gt;0,"Yes","No")</f>
        <v>No</v>
      </c>
      <c r="AD738" s="45" t="str">
        <f>IFERROR(VLOOKUP(OrdersRawTable9[[#This Row],[Order_Line_ID]],ReturnsRawTable[[#All],[Order_Line_ID]:[Return_Reason_Raw]],3,FALSE),"")</f>
        <v/>
      </c>
      <c r="AE738" s="49" t="str">
        <f>IFERROR(VLOOKUP(OrdersRawTable9[[#This Row],[Order_Line_ID]],ReturnsRawTable[[#All],[Order_Line_ID]:[Return_Date]],2,FALSE),"")</f>
        <v/>
      </c>
      <c r="AF738" s="45" t="str">
        <f>IFERROR(VLOOKUP(OrdersRawTable9[[#This Row],[Order_Line_ID]],ReturnsRawTable[[Order_Line_ID]:[Refund_Status]],4,FALSE),"")</f>
        <v/>
      </c>
      <c r="AG738" s="45" t="str">
        <f>VLOOKUP(OrdersRawTable9[[#This Row],[Order_ID]],ShipmentsTable[],6,FALSE)</f>
        <v>Late</v>
      </c>
      <c r="AH738" s="49">
        <f>VLOOKUP(OrdersRawTable9[[#This Row],[Order_ID]],ShipmentsTable[],3,FALSE)</f>
        <v>45801</v>
      </c>
    </row>
    <row r="739" spans="1:34" ht="15" customHeight="1">
      <c r="A739" s="14" t="s">
        <v>1426</v>
      </c>
      <c r="B739" s="10" t="s">
        <v>1425</v>
      </c>
      <c r="C739" s="20">
        <v>45792</v>
      </c>
      <c r="D739" s="10" t="s">
        <v>75</v>
      </c>
      <c r="E739" s="10" t="s">
        <v>76</v>
      </c>
      <c r="F739" s="10" t="str">
        <f>TRIM(LEFT(OrdersRawTable9[[#This Row],[Customer_Info]],FIND(",",OrdersRawTable9[[#This Row],[Customer_Info]])-1))</f>
        <v>Yara Tremblay</v>
      </c>
      <c r="G73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739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739" s="10">
        <f>LEN(OrdersRawTable9[[#This Row],[Customer_Info]])-LEN(SUBSTITUTE(OrdersRawTable9[[#This Row],[Customer_Info]],",",""))</f>
        <v>2</v>
      </c>
      <c r="J739" s="10" t="s">
        <v>112</v>
      </c>
      <c r="K739" s="23">
        <v>1</v>
      </c>
      <c r="L739" s="26">
        <v>88.61</v>
      </c>
      <c r="M739" s="29">
        <v>0.1</v>
      </c>
      <c r="N739" s="10" t="s">
        <v>45</v>
      </c>
      <c r="O739" s="10" t="str">
        <f>IF(TRIM(OrdersRawTable9[[#This Row],[Sales_Channel_Raw]])="Market place","Marketplace",TRIM(OrdersRawTable9[[#This Row],[Sales_Channel_Raw]]))</f>
        <v>Retail Store</v>
      </c>
      <c r="P739" s="10" t="s">
        <v>41</v>
      </c>
      <c r="Q739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739" s="15" t="s">
        <v>47</v>
      </c>
      <c r="S739" t="str">
        <f>VLOOKUP(OrdersRawTable9[[#This Row],[Customer_ID_Raw]],CustomersTable11[],4,FALSE)</f>
        <v>Alberta</v>
      </c>
      <c r="T739" t="str">
        <f>VLOOKUP(OrdersRawTable9[[#This Row],[Customer_ID_Raw]],CustomersTable11[],5,FALSE)</f>
        <v>Corporate</v>
      </c>
      <c r="U739" s="45">
        <f>VLOOKUP(OrdersRawTable9[[#This Row],[Product_ID]],ProductsTable10[],4,FALSE)</f>
        <v>49.75</v>
      </c>
      <c r="V739" t="str">
        <f>VLOOKUP(OrdersRawTable9[[#This Row],[Product_ID]],ProductsTable10[],3,FALSE)</f>
        <v>Electronics</v>
      </c>
      <c r="W739" s="45">
        <f>OrdersRawTable9[[#This Row],[Unit_Price]]*OrdersRawTable9[[#This Row],[Quantity]]</f>
        <v>88.61</v>
      </c>
      <c r="X739" s="47">
        <f>OrdersRawTable9[[#This Row],[Gross_Sales]]*OrdersRawTable9[[#This Row],[Discount_Pct]]</f>
        <v>8.8610000000000007</v>
      </c>
      <c r="Y739" s="45">
        <f>OrdersRawTable9[[#This Row],[Gross_Sales]]-OrdersRawTable9[[#This Row],[Discount_Amount]]</f>
        <v>79.748999999999995</v>
      </c>
      <c r="Z739" s="45">
        <f>OrdersRawTable9[[#This Row],[Unit_Cost]]*OrdersRawTable9[[#This Row],[Quantity]]</f>
        <v>49.75</v>
      </c>
      <c r="AA739" s="45">
        <f>OrdersRawTable9[[#This Row],[Net_Sales]]-OrdersRawTable9[[#This Row],[Total_Cost]]</f>
        <v>29.998999999999995</v>
      </c>
      <c r="AB739" s="48">
        <f>IF(OrdersRawTable9[[#This Row],[Net_Sales]]=0,0,OrdersRawTable9[[#This Row],[Profit]]/OrdersRawTable9[[#This Row],[Net_Sales]])</f>
        <v>0.37616772624108136</v>
      </c>
      <c r="AC739" s="45" t="str">
        <f>IF(COUNTIF(ReturnsRawTable[Order_Line_ID],OrdersRawTable9[[#This Row],[Order_Line_ID]])&gt;0,"Yes","No")</f>
        <v>No</v>
      </c>
      <c r="AD739" s="45" t="str">
        <f>IFERROR(VLOOKUP(OrdersRawTable9[[#This Row],[Order_Line_ID]],ReturnsRawTable[[#All],[Order_Line_ID]:[Return_Reason_Raw]],3,FALSE),"")</f>
        <v/>
      </c>
      <c r="AE739" s="49" t="str">
        <f>IFERROR(VLOOKUP(OrdersRawTable9[[#This Row],[Order_Line_ID]],ReturnsRawTable[[#All],[Order_Line_ID]:[Return_Date]],2,FALSE),"")</f>
        <v/>
      </c>
      <c r="AF739" s="45" t="str">
        <f>IFERROR(VLOOKUP(OrdersRawTable9[[#This Row],[Order_Line_ID]],ReturnsRawTable[[Order_Line_ID]:[Refund_Status]],4,FALSE),"")</f>
        <v/>
      </c>
      <c r="AG739" s="45" t="str">
        <f>VLOOKUP(OrdersRawTable9[[#This Row],[Order_ID]],ShipmentsTable[],6,FALSE)</f>
        <v>Late</v>
      </c>
      <c r="AH739" s="49">
        <f>VLOOKUP(OrdersRawTable9[[#This Row],[Order_ID]],ShipmentsTable[],3,FALSE)</f>
        <v>45801</v>
      </c>
    </row>
    <row r="740" spans="1:34" ht="15" customHeight="1">
      <c r="A740" s="14" t="s">
        <v>1427</v>
      </c>
      <c r="B740" s="10" t="s">
        <v>1425</v>
      </c>
      <c r="C740" s="20">
        <v>45792</v>
      </c>
      <c r="D740" s="10" t="s">
        <v>75</v>
      </c>
      <c r="E740" s="10" t="s">
        <v>76</v>
      </c>
      <c r="F740" s="10" t="str">
        <f>TRIM(LEFT(OrdersRawTable9[[#This Row],[Customer_Info]],FIND(",",OrdersRawTable9[[#This Row],[Customer_Info]])-1))</f>
        <v>Yara Tremblay</v>
      </c>
      <c r="G74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740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740" s="10">
        <f>LEN(OrdersRawTable9[[#This Row],[Customer_Info]])-LEN(SUBSTITUTE(OrdersRawTable9[[#This Row],[Customer_Info]],",",""))</f>
        <v>2</v>
      </c>
      <c r="J740" s="10" t="s">
        <v>49</v>
      </c>
      <c r="K740" s="23">
        <v>3</v>
      </c>
      <c r="L740" s="26">
        <v>300.16000000000003</v>
      </c>
      <c r="M740" s="29">
        <v>0.1</v>
      </c>
      <c r="N740" s="10" t="s">
        <v>45</v>
      </c>
      <c r="O740" s="10" t="str">
        <f>IF(TRIM(OrdersRawTable9[[#This Row],[Sales_Channel_Raw]])="Market place","Marketplace",TRIM(OrdersRawTable9[[#This Row],[Sales_Channel_Raw]]))</f>
        <v>Retail Store</v>
      </c>
      <c r="P740" s="10"/>
      <c r="Q740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740" s="15" t="s">
        <v>52</v>
      </c>
      <c r="S740" t="str">
        <f>VLOOKUP(OrdersRawTable9[[#This Row],[Customer_ID_Raw]],CustomersTable11[],4,FALSE)</f>
        <v>Alberta</v>
      </c>
      <c r="T740" t="str">
        <f>VLOOKUP(OrdersRawTable9[[#This Row],[Customer_ID_Raw]],CustomersTable11[],5,FALSE)</f>
        <v>Corporate</v>
      </c>
      <c r="U740" s="45">
        <f>VLOOKUP(OrdersRawTable9[[#This Row],[Product_ID]],ProductsTable10[],4,FALSE)</f>
        <v>158.46</v>
      </c>
      <c r="V740" t="str">
        <f>VLOOKUP(OrdersRawTable9[[#This Row],[Product_ID]],ProductsTable10[],3,FALSE)</f>
        <v>Office</v>
      </c>
      <c r="W740" s="45">
        <f>OrdersRawTable9[[#This Row],[Unit_Price]]*OrdersRawTable9[[#This Row],[Quantity]]</f>
        <v>900.48</v>
      </c>
      <c r="X740" s="47">
        <f>OrdersRawTable9[[#This Row],[Gross_Sales]]*OrdersRawTable9[[#This Row],[Discount_Pct]]</f>
        <v>90.048000000000002</v>
      </c>
      <c r="Y740" s="45">
        <f>OrdersRawTable9[[#This Row],[Gross_Sales]]-OrdersRawTable9[[#This Row],[Discount_Amount]]</f>
        <v>810.43200000000002</v>
      </c>
      <c r="Z740" s="45">
        <f>OrdersRawTable9[[#This Row],[Unit_Cost]]*OrdersRawTable9[[#This Row],[Quantity]]</f>
        <v>475.38</v>
      </c>
      <c r="AA740" s="45">
        <f>OrdersRawTable9[[#This Row],[Net_Sales]]-OrdersRawTable9[[#This Row],[Total_Cost]]</f>
        <v>335.05200000000002</v>
      </c>
      <c r="AB740" s="48">
        <f>IF(OrdersRawTable9[[#This Row],[Net_Sales]]=0,0,OrdersRawTable9[[#This Row],[Profit]]/OrdersRawTable9[[#This Row],[Net_Sales]])</f>
        <v>0.41342395167022034</v>
      </c>
      <c r="AC740" s="45" t="str">
        <f>IF(COUNTIF(ReturnsRawTable[Order_Line_ID],OrdersRawTable9[[#This Row],[Order_Line_ID]])&gt;0,"Yes","No")</f>
        <v>Yes</v>
      </c>
      <c r="AD740" s="45" t="str">
        <f>IFERROR(VLOOKUP(OrdersRawTable9[[#This Row],[Order_Line_ID]],ReturnsRawTable[[#All],[Order_Line_ID]:[Return_Reason_Raw]],3,FALSE),"")</f>
        <v>Changed Mind</v>
      </c>
      <c r="AE740" s="49">
        <f>IFERROR(VLOOKUP(OrdersRawTable9[[#This Row],[Order_Line_ID]],ReturnsRawTable[[#All],[Order_Line_ID]:[Return_Date]],2,FALSE),"")</f>
        <v>45812</v>
      </c>
      <c r="AF740" s="45" t="str">
        <f>IFERROR(VLOOKUP(OrdersRawTable9[[#This Row],[Order_Line_ID]],ReturnsRawTable[[Order_Line_ID]:[Refund_Status]],4,FALSE),"")</f>
        <v>Refunded</v>
      </c>
      <c r="AG740" s="45" t="str">
        <f>VLOOKUP(OrdersRawTable9[[#This Row],[Order_ID]],ShipmentsTable[],6,FALSE)</f>
        <v>Late</v>
      </c>
      <c r="AH740" s="49">
        <f>VLOOKUP(OrdersRawTable9[[#This Row],[Order_ID]],ShipmentsTable[],3,FALSE)</f>
        <v>45801</v>
      </c>
    </row>
    <row r="741" spans="1:34" ht="15" customHeight="1">
      <c r="A741" s="14" t="s">
        <v>1428</v>
      </c>
      <c r="B741" s="10" t="s">
        <v>1425</v>
      </c>
      <c r="C741" s="20">
        <v>45792</v>
      </c>
      <c r="D741" s="10" t="s">
        <v>75</v>
      </c>
      <c r="E741" s="10" t="s">
        <v>76</v>
      </c>
      <c r="F741" s="10" t="str">
        <f>TRIM(LEFT(OrdersRawTable9[[#This Row],[Customer_Info]],FIND(",",OrdersRawTable9[[#This Row],[Customer_Info]])-1))</f>
        <v>Yara Tremblay</v>
      </c>
      <c r="G74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741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741" s="10">
        <f>LEN(OrdersRawTable9[[#This Row],[Customer_Info]])-LEN(SUBSTITUTE(OrdersRawTable9[[#This Row],[Customer_Info]],",",""))</f>
        <v>2</v>
      </c>
      <c r="J741" s="10" t="s">
        <v>128</v>
      </c>
      <c r="K741" s="23">
        <v>2</v>
      </c>
      <c r="L741" s="26">
        <v>25.15</v>
      </c>
      <c r="M741" s="29">
        <v>0.1</v>
      </c>
      <c r="N741" s="10" t="s">
        <v>66</v>
      </c>
      <c r="O741" s="10" t="str">
        <f>IF(TRIM(OrdersRawTable9[[#This Row],[Sales_Channel_Raw]])="Market place","Marketplace",TRIM(OrdersRawTable9[[#This Row],[Sales_Channel_Raw]]))</f>
        <v>Marketplace</v>
      </c>
      <c r="P741" s="10" t="s">
        <v>41</v>
      </c>
      <c r="Q741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741" s="15" t="s">
        <v>42</v>
      </c>
      <c r="S741" t="str">
        <f>VLOOKUP(OrdersRawTable9[[#This Row],[Customer_ID_Raw]],CustomersTable11[],4,FALSE)</f>
        <v>Alberta</v>
      </c>
      <c r="T741" t="str">
        <f>VLOOKUP(OrdersRawTable9[[#This Row],[Customer_ID_Raw]],CustomersTable11[],5,FALSE)</f>
        <v>Corporate</v>
      </c>
      <c r="U741" s="45">
        <f>VLOOKUP(OrdersRawTable9[[#This Row],[Product_ID]],ProductsTable10[],4,FALSE)</f>
        <v>14.24</v>
      </c>
      <c r="V741" t="str">
        <f>VLOOKUP(OrdersRawTable9[[#This Row],[Product_ID]],ProductsTable10[],3,FALSE)</f>
        <v>Electronics</v>
      </c>
      <c r="W741" s="45">
        <f>OrdersRawTable9[[#This Row],[Unit_Price]]*OrdersRawTable9[[#This Row],[Quantity]]</f>
        <v>50.3</v>
      </c>
      <c r="X741" s="47">
        <f>OrdersRawTable9[[#This Row],[Gross_Sales]]*OrdersRawTable9[[#This Row],[Discount_Pct]]</f>
        <v>5.03</v>
      </c>
      <c r="Y741" s="45">
        <f>OrdersRawTable9[[#This Row],[Gross_Sales]]-OrdersRawTable9[[#This Row],[Discount_Amount]]</f>
        <v>45.269999999999996</v>
      </c>
      <c r="Z741" s="45">
        <f>OrdersRawTable9[[#This Row],[Unit_Cost]]*OrdersRawTable9[[#This Row],[Quantity]]</f>
        <v>28.48</v>
      </c>
      <c r="AA741" s="45">
        <f>OrdersRawTable9[[#This Row],[Net_Sales]]-OrdersRawTable9[[#This Row],[Total_Cost]]</f>
        <v>16.789999999999996</v>
      </c>
      <c r="AB741" s="48">
        <f>IF(OrdersRawTable9[[#This Row],[Net_Sales]]=0,0,OrdersRawTable9[[#This Row],[Profit]]/OrdersRawTable9[[#This Row],[Net_Sales]])</f>
        <v>0.37088579633311236</v>
      </c>
      <c r="AC741" s="45" t="str">
        <f>IF(COUNTIF(ReturnsRawTable[Order_Line_ID],OrdersRawTable9[[#This Row],[Order_Line_ID]])&gt;0,"Yes","No")</f>
        <v>No</v>
      </c>
      <c r="AD741" s="45" t="str">
        <f>IFERROR(VLOOKUP(OrdersRawTable9[[#This Row],[Order_Line_ID]],ReturnsRawTable[[#All],[Order_Line_ID]:[Return_Reason_Raw]],3,FALSE),"")</f>
        <v/>
      </c>
      <c r="AE741" s="49" t="str">
        <f>IFERROR(VLOOKUP(OrdersRawTable9[[#This Row],[Order_Line_ID]],ReturnsRawTable[[#All],[Order_Line_ID]:[Return_Date]],2,FALSE),"")</f>
        <v/>
      </c>
      <c r="AF741" s="45" t="str">
        <f>IFERROR(VLOOKUP(OrdersRawTable9[[#This Row],[Order_Line_ID]],ReturnsRawTable[[Order_Line_ID]:[Refund_Status]],4,FALSE),"")</f>
        <v/>
      </c>
      <c r="AG741" s="45" t="str">
        <f>VLOOKUP(OrdersRawTable9[[#This Row],[Order_ID]],ShipmentsTable[],6,FALSE)</f>
        <v>Late</v>
      </c>
      <c r="AH741" s="49">
        <f>VLOOKUP(OrdersRawTable9[[#This Row],[Order_ID]],ShipmentsTable[],3,FALSE)</f>
        <v>45801</v>
      </c>
    </row>
    <row r="742" spans="1:34" ht="15" customHeight="1">
      <c r="A742" s="14" t="s">
        <v>1429</v>
      </c>
      <c r="B742" s="10" t="s">
        <v>1430</v>
      </c>
      <c r="C742" s="20">
        <v>45943</v>
      </c>
      <c r="D742" s="10" t="s">
        <v>358</v>
      </c>
      <c r="E742" s="10" t="s">
        <v>359</v>
      </c>
      <c r="F742" s="10" t="str">
        <f>TRIM(LEFT(OrdersRawTable9[[#This Row],[Customer_Info]],FIND(",",OrdersRawTable9[[#This Row],[Customer_Info]])-1))</f>
        <v>Yara Ali</v>
      </c>
      <c r="G74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742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42" s="10">
        <f>LEN(OrdersRawTable9[[#This Row],[Customer_Info]])-LEN(SUBSTITUTE(OrdersRawTable9[[#This Row],[Customer_Info]],",",""))</f>
        <v>2</v>
      </c>
      <c r="J742" s="10" t="s">
        <v>201</v>
      </c>
      <c r="K742" s="23">
        <v>4</v>
      </c>
      <c r="L742" s="26">
        <v>154.47</v>
      </c>
      <c r="M742" s="29">
        <v>0</v>
      </c>
      <c r="N742" s="10" t="s">
        <v>70</v>
      </c>
      <c r="O742" s="10" t="str">
        <f>IF(TRIM(OrdersRawTable9[[#This Row],[Sales_Channel_Raw]])="Market place","Marketplace",TRIM(OrdersRawTable9[[#This Row],[Sales_Channel_Raw]]))</f>
        <v>online</v>
      </c>
      <c r="P742" s="10" t="s">
        <v>98</v>
      </c>
      <c r="Q742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742" s="15" t="s">
        <v>52</v>
      </c>
      <c r="S742" t="str">
        <f>VLOOKUP(OrdersRawTable9[[#This Row],[Customer_ID_Raw]],CustomersTable11[],4,FALSE)</f>
        <v>Quebec</v>
      </c>
      <c r="T742" t="str">
        <f>VLOOKUP(OrdersRawTable9[[#This Row],[Customer_ID_Raw]],CustomersTable11[],5,FALSE)</f>
        <v>Consumer</v>
      </c>
      <c r="U742" s="45">
        <f>VLOOKUP(OrdersRawTable9[[#This Row],[Product_ID]],ProductsTable10[],4,FALSE)</f>
        <v>102.57</v>
      </c>
      <c r="V742" t="str">
        <f>VLOOKUP(OrdersRawTable9[[#This Row],[Product_ID]],ProductsTable10[],3,FALSE)</f>
        <v>Fitness</v>
      </c>
      <c r="W742" s="45">
        <f>OrdersRawTable9[[#This Row],[Unit_Price]]*OrdersRawTable9[[#This Row],[Quantity]]</f>
        <v>617.88</v>
      </c>
      <c r="X742" s="47">
        <f>OrdersRawTable9[[#This Row],[Gross_Sales]]*OrdersRawTable9[[#This Row],[Discount_Pct]]</f>
        <v>0</v>
      </c>
      <c r="Y742" s="45">
        <f>OrdersRawTable9[[#This Row],[Gross_Sales]]-OrdersRawTable9[[#This Row],[Discount_Amount]]</f>
        <v>617.88</v>
      </c>
      <c r="Z742" s="45">
        <f>OrdersRawTable9[[#This Row],[Unit_Cost]]*OrdersRawTable9[[#This Row],[Quantity]]</f>
        <v>410.28</v>
      </c>
      <c r="AA742" s="45">
        <f>OrdersRawTable9[[#This Row],[Net_Sales]]-OrdersRawTable9[[#This Row],[Total_Cost]]</f>
        <v>207.60000000000002</v>
      </c>
      <c r="AB742" s="48">
        <f>IF(OrdersRawTable9[[#This Row],[Net_Sales]]=0,0,OrdersRawTable9[[#This Row],[Profit]]/OrdersRawTable9[[#This Row],[Net_Sales]])</f>
        <v>0.33598757040201988</v>
      </c>
      <c r="AC742" s="45" t="str">
        <f>IF(COUNTIF(ReturnsRawTable[Order_Line_ID],OrdersRawTable9[[#This Row],[Order_Line_ID]])&gt;0,"Yes","No")</f>
        <v>No</v>
      </c>
      <c r="AD742" s="45" t="str">
        <f>IFERROR(VLOOKUP(OrdersRawTable9[[#This Row],[Order_Line_ID]],ReturnsRawTable[[#All],[Order_Line_ID]:[Return_Reason_Raw]],3,FALSE),"")</f>
        <v/>
      </c>
      <c r="AE742" s="49" t="str">
        <f>IFERROR(VLOOKUP(OrdersRawTable9[[#This Row],[Order_Line_ID]],ReturnsRawTable[[#All],[Order_Line_ID]:[Return_Date]],2,FALSE),"")</f>
        <v/>
      </c>
      <c r="AF742" s="45" t="str">
        <f>IFERROR(VLOOKUP(OrdersRawTable9[[#This Row],[Order_Line_ID]],ReturnsRawTable[[Order_Line_ID]:[Refund_Status]],4,FALSE),"")</f>
        <v/>
      </c>
      <c r="AG742" s="45" t="str">
        <f>VLOOKUP(OrdersRawTable9[[#This Row],[Order_ID]],ShipmentsTable[],6,FALSE)</f>
        <v>On time</v>
      </c>
      <c r="AH742" s="49">
        <f>VLOOKUP(OrdersRawTable9[[#This Row],[Order_ID]],ShipmentsTable[],3,FALSE)</f>
        <v>45946</v>
      </c>
    </row>
    <row r="743" spans="1:34" ht="15" customHeight="1">
      <c r="A743" s="14" t="s">
        <v>1431</v>
      </c>
      <c r="B743" s="10" t="s">
        <v>1430</v>
      </c>
      <c r="C743" s="20">
        <v>45943</v>
      </c>
      <c r="D743" s="10" t="s">
        <v>358</v>
      </c>
      <c r="E743" s="10" t="s">
        <v>359</v>
      </c>
      <c r="F743" s="10" t="str">
        <f>TRIM(LEFT(OrdersRawTable9[[#This Row],[Customer_Info]],FIND(",",OrdersRawTable9[[#This Row],[Customer_Info]])-1))</f>
        <v>Yara Ali</v>
      </c>
      <c r="G74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743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43" s="10">
        <f>LEN(OrdersRawTable9[[#This Row],[Customer_Info]])-LEN(SUBSTITUTE(OrdersRawTable9[[#This Row],[Customer_Info]],",",""))</f>
        <v>2</v>
      </c>
      <c r="J743" s="10" t="s">
        <v>117</v>
      </c>
      <c r="K743" s="23">
        <v>4</v>
      </c>
      <c r="L743" s="26">
        <v>251.17</v>
      </c>
      <c r="M743" s="29">
        <v>0.15</v>
      </c>
      <c r="N743" s="10" t="s">
        <v>64</v>
      </c>
      <c r="O743" s="10" t="str">
        <f>IF(TRIM(OrdersRawTable9[[#This Row],[Sales_Channel_Raw]])="Market place","Marketplace",TRIM(OrdersRawTable9[[#This Row],[Sales_Channel_Raw]]))</f>
        <v>Retail Store</v>
      </c>
      <c r="P743" s="10" t="s">
        <v>58</v>
      </c>
      <c r="Q743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743" s="15" t="s">
        <v>42</v>
      </c>
      <c r="S743" t="str">
        <f>VLOOKUP(OrdersRawTable9[[#This Row],[Customer_ID_Raw]],CustomersTable11[],4,FALSE)</f>
        <v>Quebec</v>
      </c>
      <c r="T743" t="str">
        <f>VLOOKUP(OrdersRawTable9[[#This Row],[Customer_ID_Raw]],CustomersTable11[],5,FALSE)</f>
        <v>Consumer</v>
      </c>
      <c r="U743" s="45">
        <f>VLOOKUP(OrdersRawTable9[[#This Row],[Product_ID]],ProductsTable10[],4,FALSE)</f>
        <v>151.59</v>
      </c>
      <c r="V743" t="str">
        <f>VLOOKUP(OrdersRawTable9[[#This Row],[Product_ID]],ProductsTable10[],3,FALSE)</f>
        <v>Fitness</v>
      </c>
      <c r="W743" s="45">
        <f>OrdersRawTable9[[#This Row],[Unit_Price]]*OrdersRawTable9[[#This Row],[Quantity]]</f>
        <v>1004.68</v>
      </c>
      <c r="X743" s="47">
        <f>OrdersRawTable9[[#This Row],[Gross_Sales]]*OrdersRawTable9[[#This Row],[Discount_Pct]]</f>
        <v>150.702</v>
      </c>
      <c r="Y743" s="45">
        <f>OrdersRawTable9[[#This Row],[Gross_Sales]]-OrdersRawTable9[[#This Row],[Discount_Amount]]</f>
        <v>853.97799999999995</v>
      </c>
      <c r="Z743" s="45">
        <f>OrdersRawTable9[[#This Row],[Unit_Cost]]*OrdersRawTable9[[#This Row],[Quantity]]</f>
        <v>606.36</v>
      </c>
      <c r="AA743" s="45">
        <f>OrdersRawTable9[[#This Row],[Net_Sales]]-OrdersRawTable9[[#This Row],[Total_Cost]]</f>
        <v>247.61799999999994</v>
      </c>
      <c r="AB743" s="48">
        <f>IF(OrdersRawTable9[[#This Row],[Net_Sales]]=0,0,OrdersRawTable9[[#This Row],[Profit]]/OrdersRawTable9[[#This Row],[Net_Sales]])</f>
        <v>0.28995828932361251</v>
      </c>
      <c r="AC743" s="45" t="str">
        <f>IF(COUNTIF(ReturnsRawTable[Order_Line_ID],OrdersRawTable9[[#This Row],[Order_Line_ID]])&gt;0,"Yes","No")</f>
        <v>No</v>
      </c>
      <c r="AD743" s="45" t="str">
        <f>IFERROR(VLOOKUP(OrdersRawTable9[[#This Row],[Order_Line_ID]],ReturnsRawTable[[#All],[Order_Line_ID]:[Return_Reason_Raw]],3,FALSE),"")</f>
        <v/>
      </c>
      <c r="AE743" s="49" t="str">
        <f>IFERROR(VLOOKUP(OrdersRawTable9[[#This Row],[Order_Line_ID]],ReturnsRawTable[[#All],[Order_Line_ID]:[Return_Date]],2,FALSE),"")</f>
        <v/>
      </c>
      <c r="AF743" s="45" t="str">
        <f>IFERROR(VLOOKUP(OrdersRawTable9[[#This Row],[Order_Line_ID]],ReturnsRawTable[[Order_Line_ID]:[Refund_Status]],4,FALSE),"")</f>
        <v/>
      </c>
      <c r="AG743" s="45" t="str">
        <f>VLOOKUP(OrdersRawTable9[[#This Row],[Order_ID]],ShipmentsTable[],6,FALSE)</f>
        <v>On time</v>
      </c>
      <c r="AH743" s="49">
        <f>VLOOKUP(OrdersRawTable9[[#This Row],[Order_ID]],ShipmentsTable[],3,FALSE)</f>
        <v>45946</v>
      </c>
    </row>
    <row r="744" spans="1:34" ht="15" customHeight="1">
      <c r="A744" s="14" t="s">
        <v>1432</v>
      </c>
      <c r="B744" s="10" t="s">
        <v>1430</v>
      </c>
      <c r="C744" s="20">
        <v>45943</v>
      </c>
      <c r="D744" s="10" t="s">
        <v>358</v>
      </c>
      <c r="E744" s="10" t="s">
        <v>359</v>
      </c>
      <c r="F744" s="10" t="str">
        <f>TRIM(LEFT(OrdersRawTable9[[#This Row],[Customer_Info]],FIND(",",OrdersRawTable9[[#This Row],[Customer_Info]])-1))</f>
        <v>Yara Ali</v>
      </c>
      <c r="G74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744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44" s="10">
        <f>LEN(OrdersRawTable9[[#This Row],[Customer_Info]])-LEN(SUBSTITUTE(OrdersRawTable9[[#This Row],[Customer_Info]],",",""))</f>
        <v>2</v>
      </c>
      <c r="J744" s="10" t="s">
        <v>220</v>
      </c>
      <c r="K744" s="23">
        <v>4</v>
      </c>
      <c r="L744" s="26">
        <v>25.01</v>
      </c>
      <c r="M744" s="29">
        <v>0.05</v>
      </c>
      <c r="N744" s="10" t="s">
        <v>66</v>
      </c>
      <c r="O744" s="10" t="str">
        <f>IF(TRIM(OrdersRawTable9[[#This Row],[Sales_Channel_Raw]])="Market place","Marketplace",TRIM(OrdersRawTable9[[#This Row],[Sales_Channel_Raw]]))</f>
        <v>Marketplace</v>
      </c>
      <c r="P744" s="10" t="s">
        <v>58</v>
      </c>
      <c r="Q744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744" s="15" t="s">
        <v>42</v>
      </c>
      <c r="S744" t="str">
        <f>VLOOKUP(OrdersRawTable9[[#This Row],[Customer_ID_Raw]],CustomersTable11[],4,FALSE)</f>
        <v>Quebec</v>
      </c>
      <c r="T744" t="str">
        <f>VLOOKUP(OrdersRawTable9[[#This Row],[Customer_ID_Raw]],CustomersTable11[],5,FALSE)</f>
        <v>Consumer</v>
      </c>
      <c r="U744" s="45">
        <f>VLOOKUP(OrdersRawTable9[[#This Row],[Product_ID]],ProductsTable10[],4,FALSE)</f>
        <v>16.86</v>
      </c>
      <c r="V744" t="str">
        <f>VLOOKUP(OrdersRawTable9[[#This Row],[Product_ID]],ProductsTable10[],3,FALSE)</f>
        <v>Office</v>
      </c>
      <c r="W744" s="45">
        <f>OrdersRawTable9[[#This Row],[Unit_Price]]*OrdersRawTable9[[#This Row],[Quantity]]</f>
        <v>100.04</v>
      </c>
      <c r="X744" s="47">
        <f>OrdersRawTable9[[#This Row],[Gross_Sales]]*OrdersRawTable9[[#This Row],[Discount_Pct]]</f>
        <v>5.0020000000000007</v>
      </c>
      <c r="Y744" s="45">
        <f>OrdersRawTable9[[#This Row],[Gross_Sales]]-OrdersRawTable9[[#This Row],[Discount_Amount]]</f>
        <v>95.038000000000011</v>
      </c>
      <c r="Z744" s="45">
        <f>OrdersRawTable9[[#This Row],[Unit_Cost]]*OrdersRawTable9[[#This Row],[Quantity]]</f>
        <v>67.44</v>
      </c>
      <c r="AA744" s="45">
        <f>OrdersRawTable9[[#This Row],[Net_Sales]]-OrdersRawTable9[[#This Row],[Total_Cost]]</f>
        <v>27.598000000000013</v>
      </c>
      <c r="AB744" s="48">
        <f>IF(OrdersRawTable9[[#This Row],[Net_Sales]]=0,0,OrdersRawTable9[[#This Row],[Profit]]/OrdersRawTable9[[#This Row],[Net_Sales]])</f>
        <v>0.29038910751488889</v>
      </c>
      <c r="AC744" s="45" t="str">
        <f>IF(COUNTIF(ReturnsRawTable[Order_Line_ID],OrdersRawTable9[[#This Row],[Order_Line_ID]])&gt;0,"Yes","No")</f>
        <v>No</v>
      </c>
      <c r="AD744" s="45" t="str">
        <f>IFERROR(VLOOKUP(OrdersRawTable9[[#This Row],[Order_Line_ID]],ReturnsRawTable[[#All],[Order_Line_ID]:[Return_Reason_Raw]],3,FALSE),"")</f>
        <v/>
      </c>
      <c r="AE744" s="49" t="str">
        <f>IFERROR(VLOOKUP(OrdersRawTable9[[#This Row],[Order_Line_ID]],ReturnsRawTable[[#All],[Order_Line_ID]:[Return_Date]],2,FALSE),"")</f>
        <v/>
      </c>
      <c r="AF744" s="45" t="str">
        <f>IFERROR(VLOOKUP(OrdersRawTable9[[#This Row],[Order_Line_ID]],ReturnsRawTable[[Order_Line_ID]:[Refund_Status]],4,FALSE),"")</f>
        <v/>
      </c>
      <c r="AG744" s="45" t="str">
        <f>VLOOKUP(OrdersRawTable9[[#This Row],[Order_ID]],ShipmentsTable[],6,FALSE)</f>
        <v>On time</v>
      </c>
      <c r="AH744" s="49">
        <f>VLOOKUP(OrdersRawTable9[[#This Row],[Order_ID]],ShipmentsTable[],3,FALSE)</f>
        <v>45946</v>
      </c>
    </row>
    <row r="745" spans="1:34" ht="15" customHeight="1">
      <c r="A745" s="14" t="s">
        <v>1433</v>
      </c>
      <c r="B745" s="10" t="s">
        <v>1430</v>
      </c>
      <c r="C745" s="20">
        <v>45943</v>
      </c>
      <c r="D745" s="10" t="s">
        <v>358</v>
      </c>
      <c r="E745" s="10" t="s">
        <v>359</v>
      </c>
      <c r="F745" s="10" t="str">
        <f>TRIM(LEFT(OrdersRawTable9[[#This Row],[Customer_Info]],FIND(",",OrdersRawTable9[[#This Row],[Customer_Info]])-1))</f>
        <v>Yara Ali</v>
      </c>
      <c r="G74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745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45" s="10">
        <f>LEN(OrdersRawTable9[[#This Row],[Customer_Info]])-LEN(SUBSTITUTE(OrdersRawTable9[[#This Row],[Customer_Info]],",",""))</f>
        <v>2</v>
      </c>
      <c r="J745" s="10" t="s">
        <v>303</v>
      </c>
      <c r="K745" s="23">
        <v>2</v>
      </c>
      <c r="L745" s="26">
        <v>72.81</v>
      </c>
      <c r="M745" s="29">
        <v>0.1</v>
      </c>
      <c r="N745" s="10" t="s">
        <v>50</v>
      </c>
      <c r="O745" s="10" t="str">
        <f>IF(TRIM(OrdersRawTable9[[#This Row],[Sales_Channel_Raw]])="Market place","Marketplace",TRIM(OrdersRawTable9[[#This Row],[Sales_Channel_Raw]]))</f>
        <v>Marketplace</v>
      </c>
      <c r="P745" s="10" t="s">
        <v>51</v>
      </c>
      <c r="Q745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745" s="15" t="s">
        <v>101</v>
      </c>
      <c r="S745" t="str">
        <f>VLOOKUP(OrdersRawTable9[[#This Row],[Customer_ID_Raw]],CustomersTable11[],4,FALSE)</f>
        <v>Quebec</v>
      </c>
      <c r="T745" t="str">
        <f>VLOOKUP(OrdersRawTable9[[#This Row],[Customer_ID_Raw]],CustomersTable11[],5,FALSE)</f>
        <v>Consumer</v>
      </c>
      <c r="U745" s="45">
        <f>VLOOKUP(OrdersRawTable9[[#This Row],[Product_ID]],ProductsTable10[],4,FALSE)</f>
        <v>37.99</v>
      </c>
      <c r="V745" t="str">
        <f>VLOOKUP(OrdersRawTable9[[#This Row],[Product_ID]],ProductsTable10[],3,FALSE)</f>
        <v>Accessories</v>
      </c>
      <c r="W745" s="45">
        <f>OrdersRawTable9[[#This Row],[Unit_Price]]*OrdersRawTable9[[#This Row],[Quantity]]</f>
        <v>145.62</v>
      </c>
      <c r="X745" s="47">
        <f>OrdersRawTable9[[#This Row],[Gross_Sales]]*OrdersRawTable9[[#This Row],[Discount_Pct]]</f>
        <v>14.562000000000001</v>
      </c>
      <c r="Y745" s="45">
        <f>OrdersRawTable9[[#This Row],[Gross_Sales]]-OrdersRawTable9[[#This Row],[Discount_Amount]]</f>
        <v>131.05799999999999</v>
      </c>
      <c r="Z745" s="45">
        <f>OrdersRawTable9[[#This Row],[Unit_Cost]]*OrdersRawTable9[[#This Row],[Quantity]]</f>
        <v>75.98</v>
      </c>
      <c r="AA745" s="45">
        <f>OrdersRawTable9[[#This Row],[Net_Sales]]-OrdersRawTable9[[#This Row],[Total_Cost]]</f>
        <v>55.077999999999989</v>
      </c>
      <c r="AB745" s="48">
        <f>IF(OrdersRawTable9[[#This Row],[Net_Sales]]=0,0,OrdersRawTable9[[#This Row],[Profit]]/OrdersRawTable9[[#This Row],[Net_Sales]])</f>
        <v>0.42025668024843954</v>
      </c>
      <c r="AC745" s="45" t="str">
        <f>IF(COUNTIF(ReturnsRawTable[Order_Line_ID],OrdersRawTable9[[#This Row],[Order_Line_ID]])&gt;0,"Yes","No")</f>
        <v>No</v>
      </c>
      <c r="AD745" s="45" t="str">
        <f>IFERROR(VLOOKUP(OrdersRawTable9[[#This Row],[Order_Line_ID]],ReturnsRawTable[[#All],[Order_Line_ID]:[Return_Reason_Raw]],3,FALSE),"")</f>
        <v/>
      </c>
      <c r="AE745" s="49" t="str">
        <f>IFERROR(VLOOKUP(OrdersRawTable9[[#This Row],[Order_Line_ID]],ReturnsRawTable[[#All],[Order_Line_ID]:[Return_Date]],2,FALSE),"")</f>
        <v/>
      </c>
      <c r="AF745" s="45" t="str">
        <f>IFERROR(VLOOKUP(OrdersRawTable9[[#This Row],[Order_Line_ID]],ReturnsRawTable[[Order_Line_ID]:[Refund_Status]],4,FALSE),"")</f>
        <v/>
      </c>
      <c r="AG745" s="45" t="str">
        <f>VLOOKUP(OrdersRawTable9[[#This Row],[Order_ID]],ShipmentsTable[],6,FALSE)</f>
        <v>On time</v>
      </c>
      <c r="AH745" s="49">
        <f>VLOOKUP(OrdersRawTable9[[#This Row],[Order_ID]],ShipmentsTable[],3,FALSE)</f>
        <v>45946</v>
      </c>
    </row>
    <row r="746" spans="1:34" ht="15" customHeight="1">
      <c r="A746" s="14" t="s">
        <v>1434</v>
      </c>
      <c r="B746" s="10" t="s">
        <v>1435</v>
      </c>
      <c r="C746" s="20">
        <v>45969</v>
      </c>
      <c r="D746" s="10" t="s">
        <v>684</v>
      </c>
      <c r="E746" s="10" t="s">
        <v>685</v>
      </c>
      <c r="F746" s="10" t="str">
        <f>TRIM(LEFT(OrdersRawTable9[[#This Row],[Customer_Info]],FIND(",",OrdersRawTable9[[#This Row],[Customer_Info]])-1))</f>
        <v>Emma Martin</v>
      </c>
      <c r="G74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746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46" s="10">
        <f>LEN(OrdersRawTable9[[#This Row],[Customer_Info]])-LEN(SUBSTITUTE(OrdersRawTable9[[#This Row],[Customer_Info]],",",""))</f>
        <v>2</v>
      </c>
      <c r="J746" s="10" t="s">
        <v>80</v>
      </c>
      <c r="K746" s="23">
        <v>3</v>
      </c>
      <c r="L746" s="26">
        <v>142.16</v>
      </c>
      <c r="M746" s="29">
        <v>0.05</v>
      </c>
      <c r="N746" s="10" t="s">
        <v>40</v>
      </c>
      <c r="O746" s="10" t="str">
        <f>IF(TRIM(OrdersRawTable9[[#This Row],[Sales_Channel_Raw]])="Market place","Marketplace",TRIM(OrdersRawTable9[[#This Row],[Sales_Channel_Raw]]))</f>
        <v>Online</v>
      </c>
      <c r="P746" s="10" t="s">
        <v>46</v>
      </c>
      <c r="Q746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746" s="15" t="s">
        <v>42</v>
      </c>
      <c r="S746" t="str">
        <f>VLOOKUP(OrdersRawTable9[[#This Row],[Customer_ID_Raw]],CustomersTable11[],4,FALSE)</f>
        <v>British Columbia</v>
      </c>
      <c r="T746" t="str">
        <f>VLOOKUP(OrdersRawTable9[[#This Row],[Customer_ID_Raw]],CustomersTable11[],5,FALSE)</f>
        <v>Consumer</v>
      </c>
      <c r="U746" s="45">
        <f>VLOOKUP(OrdersRawTable9[[#This Row],[Product_ID]],ProductsTable10[],4,FALSE)</f>
        <v>85.34</v>
      </c>
      <c r="V746" t="str">
        <f>VLOOKUP(OrdersRawTable9[[#This Row],[Product_ID]],ProductsTable10[],3,FALSE)</f>
        <v>Home</v>
      </c>
      <c r="W746" s="45">
        <f>OrdersRawTable9[[#This Row],[Unit_Price]]*OrdersRawTable9[[#This Row],[Quantity]]</f>
        <v>426.48</v>
      </c>
      <c r="X746" s="47">
        <f>OrdersRawTable9[[#This Row],[Gross_Sales]]*OrdersRawTable9[[#This Row],[Discount_Pct]]</f>
        <v>21.324000000000002</v>
      </c>
      <c r="Y746" s="45">
        <f>OrdersRawTable9[[#This Row],[Gross_Sales]]-OrdersRawTable9[[#This Row],[Discount_Amount]]</f>
        <v>405.15600000000001</v>
      </c>
      <c r="Z746" s="45">
        <f>OrdersRawTable9[[#This Row],[Unit_Cost]]*OrdersRawTable9[[#This Row],[Quantity]]</f>
        <v>256.02</v>
      </c>
      <c r="AA746" s="45">
        <f>OrdersRawTable9[[#This Row],[Net_Sales]]-OrdersRawTable9[[#This Row],[Total_Cost]]</f>
        <v>149.13600000000002</v>
      </c>
      <c r="AB746" s="48">
        <f>IF(OrdersRawTable9[[#This Row],[Net_Sales]]=0,0,OrdersRawTable9[[#This Row],[Profit]]/OrdersRawTable9[[#This Row],[Net_Sales]])</f>
        <v>0.36809525219915296</v>
      </c>
      <c r="AC746" s="45" t="str">
        <f>IF(COUNTIF(ReturnsRawTable[Order_Line_ID],OrdersRawTable9[[#This Row],[Order_Line_ID]])&gt;0,"Yes","No")</f>
        <v>No</v>
      </c>
      <c r="AD746" s="45" t="str">
        <f>IFERROR(VLOOKUP(OrdersRawTable9[[#This Row],[Order_Line_ID]],ReturnsRawTable[[#All],[Order_Line_ID]:[Return_Reason_Raw]],3,FALSE),"")</f>
        <v/>
      </c>
      <c r="AE746" s="49" t="str">
        <f>IFERROR(VLOOKUP(OrdersRawTable9[[#This Row],[Order_Line_ID]],ReturnsRawTable[[#All],[Order_Line_ID]:[Return_Date]],2,FALSE),"")</f>
        <v/>
      </c>
      <c r="AF746" s="45" t="str">
        <f>IFERROR(VLOOKUP(OrdersRawTable9[[#This Row],[Order_Line_ID]],ReturnsRawTable[[Order_Line_ID]:[Refund_Status]],4,FALSE),"")</f>
        <v/>
      </c>
      <c r="AG746" s="45" t="str">
        <f>VLOOKUP(OrdersRawTable9[[#This Row],[Order_ID]],ShipmentsTable[],6,FALSE)</f>
        <v>Late</v>
      </c>
      <c r="AH746" s="49">
        <f>VLOOKUP(OrdersRawTable9[[#This Row],[Order_ID]],ShipmentsTable[],3,FALSE)</f>
        <v>45978</v>
      </c>
    </row>
    <row r="747" spans="1:34" ht="15" customHeight="1">
      <c r="A747" s="14" t="s">
        <v>1436</v>
      </c>
      <c r="B747" s="10" t="s">
        <v>1437</v>
      </c>
      <c r="C747" s="20">
        <v>45964</v>
      </c>
      <c r="D747" s="10" t="s">
        <v>1438</v>
      </c>
      <c r="E747" s="10" t="s">
        <v>1439</v>
      </c>
      <c r="F747" s="10" t="str">
        <f>TRIM(LEFT(OrdersRawTable9[[#This Row],[Customer_Info]],FIND(",",OrdersRawTable9[[#This Row],[Customer_Info]])-1))</f>
        <v>Liam Khan</v>
      </c>
      <c r="G74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747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747" s="10">
        <f>LEN(OrdersRawTable9[[#This Row],[Customer_Info]])-LEN(SUBSTITUTE(OrdersRawTable9[[#This Row],[Customer_Info]],",",""))</f>
        <v>2</v>
      </c>
      <c r="J747" s="10" t="s">
        <v>44</v>
      </c>
      <c r="K747" s="23">
        <v>2</v>
      </c>
      <c r="L747" s="26">
        <v>238.47</v>
      </c>
      <c r="M747" s="29">
        <v>0</v>
      </c>
      <c r="N747" s="10" t="s">
        <v>40</v>
      </c>
      <c r="O747" s="10" t="str">
        <f>IF(TRIM(OrdersRawTable9[[#This Row],[Sales_Channel_Raw]])="Market place","Marketplace",TRIM(OrdersRawTable9[[#This Row],[Sales_Channel_Raw]]))</f>
        <v>Online</v>
      </c>
      <c r="P747" s="10" t="s">
        <v>51</v>
      </c>
      <c r="Q747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747" s="15" t="s">
        <v>52</v>
      </c>
      <c r="S747" t="str">
        <f>VLOOKUP(OrdersRawTable9[[#This Row],[Customer_ID_Raw]],CustomersTable11[],4,FALSE)</f>
        <v>British Columbia</v>
      </c>
      <c r="T747" t="str">
        <f>VLOOKUP(OrdersRawTable9[[#This Row],[Customer_ID_Raw]],CustomersTable11[],5,FALSE)</f>
        <v>Corporate</v>
      </c>
      <c r="U747" s="45">
        <f>VLOOKUP(OrdersRawTable9[[#This Row],[Product_ID]],ProductsTable10[],4,FALSE)</f>
        <v>127.65</v>
      </c>
      <c r="V747" t="str">
        <f>VLOOKUP(OrdersRawTable9[[#This Row],[Product_ID]],ProductsTable10[],3,FALSE)</f>
        <v>Accessories</v>
      </c>
      <c r="W747" s="45">
        <f>OrdersRawTable9[[#This Row],[Unit_Price]]*OrdersRawTable9[[#This Row],[Quantity]]</f>
        <v>476.94</v>
      </c>
      <c r="X747" s="47">
        <f>OrdersRawTable9[[#This Row],[Gross_Sales]]*OrdersRawTable9[[#This Row],[Discount_Pct]]</f>
        <v>0</v>
      </c>
      <c r="Y747" s="45">
        <f>OrdersRawTable9[[#This Row],[Gross_Sales]]-OrdersRawTable9[[#This Row],[Discount_Amount]]</f>
        <v>476.94</v>
      </c>
      <c r="Z747" s="45">
        <f>OrdersRawTable9[[#This Row],[Unit_Cost]]*OrdersRawTable9[[#This Row],[Quantity]]</f>
        <v>255.3</v>
      </c>
      <c r="AA747" s="45">
        <f>OrdersRawTable9[[#This Row],[Net_Sales]]-OrdersRawTable9[[#This Row],[Total_Cost]]</f>
        <v>221.64</v>
      </c>
      <c r="AB747" s="48">
        <f>IF(OrdersRawTable9[[#This Row],[Net_Sales]]=0,0,OrdersRawTable9[[#This Row],[Profit]]/OrdersRawTable9[[#This Row],[Net_Sales]])</f>
        <v>0.46471254245817079</v>
      </c>
      <c r="AC747" s="45" t="str">
        <f>IF(COUNTIF(ReturnsRawTable[Order_Line_ID],OrdersRawTable9[[#This Row],[Order_Line_ID]])&gt;0,"Yes","No")</f>
        <v>Yes</v>
      </c>
      <c r="AD747" s="45" t="str">
        <f>IFERROR(VLOOKUP(OrdersRawTable9[[#This Row],[Order_Line_ID]],ReturnsRawTable[[#All],[Order_Line_ID]:[Return_Reason_Raw]],3,FALSE),"")</f>
        <v>Damaged</v>
      </c>
      <c r="AE747" s="49">
        <f>IFERROR(VLOOKUP(OrdersRawTable9[[#This Row],[Order_Line_ID]],ReturnsRawTable[[#All],[Order_Line_ID]:[Return_Date]],2,FALSE),"")</f>
        <v>45985</v>
      </c>
      <c r="AF747" s="45" t="str">
        <f>IFERROR(VLOOKUP(OrdersRawTable9[[#This Row],[Order_Line_ID]],ReturnsRawTable[[Order_Line_ID]:[Refund_Status]],4,FALSE),"")</f>
        <v>Refunded</v>
      </c>
      <c r="AG747" s="45" t="str">
        <f>VLOOKUP(OrdersRawTable9[[#This Row],[Order_ID]],ShipmentsTable[],6,FALSE)</f>
        <v>Late</v>
      </c>
      <c r="AH747" s="49">
        <f>VLOOKUP(OrdersRawTable9[[#This Row],[Order_ID]],ShipmentsTable[],3,FALSE)</f>
        <v>45971</v>
      </c>
    </row>
    <row r="748" spans="1:34" ht="15" customHeight="1">
      <c r="A748" s="14" t="s">
        <v>1440</v>
      </c>
      <c r="B748" s="10" t="s">
        <v>1441</v>
      </c>
      <c r="C748" s="20">
        <v>45796</v>
      </c>
      <c r="D748" s="10" t="s">
        <v>1254</v>
      </c>
      <c r="E748" s="10" t="s">
        <v>1255</v>
      </c>
      <c r="F748" s="10" t="str">
        <f>TRIM(LEFT(OrdersRawTable9[[#This Row],[Customer_Info]],FIND(",",OrdersRawTable9[[#This Row],[Customer_Info]])-1))</f>
        <v>Sofia Wilson</v>
      </c>
      <c r="G74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748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748" s="10">
        <f>LEN(OrdersRawTable9[[#This Row],[Customer_Info]])-LEN(SUBSTITUTE(OrdersRawTable9[[#This Row],[Customer_Info]],",",""))</f>
        <v>2</v>
      </c>
      <c r="J748" s="10" t="s">
        <v>784</v>
      </c>
      <c r="K748" s="23">
        <v>3</v>
      </c>
      <c r="L748" s="26">
        <v>96.33</v>
      </c>
      <c r="M748" s="29">
        <v>0</v>
      </c>
      <c r="N748" s="10" t="s">
        <v>64</v>
      </c>
      <c r="O748" s="10" t="str">
        <f>IF(TRIM(OrdersRawTable9[[#This Row],[Sales_Channel_Raw]])="Market place","Marketplace",TRIM(OrdersRawTable9[[#This Row],[Sales_Channel_Raw]]))</f>
        <v>Retail Store</v>
      </c>
      <c r="P748" s="10" t="s">
        <v>46</v>
      </c>
      <c r="Q748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748" s="15" t="s">
        <v>101</v>
      </c>
      <c r="S748" t="str">
        <f>VLOOKUP(OrdersRawTable9[[#This Row],[Customer_ID_Raw]],CustomersTable11[],4,FALSE)</f>
        <v>Quebec</v>
      </c>
      <c r="T748" t="str">
        <f>VLOOKUP(OrdersRawTable9[[#This Row],[Customer_ID_Raw]],CustomersTable11[],5,FALSE)</f>
        <v>Small Business</v>
      </c>
      <c r="U748" s="45">
        <f>VLOOKUP(OrdersRawTable9[[#This Row],[Product_ID]],ProductsTable10[],4,FALSE)</f>
        <v>57.85</v>
      </c>
      <c r="V748" t="str">
        <f>VLOOKUP(OrdersRawTable9[[#This Row],[Product_ID]],ProductsTable10[],3,FALSE)</f>
        <v>Accessories</v>
      </c>
      <c r="W748" s="45">
        <f>OrdersRawTable9[[#This Row],[Unit_Price]]*OrdersRawTable9[[#This Row],[Quantity]]</f>
        <v>288.99</v>
      </c>
      <c r="X748" s="47">
        <f>OrdersRawTable9[[#This Row],[Gross_Sales]]*OrdersRawTable9[[#This Row],[Discount_Pct]]</f>
        <v>0</v>
      </c>
      <c r="Y748" s="45">
        <f>OrdersRawTable9[[#This Row],[Gross_Sales]]-OrdersRawTable9[[#This Row],[Discount_Amount]]</f>
        <v>288.99</v>
      </c>
      <c r="Z748" s="45">
        <f>OrdersRawTable9[[#This Row],[Unit_Cost]]*OrdersRawTable9[[#This Row],[Quantity]]</f>
        <v>173.55</v>
      </c>
      <c r="AA748" s="45">
        <f>OrdersRawTable9[[#This Row],[Net_Sales]]-OrdersRawTable9[[#This Row],[Total_Cost]]</f>
        <v>115.44</v>
      </c>
      <c r="AB748" s="48">
        <f>IF(OrdersRawTable9[[#This Row],[Net_Sales]]=0,0,OrdersRawTable9[[#This Row],[Profit]]/OrdersRawTable9[[#This Row],[Net_Sales]])</f>
        <v>0.39946018893387314</v>
      </c>
      <c r="AC748" s="45" t="str">
        <f>IF(COUNTIF(ReturnsRawTable[Order_Line_ID],OrdersRawTable9[[#This Row],[Order_Line_ID]])&gt;0,"Yes","No")</f>
        <v>No</v>
      </c>
      <c r="AD748" s="45" t="str">
        <f>IFERROR(VLOOKUP(OrdersRawTable9[[#This Row],[Order_Line_ID]],ReturnsRawTable[[#All],[Order_Line_ID]:[Return_Reason_Raw]],3,FALSE),"")</f>
        <v/>
      </c>
      <c r="AE748" s="49" t="str">
        <f>IFERROR(VLOOKUP(OrdersRawTable9[[#This Row],[Order_Line_ID]],ReturnsRawTable[[#All],[Order_Line_ID]:[Return_Date]],2,FALSE),"")</f>
        <v/>
      </c>
      <c r="AF748" s="45" t="str">
        <f>IFERROR(VLOOKUP(OrdersRawTable9[[#This Row],[Order_Line_ID]],ReturnsRawTable[[Order_Line_ID]:[Refund_Status]],4,FALSE),"")</f>
        <v/>
      </c>
      <c r="AG748" s="45" t="str">
        <f>VLOOKUP(OrdersRawTable9[[#This Row],[Order_ID]],ShipmentsTable[],6,FALSE)</f>
        <v>On time</v>
      </c>
      <c r="AH748" s="49">
        <f>VLOOKUP(OrdersRawTable9[[#This Row],[Order_ID]],ShipmentsTable[],3,FALSE)</f>
        <v>45801</v>
      </c>
    </row>
    <row r="749" spans="1:34" ht="15" customHeight="1">
      <c r="A749" s="14" t="s">
        <v>1442</v>
      </c>
      <c r="B749" s="10" t="s">
        <v>1441</v>
      </c>
      <c r="C749" s="20">
        <v>45796</v>
      </c>
      <c r="D749" s="10" t="s">
        <v>1254</v>
      </c>
      <c r="E749" s="10" t="s">
        <v>1255</v>
      </c>
      <c r="F749" s="10" t="str">
        <f>TRIM(LEFT(OrdersRawTable9[[#This Row],[Customer_Info]],FIND(",",OrdersRawTable9[[#This Row],[Customer_Info]])-1))</f>
        <v>Sofia Wilson</v>
      </c>
      <c r="G74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749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749" s="10">
        <f>LEN(OrdersRawTable9[[#This Row],[Customer_Info]])-LEN(SUBSTITUTE(OrdersRawTable9[[#This Row],[Customer_Info]],",",""))</f>
        <v>2</v>
      </c>
      <c r="J749" s="10" t="s">
        <v>44</v>
      </c>
      <c r="K749" s="23">
        <v>1</v>
      </c>
      <c r="L749" s="26">
        <v>238.47</v>
      </c>
      <c r="M749" s="29">
        <v>0.05</v>
      </c>
      <c r="N749" s="10" t="s">
        <v>70</v>
      </c>
      <c r="O749" s="10" t="str">
        <f>IF(TRIM(OrdersRawTable9[[#This Row],[Sales_Channel_Raw]])="Market place","Marketplace",TRIM(OrdersRawTable9[[#This Row],[Sales_Channel_Raw]]))</f>
        <v>online</v>
      </c>
      <c r="P749" s="10"/>
      <c r="Q749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749" s="15" t="s">
        <v>101</v>
      </c>
      <c r="S749" t="str">
        <f>VLOOKUP(OrdersRawTable9[[#This Row],[Customer_ID_Raw]],CustomersTable11[],4,FALSE)</f>
        <v>Quebec</v>
      </c>
      <c r="T749" t="str">
        <f>VLOOKUP(OrdersRawTable9[[#This Row],[Customer_ID_Raw]],CustomersTable11[],5,FALSE)</f>
        <v>Small Business</v>
      </c>
      <c r="U749" s="45">
        <f>VLOOKUP(OrdersRawTable9[[#This Row],[Product_ID]],ProductsTable10[],4,FALSE)</f>
        <v>127.65</v>
      </c>
      <c r="V749" t="str">
        <f>VLOOKUP(OrdersRawTable9[[#This Row],[Product_ID]],ProductsTable10[],3,FALSE)</f>
        <v>Accessories</v>
      </c>
      <c r="W749" s="45">
        <f>OrdersRawTable9[[#This Row],[Unit_Price]]*OrdersRawTable9[[#This Row],[Quantity]]</f>
        <v>238.47</v>
      </c>
      <c r="X749" s="47">
        <f>OrdersRawTable9[[#This Row],[Gross_Sales]]*OrdersRawTable9[[#This Row],[Discount_Pct]]</f>
        <v>11.923500000000001</v>
      </c>
      <c r="Y749" s="45">
        <f>OrdersRawTable9[[#This Row],[Gross_Sales]]-OrdersRawTable9[[#This Row],[Discount_Amount]]</f>
        <v>226.54650000000001</v>
      </c>
      <c r="Z749" s="45">
        <f>OrdersRawTable9[[#This Row],[Unit_Cost]]*OrdersRawTable9[[#This Row],[Quantity]]</f>
        <v>127.65</v>
      </c>
      <c r="AA749" s="45">
        <f>OrdersRawTable9[[#This Row],[Net_Sales]]-OrdersRawTable9[[#This Row],[Total_Cost]]</f>
        <v>98.896500000000003</v>
      </c>
      <c r="AB749" s="48">
        <f>IF(OrdersRawTable9[[#This Row],[Net_Sales]]=0,0,OrdersRawTable9[[#This Row],[Profit]]/OrdersRawTable9[[#This Row],[Net_Sales]])</f>
        <v>0.43653951837702193</v>
      </c>
      <c r="AC749" s="45" t="str">
        <f>IF(COUNTIF(ReturnsRawTable[Order_Line_ID],OrdersRawTable9[[#This Row],[Order_Line_ID]])&gt;0,"Yes","No")</f>
        <v>No</v>
      </c>
      <c r="AD749" s="45" t="str">
        <f>IFERROR(VLOOKUP(OrdersRawTable9[[#This Row],[Order_Line_ID]],ReturnsRawTable[[#All],[Order_Line_ID]:[Return_Reason_Raw]],3,FALSE),"")</f>
        <v/>
      </c>
      <c r="AE749" s="49" t="str">
        <f>IFERROR(VLOOKUP(OrdersRawTable9[[#This Row],[Order_Line_ID]],ReturnsRawTable[[#All],[Order_Line_ID]:[Return_Date]],2,FALSE),"")</f>
        <v/>
      </c>
      <c r="AF749" s="45" t="str">
        <f>IFERROR(VLOOKUP(OrdersRawTable9[[#This Row],[Order_Line_ID]],ReturnsRawTable[[Order_Line_ID]:[Refund_Status]],4,FALSE),"")</f>
        <v/>
      </c>
      <c r="AG749" s="45" t="str">
        <f>VLOOKUP(OrdersRawTable9[[#This Row],[Order_ID]],ShipmentsTable[],6,FALSE)</f>
        <v>On time</v>
      </c>
      <c r="AH749" s="49">
        <f>VLOOKUP(OrdersRawTable9[[#This Row],[Order_ID]],ShipmentsTable[],3,FALSE)</f>
        <v>45801</v>
      </c>
    </row>
    <row r="750" spans="1:34" ht="15" customHeight="1">
      <c r="A750" s="14" t="s">
        <v>1443</v>
      </c>
      <c r="B750" s="10" t="s">
        <v>1441</v>
      </c>
      <c r="C750" s="20">
        <v>45796</v>
      </c>
      <c r="D750" s="10" t="s">
        <v>1254</v>
      </c>
      <c r="E750" s="10" t="s">
        <v>1255</v>
      </c>
      <c r="F750" s="10" t="str">
        <f>TRIM(LEFT(OrdersRawTable9[[#This Row],[Customer_Info]],FIND(",",OrdersRawTable9[[#This Row],[Customer_Info]])-1))</f>
        <v>Sofia Wilson</v>
      </c>
      <c r="G75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750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750" s="10">
        <f>LEN(OrdersRawTable9[[#This Row],[Customer_Info]])-LEN(SUBSTITUTE(OrdersRawTable9[[#This Row],[Customer_Info]],",",""))</f>
        <v>2</v>
      </c>
      <c r="J750" s="10" t="s">
        <v>130</v>
      </c>
      <c r="K750" s="23">
        <v>1</v>
      </c>
      <c r="L750" s="26">
        <v>265.73</v>
      </c>
      <c r="M750" s="29">
        <v>0</v>
      </c>
      <c r="N750" s="10" t="s">
        <v>70</v>
      </c>
      <c r="O750" s="10" t="str">
        <f>IF(TRIM(OrdersRawTable9[[#This Row],[Sales_Channel_Raw]])="Market place","Marketplace",TRIM(OrdersRawTable9[[#This Row],[Sales_Channel_Raw]]))</f>
        <v>online</v>
      </c>
      <c r="P750" s="10" t="s">
        <v>98</v>
      </c>
      <c r="Q750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750" s="15" t="s">
        <v>67</v>
      </c>
      <c r="S750" t="str">
        <f>VLOOKUP(OrdersRawTable9[[#This Row],[Customer_ID_Raw]],CustomersTable11[],4,FALSE)</f>
        <v>Quebec</v>
      </c>
      <c r="T750" t="str">
        <f>VLOOKUP(OrdersRawTable9[[#This Row],[Customer_ID_Raw]],CustomersTable11[],5,FALSE)</f>
        <v>Small Business</v>
      </c>
      <c r="U750" s="45">
        <f>VLOOKUP(OrdersRawTable9[[#This Row],[Product_ID]],ProductsTable10[],4,FALSE)</f>
        <v>154.16999999999999</v>
      </c>
      <c r="V750" t="str">
        <f>VLOOKUP(OrdersRawTable9[[#This Row],[Product_ID]],ProductsTable10[],3,FALSE)</f>
        <v>Electronics</v>
      </c>
      <c r="W750" s="45">
        <f>OrdersRawTable9[[#This Row],[Unit_Price]]*OrdersRawTable9[[#This Row],[Quantity]]</f>
        <v>265.73</v>
      </c>
      <c r="X750" s="47">
        <f>OrdersRawTable9[[#This Row],[Gross_Sales]]*OrdersRawTable9[[#This Row],[Discount_Pct]]</f>
        <v>0</v>
      </c>
      <c r="Y750" s="45">
        <f>OrdersRawTable9[[#This Row],[Gross_Sales]]-OrdersRawTable9[[#This Row],[Discount_Amount]]</f>
        <v>265.73</v>
      </c>
      <c r="Z750" s="45">
        <f>OrdersRawTable9[[#This Row],[Unit_Cost]]*OrdersRawTable9[[#This Row],[Quantity]]</f>
        <v>154.16999999999999</v>
      </c>
      <c r="AA750" s="45">
        <f>OrdersRawTable9[[#This Row],[Net_Sales]]-OrdersRawTable9[[#This Row],[Total_Cost]]</f>
        <v>111.56000000000003</v>
      </c>
      <c r="AB750" s="48">
        <f>IF(OrdersRawTable9[[#This Row],[Net_Sales]]=0,0,OrdersRawTable9[[#This Row],[Profit]]/OrdersRawTable9[[#This Row],[Net_Sales]])</f>
        <v>0.41982463402701997</v>
      </c>
      <c r="AC750" s="45" t="str">
        <f>IF(COUNTIF(ReturnsRawTable[Order_Line_ID],OrdersRawTable9[[#This Row],[Order_Line_ID]])&gt;0,"Yes","No")</f>
        <v>No</v>
      </c>
      <c r="AD750" s="45" t="str">
        <f>IFERROR(VLOOKUP(OrdersRawTable9[[#This Row],[Order_Line_ID]],ReturnsRawTable[[#All],[Order_Line_ID]:[Return_Reason_Raw]],3,FALSE),"")</f>
        <v/>
      </c>
      <c r="AE750" s="49" t="str">
        <f>IFERROR(VLOOKUP(OrdersRawTable9[[#This Row],[Order_Line_ID]],ReturnsRawTable[[#All],[Order_Line_ID]:[Return_Date]],2,FALSE),"")</f>
        <v/>
      </c>
      <c r="AF750" s="45" t="str">
        <f>IFERROR(VLOOKUP(OrdersRawTable9[[#This Row],[Order_Line_ID]],ReturnsRawTable[[Order_Line_ID]:[Refund_Status]],4,FALSE),"")</f>
        <v/>
      </c>
      <c r="AG750" s="45" t="str">
        <f>VLOOKUP(OrdersRawTable9[[#This Row],[Order_ID]],ShipmentsTable[],6,FALSE)</f>
        <v>On time</v>
      </c>
      <c r="AH750" s="49">
        <f>VLOOKUP(OrdersRawTable9[[#This Row],[Order_ID]],ShipmentsTable[],3,FALSE)</f>
        <v>45801</v>
      </c>
    </row>
    <row r="751" spans="1:34" ht="15" customHeight="1">
      <c r="A751" s="14" t="s">
        <v>1444</v>
      </c>
      <c r="B751" s="10" t="s">
        <v>1441</v>
      </c>
      <c r="C751" s="20">
        <v>45796</v>
      </c>
      <c r="D751" s="10" t="s">
        <v>1254</v>
      </c>
      <c r="E751" s="10" t="s">
        <v>1255</v>
      </c>
      <c r="F751" s="10" t="str">
        <f>TRIM(LEFT(OrdersRawTable9[[#This Row],[Customer_Info]],FIND(",",OrdersRawTable9[[#This Row],[Customer_Info]])-1))</f>
        <v>Sofia Wilson</v>
      </c>
      <c r="G75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751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751" s="10">
        <f>LEN(OrdersRawTable9[[#This Row],[Customer_Info]])-LEN(SUBSTITUTE(OrdersRawTable9[[#This Row],[Customer_Info]],",",""))</f>
        <v>2</v>
      </c>
      <c r="J751" s="10" t="s">
        <v>171</v>
      </c>
      <c r="K751" s="23">
        <v>1</v>
      </c>
      <c r="L751" s="26">
        <v>228.81</v>
      </c>
      <c r="M751" s="29">
        <v>0</v>
      </c>
      <c r="N751" s="10" t="s">
        <v>66</v>
      </c>
      <c r="O751" s="10" t="str">
        <f>IF(TRIM(OrdersRawTable9[[#This Row],[Sales_Channel_Raw]])="Market place","Marketplace",TRIM(OrdersRawTable9[[#This Row],[Sales_Channel_Raw]]))</f>
        <v>Marketplace</v>
      </c>
      <c r="P751" s="10" t="s">
        <v>51</v>
      </c>
      <c r="Q751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751" s="15" t="s">
        <v>42</v>
      </c>
      <c r="S751" t="str">
        <f>VLOOKUP(OrdersRawTable9[[#This Row],[Customer_ID_Raw]],CustomersTable11[],4,FALSE)</f>
        <v>Quebec</v>
      </c>
      <c r="T751" t="str">
        <f>VLOOKUP(OrdersRawTable9[[#This Row],[Customer_ID_Raw]],CustomersTable11[],5,FALSE)</f>
        <v>Small Business</v>
      </c>
      <c r="U751" s="45">
        <f>VLOOKUP(OrdersRawTable9[[#This Row],[Product_ID]],ProductsTable10[],4,FALSE)</f>
        <v>130.9</v>
      </c>
      <c r="V751" t="str">
        <f>VLOOKUP(OrdersRawTable9[[#This Row],[Product_ID]],ProductsTable10[],3,FALSE)</f>
        <v>Accessories</v>
      </c>
      <c r="W751" s="45">
        <f>OrdersRawTable9[[#This Row],[Unit_Price]]*OrdersRawTable9[[#This Row],[Quantity]]</f>
        <v>228.81</v>
      </c>
      <c r="X751" s="47">
        <f>OrdersRawTable9[[#This Row],[Gross_Sales]]*OrdersRawTable9[[#This Row],[Discount_Pct]]</f>
        <v>0</v>
      </c>
      <c r="Y751" s="45">
        <f>OrdersRawTable9[[#This Row],[Gross_Sales]]-OrdersRawTable9[[#This Row],[Discount_Amount]]</f>
        <v>228.81</v>
      </c>
      <c r="Z751" s="45">
        <f>OrdersRawTable9[[#This Row],[Unit_Cost]]*OrdersRawTable9[[#This Row],[Quantity]]</f>
        <v>130.9</v>
      </c>
      <c r="AA751" s="45">
        <f>OrdersRawTable9[[#This Row],[Net_Sales]]-OrdersRawTable9[[#This Row],[Total_Cost]]</f>
        <v>97.91</v>
      </c>
      <c r="AB751" s="48">
        <f>IF(OrdersRawTable9[[#This Row],[Net_Sales]]=0,0,OrdersRawTable9[[#This Row],[Profit]]/OrdersRawTable9[[#This Row],[Net_Sales]])</f>
        <v>0.42790961933481925</v>
      </c>
      <c r="AC751" s="45" t="str">
        <f>IF(COUNTIF(ReturnsRawTable[Order_Line_ID],OrdersRawTable9[[#This Row],[Order_Line_ID]])&gt;0,"Yes","No")</f>
        <v>Yes</v>
      </c>
      <c r="AD751" s="45" t="str">
        <f>IFERROR(VLOOKUP(OrdersRawTable9[[#This Row],[Order_Line_ID]],ReturnsRawTable[[#All],[Order_Line_ID]:[Return_Reason_Raw]],3,FALSE),"")</f>
        <v>Damaged</v>
      </c>
      <c r="AE751" s="49">
        <f>IFERROR(VLOOKUP(OrdersRawTable9[[#This Row],[Order_Line_ID]],ReturnsRawTable[[#All],[Order_Line_ID]:[Return_Date]],2,FALSE),"")</f>
        <v>45819</v>
      </c>
      <c r="AF751" s="45" t="str">
        <f>IFERROR(VLOOKUP(OrdersRawTable9[[#This Row],[Order_Line_ID]],ReturnsRawTable[[Order_Line_ID]:[Refund_Status]],4,FALSE),"")</f>
        <v>Refunded</v>
      </c>
      <c r="AG751" s="45" t="str">
        <f>VLOOKUP(OrdersRawTable9[[#This Row],[Order_ID]],ShipmentsTable[],6,FALSE)</f>
        <v>On time</v>
      </c>
      <c r="AH751" s="49">
        <f>VLOOKUP(OrdersRawTable9[[#This Row],[Order_ID]],ShipmentsTable[],3,FALSE)</f>
        <v>45801</v>
      </c>
    </row>
    <row r="752" spans="1:34" ht="15" customHeight="1">
      <c r="A752" s="14" t="s">
        <v>1445</v>
      </c>
      <c r="B752" s="10" t="s">
        <v>1446</v>
      </c>
      <c r="C752" s="20">
        <v>45827</v>
      </c>
      <c r="D752" s="10" t="s">
        <v>1447</v>
      </c>
      <c r="E752" s="10" t="s">
        <v>1448</v>
      </c>
      <c r="F752" s="10" t="str">
        <f>TRIM(LEFT(OrdersRawTable9[[#This Row],[Customer_Info]],FIND(",",OrdersRawTable9[[#This Row],[Customer_Info]])-1))</f>
        <v>Adam Gagnon</v>
      </c>
      <c r="G75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752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752" s="10">
        <f>LEN(OrdersRawTable9[[#This Row],[Customer_Info]])-LEN(SUBSTITUTE(OrdersRawTable9[[#This Row],[Customer_Info]],",",""))</f>
        <v>2</v>
      </c>
      <c r="J752" s="10" t="s">
        <v>251</v>
      </c>
      <c r="K752" s="23">
        <v>4</v>
      </c>
      <c r="L752" s="26">
        <v>228.91</v>
      </c>
      <c r="M752" s="29">
        <v>0.05</v>
      </c>
      <c r="N752" s="10" t="s">
        <v>66</v>
      </c>
      <c r="O752" s="10" t="str">
        <f>IF(TRIM(OrdersRawTable9[[#This Row],[Sales_Channel_Raw]])="Market place","Marketplace",TRIM(OrdersRawTable9[[#This Row],[Sales_Channel_Raw]]))</f>
        <v>Marketplace</v>
      </c>
      <c r="P752" s="10" t="s">
        <v>58</v>
      </c>
      <c r="Q752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752" s="15" t="s">
        <v>42</v>
      </c>
      <c r="S752" t="str">
        <f>VLOOKUP(OrdersRawTable9[[#This Row],[Customer_ID_Raw]],CustomersTable11[],4,FALSE)</f>
        <v>Ontario</v>
      </c>
      <c r="T752" t="str">
        <f>VLOOKUP(OrdersRawTable9[[#This Row],[Customer_ID_Raw]],CustomersTable11[],5,FALSE)</f>
        <v>Corporate</v>
      </c>
      <c r="U752" s="45">
        <f>VLOOKUP(OrdersRawTable9[[#This Row],[Product_ID]],ProductsTable10[],4,FALSE)</f>
        <v>149.4</v>
      </c>
      <c r="V752" t="str">
        <f>VLOOKUP(OrdersRawTable9[[#This Row],[Product_ID]],ProductsTable10[],3,FALSE)</f>
        <v>Office</v>
      </c>
      <c r="W752" s="45">
        <f>OrdersRawTable9[[#This Row],[Unit_Price]]*OrdersRawTable9[[#This Row],[Quantity]]</f>
        <v>915.64</v>
      </c>
      <c r="X752" s="47">
        <f>OrdersRawTable9[[#This Row],[Gross_Sales]]*OrdersRawTable9[[#This Row],[Discount_Pct]]</f>
        <v>45.782000000000004</v>
      </c>
      <c r="Y752" s="45">
        <f>OrdersRawTable9[[#This Row],[Gross_Sales]]-OrdersRawTable9[[#This Row],[Discount_Amount]]</f>
        <v>869.85799999999995</v>
      </c>
      <c r="Z752" s="45">
        <f>OrdersRawTable9[[#This Row],[Unit_Cost]]*OrdersRawTable9[[#This Row],[Quantity]]</f>
        <v>597.6</v>
      </c>
      <c r="AA752" s="45">
        <f>OrdersRawTable9[[#This Row],[Net_Sales]]-OrdersRawTable9[[#This Row],[Total_Cost]]</f>
        <v>272.25799999999992</v>
      </c>
      <c r="AB752" s="48">
        <f>IF(OrdersRawTable9[[#This Row],[Net_Sales]]=0,0,OrdersRawTable9[[#This Row],[Profit]]/OrdersRawTable9[[#This Row],[Net_Sales]])</f>
        <v>0.312991315823962</v>
      </c>
      <c r="AC752" s="45" t="str">
        <f>IF(COUNTIF(ReturnsRawTable[Order_Line_ID],OrdersRawTable9[[#This Row],[Order_Line_ID]])&gt;0,"Yes","No")</f>
        <v>Yes</v>
      </c>
      <c r="AD752" s="45" t="str">
        <f>IFERROR(VLOOKUP(OrdersRawTable9[[#This Row],[Order_Line_ID]],ReturnsRawTable[[#All],[Order_Line_ID]:[Return_Reason_Raw]],3,FALSE),"")</f>
        <v>Late Delivery</v>
      </c>
      <c r="AE752" s="49">
        <f>IFERROR(VLOOKUP(OrdersRawTable9[[#This Row],[Order_Line_ID]],ReturnsRawTable[[#All],[Order_Line_ID]:[Return_Date]],2,FALSE),"")</f>
        <v>45849</v>
      </c>
      <c r="AF752" s="45" t="str">
        <f>IFERROR(VLOOKUP(OrdersRawTable9[[#This Row],[Order_Line_ID]],ReturnsRawTable[[Order_Line_ID]:[Refund_Status]],4,FALSE),"")</f>
        <v>Refunded</v>
      </c>
      <c r="AG752" s="45" t="str">
        <f>VLOOKUP(OrdersRawTable9[[#This Row],[Order_ID]],ShipmentsTable[],6,FALSE)</f>
        <v>Late</v>
      </c>
      <c r="AH752" s="49">
        <f>VLOOKUP(OrdersRawTable9[[#This Row],[Order_ID]],ShipmentsTable[],3,FALSE)</f>
        <v>45836</v>
      </c>
    </row>
    <row r="753" spans="1:34" ht="15" customHeight="1">
      <c r="A753" s="14" t="s">
        <v>1449</v>
      </c>
      <c r="B753" s="10" t="s">
        <v>1446</v>
      </c>
      <c r="C753" s="20">
        <v>45827</v>
      </c>
      <c r="D753" s="10" t="s">
        <v>1447</v>
      </c>
      <c r="E753" s="10" t="s">
        <v>1448</v>
      </c>
      <c r="F753" s="10" t="str">
        <f>TRIM(LEFT(OrdersRawTable9[[#This Row],[Customer_Info]],FIND(",",OrdersRawTable9[[#This Row],[Customer_Info]])-1))</f>
        <v>Adam Gagnon</v>
      </c>
      <c r="G75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753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753" s="10">
        <f>LEN(OrdersRawTable9[[#This Row],[Customer_Info]])-LEN(SUBSTITUTE(OrdersRawTable9[[#This Row],[Customer_Info]],",",""))</f>
        <v>2</v>
      </c>
      <c r="J753" s="10" t="s">
        <v>119</v>
      </c>
      <c r="K753" s="23">
        <v>4</v>
      </c>
      <c r="L753" s="26">
        <v>103.3</v>
      </c>
      <c r="M753" s="29">
        <v>0</v>
      </c>
      <c r="N753" s="10" t="s">
        <v>66</v>
      </c>
      <c r="O753" s="10" t="str">
        <f>IF(TRIM(OrdersRawTable9[[#This Row],[Sales_Channel_Raw]])="Market place","Marketplace",TRIM(OrdersRawTable9[[#This Row],[Sales_Channel_Raw]]))</f>
        <v>Marketplace</v>
      </c>
      <c r="P753" s="10"/>
      <c r="Q753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753" s="15" t="s">
        <v>52</v>
      </c>
      <c r="S753" t="str">
        <f>VLOOKUP(OrdersRawTable9[[#This Row],[Customer_ID_Raw]],CustomersTable11[],4,FALSE)</f>
        <v>Ontario</v>
      </c>
      <c r="T753" t="str">
        <f>VLOOKUP(OrdersRawTable9[[#This Row],[Customer_ID_Raw]],CustomersTable11[],5,FALSE)</f>
        <v>Corporate</v>
      </c>
      <c r="U753" s="45">
        <f>VLOOKUP(OrdersRawTable9[[#This Row],[Product_ID]],ProductsTable10[],4,FALSE)</f>
        <v>70.180000000000007</v>
      </c>
      <c r="V753" t="str">
        <f>VLOOKUP(OrdersRawTable9[[#This Row],[Product_ID]],ProductsTable10[],3,FALSE)</f>
        <v>Home</v>
      </c>
      <c r="W753" s="45">
        <f>OrdersRawTable9[[#This Row],[Unit_Price]]*OrdersRawTable9[[#This Row],[Quantity]]</f>
        <v>413.2</v>
      </c>
      <c r="X753" s="47">
        <f>OrdersRawTable9[[#This Row],[Gross_Sales]]*OrdersRawTable9[[#This Row],[Discount_Pct]]</f>
        <v>0</v>
      </c>
      <c r="Y753" s="45">
        <f>OrdersRawTable9[[#This Row],[Gross_Sales]]-OrdersRawTable9[[#This Row],[Discount_Amount]]</f>
        <v>413.2</v>
      </c>
      <c r="Z753" s="45">
        <f>OrdersRawTable9[[#This Row],[Unit_Cost]]*OrdersRawTable9[[#This Row],[Quantity]]</f>
        <v>280.72000000000003</v>
      </c>
      <c r="AA753" s="45">
        <f>OrdersRawTable9[[#This Row],[Net_Sales]]-OrdersRawTable9[[#This Row],[Total_Cost]]</f>
        <v>132.47999999999996</v>
      </c>
      <c r="AB753" s="48">
        <f>IF(OrdersRawTable9[[#This Row],[Net_Sales]]=0,0,OrdersRawTable9[[#This Row],[Profit]]/OrdersRawTable9[[#This Row],[Net_Sales]])</f>
        <v>0.32061955469506281</v>
      </c>
      <c r="AC753" s="45" t="str">
        <f>IF(COUNTIF(ReturnsRawTable[Order_Line_ID],OrdersRawTable9[[#This Row],[Order_Line_ID]])&gt;0,"Yes","No")</f>
        <v>No</v>
      </c>
      <c r="AD753" s="45" t="str">
        <f>IFERROR(VLOOKUP(OrdersRawTable9[[#This Row],[Order_Line_ID]],ReturnsRawTable[[#All],[Order_Line_ID]:[Return_Reason_Raw]],3,FALSE),"")</f>
        <v/>
      </c>
      <c r="AE753" s="49" t="str">
        <f>IFERROR(VLOOKUP(OrdersRawTable9[[#This Row],[Order_Line_ID]],ReturnsRawTable[[#All],[Order_Line_ID]:[Return_Date]],2,FALSE),"")</f>
        <v/>
      </c>
      <c r="AF753" s="45" t="str">
        <f>IFERROR(VLOOKUP(OrdersRawTable9[[#This Row],[Order_Line_ID]],ReturnsRawTable[[Order_Line_ID]:[Refund_Status]],4,FALSE),"")</f>
        <v/>
      </c>
      <c r="AG753" s="45" t="str">
        <f>VLOOKUP(OrdersRawTable9[[#This Row],[Order_ID]],ShipmentsTable[],6,FALSE)</f>
        <v>Late</v>
      </c>
      <c r="AH753" s="49">
        <f>VLOOKUP(OrdersRawTable9[[#This Row],[Order_ID]],ShipmentsTable[],3,FALSE)</f>
        <v>45836</v>
      </c>
    </row>
    <row r="754" spans="1:34" ht="15" customHeight="1">
      <c r="A754" s="14" t="s">
        <v>1450</v>
      </c>
      <c r="B754" s="10" t="s">
        <v>1446</v>
      </c>
      <c r="C754" s="20">
        <v>45827</v>
      </c>
      <c r="D754" s="10" t="s">
        <v>1447</v>
      </c>
      <c r="E754" s="10" t="s">
        <v>1448</v>
      </c>
      <c r="F754" s="10" t="str">
        <f>TRIM(LEFT(OrdersRawTable9[[#This Row],[Customer_Info]],FIND(",",OrdersRawTable9[[#This Row],[Customer_Info]])-1))</f>
        <v>Adam Gagnon</v>
      </c>
      <c r="G75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754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754" s="10">
        <f>LEN(OrdersRawTable9[[#This Row],[Customer_Info]])-LEN(SUBSTITUTE(OrdersRawTable9[[#This Row],[Customer_Info]],",",""))</f>
        <v>2</v>
      </c>
      <c r="J754" s="10" t="s">
        <v>88</v>
      </c>
      <c r="K754" s="23">
        <v>3</v>
      </c>
      <c r="L754" s="26">
        <v>147.46</v>
      </c>
      <c r="M754" s="29">
        <v>0.05</v>
      </c>
      <c r="N754" s="10" t="s">
        <v>66</v>
      </c>
      <c r="O754" s="10" t="str">
        <f>IF(TRIM(OrdersRawTable9[[#This Row],[Sales_Channel_Raw]])="Market place","Marketplace",TRIM(OrdersRawTable9[[#This Row],[Sales_Channel_Raw]]))</f>
        <v>Marketplace</v>
      </c>
      <c r="P754" s="10" t="s">
        <v>41</v>
      </c>
      <c r="Q754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754" s="15" t="s">
        <v>42</v>
      </c>
      <c r="S754" t="str">
        <f>VLOOKUP(OrdersRawTable9[[#This Row],[Customer_ID_Raw]],CustomersTable11[],4,FALSE)</f>
        <v>Ontario</v>
      </c>
      <c r="T754" t="str">
        <f>VLOOKUP(OrdersRawTable9[[#This Row],[Customer_ID_Raw]],CustomersTable11[],5,FALSE)</f>
        <v>Corporate</v>
      </c>
      <c r="U754" s="45">
        <f>VLOOKUP(OrdersRawTable9[[#This Row],[Product_ID]],ProductsTable10[],4,FALSE)</f>
        <v>100.95</v>
      </c>
      <c r="V754" t="str">
        <f>VLOOKUP(OrdersRawTable9[[#This Row],[Product_ID]],ProductsTable10[],3,FALSE)</f>
        <v>Electronics</v>
      </c>
      <c r="W754" s="45">
        <f>OrdersRawTable9[[#This Row],[Unit_Price]]*OrdersRawTable9[[#This Row],[Quantity]]</f>
        <v>442.38</v>
      </c>
      <c r="X754" s="47">
        <f>OrdersRawTable9[[#This Row],[Gross_Sales]]*OrdersRawTable9[[#This Row],[Discount_Pct]]</f>
        <v>22.119</v>
      </c>
      <c r="Y754" s="45">
        <f>OrdersRawTable9[[#This Row],[Gross_Sales]]-OrdersRawTable9[[#This Row],[Discount_Amount]]</f>
        <v>420.26099999999997</v>
      </c>
      <c r="Z754" s="45">
        <f>OrdersRawTable9[[#This Row],[Unit_Cost]]*OrdersRawTable9[[#This Row],[Quantity]]</f>
        <v>302.85000000000002</v>
      </c>
      <c r="AA754" s="45">
        <f>OrdersRawTable9[[#This Row],[Net_Sales]]-OrdersRawTable9[[#This Row],[Total_Cost]]</f>
        <v>117.41099999999994</v>
      </c>
      <c r="AB754" s="48">
        <f>IF(OrdersRawTable9[[#This Row],[Net_Sales]]=0,0,OrdersRawTable9[[#This Row],[Profit]]/OrdersRawTable9[[#This Row],[Net_Sales]])</f>
        <v>0.2793763875306059</v>
      </c>
      <c r="AC754" s="45" t="str">
        <f>IF(COUNTIF(ReturnsRawTable[Order_Line_ID],OrdersRawTable9[[#This Row],[Order_Line_ID]])&gt;0,"Yes","No")</f>
        <v>No</v>
      </c>
      <c r="AD754" s="45" t="str">
        <f>IFERROR(VLOOKUP(OrdersRawTable9[[#This Row],[Order_Line_ID]],ReturnsRawTable[[#All],[Order_Line_ID]:[Return_Reason_Raw]],3,FALSE),"")</f>
        <v/>
      </c>
      <c r="AE754" s="49" t="str">
        <f>IFERROR(VLOOKUP(OrdersRawTable9[[#This Row],[Order_Line_ID]],ReturnsRawTable[[#All],[Order_Line_ID]:[Return_Date]],2,FALSE),"")</f>
        <v/>
      </c>
      <c r="AF754" s="45" t="str">
        <f>IFERROR(VLOOKUP(OrdersRawTable9[[#This Row],[Order_Line_ID]],ReturnsRawTable[[Order_Line_ID]:[Refund_Status]],4,FALSE),"")</f>
        <v/>
      </c>
      <c r="AG754" s="45" t="str">
        <f>VLOOKUP(OrdersRawTable9[[#This Row],[Order_ID]],ShipmentsTable[],6,FALSE)</f>
        <v>Late</v>
      </c>
      <c r="AH754" s="49">
        <f>VLOOKUP(OrdersRawTable9[[#This Row],[Order_ID]],ShipmentsTable[],3,FALSE)</f>
        <v>45836</v>
      </c>
    </row>
    <row r="755" spans="1:34" ht="15" customHeight="1">
      <c r="A755" s="14" t="s">
        <v>1451</v>
      </c>
      <c r="B755" s="10" t="s">
        <v>1452</v>
      </c>
      <c r="C755" s="20">
        <v>45802</v>
      </c>
      <c r="D755" s="10" t="s">
        <v>684</v>
      </c>
      <c r="E755" s="10" t="s">
        <v>685</v>
      </c>
      <c r="F755" s="10" t="str">
        <f>TRIM(LEFT(OrdersRawTable9[[#This Row],[Customer_Info]],FIND(",",OrdersRawTable9[[#This Row],[Customer_Info]])-1))</f>
        <v>Emma Martin</v>
      </c>
      <c r="G75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755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55" s="10">
        <f>LEN(OrdersRawTable9[[#This Row],[Customer_Info]])-LEN(SUBSTITUTE(OrdersRawTable9[[#This Row],[Customer_Info]],",",""))</f>
        <v>2</v>
      </c>
      <c r="J755" s="10" t="s">
        <v>204</v>
      </c>
      <c r="K755" s="23">
        <v>2</v>
      </c>
      <c r="L755" s="26">
        <v>244.25</v>
      </c>
      <c r="M755" s="29">
        <v>0</v>
      </c>
      <c r="N755" s="10" t="s">
        <v>40</v>
      </c>
      <c r="O755" s="10" t="str">
        <f>IF(TRIM(OrdersRawTable9[[#This Row],[Sales_Channel_Raw]])="Market place","Marketplace",TRIM(OrdersRawTable9[[#This Row],[Sales_Channel_Raw]]))</f>
        <v>Online</v>
      </c>
      <c r="P755" s="10" t="s">
        <v>58</v>
      </c>
      <c r="Q755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755" s="15" t="s">
        <v>47</v>
      </c>
      <c r="S755" t="str">
        <f>VLOOKUP(OrdersRawTable9[[#This Row],[Customer_ID_Raw]],CustomersTable11[],4,FALSE)</f>
        <v>British Columbia</v>
      </c>
      <c r="T755" t="str">
        <f>VLOOKUP(OrdersRawTable9[[#This Row],[Customer_ID_Raw]],CustomersTable11[],5,FALSE)</f>
        <v>Consumer</v>
      </c>
      <c r="U755" s="45">
        <f>VLOOKUP(OrdersRawTable9[[#This Row],[Product_ID]],ProductsTable10[],4,FALSE)</f>
        <v>150.96</v>
      </c>
      <c r="V755" t="str">
        <f>VLOOKUP(OrdersRawTable9[[#This Row],[Product_ID]],ProductsTable10[],3,FALSE)</f>
        <v>Office</v>
      </c>
      <c r="W755" s="45">
        <f>OrdersRawTable9[[#This Row],[Unit_Price]]*OrdersRawTable9[[#This Row],[Quantity]]</f>
        <v>488.5</v>
      </c>
      <c r="X755" s="47">
        <f>OrdersRawTable9[[#This Row],[Gross_Sales]]*OrdersRawTable9[[#This Row],[Discount_Pct]]</f>
        <v>0</v>
      </c>
      <c r="Y755" s="45">
        <f>OrdersRawTable9[[#This Row],[Gross_Sales]]-OrdersRawTable9[[#This Row],[Discount_Amount]]</f>
        <v>488.5</v>
      </c>
      <c r="Z755" s="45">
        <f>OrdersRawTable9[[#This Row],[Unit_Cost]]*OrdersRawTable9[[#This Row],[Quantity]]</f>
        <v>301.92</v>
      </c>
      <c r="AA755" s="45">
        <f>OrdersRawTable9[[#This Row],[Net_Sales]]-OrdersRawTable9[[#This Row],[Total_Cost]]</f>
        <v>186.57999999999998</v>
      </c>
      <c r="AB755" s="48">
        <f>IF(OrdersRawTable9[[#This Row],[Net_Sales]]=0,0,OrdersRawTable9[[#This Row],[Profit]]/OrdersRawTable9[[#This Row],[Net_Sales]])</f>
        <v>0.38194472876151481</v>
      </c>
      <c r="AC755" s="45" t="str">
        <f>IF(COUNTIF(ReturnsRawTable[Order_Line_ID],OrdersRawTable9[[#This Row],[Order_Line_ID]])&gt;0,"Yes","No")</f>
        <v>No</v>
      </c>
      <c r="AD755" s="45" t="str">
        <f>IFERROR(VLOOKUP(OrdersRawTable9[[#This Row],[Order_Line_ID]],ReturnsRawTable[[#All],[Order_Line_ID]:[Return_Reason_Raw]],3,FALSE),"")</f>
        <v/>
      </c>
      <c r="AE755" s="49" t="str">
        <f>IFERROR(VLOOKUP(OrdersRawTable9[[#This Row],[Order_Line_ID]],ReturnsRawTable[[#All],[Order_Line_ID]:[Return_Date]],2,FALSE),"")</f>
        <v/>
      </c>
      <c r="AF755" s="45" t="str">
        <f>IFERROR(VLOOKUP(OrdersRawTable9[[#This Row],[Order_Line_ID]],ReturnsRawTable[[Order_Line_ID]:[Refund_Status]],4,FALSE),"")</f>
        <v/>
      </c>
      <c r="AG755" s="45" t="str">
        <f>VLOOKUP(OrdersRawTable9[[#This Row],[Order_ID]],ShipmentsTable[],6,FALSE)</f>
        <v>On time</v>
      </c>
      <c r="AH755" s="49">
        <f>VLOOKUP(OrdersRawTable9[[#This Row],[Order_ID]],ShipmentsTable[],3,FALSE)</f>
        <v>45805</v>
      </c>
    </row>
    <row r="756" spans="1:34" ht="15" customHeight="1">
      <c r="A756" s="14" t="s">
        <v>1453</v>
      </c>
      <c r="B756" s="10" t="s">
        <v>1452</v>
      </c>
      <c r="C756" s="20">
        <v>45802</v>
      </c>
      <c r="D756" s="10" t="s">
        <v>684</v>
      </c>
      <c r="E756" s="10" t="s">
        <v>685</v>
      </c>
      <c r="F756" s="10" t="str">
        <f>TRIM(LEFT(OrdersRawTable9[[#This Row],[Customer_Info]],FIND(",",OrdersRawTable9[[#This Row],[Customer_Info]])-1))</f>
        <v>Emma Martin</v>
      </c>
      <c r="G75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756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56" s="10">
        <f>LEN(OrdersRawTable9[[#This Row],[Customer_Info]])-LEN(SUBSTITUTE(OrdersRawTable9[[#This Row],[Customer_Info]],",",""))</f>
        <v>2</v>
      </c>
      <c r="J756" s="10" t="s">
        <v>128</v>
      </c>
      <c r="K756" s="23">
        <v>2</v>
      </c>
      <c r="L756" s="26">
        <v>25.15</v>
      </c>
      <c r="M756" s="29">
        <v>0.1</v>
      </c>
      <c r="N756" s="10" t="s">
        <v>50</v>
      </c>
      <c r="O756" s="10" t="str">
        <f>IF(TRIM(OrdersRawTable9[[#This Row],[Sales_Channel_Raw]])="Market place","Marketplace",TRIM(OrdersRawTable9[[#This Row],[Sales_Channel_Raw]]))</f>
        <v>Marketplace</v>
      </c>
      <c r="P756" s="10" t="s">
        <v>98</v>
      </c>
      <c r="Q756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756" s="15" t="s">
        <v>67</v>
      </c>
      <c r="S756" t="str">
        <f>VLOOKUP(OrdersRawTable9[[#This Row],[Customer_ID_Raw]],CustomersTable11[],4,FALSE)</f>
        <v>British Columbia</v>
      </c>
      <c r="T756" t="str">
        <f>VLOOKUP(OrdersRawTable9[[#This Row],[Customer_ID_Raw]],CustomersTable11[],5,FALSE)</f>
        <v>Consumer</v>
      </c>
      <c r="U756" s="45">
        <f>VLOOKUP(OrdersRawTable9[[#This Row],[Product_ID]],ProductsTable10[],4,FALSE)</f>
        <v>14.24</v>
      </c>
      <c r="V756" t="str">
        <f>VLOOKUP(OrdersRawTable9[[#This Row],[Product_ID]],ProductsTable10[],3,FALSE)</f>
        <v>Electronics</v>
      </c>
      <c r="W756" s="45">
        <f>OrdersRawTable9[[#This Row],[Unit_Price]]*OrdersRawTable9[[#This Row],[Quantity]]</f>
        <v>50.3</v>
      </c>
      <c r="X756" s="47">
        <f>OrdersRawTable9[[#This Row],[Gross_Sales]]*OrdersRawTable9[[#This Row],[Discount_Pct]]</f>
        <v>5.03</v>
      </c>
      <c r="Y756" s="45">
        <f>OrdersRawTable9[[#This Row],[Gross_Sales]]-OrdersRawTable9[[#This Row],[Discount_Amount]]</f>
        <v>45.269999999999996</v>
      </c>
      <c r="Z756" s="45">
        <f>OrdersRawTable9[[#This Row],[Unit_Cost]]*OrdersRawTable9[[#This Row],[Quantity]]</f>
        <v>28.48</v>
      </c>
      <c r="AA756" s="45">
        <f>OrdersRawTable9[[#This Row],[Net_Sales]]-OrdersRawTable9[[#This Row],[Total_Cost]]</f>
        <v>16.789999999999996</v>
      </c>
      <c r="AB756" s="48">
        <f>IF(OrdersRawTable9[[#This Row],[Net_Sales]]=0,0,OrdersRawTable9[[#This Row],[Profit]]/OrdersRawTable9[[#This Row],[Net_Sales]])</f>
        <v>0.37088579633311236</v>
      </c>
      <c r="AC756" s="45" t="str">
        <f>IF(COUNTIF(ReturnsRawTable[Order_Line_ID],OrdersRawTable9[[#This Row],[Order_Line_ID]])&gt;0,"Yes","No")</f>
        <v>No</v>
      </c>
      <c r="AD756" s="45" t="str">
        <f>IFERROR(VLOOKUP(OrdersRawTable9[[#This Row],[Order_Line_ID]],ReturnsRawTable[[#All],[Order_Line_ID]:[Return_Reason_Raw]],3,FALSE),"")</f>
        <v/>
      </c>
      <c r="AE756" s="49" t="str">
        <f>IFERROR(VLOOKUP(OrdersRawTable9[[#This Row],[Order_Line_ID]],ReturnsRawTable[[#All],[Order_Line_ID]:[Return_Date]],2,FALSE),"")</f>
        <v/>
      </c>
      <c r="AF756" s="45" t="str">
        <f>IFERROR(VLOOKUP(OrdersRawTable9[[#This Row],[Order_Line_ID]],ReturnsRawTable[[Order_Line_ID]:[Refund_Status]],4,FALSE),"")</f>
        <v/>
      </c>
      <c r="AG756" s="45" t="str">
        <f>VLOOKUP(OrdersRawTable9[[#This Row],[Order_ID]],ShipmentsTable[],6,FALSE)</f>
        <v>On time</v>
      </c>
      <c r="AH756" s="49">
        <f>VLOOKUP(OrdersRawTable9[[#This Row],[Order_ID]],ShipmentsTable[],3,FALSE)</f>
        <v>45805</v>
      </c>
    </row>
    <row r="757" spans="1:34" ht="15" customHeight="1">
      <c r="A757" s="14" t="s">
        <v>1454</v>
      </c>
      <c r="B757" s="10" t="s">
        <v>1452</v>
      </c>
      <c r="C757" s="20">
        <v>45802</v>
      </c>
      <c r="D757" s="10" t="s">
        <v>684</v>
      </c>
      <c r="E757" s="10" t="s">
        <v>685</v>
      </c>
      <c r="F757" s="10" t="str">
        <f>TRIM(LEFT(OrdersRawTable9[[#This Row],[Customer_Info]],FIND(",",OrdersRawTable9[[#This Row],[Customer_Info]])-1))</f>
        <v>Emma Martin</v>
      </c>
      <c r="G75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757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57" s="10">
        <f>LEN(OrdersRawTable9[[#This Row],[Customer_Info]])-LEN(SUBSTITUTE(OrdersRawTable9[[#This Row],[Customer_Info]],",",""))</f>
        <v>2</v>
      </c>
      <c r="J757" s="10" t="s">
        <v>316</v>
      </c>
      <c r="K757" s="23">
        <v>4</v>
      </c>
      <c r="L757" s="26">
        <v>180.37</v>
      </c>
      <c r="M757" s="29">
        <v>0.05</v>
      </c>
      <c r="N757" s="10" t="s">
        <v>70</v>
      </c>
      <c r="O757" s="10" t="str">
        <f>IF(TRIM(OrdersRawTable9[[#This Row],[Sales_Channel_Raw]])="Market place","Marketplace",TRIM(OrdersRawTable9[[#This Row],[Sales_Channel_Raw]]))</f>
        <v>online</v>
      </c>
      <c r="P757" s="10" t="s">
        <v>98</v>
      </c>
      <c r="Q757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757" s="15" t="s">
        <v>101</v>
      </c>
      <c r="S757" t="str">
        <f>VLOOKUP(OrdersRawTable9[[#This Row],[Customer_ID_Raw]],CustomersTable11[],4,FALSE)</f>
        <v>British Columbia</v>
      </c>
      <c r="T757" t="str">
        <f>VLOOKUP(OrdersRawTable9[[#This Row],[Customer_ID_Raw]],CustomersTable11[],5,FALSE)</f>
        <v>Consumer</v>
      </c>
      <c r="U757" s="45">
        <f>VLOOKUP(OrdersRawTable9[[#This Row],[Product_ID]],ProductsTable10[],4,FALSE)</f>
        <v>107.55</v>
      </c>
      <c r="V757" t="str">
        <f>VLOOKUP(OrdersRawTable9[[#This Row],[Product_ID]],ProductsTable10[],3,FALSE)</f>
        <v>Accessories</v>
      </c>
      <c r="W757" s="45">
        <f>OrdersRawTable9[[#This Row],[Unit_Price]]*OrdersRawTable9[[#This Row],[Quantity]]</f>
        <v>721.48</v>
      </c>
      <c r="X757" s="47">
        <f>OrdersRawTable9[[#This Row],[Gross_Sales]]*OrdersRawTable9[[#This Row],[Discount_Pct]]</f>
        <v>36.074000000000005</v>
      </c>
      <c r="Y757" s="45">
        <f>OrdersRawTable9[[#This Row],[Gross_Sales]]-OrdersRawTable9[[#This Row],[Discount_Amount]]</f>
        <v>685.40600000000006</v>
      </c>
      <c r="Z757" s="45">
        <f>OrdersRawTable9[[#This Row],[Unit_Cost]]*OrdersRawTable9[[#This Row],[Quantity]]</f>
        <v>430.2</v>
      </c>
      <c r="AA757" s="45">
        <f>OrdersRawTable9[[#This Row],[Net_Sales]]-OrdersRawTable9[[#This Row],[Total_Cost]]</f>
        <v>255.20600000000007</v>
      </c>
      <c r="AB757" s="48">
        <f>IF(OrdersRawTable9[[#This Row],[Net_Sales]]=0,0,OrdersRawTable9[[#This Row],[Profit]]/OrdersRawTable9[[#This Row],[Net_Sales]])</f>
        <v>0.37234281579093276</v>
      </c>
      <c r="AC757" s="45" t="str">
        <f>IF(COUNTIF(ReturnsRawTable[Order_Line_ID],OrdersRawTable9[[#This Row],[Order_Line_ID]])&gt;0,"Yes","No")</f>
        <v>No</v>
      </c>
      <c r="AD757" s="45" t="str">
        <f>IFERROR(VLOOKUP(OrdersRawTable9[[#This Row],[Order_Line_ID]],ReturnsRawTable[[#All],[Order_Line_ID]:[Return_Reason_Raw]],3,FALSE),"")</f>
        <v/>
      </c>
      <c r="AE757" s="49" t="str">
        <f>IFERROR(VLOOKUP(OrdersRawTable9[[#This Row],[Order_Line_ID]],ReturnsRawTable[[#All],[Order_Line_ID]:[Return_Date]],2,FALSE),"")</f>
        <v/>
      </c>
      <c r="AF757" s="45" t="str">
        <f>IFERROR(VLOOKUP(OrdersRawTable9[[#This Row],[Order_Line_ID]],ReturnsRawTable[[Order_Line_ID]:[Refund_Status]],4,FALSE),"")</f>
        <v/>
      </c>
      <c r="AG757" s="45" t="str">
        <f>VLOOKUP(OrdersRawTable9[[#This Row],[Order_ID]],ShipmentsTable[],6,FALSE)</f>
        <v>On time</v>
      </c>
      <c r="AH757" s="49">
        <f>VLOOKUP(OrdersRawTable9[[#This Row],[Order_ID]],ShipmentsTable[],3,FALSE)</f>
        <v>45805</v>
      </c>
    </row>
    <row r="758" spans="1:34" ht="15" customHeight="1">
      <c r="A758" s="14" t="s">
        <v>1455</v>
      </c>
      <c r="B758" s="10" t="s">
        <v>1456</v>
      </c>
      <c r="C758" s="20">
        <v>45828</v>
      </c>
      <c r="D758" s="10" t="s">
        <v>283</v>
      </c>
      <c r="E758" s="10" t="s">
        <v>284</v>
      </c>
      <c r="F758" s="10" t="str">
        <f>TRIM(LEFT(OrdersRawTable9[[#This Row],[Customer_Info]],FIND(",",OrdersRawTable9[[#This Row],[Customer_Info]])-1))</f>
        <v>Daniel Johnson</v>
      </c>
      <c r="G75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758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758" s="10">
        <f>LEN(OrdersRawTable9[[#This Row],[Customer_Info]])-LEN(SUBSTITUTE(OrdersRawTable9[[#This Row],[Customer_Info]],",",""))</f>
        <v>2</v>
      </c>
      <c r="J758" s="10" t="s">
        <v>147</v>
      </c>
      <c r="K758" s="23">
        <v>1</v>
      </c>
      <c r="L758" s="26">
        <v>102.78</v>
      </c>
      <c r="M758" s="29">
        <v>0</v>
      </c>
      <c r="N758" s="10" t="s">
        <v>66</v>
      </c>
      <c r="O758" s="10" t="str">
        <f>IF(TRIM(OrdersRawTable9[[#This Row],[Sales_Channel_Raw]])="Market place","Marketplace",TRIM(OrdersRawTable9[[#This Row],[Sales_Channel_Raw]]))</f>
        <v>Marketplace</v>
      </c>
      <c r="P758" s="10" t="s">
        <v>46</v>
      </c>
      <c r="Q758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758" s="15" t="s">
        <v>52</v>
      </c>
      <c r="S758" t="str">
        <f>VLOOKUP(OrdersRawTable9[[#This Row],[Customer_ID_Raw]],CustomersTable11[],4,FALSE)</f>
        <v>Alberta</v>
      </c>
      <c r="T758" t="str">
        <f>VLOOKUP(OrdersRawTable9[[#This Row],[Customer_ID_Raw]],CustomersTable11[],5,FALSE)</f>
        <v>Corporate</v>
      </c>
      <c r="U758" s="45">
        <f>VLOOKUP(OrdersRawTable9[[#This Row],[Product_ID]],ProductsTable10[],4,FALSE)</f>
        <v>62.65</v>
      </c>
      <c r="V758" t="str">
        <f>VLOOKUP(OrdersRawTable9[[#This Row],[Product_ID]],ProductsTable10[],3,FALSE)</f>
        <v>Accessories</v>
      </c>
      <c r="W758" s="45">
        <f>OrdersRawTable9[[#This Row],[Unit_Price]]*OrdersRawTable9[[#This Row],[Quantity]]</f>
        <v>102.78</v>
      </c>
      <c r="X758" s="47">
        <f>OrdersRawTable9[[#This Row],[Gross_Sales]]*OrdersRawTable9[[#This Row],[Discount_Pct]]</f>
        <v>0</v>
      </c>
      <c r="Y758" s="45">
        <f>OrdersRawTable9[[#This Row],[Gross_Sales]]-OrdersRawTable9[[#This Row],[Discount_Amount]]</f>
        <v>102.78</v>
      </c>
      <c r="Z758" s="45">
        <f>OrdersRawTable9[[#This Row],[Unit_Cost]]*OrdersRawTable9[[#This Row],[Quantity]]</f>
        <v>62.65</v>
      </c>
      <c r="AA758" s="45">
        <f>OrdersRawTable9[[#This Row],[Net_Sales]]-OrdersRawTable9[[#This Row],[Total_Cost]]</f>
        <v>40.130000000000003</v>
      </c>
      <c r="AB758" s="48">
        <f>IF(OrdersRawTable9[[#This Row],[Net_Sales]]=0,0,OrdersRawTable9[[#This Row],[Profit]]/OrdersRawTable9[[#This Row],[Net_Sales]])</f>
        <v>0.39044561198676786</v>
      </c>
      <c r="AC758" s="45" t="str">
        <f>IF(COUNTIF(ReturnsRawTable[Order_Line_ID],OrdersRawTable9[[#This Row],[Order_Line_ID]])&gt;0,"Yes","No")</f>
        <v>No</v>
      </c>
      <c r="AD758" s="45" t="str">
        <f>IFERROR(VLOOKUP(OrdersRawTable9[[#This Row],[Order_Line_ID]],ReturnsRawTable[[#All],[Order_Line_ID]:[Return_Reason_Raw]],3,FALSE),"")</f>
        <v/>
      </c>
      <c r="AE758" s="49" t="str">
        <f>IFERROR(VLOOKUP(OrdersRawTable9[[#This Row],[Order_Line_ID]],ReturnsRawTable[[#All],[Order_Line_ID]:[Return_Date]],2,FALSE),"")</f>
        <v/>
      </c>
      <c r="AF758" s="45" t="str">
        <f>IFERROR(VLOOKUP(OrdersRawTable9[[#This Row],[Order_Line_ID]],ReturnsRawTable[[Order_Line_ID]:[Refund_Status]],4,FALSE),"")</f>
        <v/>
      </c>
      <c r="AG758" s="45" t="str">
        <f>VLOOKUP(OrdersRawTable9[[#This Row],[Order_ID]],ShipmentsTable[],6,FALSE)</f>
        <v>Late</v>
      </c>
      <c r="AH758" s="49">
        <f>VLOOKUP(OrdersRawTable9[[#This Row],[Order_ID]],ShipmentsTable[],3,FALSE)</f>
        <v>45834</v>
      </c>
    </row>
    <row r="759" spans="1:34" ht="15" customHeight="1">
      <c r="A759" s="14" t="s">
        <v>1457</v>
      </c>
      <c r="B759" s="10" t="s">
        <v>1456</v>
      </c>
      <c r="C759" s="20">
        <v>45828</v>
      </c>
      <c r="D759" s="10" t="s">
        <v>283</v>
      </c>
      <c r="E759" s="10" t="s">
        <v>284</v>
      </c>
      <c r="F759" s="10" t="str">
        <f>TRIM(LEFT(OrdersRawTable9[[#This Row],[Customer_Info]],FIND(",",OrdersRawTable9[[#This Row],[Customer_Info]])-1))</f>
        <v>Daniel Johnson</v>
      </c>
      <c r="G75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759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759" s="10">
        <f>LEN(OrdersRawTable9[[#This Row],[Customer_Info]])-LEN(SUBSTITUTE(OrdersRawTable9[[#This Row],[Customer_Info]],",",""))</f>
        <v>2</v>
      </c>
      <c r="J759" s="10" t="s">
        <v>428</v>
      </c>
      <c r="K759" s="23">
        <v>4</v>
      </c>
      <c r="L759" s="26">
        <v>110.88</v>
      </c>
      <c r="M759" s="29">
        <v>0.15</v>
      </c>
      <c r="N759" s="10" t="s">
        <v>50</v>
      </c>
      <c r="O759" s="10" t="str">
        <f>IF(TRIM(OrdersRawTable9[[#This Row],[Sales_Channel_Raw]])="Market place","Marketplace",TRIM(OrdersRawTable9[[#This Row],[Sales_Channel_Raw]]))</f>
        <v>Marketplace</v>
      </c>
      <c r="P759" s="10" t="s">
        <v>58</v>
      </c>
      <c r="Q759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759" s="15" t="s">
        <v>67</v>
      </c>
      <c r="S759" t="str">
        <f>VLOOKUP(OrdersRawTable9[[#This Row],[Customer_ID_Raw]],CustomersTable11[],4,FALSE)</f>
        <v>Alberta</v>
      </c>
      <c r="T759" t="str">
        <f>VLOOKUP(OrdersRawTable9[[#This Row],[Customer_ID_Raw]],CustomersTable11[],5,FALSE)</f>
        <v>Corporate</v>
      </c>
      <c r="U759" s="45">
        <f>VLOOKUP(OrdersRawTable9[[#This Row],[Product_ID]],ProductsTable10[],4,FALSE)</f>
        <v>57.09</v>
      </c>
      <c r="V759" t="str">
        <f>VLOOKUP(OrdersRawTable9[[#This Row],[Product_ID]],ProductsTable10[],3,FALSE)</f>
        <v>Electronics</v>
      </c>
      <c r="W759" s="45">
        <f>OrdersRawTable9[[#This Row],[Unit_Price]]*OrdersRawTable9[[#This Row],[Quantity]]</f>
        <v>443.52</v>
      </c>
      <c r="X759" s="47">
        <f>OrdersRawTable9[[#This Row],[Gross_Sales]]*OrdersRawTable9[[#This Row],[Discount_Pct]]</f>
        <v>66.527999999999992</v>
      </c>
      <c r="Y759" s="45">
        <f>OrdersRawTable9[[#This Row],[Gross_Sales]]-OrdersRawTable9[[#This Row],[Discount_Amount]]</f>
        <v>376.99199999999996</v>
      </c>
      <c r="Z759" s="45">
        <f>OrdersRawTable9[[#This Row],[Unit_Cost]]*OrdersRawTable9[[#This Row],[Quantity]]</f>
        <v>228.36</v>
      </c>
      <c r="AA759" s="45">
        <f>OrdersRawTable9[[#This Row],[Net_Sales]]-OrdersRawTable9[[#This Row],[Total_Cost]]</f>
        <v>148.63199999999995</v>
      </c>
      <c r="AB759" s="48">
        <f>IF(OrdersRawTable9[[#This Row],[Net_Sales]]=0,0,OrdersRawTable9[[#This Row],[Profit]]/OrdersRawTable9[[#This Row],[Net_Sales]])</f>
        <v>0.39425770308123237</v>
      </c>
      <c r="AC759" s="45" t="str">
        <f>IF(COUNTIF(ReturnsRawTable[Order_Line_ID],OrdersRawTable9[[#This Row],[Order_Line_ID]])&gt;0,"Yes","No")</f>
        <v>No</v>
      </c>
      <c r="AD759" s="45" t="str">
        <f>IFERROR(VLOOKUP(OrdersRawTable9[[#This Row],[Order_Line_ID]],ReturnsRawTable[[#All],[Order_Line_ID]:[Return_Reason_Raw]],3,FALSE),"")</f>
        <v/>
      </c>
      <c r="AE759" s="49" t="str">
        <f>IFERROR(VLOOKUP(OrdersRawTable9[[#This Row],[Order_Line_ID]],ReturnsRawTable[[#All],[Order_Line_ID]:[Return_Date]],2,FALSE),"")</f>
        <v/>
      </c>
      <c r="AF759" s="45" t="str">
        <f>IFERROR(VLOOKUP(OrdersRawTable9[[#This Row],[Order_Line_ID]],ReturnsRawTable[[Order_Line_ID]:[Refund_Status]],4,FALSE),"")</f>
        <v/>
      </c>
      <c r="AG759" s="45" t="str">
        <f>VLOOKUP(OrdersRawTable9[[#This Row],[Order_ID]],ShipmentsTable[],6,FALSE)</f>
        <v>Late</v>
      </c>
      <c r="AH759" s="49">
        <f>VLOOKUP(OrdersRawTable9[[#This Row],[Order_ID]],ShipmentsTable[],3,FALSE)</f>
        <v>45834</v>
      </c>
    </row>
    <row r="760" spans="1:34" ht="15" customHeight="1">
      <c r="A760" s="14" t="s">
        <v>1458</v>
      </c>
      <c r="B760" s="10" t="s">
        <v>1459</v>
      </c>
      <c r="C760" s="20">
        <v>45957</v>
      </c>
      <c r="D760" s="10" t="s">
        <v>443</v>
      </c>
      <c r="E760" s="10" t="s">
        <v>444</v>
      </c>
      <c r="F760" s="10" t="str">
        <f>TRIM(LEFT(OrdersRawTable9[[#This Row],[Customer_Info]],FIND(",",OrdersRawTable9[[#This Row],[Customer_Info]])-1))</f>
        <v>Sara Tremblay</v>
      </c>
      <c r="G76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760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760" s="10">
        <f>LEN(OrdersRawTable9[[#This Row],[Customer_Info]])-LEN(SUBSTITUTE(OrdersRawTable9[[#This Row],[Customer_Info]],",",""))</f>
        <v>2</v>
      </c>
      <c r="J760" s="10" t="s">
        <v>63</v>
      </c>
      <c r="K760" s="23">
        <v>2</v>
      </c>
      <c r="L760" s="26">
        <v>105.38</v>
      </c>
      <c r="M760" s="29">
        <v>0.1</v>
      </c>
      <c r="N760" s="10" t="s">
        <v>70</v>
      </c>
      <c r="O760" s="10" t="str">
        <f>IF(TRIM(OrdersRawTable9[[#This Row],[Sales_Channel_Raw]])="Market place","Marketplace",TRIM(OrdersRawTable9[[#This Row],[Sales_Channel_Raw]]))</f>
        <v>online</v>
      </c>
      <c r="P760" s="10" t="s">
        <v>41</v>
      </c>
      <c r="Q760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760" s="15" t="s">
        <v>42</v>
      </c>
      <c r="S760" t="str">
        <f>VLOOKUP(OrdersRawTable9[[#This Row],[Customer_ID_Raw]],CustomersTable11[],4,FALSE)</f>
        <v>Manitoba</v>
      </c>
      <c r="T760" t="str">
        <f>VLOOKUP(OrdersRawTable9[[#This Row],[Customer_ID_Raw]],CustomersTable11[],5,FALSE)</f>
        <v>Corporate</v>
      </c>
      <c r="U760" s="45">
        <f>VLOOKUP(OrdersRawTable9[[#This Row],[Product_ID]],ProductsTable10[],4,FALSE)</f>
        <v>67.290000000000006</v>
      </c>
      <c r="V760" t="str">
        <f>VLOOKUP(OrdersRawTable9[[#This Row],[Product_ID]],ProductsTable10[],3,FALSE)</f>
        <v>Electronics</v>
      </c>
      <c r="W760" s="45">
        <f>OrdersRawTable9[[#This Row],[Unit_Price]]*OrdersRawTable9[[#This Row],[Quantity]]</f>
        <v>210.76</v>
      </c>
      <c r="X760" s="47">
        <f>OrdersRawTable9[[#This Row],[Gross_Sales]]*OrdersRawTable9[[#This Row],[Discount_Pct]]</f>
        <v>21.076000000000001</v>
      </c>
      <c r="Y760" s="45">
        <f>OrdersRawTable9[[#This Row],[Gross_Sales]]-OrdersRawTable9[[#This Row],[Discount_Amount]]</f>
        <v>189.684</v>
      </c>
      <c r="Z760" s="45">
        <f>OrdersRawTable9[[#This Row],[Unit_Cost]]*OrdersRawTable9[[#This Row],[Quantity]]</f>
        <v>134.58000000000001</v>
      </c>
      <c r="AA760" s="45">
        <f>OrdersRawTable9[[#This Row],[Net_Sales]]-OrdersRawTable9[[#This Row],[Total_Cost]]</f>
        <v>55.103999999999985</v>
      </c>
      <c r="AB760" s="48">
        <f>IF(OrdersRawTable9[[#This Row],[Net_Sales]]=0,0,OrdersRawTable9[[#This Row],[Profit]]/OrdersRawTable9[[#This Row],[Net_Sales]])</f>
        <v>0.29050420699690005</v>
      </c>
      <c r="AC760" s="45" t="str">
        <f>IF(COUNTIF(ReturnsRawTable[Order_Line_ID],OrdersRawTable9[[#This Row],[Order_Line_ID]])&gt;0,"Yes","No")</f>
        <v>No</v>
      </c>
      <c r="AD760" s="45" t="str">
        <f>IFERROR(VLOOKUP(OrdersRawTable9[[#This Row],[Order_Line_ID]],ReturnsRawTable[[#All],[Order_Line_ID]:[Return_Reason_Raw]],3,FALSE),"")</f>
        <v/>
      </c>
      <c r="AE760" s="49" t="str">
        <f>IFERROR(VLOOKUP(OrdersRawTable9[[#This Row],[Order_Line_ID]],ReturnsRawTable[[#All],[Order_Line_ID]:[Return_Date]],2,FALSE),"")</f>
        <v/>
      </c>
      <c r="AF760" s="45" t="str">
        <f>IFERROR(VLOOKUP(OrdersRawTable9[[#This Row],[Order_Line_ID]],ReturnsRawTable[[Order_Line_ID]:[Refund_Status]],4,FALSE),"")</f>
        <v/>
      </c>
      <c r="AG760" s="45" t="str">
        <f>VLOOKUP(OrdersRawTable9[[#This Row],[Order_ID]],ShipmentsTable[],6,FALSE)</f>
        <v>Late</v>
      </c>
      <c r="AH760" s="49">
        <f>VLOOKUP(OrdersRawTable9[[#This Row],[Order_ID]],ShipmentsTable[],3,FALSE)</f>
        <v>45964</v>
      </c>
    </row>
    <row r="761" spans="1:34" ht="15" customHeight="1">
      <c r="A761" s="14" t="s">
        <v>1460</v>
      </c>
      <c r="B761" s="10" t="s">
        <v>1459</v>
      </c>
      <c r="C761" s="20">
        <v>45957</v>
      </c>
      <c r="D761" s="10" t="s">
        <v>443</v>
      </c>
      <c r="E761" s="10" t="s">
        <v>444</v>
      </c>
      <c r="F761" s="10" t="str">
        <f>TRIM(LEFT(OrdersRawTable9[[#This Row],[Customer_Info]],FIND(",",OrdersRawTable9[[#This Row],[Customer_Info]])-1))</f>
        <v>Sara Tremblay</v>
      </c>
      <c r="G76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761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761" s="10">
        <f>LEN(OrdersRawTable9[[#This Row],[Customer_Info]])-LEN(SUBSTITUTE(OrdersRawTable9[[#This Row],[Customer_Info]],",",""))</f>
        <v>2</v>
      </c>
      <c r="J761" s="10" t="s">
        <v>178</v>
      </c>
      <c r="K761" s="23">
        <v>1</v>
      </c>
      <c r="L761" s="26">
        <v>61.81</v>
      </c>
      <c r="M761" s="29">
        <v>0</v>
      </c>
      <c r="N761" s="10" t="s">
        <v>40</v>
      </c>
      <c r="O761" s="10" t="str">
        <f>IF(TRIM(OrdersRawTable9[[#This Row],[Sales_Channel_Raw]])="Market place","Marketplace",TRIM(OrdersRawTable9[[#This Row],[Sales_Channel_Raw]]))</f>
        <v>Online</v>
      </c>
      <c r="P761" s="10" t="s">
        <v>58</v>
      </c>
      <c r="Q761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761" s="15" t="s">
        <v>52</v>
      </c>
      <c r="S761" t="str">
        <f>VLOOKUP(OrdersRawTable9[[#This Row],[Customer_ID_Raw]],CustomersTable11[],4,FALSE)</f>
        <v>Manitoba</v>
      </c>
      <c r="T761" t="str">
        <f>VLOOKUP(OrdersRawTable9[[#This Row],[Customer_ID_Raw]],CustomersTable11[],5,FALSE)</f>
        <v>Corporate</v>
      </c>
      <c r="U761" s="45">
        <f>VLOOKUP(OrdersRawTable9[[#This Row],[Product_ID]],ProductsTable10[],4,FALSE)</f>
        <v>33.19</v>
      </c>
      <c r="V761" t="str">
        <f>VLOOKUP(OrdersRawTable9[[#This Row],[Product_ID]],ProductsTable10[],3,FALSE)</f>
        <v>Office</v>
      </c>
      <c r="W761" s="45">
        <f>OrdersRawTable9[[#This Row],[Unit_Price]]*OrdersRawTable9[[#This Row],[Quantity]]</f>
        <v>61.81</v>
      </c>
      <c r="X761" s="47">
        <f>OrdersRawTable9[[#This Row],[Gross_Sales]]*OrdersRawTable9[[#This Row],[Discount_Pct]]</f>
        <v>0</v>
      </c>
      <c r="Y761" s="45">
        <f>OrdersRawTable9[[#This Row],[Gross_Sales]]-OrdersRawTable9[[#This Row],[Discount_Amount]]</f>
        <v>61.81</v>
      </c>
      <c r="Z761" s="45">
        <f>OrdersRawTable9[[#This Row],[Unit_Cost]]*OrdersRawTable9[[#This Row],[Quantity]]</f>
        <v>33.19</v>
      </c>
      <c r="AA761" s="45">
        <f>OrdersRawTable9[[#This Row],[Net_Sales]]-OrdersRawTable9[[#This Row],[Total_Cost]]</f>
        <v>28.620000000000005</v>
      </c>
      <c r="AB761" s="48">
        <f>IF(OrdersRawTable9[[#This Row],[Net_Sales]]=0,0,OrdersRawTable9[[#This Row],[Profit]]/OrdersRawTable9[[#This Row],[Net_Sales]])</f>
        <v>0.46303187186539402</v>
      </c>
      <c r="AC761" s="45" t="str">
        <f>IF(COUNTIF(ReturnsRawTable[Order_Line_ID],OrdersRawTable9[[#This Row],[Order_Line_ID]])&gt;0,"Yes","No")</f>
        <v>No</v>
      </c>
      <c r="AD761" s="45" t="str">
        <f>IFERROR(VLOOKUP(OrdersRawTable9[[#This Row],[Order_Line_ID]],ReturnsRawTable[[#All],[Order_Line_ID]:[Return_Reason_Raw]],3,FALSE),"")</f>
        <v/>
      </c>
      <c r="AE761" s="49" t="str">
        <f>IFERROR(VLOOKUP(OrdersRawTable9[[#This Row],[Order_Line_ID]],ReturnsRawTable[[#All],[Order_Line_ID]:[Return_Date]],2,FALSE),"")</f>
        <v/>
      </c>
      <c r="AF761" s="45" t="str">
        <f>IFERROR(VLOOKUP(OrdersRawTable9[[#This Row],[Order_Line_ID]],ReturnsRawTable[[Order_Line_ID]:[Refund_Status]],4,FALSE),"")</f>
        <v/>
      </c>
      <c r="AG761" s="45" t="str">
        <f>VLOOKUP(OrdersRawTable9[[#This Row],[Order_ID]],ShipmentsTable[],6,FALSE)</f>
        <v>Late</v>
      </c>
      <c r="AH761" s="49">
        <f>VLOOKUP(OrdersRawTable9[[#This Row],[Order_ID]],ShipmentsTable[],3,FALSE)</f>
        <v>45964</v>
      </c>
    </row>
    <row r="762" spans="1:34" ht="15" customHeight="1">
      <c r="A762" s="14" t="s">
        <v>1461</v>
      </c>
      <c r="B762" s="10" t="s">
        <v>1462</v>
      </c>
      <c r="C762" s="20">
        <v>45958</v>
      </c>
      <c r="D762" s="10" t="s">
        <v>1463</v>
      </c>
      <c r="E762" s="10" t="s">
        <v>1464</v>
      </c>
      <c r="F762" s="10" t="str">
        <f>TRIM(LEFT(OrdersRawTable9[[#This Row],[Customer_Info]],FIND(",",OrdersRawTable9[[#This Row],[Customer_Info]])-1))</f>
        <v>Maya Brown</v>
      </c>
      <c r="G76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762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762" s="10">
        <f>LEN(OrdersRawTable9[[#This Row],[Customer_Info]])-LEN(SUBSTITUTE(OrdersRawTable9[[#This Row],[Customer_Info]],",",""))</f>
        <v>2</v>
      </c>
      <c r="J762" s="10" t="s">
        <v>309</v>
      </c>
      <c r="K762" s="23">
        <v>3</v>
      </c>
      <c r="L762" s="26">
        <v>56.99</v>
      </c>
      <c r="M762" s="29">
        <v>0.15</v>
      </c>
      <c r="N762" s="10" t="s">
        <v>64</v>
      </c>
      <c r="O762" s="10" t="str">
        <f>IF(TRIM(OrdersRawTable9[[#This Row],[Sales_Channel_Raw]])="Market place","Marketplace",TRIM(OrdersRawTable9[[#This Row],[Sales_Channel_Raw]]))</f>
        <v>Retail Store</v>
      </c>
      <c r="P762" s="10" t="s">
        <v>41</v>
      </c>
      <c r="Q762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762" s="15" t="s">
        <v>47</v>
      </c>
      <c r="S762" t="str">
        <f>VLOOKUP(OrdersRawTable9[[#This Row],[Customer_ID_Raw]],CustomersTable11[],4,FALSE)</f>
        <v>Ontario</v>
      </c>
      <c r="T762" t="str">
        <f>VLOOKUP(OrdersRawTable9[[#This Row],[Customer_ID_Raw]],CustomersTable11[],5,FALSE)</f>
        <v>Small Business</v>
      </c>
      <c r="U762" s="45">
        <f>VLOOKUP(OrdersRawTable9[[#This Row],[Product_ID]],ProductsTable10[],4,FALSE)</f>
        <v>33.65</v>
      </c>
      <c r="V762" t="str">
        <f>VLOOKUP(OrdersRawTable9[[#This Row],[Product_ID]],ProductsTable10[],3,FALSE)</f>
        <v>Home</v>
      </c>
      <c r="W762" s="45">
        <f>OrdersRawTable9[[#This Row],[Unit_Price]]*OrdersRawTable9[[#This Row],[Quantity]]</f>
        <v>170.97</v>
      </c>
      <c r="X762" s="47">
        <f>OrdersRawTable9[[#This Row],[Gross_Sales]]*OrdersRawTable9[[#This Row],[Discount_Pct]]</f>
        <v>25.645499999999998</v>
      </c>
      <c r="Y762" s="45">
        <f>OrdersRawTable9[[#This Row],[Gross_Sales]]-OrdersRawTable9[[#This Row],[Discount_Amount]]</f>
        <v>145.3245</v>
      </c>
      <c r="Z762" s="45">
        <f>OrdersRawTable9[[#This Row],[Unit_Cost]]*OrdersRawTable9[[#This Row],[Quantity]]</f>
        <v>100.94999999999999</v>
      </c>
      <c r="AA762" s="45">
        <f>OrdersRawTable9[[#This Row],[Net_Sales]]-OrdersRawTable9[[#This Row],[Total_Cost]]</f>
        <v>44.374500000000012</v>
      </c>
      <c r="AB762" s="48">
        <f>IF(OrdersRawTable9[[#This Row],[Net_Sales]]=0,0,OrdersRawTable9[[#This Row],[Profit]]/OrdersRawTable9[[#This Row],[Net_Sales]])</f>
        <v>0.30534768741678114</v>
      </c>
      <c r="AC762" s="45" t="str">
        <f>IF(COUNTIF(ReturnsRawTable[Order_Line_ID],OrdersRawTable9[[#This Row],[Order_Line_ID]])&gt;0,"Yes","No")</f>
        <v>No</v>
      </c>
      <c r="AD762" s="45" t="str">
        <f>IFERROR(VLOOKUP(OrdersRawTable9[[#This Row],[Order_Line_ID]],ReturnsRawTable[[#All],[Order_Line_ID]:[Return_Reason_Raw]],3,FALSE),"")</f>
        <v/>
      </c>
      <c r="AE762" s="49" t="str">
        <f>IFERROR(VLOOKUP(OrdersRawTable9[[#This Row],[Order_Line_ID]],ReturnsRawTable[[#All],[Order_Line_ID]:[Return_Date]],2,FALSE),"")</f>
        <v/>
      </c>
      <c r="AF762" s="45" t="str">
        <f>IFERROR(VLOOKUP(OrdersRawTable9[[#This Row],[Order_Line_ID]],ReturnsRawTable[[Order_Line_ID]:[Refund_Status]],4,FALSE),"")</f>
        <v/>
      </c>
      <c r="AG762" s="45" t="str">
        <f>VLOOKUP(OrdersRawTable9[[#This Row],[Order_ID]],ShipmentsTable[],6,FALSE)</f>
        <v>Late</v>
      </c>
      <c r="AH762" s="49">
        <f>VLOOKUP(OrdersRawTable9[[#This Row],[Order_ID]],ShipmentsTable[],3,FALSE)</f>
        <v>45966</v>
      </c>
    </row>
    <row r="763" spans="1:34" ht="15" customHeight="1">
      <c r="A763" s="14" t="s">
        <v>1465</v>
      </c>
      <c r="B763" s="10" t="s">
        <v>1466</v>
      </c>
      <c r="C763" s="20">
        <v>45756</v>
      </c>
      <c r="D763" s="10" t="s">
        <v>748</v>
      </c>
      <c r="E763" s="10" t="s">
        <v>749</v>
      </c>
      <c r="F763" s="10" t="str">
        <f>TRIM(LEFT(OrdersRawTable9[[#This Row],[Customer_Info]],FIND(",",OrdersRawTable9[[#This Row],[Customer_Info]])-1))</f>
        <v>Liam Singh</v>
      </c>
      <c r="G76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763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763" s="10">
        <f>LEN(OrdersRawTable9[[#This Row],[Customer_Info]])-LEN(SUBSTITUTE(OrdersRawTable9[[#This Row],[Customer_Info]],",",""))</f>
        <v>2</v>
      </c>
      <c r="J763" s="10" t="s">
        <v>332</v>
      </c>
      <c r="K763" s="23">
        <v>1</v>
      </c>
      <c r="L763" s="26">
        <v>273.89</v>
      </c>
      <c r="M763" s="29">
        <v>0</v>
      </c>
      <c r="N763" s="10" t="s">
        <v>70</v>
      </c>
      <c r="O763" s="10" t="str">
        <f>IF(TRIM(OrdersRawTable9[[#This Row],[Sales_Channel_Raw]])="Market place","Marketplace",TRIM(OrdersRawTable9[[#This Row],[Sales_Channel_Raw]]))</f>
        <v>online</v>
      </c>
      <c r="P763" s="10"/>
      <c r="Q763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763" s="15" t="s">
        <v>42</v>
      </c>
      <c r="S763" t="str">
        <f>VLOOKUP(OrdersRawTable9[[#This Row],[Customer_ID_Raw]],CustomersTable11[],4,FALSE)</f>
        <v>Alberta</v>
      </c>
      <c r="T763" t="str">
        <f>VLOOKUP(OrdersRawTable9[[#This Row],[Customer_ID_Raw]],CustomersTable11[],5,FALSE)</f>
        <v>Corporate</v>
      </c>
      <c r="U763" s="45">
        <f>VLOOKUP(OrdersRawTable9[[#This Row],[Product_ID]],ProductsTable10[],4,FALSE)</f>
        <v>140.66999999999999</v>
      </c>
      <c r="V763" t="str">
        <f>VLOOKUP(OrdersRawTable9[[#This Row],[Product_ID]],ProductsTable10[],3,FALSE)</f>
        <v>Home</v>
      </c>
      <c r="W763" s="45">
        <f>OrdersRawTable9[[#This Row],[Unit_Price]]*OrdersRawTable9[[#This Row],[Quantity]]</f>
        <v>273.89</v>
      </c>
      <c r="X763" s="47">
        <f>OrdersRawTable9[[#This Row],[Gross_Sales]]*OrdersRawTable9[[#This Row],[Discount_Pct]]</f>
        <v>0</v>
      </c>
      <c r="Y763" s="45">
        <f>OrdersRawTable9[[#This Row],[Gross_Sales]]-OrdersRawTable9[[#This Row],[Discount_Amount]]</f>
        <v>273.89</v>
      </c>
      <c r="Z763" s="45">
        <f>OrdersRawTable9[[#This Row],[Unit_Cost]]*OrdersRawTable9[[#This Row],[Quantity]]</f>
        <v>140.66999999999999</v>
      </c>
      <c r="AA763" s="45">
        <f>OrdersRawTable9[[#This Row],[Net_Sales]]-OrdersRawTable9[[#This Row],[Total_Cost]]</f>
        <v>133.22</v>
      </c>
      <c r="AB763" s="48">
        <f>IF(OrdersRawTable9[[#This Row],[Net_Sales]]=0,0,OrdersRawTable9[[#This Row],[Profit]]/OrdersRawTable9[[#This Row],[Net_Sales]])</f>
        <v>0.48639964949432257</v>
      </c>
      <c r="AC763" s="45" t="str">
        <f>IF(COUNTIF(ReturnsRawTable[Order_Line_ID],OrdersRawTable9[[#This Row],[Order_Line_ID]])&gt;0,"Yes","No")</f>
        <v>No</v>
      </c>
      <c r="AD763" s="45" t="str">
        <f>IFERROR(VLOOKUP(OrdersRawTable9[[#This Row],[Order_Line_ID]],ReturnsRawTable[[#All],[Order_Line_ID]:[Return_Reason_Raw]],3,FALSE),"")</f>
        <v/>
      </c>
      <c r="AE763" s="49" t="str">
        <f>IFERROR(VLOOKUP(OrdersRawTable9[[#This Row],[Order_Line_ID]],ReturnsRawTable[[#All],[Order_Line_ID]:[Return_Date]],2,FALSE),"")</f>
        <v/>
      </c>
      <c r="AF763" s="45" t="str">
        <f>IFERROR(VLOOKUP(OrdersRawTable9[[#This Row],[Order_Line_ID]],ReturnsRawTable[[Order_Line_ID]:[Refund_Status]],4,FALSE),"")</f>
        <v/>
      </c>
      <c r="AG763" s="45" t="str">
        <f>VLOOKUP(OrdersRawTable9[[#This Row],[Order_ID]],ShipmentsTable[],6,FALSE)</f>
        <v>Late</v>
      </c>
      <c r="AH763" s="49">
        <f>VLOOKUP(OrdersRawTable9[[#This Row],[Order_ID]],ShipmentsTable[],3,FALSE)</f>
        <v>45766</v>
      </c>
    </row>
    <row r="764" spans="1:34" ht="15" customHeight="1">
      <c r="A764" s="14" t="s">
        <v>1467</v>
      </c>
      <c r="B764" s="10" t="s">
        <v>1466</v>
      </c>
      <c r="C764" s="20">
        <v>45756</v>
      </c>
      <c r="D764" s="10" t="s">
        <v>748</v>
      </c>
      <c r="E764" s="10" t="s">
        <v>749</v>
      </c>
      <c r="F764" s="10" t="str">
        <f>TRIM(LEFT(OrdersRawTable9[[#This Row],[Customer_Info]],FIND(",",OrdersRawTable9[[#This Row],[Customer_Info]])-1))</f>
        <v>Liam Singh</v>
      </c>
      <c r="G76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764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764" s="10">
        <f>LEN(OrdersRawTable9[[#This Row],[Customer_Info]])-LEN(SUBSTITUTE(OrdersRawTable9[[#This Row],[Customer_Info]],",",""))</f>
        <v>2</v>
      </c>
      <c r="J764" s="10" t="s">
        <v>196</v>
      </c>
      <c r="K764" s="23">
        <v>3</v>
      </c>
      <c r="L764" s="26">
        <v>183.73</v>
      </c>
      <c r="M764" s="29">
        <v>0.15</v>
      </c>
      <c r="N764" s="10" t="s">
        <v>66</v>
      </c>
      <c r="O764" s="10" t="str">
        <f>IF(TRIM(OrdersRawTable9[[#This Row],[Sales_Channel_Raw]])="Market place","Marketplace",TRIM(OrdersRawTable9[[#This Row],[Sales_Channel_Raw]]))</f>
        <v>Marketplace</v>
      </c>
      <c r="P764" s="10" t="s">
        <v>58</v>
      </c>
      <c r="Q764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764" s="15" t="s">
        <v>42</v>
      </c>
      <c r="S764" t="str">
        <f>VLOOKUP(OrdersRawTable9[[#This Row],[Customer_ID_Raw]],CustomersTable11[],4,FALSE)</f>
        <v>Alberta</v>
      </c>
      <c r="T764" t="str">
        <f>VLOOKUP(OrdersRawTable9[[#This Row],[Customer_ID_Raw]],CustomersTable11[],5,FALSE)</f>
        <v>Corporate</v>
      </c>
      <c r="U764" s="45">
        <f>VLOOKUP(OrdersRawTable9[[#This Row],[Product_ID]],ProductsTable10[],4,FALSE)</f>
        <v>98.11</v>
      </c>
      <c r="V764" t="str">
        <f>VLOOKUP(OrdersRawTable9[[#This Row],[Product_ID]],ProductsTable10[],3,FALSE)</f>
        <v>Home</v>
      </c>
      <c r="W764" s="45">
        <f>OrdersRawTable9[[#This Row],[Unit_Price]]*OrdersRawTable9[[#This Row],[Quantity]]</f>
        <v>551.18999999999994</v>
      </c>
      <c r="X764" s="47">
        <f>OrdersRawTable9[[#This Row],[Gross_Sales]]*OrdersRawTable9[[#This Row],[Discount_Pct]]</f>
        <v>82.678499999999985</v>
      </c>
      <c r="Y764" s="45">
        <f>OrdersRawTable9[[#This Row],[Gross_Sales]]-OrdersRawTable9[[#This Row],[Discount_Amount]]</f>
        <v>468.51149999999996</v>
      </c>
      <c r="Z764" s="45">
        <f>OrdersRawTable9[[#This Row],[Unit_Cost]]*OrdersRawTable9[[#This Row],[Quantity]]</f>
        <v>294.33</v>
      </c>
      <c r="AA764" s="45">
        <f>OrdersRawTable9[[#This Row],[Net_Sales]]-OrdersRawTable9[[#This Row],[Total_Cost]]</f>
        <v>174.18149999999997</v>
      </c>
      <c r="AB764" s="48">
        <f>IF(OrdersRawTable9[[#This Row],[Net_Sales]]=0,0,OrdersRawTable9[[#This Row],[Profit]]/OrdersRawTable9[[#This Row],[Net_Sales]])</f>
        <v>0.37177635981187224</v>
      </c>
      <c r="AC764" s="45" t="str">
        <f>IF(COUNTIF(ReturnsRawTable[Order_Line_ID],OrdersRawTable9[[#This Row],[Order_Line_ID]])&gt;0,"Yes","No")</f>
        <v>No</v>
      </c>
      <c r="AD764" s="45" t="str">
        <f>IFERROR(VLOOKUP(OrdersRawTable9[[#This Row],[Order_Line_ID]],ReturnsRawTable[[#All],[Order_Line_ID]:[Return_Reason_Raw]],3,FALSE),"")</f>
        <v/>
      </c>
      <c r="AE764" s="49" t="str">
        <f>IFERROR(VLOOKUP(OrdersRawTable9[[#This Row],[Order_Line_ID]],ReturnsRawTable[[#All],[Order_Line_ID]:[Return_Date]],2,FALSE),"")</f>
        <v/>
      </c>
      <c r="AF764" s="45" t="str">
        <f>IFERROR(VLOOKUP(OrdersRawTable9[[#This Row],[Order_Line_ID]],ReturnsRawTable[[Order_Line_ID]:[Refund_Status]],4,FALSE),"")</f>
        <v/>
      </c>
      <c r="AG764" s="45" t="str">
        <f>VLOOKUP(OrdersRawTable9[[#This Row],[Order_ID]],ShipmentsTable[],6,FALSE)</f>
        <v>Late</v>
      </c>
      <c r="AH764" s="49">
        <f>VLOOKUP(OrdersRawTable9[[#This Row],[Order_ID]],ShipmentsTable[],3,FALSE)</f>
        <v>45766</v>
      </c>
    </row>
    <row r="765" spans="1:34" ht="15" customHeight="1">
      <c r="A765" s="14" t="s">
        <v>1468</v>
      </c>
      <c r="B765" s="10" t="s">
        <v>1469</v>
      </c>
      <c r="C765" s="20">
        <v>45993</v>
      </c>
      <c r="D765" s="10" t="s">
        <v>134</v>
      </c>
      <c r="E765" s="10" t="s">
        <v>135</v>
      </c>
      <c r="F765" s="10" t="str">
        <f>TRIM(LEFT(OrdersRawTable9[[#This Row],[Customer_Info]],FIND(",",OrdersRawTable9[[#This Row],[Customer_Info]])-1))</f>
        <v>Emma Tremblay</v>
      </c>
      <c r="G76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765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65" s="10">
        <f>LEN(OrdersRawTable9[[#This Row],[Customer_Info]])-LEN(SUBSTITUTE(OrdersRawTable9[[#This Row],[Customer_Info]],",",""))</f>
        <v>2</v>
      </c>
      <c r="J765" s="10" t="s">
        <v>303</v>
      </c>
      <c r="K765" s="23">
        <v>4</v>
      </c>
      <c r="L765" s="26">
        <v>72.81</v>
      </c>
      <c r="M765" s="29">
        <v>0.05</v>
      </c>
      <c r="N765" s="10" t="s">
        <v>50</v>
      </c>
      <c r="O765" s="10" t="str">
        <f>IF(TRIM(OrdersRawTable9[[#This Row],[Sales_Channel_Raw]])="Market place","Marketplace",TRIM(OrdersRawTable9[[#This Row],[Sales_Channel_Raw]]))</f>
        <v>Marketplace</v>
      </c>
      <c r="P765" s="10" t="s">
        <v>98</v>
      </c>
      <c r="Q765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765" s="15" t="s">
        <v>52</v>
      </c>
      <c r="S765" t="str">
        <f>VLOOKUP(OrdersRawTable9[[#This Row],[Customer_ID_Raw]],CustomersTable11[],4,FALSE)</f>
        <v>Alberta</v>
      </c>
      <c r="T765" t="str">
        <f>VLOOKUP(OrdersRawTable9[[#This Row],[Customer_ID_Raw]],CustomersTable11[],5,FALSE)</f>
        <v>Consumer</v>
      </c>
      <c r="U765" s="45">
        <f>VLOOKUP(OrdersRawTable9[[#This Row],[Product_ID]],ProductsTable10[],4,FALSE)</f>
        <v>37.99</v>
      </c>
      <c r="V765" t="str">
        <f>VLOOKUP(OrdersRawTable9[[#This Row],[Product_ID]],ProductsTable10[],3,FALSE)</f>
        <v>Accessories</v>
      </c>
      <c r="W765" s="45">
        <f>OrdersRawTable9[[#This Row],[Unit_Price]]*OrdersRawTable9[[#This Row],[Quantity]]</f>
        <v>291.24</v>
      </c>
      <c r="X765" s="47">
        <f>OrdersRawTable9[[#This Row],[Gross_Sales]]*OrdersRawTable9[[#This Row],[Discount_Pct]]</f>
        <v>14.562000000000001</v>
      </c>
      <c r="Y765" s="45">
        <f>OrdersRawTable9[[#This Row],[Gross_Sales]]-OrdersRawTable9[[#This Row],[Discount_Amount]]</f>
        <v>276.678</v>
      </c>
      <c r="Z765" s="45">
        <f>OrdersRawTable9[[#This Row],[Unit_Cost]]*OrdersRawTable9[[#This Row],[Quantity]]</f>
        <v>151.96</v>
      </c>
      <c r="AA765" s="45">
        <f>OrdersRawTable9[[#This Row],[Net_Sales]]-OrdersRawTable9[[#This Row],[Total_Cost]]</f>
        <v>124.71799999999999</v>
      </c>
      <c r="AB765" s="48">
        <f>IF(OrdersRawTable9[[#This Row],[Net_Sales]]=0,0,OrdersRawTable9[[#This Row],[Profit]]/OrdersRawTable9[[#This Row],[Net_Sales]])</f>
        <v>0.45076948655115329</v>
      </c>
      <c r="AC765" s="45" t="str">
        <f>IF(COUNTIF(ReturnsRawTable[Order_Line_ID],OrdersRawTable9[[#This Row],[Order_Line_ID]])&gt;0,"Yes","No")</f>
        <v>Yes</v>
      </c>
      <c r="AD765" s="45" t="str">
        <f>IFERROR(VLOOKUP(OrdersRawTable9[[#This Row],[Order_Line_ID]],ReturnsRawTable[[#All],[Order_Line_ID]:[Return_Reason_Raw]],3,FALSE),"")</f>
        <v>Changed Mind</v>
      </c>
      <c r="AE765" s="49">
        <f>IFERROR(VLOOKUP(OrdersRawTable9[[#This Row],[Order_Line_ID]],ReturnsRawTable[[#All],[Order_Line_ID]:[Return_Date]],2,FALSE),"")</f>
        <v>46014</v>
      </c>
      <c r="AF765" s="45" t="str">
        <f>IFERROR(VLOOKUP(OrdersRawTable9[[#This Row],[Order_Line_ID]],ReturnsRawTable[[Order_Line_ID]:[Refund_Status]],4,FALSE),"")</f>
        <v>Refunded</v>
      </c>
      <c r="AG765" s="45" t="str">
        <f>VLOOKUP(OrdersRawTable9[[#This Row],[Order_ID]],ShipmentsTable[],6,FALSE)</f>
        <v>Late</v>
      </c>
      <c r="AH765" s="49">
        <f>VLOOKUP(OrdersRawTable9[[#This Row],[Order_ID]],ShipmentsTable[],3,FALSE)</f>
        <v>46000</v>
      </c>
    </row>
    <row r="766" spans="1:34" ht="15" customHeight="1">
      <c r="A766" s="14" t="s">
        <v>1470</v>
      </c>
      <c r="B766" s="10" t="s">
        <v>1469</v>
      </c>
      <c r="C766" s="20">
        <v>45993</v>
      </c>
      <c r="D766" s="10" t="s">
        <v>134</v>
      </c>
      <c r="E766" s="10" t="s">
        <v>135</v>
      </c>
      <c r="F766" s="10" t="str">
        <f>TRIM(LEFT(OrdersRawTable9[[#This Row],[Customer_Info]],FIND(",",OrdersRawTable9[[#This Row],[Customer_Info]])-1))</f>
        <v>Emma Tremblay</v>
      </c>
      <c r="G76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766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66" s="10">
        <f>LEN(OrdersRawTable9[[#This Row],[Customer_Info]])-LEN(SUBSTITUTE(OrdersRawTable9[[#This Row],[Customer_Info]],",",""))</f>
        <v>2</v>
      </c>
      <c r="J766" s="10" t="s">
        <v>468</v>
      </c>
      <c r="K766" s="23">
        <v>3</v>
      </c>
      <c r="L766" s="26">
        <v>160</v>
      </c>
      <c r="M766" s="29">
        <v>0</v>
      </c>
      <c r="N766" s="10" t="s">
        <v>70</v>
      </c>
      <c r="O766" s="10" t="str">
        <f>IF(TRIM(OrdersRawTable9[[#This Row],[Sales_Channel_Raw]])="Market place","Marketplace",TRIM(OrdersRawTable9[[#This Row],[Sales_Channel_Raw]]))</f>
        <v>online</v>
      </c>
      <c r="P766" s="10" t="s">
        <v>46</v>
      </c>
      <c r="Q766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766" s="15" t="s">
        <v>42</v>
      </c>
      <c r="S766" t="str">
        <f>VLOOKUP(OrdersRawTable9[[#This Row],[Customer_ID_Raw]],CustomersTable11[],4,FALSE)</f>
        <v>Alberta</v>
      </c>
      <c r="T766" t="str">
        <f>VLOOKUP(OrdersRawTable9[[#This Row],[Customer_ID_Raw]],CustomersTable11[],5,FALSE)</f>
        <v>Consumer</v>
      </c>
      <c r="U766" s="45">
        <f>VLOOKUP(OrdersRawTable9[[#This Row],[Product_ID]],ProductsTable10[],4,FALSE)</f>
        <v>101.58</v>
      </c>
      <c r="V766" t="str">
        <f>VLOOKUP(OrdersRawTable9[[#This Row],[Product_ID]],ProductsTable10[],3,FALSE)</f>
        <v>Fitness</v>
      </c>
      <c r="W766" s="45">
        <f>OrdersRawTable9[[#This Row],[Unit_Price]]*OrdersRawTable9[[#This Row],[Quantity]]</f>
        <v>480</v>
      </c>
      <c r="X766" s="47">
        <f>OrdersRawTable9[[#This Row],[Gross_Sales]]*OrdersRawTable9[[#This Row],[Discount_Pct]]</f>
        <v>0</v>
      </c>
      <c r="Y766" s="45">
        <f>OrdersRawTable9[[#This Row],[Gross_Sales]]-OrdersRawTable9[[#This Row],[Discount_Amount]]</f>
        <v>480</v>
      </c>
      <c r="Z766" s="45">
        <f>OrdersRawTable9[[#This Row],[Unit_Cost]]*OrdersRawTable9[[#This Row],[Quantity]]</f>
        <v>304.74</v>
      </c>
      <c r="AA766" s="45">
        <f>OrdersRawTable9[[#This Row],[Net_Sales]]-OrdersRawTable9[[#This Row],[Total_Cost]]</f>
        <v>175.26</v>
      </c>
      <c r="AB766" s="48">
        <f>IF(OrdersRawTable9[[#This Row],[Net_Sales]]=0,0,OrdersRawTable9[[#This Row],[Profit]]/OrdersRawTable9[[#This Row],[Net_Sales]])</f>
        <v>0.36512499999999998</v>
      </c>
      <c r="AC766" s="45" t="str">
        <f>IF(COUNTIF(ReturnsRawTable[Order_Line_ID],OrdersRawTable9[[#This Row],[Order_Line_ID]])&gt;0,"Yes","No")</f>
        <v>No</v>
      </c>
      <c r="AD766" s="45" t="str">
        <f>IFERROR(VLOOKUP(OrdersRawTable9[[#This Row],[Order_Line_ID]],ReturnsRawTable[[#All],[Order_Line_ID]:[Return_Reason_Raw]],3,FALSE),"")</f>
        <v/>
      </c>
      <c r="AE766" s="49" t="str">
        <f>IFERROR(VLOOKUP(OrdersRawTable9[[#This Row],[Order_Line_ID]],ReturnsRawTable[[#All],[Order_Line_ID]:[Return_Date]],2,FALSE),"")</f>
        <v/>
      </c>
      <c r="AF766" s="45" t="str">
        <f>IFERROR(VLOOKUP(OrdersRawTable9[[#This Row],[Order_Line_ID]],ReturnsRawTable[[Order_Line_ID]:[Refund_Status]],4,FALSE),"")</f>
        <v/>
      </c>
      <c r="AG766" s="45" t="str">
        <f>VLOOKUP(OrdersRawTable9[[#This Row],[Order_ID]],ShipmentsTable[],6,FALSE)</f>
        <v>Late</v>
      </c>
      <c r="AH766" s="49">
        <f>VLOOKUP(OrdersRawTable9[[#This Row],[Order_ID]],ShipmentsTable[],3,FALSE)</f>
        <v>46000</v>
      </c>
    </row>
    <row r="767" spans="1:34" ht="15" customHeight="1">
      <c r="A767" s="14" t="s">
        <v>1471</v>
      </c>
      <c r="B767" s="10" t="s">
        <v>1472</v>
      </c>
      <c r="C767" s="20">
        <v>45873</v>
      </c>
      <c r="D767" s="10" t="s">
        <v>340</v>
      </c>
      <c r="E767" s="10" t="s">
        <v>341</v>
      </c>
      <c r="F767" s="10" t="str">
        <f>TRIM(LEFT(OrdersRawTable9[[#This Row],[Customer_Info]],FIND(",",OrdersRawTable9[[#This Row],[Customer_Info]])-1))</f>
        <v>Emma Ali</v>
      </c>
      <c r="G76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767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767" s="10">
        <f>LEN(OrdersRawTable9[[#This Row],[Customer_Info]])-LEN(SUBSTITUTE(OrdersRawTable9[[#This Row],[Customer_Info]],",",""))</f>
        <v>2</v>
      </c>
      <c r="J767" s="10" t="s">
        <v>136</v>
      </c>
      <c r="K767" s="23">
        <v>1</v>
      </c>
      <c r="L767" s="26">
        <v>141.46</v>
      </c>
      <c r="M767" s="29">
        <v>0</v>
      </c>
      <c r="N767" s="10" t="s">
        <v>45</v>
      </c>
      <c r="O767" s="10" t="str">
        <f>IF(TRIM(OrdersRawTable9[[#This Row],[Sales_Channel_Raw]])="Market place","Marketplace",TRIM(OrdersRawTable9[[#This Row],[Sales_Channel_Raw]]))</f>
        <v>Retail Store</v>
      </c>
      <c r="P767" s="10" t="s">
        <v>41</v>
      </c>
      <c r="Q767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767" s="15" t="s">
        <v>101</v>
      </c>
      <c r="S767" t="str">
        <f>VLOOKUP(OrdersRawTable9[[#This Row],[Customer_ID_Raw]],CustomersTable11[],4,FALSE)</f>
        <v>Alberta</v>
      </c>
      <c r="T767" t="str">
        <f>VLOOKUP(OrdersRawTable9[[#This Row],[Customer_ID_Raw]],CustomersTable11[],5,FALSE)</f>
        <v>Small Business</v>
      </c>
      <c r="U767" s="45">
        <f>VLOOKUP(OrdersRawTable9[[#This Row],[Product_ID]],ProductsTable10[],4,FALSE)</f>
        <v>78.650000000000006</v>
      </c>
      <c r="V767" t="str">
        <f>VLOOKUP(OrdersRawTable9[[#This Row],[Product_ID]],ProductsTable10[],3,FALSE)</f>
        <v>Fitness</v>
      </c>
      <c r="W767" s="45">
        <f>OrdersRawTable9[[#This Row],[Unit_Price]]*OrdersRawTable9[[#This Row],[Quantity]]</f>
        <v>141.46</v>
      </c>
      <c r="X767" s="47">
        <f>OrdersRawTable9[[#This Row],[Gross_Sales]]*OrdersRawTable9[[#This Row],[Discount_Pct]]</f>
        <v>0</v>
      </c>
      <c r="Y767" s="45">
        <f>OrdersRawTable9[[#This Row],[Gross_Sales]]-OrdersRawTable9[[#This Row],[Discount_Amount]]</f>
        <v>141.46</v>
      </c>
      <c r="Z767" s="45">
        <f>OrdersRawTable9[[#This Row],[Unit_Cost]]*OrdersRawTable9[[#This Row],[Quantity]]</f>
        <v>78.650000000000006</v>
      </c>
      <c r="AA767" s="45">
        <f>OrdersRawTable9[[#This Row],[Net_Sales]]-OrdersRawTable9[[#This Row],[Total_Cost]]</f>
        <v>62.81</v>
      </c>
      <c r="AB767" s="48">
        <f>IF(OrdersRawTable9[[#This Row],[Net_Sales]]=0,0,OrdersRawTable9[[#This Row],[Profit]]/OrdersRawTable9[[#This Row],[Net_Sales]])</f>
        <v>0.44401244167962672</v>
      </c>
      <c r="AC767" s="45" t="str">
        <f>IF(COUNTIF(ReturnsRawTable[Order_Line_ID],OrdersRawTable9[[#This Row],[Order_Line_ID]])&gt;0,"Yes","No")</f>
        <v>No</v>
      </c>
      <c r="AD767" s="45" t="str">
        <f>IFERROR(VLOOKUP(OrdersRawTable9[[#This Row],[Order_Line_ID]],ReturnsRawTable[[#All],[Order_Line_ID]:[Return_Reason_Raw]],3,FALSE),"")</f>
        <v/>
      </c>
      <c r="AE767" s="49" t="str">
        <f>IFERROR(VLOOKUP(OrdersRawTable9[[#This Row],[Order_Line_ID]],ReturnsRawTable[[#All],[Order_Line_ID]:[Return_Date]],2,FALSE),"")</f>
        <v/>
      </c>
      <c r="AF767" s="45" t="str">
        <f>IFERROR(VLOOKUP(OrdersRawTable9[[#This Row],[Order_Line_ID]],ReturnsRawTable[[Order_Line_ID]:[Refund_Status]],4,FALSE),"")</f>
        <v/>
      </c>
      <c r="AG767" s="45" t="str">
        <f>VLOOKUP(OrdersRawTable9[[#This Row],[Order_ID]],ShipmentsTable[],6,FALSE)</f>
        <v>On time</v>
      </c>
      <c r="AH767" s="49">
        <f>VLOOKUP(OrdersRawTable9[[#This Row],[Order_ID]],ShipmentsTable[],3,FALSE)</f>
        <v>45876</v>
      </c>
    </row>
    <row r="768" spans="1:34" ht="15" customHeight="1">
      <c r="A768" s="14" t="s">
        <v>1473</v>
      </c>
      <c r="B768" s="10" t="s">
        <v>1472</v>
      </c>
      <c r="C768" s="20">
        <v>45873</v>
      </c>
      <c r="D768" s="10" t="s">
        <v>340</v>
      </c>
      <c r="E768" s="10" t="s">
        <v>341</v>
      </c>
      <c r="F768" s="10" t="str">
        <f>TRIM(LEFT(OrdersRawTable9[[#This Row],[Customer_Info]],FIND(",",OrdersRawTable9[[#This Row],[Customer_Info]])-1))</f>
        <v>Emma Ali</v>
      </c>
      <c r="G76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768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768" s="10">
        <f>LEN(OrdersRawTable9[[#This Row],[Customer_Info]])-LEN(SUBSTITUTE(OrdersRawTable9[[#This Row],[Customer_Info]],",",""))</f>
        <v>2</v>
      </c>
      <c r="J768" s="10" t="s">
        <v>468</v>
      </c>
      <c r="K768" s="23">
        <v>4</v>
      </c>
      <c r="L768" s="26">
        <v>160</v>
      </c>
      <c r="M768" s="29">
        <v>0.1</v>
      </c>
      <c r="N768" s="10" t="s">
        <v>70</v>
      </c>
      <c r="O768" s="10" t="str">
        <f>IF(TRIM(OrdersRawTable9[[#This Row],[Sales_Channel_Raw]])="Market place","Marketplace",TRIM(OrdersRawTable9[[#This Row],[Sales_Channel_Raw]]))</f>
        <v>online</v>
      </c>
      <c r="P768" s="10" t="s">
        <v>58</v>
      </c>
      <c r="Q768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768" s="15" t="s">
        <v>52</v>
      </c>
      <c r="S768" t="str">
        <f>VLOOKUP(OrdersRawTable9[[#This Row],[Customer_ID_Raw]],CustomersTable11[],4,FALSE)</f>
        <v>Alberta</v>
      </c>
      <c r="T768" t="str">
        <f>VLOOKUP(OrdersRawTable9[[#This Row],[Customer_ID_Raw]],CustomersTable11[],5,FALSE)</f>
        <v>Small Business</v>
      </c>
      <c r="U768" s="45">
        <f>VLOOKUP(OrdersRawTable9[[#This Row],[Product_ID]],ProductsTable10[],4,FALSE)</f>
        <v>101.58</v>
      </c>
      <c r="V768" t="str">
        <f>VLOOKUP(OrdersRawTable9[[#This Row],[Product_ID]],ProductsTable10[],3,FALSE)</f>
        <v>Fitness</v>
      </c>
      <c r="W768" s="45">
        <f>OrdersRawTable9[[#This Row],[Unit_Price]]*OrdersRawTable9[[#This Row],[Quantity]]</f>
        <v>640</v>
      </c>
      <c r="X768" s="47">
        <f>OrdersRawTable9[[#This Row],[Gross_Sales]]*OrdersRawTable9[[#This Row],[Discount_Pct]]</f>
        <v>64</v>
      </c>
      <c r="Y768" s="45">
        <f>OrdersRawTable9[[#This Row],[Gross_Sales]]-OrdersRawTable9[[#This Row],[Discount_Amount]]</f>
        <v>576</v>
      </c>
      <c r="Z768" s="45">
        <f>OrdersRawTable9[[#This Row],[Unit_Cost]]*OrdersRawTable9[[#This Row],[Quantity]]</f>
        <v>406.32</v>
      </c>
      <c r="AA768" s="45">
        <f>OrdersRawTable9[[#This Row],[Net_Sales]]-OrdersRawTable9[[#This Row],[Total_Cost]]</f>
        <v>169.68</v>
      </c>
      <c r="AB768" s="48">
        <f>IF(OrdersRawTable9[[#This Row],[Net_Sales]]=0,0,OrdersRawTable9[[#This Row],[Profit]]/OrdersRawTable9[[#This Row],[Net_Sales]])</f>
        <v>0.29458333333333336</v>
      </c>
      <c r="AC768" s="45" t="str">
        <f>IF(COUNTIF(ReturnsRawTable[Order_Line_ID],OrdersRawTable9[[#This Row],[Order_Line_ID]])&gt;0,"Yes","No")</f>
        <v>No</v>
      </c>
      <c r="AD768" s="45" t="str">
        <f>IFERROR(VLOOKUP(OrdersRawTable9[[#This Row],[Order_Line_ID]],ReturnsRawTable[[#All],[Order_Line_ID]:[Return_Reason_Raw]],3,FALSE),"")</f>
        <v/>
      </c>
      <c r="AE768" s="49" t="str">
        <f>IFERROR(VLOOKUP(OrdersRawTable9[[#This Row],[Order_Line_ID]],ReturnsRawTable[[#All],[Order_Line_ID]:[Return_Date]],2,FALSE),"")</f>
        <v/>
      </c>
      <c r="AF768" s="45" t="str">
        <f>IFERROR(VLOOKUP(OrdersRawTable9[[#This Row],[Order_Line_ID]],ReturnsRawTable[[Order_Line_ID]:[Refund_Status]],4,FALSE),"")</f>
        <v/>
      </c>
      <c r="AG768" s="45" t="str">
        <f>VLOOKUP(OrdersRawTable9[[#This Row],[Order_ID]],ShipmentsTable[],6,FALSE)</f>
        <v>On time</v>
      </c>
      <c r="AH768" s="49">
        <f>VLOOKUP(OrdersRawTable9[[#This Row],[Order_ID]],ShipmentsTable[],3,FALSE)</f>
        <v>45876</v>
      </c>
    </row>
    <row r="769" spans="1:34" ht="15" customHeight="1">
      <c r="A769" s="14" t="s">
        <v>1474</v>
      </c>
      <c r="B769" s="10" t="s">
        <v>1475</v>
      </c>
      <c r="C769" s="20">
        <v>45698</v>
      </c>
      <c r="D769" s="10" t="s">
        <v>572</v>
      </c>
      <c r="E769" s="10" t="s">
        <v>569</v>
      </c>
      <c r="F769" s="10" t="str">
        <f>TRIM(LEFT(OrdersRawTable9[[#This Row],[Customer_Info]],FIND(",",OrdersRawTable9[[#This Row],[Customer_Info]])-1))</f>
        <v>Sofia Dubois</v>
      </c>
      <c r="G76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769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769" s="10">
        <f>LEN(OrdersRawTable9[[#This Row],[Customer_Info]])-LEN(SUBSTITUTE(OrdersRawTable9[[#This Row],[Customer_Info]],",",""))</f>
        <v>2</v>
      </c>
      <c r="J769" s="10" t="s">
        <v>88</v>
      </c>
      <c r="K769" s="23">
        <v>1</v>
      </c>
      <c r="L769" s="26">
        <v>147.46</v>
      </c>
      <c r="M769" s="29">
        <v>0.05</v>
      </c>
      <c r="N769" s="10" t="s">
        <v>70</v>
      </c>
      <c r="O769" s="10" t="str">
        <f>IF(TRIM(OrdersRawTable9[[#This Row],[Sales_Channel_Raw]])="Market place","Marketplace",TRIM(OrdersRawTable9[[#This Row],[Sales_Channel_Raw]]))</f>
        <v>online</v>
      </c>
      <c r="P769" s="10" t="s">
        <v>58</v>
      </c>
      <c r="Q769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769" s="15" t="s">
        <v>52</v>
      </c>
      <c r="S769" t="str">
        <f>VLOOKUP(OrdersRawTable9[[#This Row],[Customer_ID_Raw]],CustomersTable11[],4,FALSE)</f>
        <v>Quebec</v>
      </c>
      <c r="T769" t="str">
        <f>VLOOKUP(OrdersRawTable9[[#This Row],[Customer_ID_Raw]],CustomersTable11[],5,FALSE)</f>
        <v>Corporate</v>
      </c>
      <c r="U769" s="45">
        <f>VLOOKUP(OrdersRawTable9[[#This Row],[Product_ID]],ProductsTable10[],4,FALSE)</f>
        <v>100.95</v>
      </c>
      <c r="V769" t="str">
        <f>VLOOKUP(OrdersRawTable9[[#This Row],[Product_ID]],ProductsTable10[],3,FALSE)</f>
        <v>Electronics</v>
      </c>
      <c r="W769" s="45">
        <f>OrdersRawTable9[[#This Row],[Unit_Price]]*OrdersRawTable9[[#This Row],[Quantity]]</f>
        <v>147.46</v>
      </c>
      <c r="X769" s="47">
        <f>OrdersRawTable9[[#This Row],[Gross_Sales]]*OrdersRawTable9[[#This Row],[Discount_Pct]]</f>
        <v>7.3730000000000011</v>
      </c>
      <c r="Y769" s="45">
        <f>OrdersRawTable9[[#This Row],[Gross_Sales]]-OrdersRawTable9[[#This Row],[Discount_Amount]]</f>
        <v>140.08700000000002</v>
      </c>
      <c r="Z769" s="45">
        <f>OrdersRawTable9[[#This Row],[Unit_Cost]]*OrdersRawTable9[[#This Row],[Quantity]]</f>
        <v>100.95</v>
      </c>
      <c r="AA769" s="45">
        <f>OrdersRawTable9[[#This Row],[Net_Sales]]-OrdersRawTable9[[#This Row],[Total_Cost]]</f>
        <v>39.137000000000015</v>
      </c>
      <c r="AB769" s="48">
        <f>IF(OrdersRawTable9[[#This Row],[Net_Sales]]=0,0,OrdersRawTable9[[#This Row],[Profit]]/OrdersRawTable9[[#This Row],[Net_Sales]])</f>
        <v>0.27937638753060606</v>
      </c>
      <c r="AC769" s="45" t="str">
        <f>IF(COUNTIF(ReturnsRawTable[Order_Line_ID],OrdersRawTable9[[#This Row],[Order_Line_ID]])&gt;0,"Yes","No")</f>
        <v>No</v>
      </c>
      <c r="AD769" s="45" t="str">
        <f>IFERROR(VLOOKUP(OrdersRawTable9[[#This Row],[Order_Line_ID]],ReturnsRawTable[[#All],[Order_Line_ID]:[Return_Reason_Raw]],3,FALSE),"")</f>
        <v/>
      </c>
      <c r="AE769" s="49" t="str">
        <f>IFERROR(VLOOKUP(OrdersRawTable9[[#This Row],[Order_Line_ID]],ReturnsRawTable[[#All],[Order_Line_ID]:[Return_Date]],2,FALSE),"")</f>
        <v/>
      </c>
      <c r="AF769" s="45" t="str">
        <f>IFERROR(VLOOKUP(OrdersRawTable9[[#This Row],[Order_Line_ID]],ReturnsRawTable[[Order_Line_ID]:[Refund_Status]],4,FALSE),"")</f>
        <v/>
      </c>
      <c r="AG769" s="45" t="str">
        <f>VLOOKUP(OrdersRawTable9[[#This Row],[Order_ID]],ShipmentsTable[],6,FALSE)</f>
        <v>On time</v>
      </c>
      <c r="AH769" s="49">
        <f>VLOOKUP(OrdersRawTable9[[#This Row],[Order_ID]],ShipmentsTable[],3,FALSE)</f>
        <v>45702</v>
      </c>
    </row>
    <row r="770" spans="1:34" ht="15" customHeight="1">
      <c r="A770" s="14" t="s">
        <v>1476</v>
      </c>
      <c r="B770" s="10" t="s">
        <v>1475</v>
      </c>
      <c r="C770" s="20">
        <v>45698</v>
      </c>
      <c r="D770" s="10" t="s">
        <v>572</v>
      </c>
      <c r="E770" s="10" t="s">
        <v>569</v>
      </c>
      <c r="F770" s="10" t="str">
        <f>TRIM(LEFT(OrdersRawTable9[[#This Row],[Customer_Info]],FIND(",",OrdersRawTable9[[#This Row],[Customer_Info]])-1))</f>
        <v>Sofia Dubois</v>
      </c>
      <c r="G77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770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770" s="10">
        <f>LEN(OrdersRawTable9[[#This Row],[Customer_Info]])-LEN(SUBSTITUTE(OrdersRawTable9[[#This Row],[Customer_Info]],",",""))</f>
        <v>2</v>
      </c>
      <c r="J770" s="10" t="s">
        <v>428</v>
      </c>
      <c r="K770" s="23">
        <v>4</v>
      </c>
      <c r="L770" s="26">
        <v>110.88</v>
      </c>
      <c r="M770" s="29">
        <v>0.15</v>
      </c>
      <c r="N770" s="10" t="s">
        <v>64</v>
      </c>
      <c r="O770" s="10" t="str">
        <f>IF(TRIM(OrdersRawTable9[[#This Row],[Sales_Channel_Raw]])="Market place","Marketplace",TRIM(OrdersRawTable9[[#This Row],[Sales_Channel_Raw]]))</f>
        <v>Retail Store</v>
      </c>
      <c r="P770" s="10"/>
      <c r="Q770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770" s="15" t="s">
        <v>42</v>
      </c>
      <c r="S770" t="str">
        <f>VLOOKUP(OrdersRawTable9[[#This Row],[Customer_ID_Raw]],CustomersTable11[],4,FALSE)</f>
        <v>Quebec</v>
      </c>
      <c r="T770" t="str">
        <f>VLOOKUP(OrdersRawTable9[[#This Row],[Customer_ID_Raw]],CustomersTable11[],5,FALSE)</f>
        <v>Corporate</v>
      </c>
      <c r="U770" s="45">
        <f>VLOOKUP(OrdersRawTable9[[#This Row],[Product_ID]],ProductsTable10[],4,FALSE)</f>
        <v>57.09</v>
      </c>
      <c r="V770" t="str">
        <f>VLOOKUP(OrdersRawTable9[[#This Row],[Product_ID]],ProductsTable10[],3,FALSE)</f>
        <v>Electronics</v>
      </c>
      <c r="W770" s="45">
        <f>OrdersRawTable9[[#This Row],[Unit_Price]]*OrdersRawTable9[[#This Row],[Quantity]]</f>
        <v>443.52</v>
      </c>
      <c r="X770" s="47">
        <f>OrdersRawTable9[[#This Row],[Gross_Sales]]*OrdersRawTable9[[#This Row],[Discount_Pct]]</f>
        <v>66.527999999999992</v>
      </c>
      <c r="Y770" s="45">
        <f>OrdersRawTable9[[#This Row],[Gross_Sales]]-OrdersRawTable9[[#This Row],[Discount_Amount]]</f>
        <v>376.99199999999996</v>
      </c>
      <c r="Z770" s="45">
        <f>OrdersRawTable9[[#This Row],[Unit_Cost]]*OrdersRawTable9[[#This Row],[Quantity]]</f>
        <v>228.36</v>
      </c>
      <c r="AA770" s="45">
        <f>OrdersRawTable9[[#This Row],[Net_Sales]]-OrdersRawTable9[[#This Row],[Total_Cost]]</f>
        <v>148.63199999999995</v>
      </c>
      <c r="AB770" s="48">
        <f>IF(OrdersRawTable9[[#This Row],[Net_Sales]]=0,0,OrdersRawTable9[[#This Row],[Profit]]/OrdersRawTable9[[#This Row],[Net_Sales]])</f>
        <v>0.39425770308123237</v>
      </c>
      <c r="AC770" s="45" t="str">
        <f>IF(COUNTIF(ReturnsRawTable[Order_Line_ID],OrdersRawTable9[[#This Row],[Order_Line_ID]])&gt;0,"Yes","No")</f>
        <v>No</v>
      </c>
      <c r="AD770" s="45" t="str">
        <f>IFERROR(VLOOKUP(OrdersRawTable9[[#This Row],[Order_Line_ID]],ReturnsRawTable[[#All],[Order_Line_ID]:[Return_Reason_Raw]],3,FALSE),"")</f>
        <v/>
      </c>
      <c r="AE770" s="49" t="str">
        <f>IFERROR(VLOOKUP(OrdersRawTable9[[#This Row],[Order_Line_ID]],ReturnsRawTable[[#All],[Order_Line_ID]:[Return_Date]],2,FALSE),"")</f>
        <v/>
      </c>
      <c r="AF770" s="45" t="str">
        <f>IFERROR(VLOOKUP(OrdersRawTable9[[#This Row],[Order_Line_ID]],ReturnsRawTable[[Order_Line_ID]:[Refund_Status]],4,FALSE),"")</f>
        <v/>
      </c>
      <c r="AG770" s="45" t="str">
        <f>VLOOKUP(OrdersRawTable9[[#This Row],[Order_ID]],ShipmentsTable[],6,FALSE)</f>
        <v>On time</v>
      </c>
      <c r="AH770" s="49">
        <f>VLOOKUP(OrdersRawTable9[[#This Row],[Order_ID]],ShipmentsTable[],3,FALSE)</f>
        <v>45702</v>
      </c>
    </row>
    <row r="771" spans="1:34" ht="15" customHeight="1">
      <c r="A771" s="14" t="s">
        <v>1477</v>
      </c>
      <c r="B771" s="10" t="s">
        <v>1475</v>
      </c>
      <c r="C771" s="20">
        <v>45698</v>
      </c>
      <c r="D771" s="10" t="s">
        <v>572</v>
      </c>
      <c r="E771" s="10" t="s">
        <v>569</v>
      </c>
      <c r="F771" s="10" t="str">
        <f>TRIM(LEFT(OrdersRawTable9[[#This Row],[Customer_Info]],FIND(",",OrdersRawTable9[[#This Row],[Customer_Info]])-1))</f>
        <v>Sofia Dubois</v>
      </c>
      <c r="G77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771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771" s="10">
        <f>LEN(OrdersRawTable9[[#This Row],[Customer_Info]])-LEN(SUBSTITUTE(OrdersRawTable9[[#This Row],[Customer_Info]],",",""))</f>
        <v>2</v>
      </c>
      <c r="J771" s="10" t="s">
        <v>276</v>
      </c>
      <c r="K771" s="23">
        <v>2</v>
      </c>
      <c r="L771" s="26">
        <v>182.94</v>
      </c>
      <c r="M771" s="29">
        <v>0.1</v>
      </c>
      <c r="N771" s="10" t="s">
        <v>66</v>
      </c>
      <c r="O771" s="10" t="str">
        <f>IF(TRIM(OrdersRawTable9[[#This Row],[Sales_Channel_Raw]])="Market place","Marketplace",TRIM(OrdersRawTable9[[#This Row],[Sales_Channel_Raw]]))</f>
        <v>Marketplace</v>
      </c>
      <c r="P771" s="10" t="s">
        <v>51</v>
      </c>
      <c r="Q771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771" s="15" t="s">
        <v>52</v>
      </c>
      <c r="S771" t="str">
        <f>VLOOKUP(OrdersRawTable9[[#This Row],[Customer_ID_Raw]],CustomersTable11[],4,FALSE)</f>
        <v>Quebec</v>
      </c>
      <c r="T771" t="str">
        <f>VLOOKUP(OrdersRawTable9[[#This Row],[Customer_ID_Raw]],CustomersTable11[],5,FALSE)</f>
        <v>Corporate</v>
      </c>
      <c r="U771" s="45">
        <f>VLOOKUP(OrdersRawTable9[[#This Row],[Product_ID]],ProductsTable10[],4,FALSE)</f>
        <v>118.95</v>
      </c>
      <c r="V771" t="str">
        <f>VLOOKUP(OrdersRawTable9[[#This Row],[Product_ID]],ProductsTable10[],3,FALSE)</f>
        <v>Fitness</v>
      </c>
      <c r="W771" s="45">
        <f>OrdersRawTable9[[#This Row],[Unit_Price]]*OrdersRawTable9[[#This Row],[Quantity]]</f>
        <v>365.88</v>
      </c>
      <c r="X771" s="47">
        <f>OrdersRawTable9[[#This Row],[Gross_Sales]]*OrdersRawTable9[[#This Row],[Discount_Pct]]</f>
        <v>36.588000000000001</v>
      </c>
      <c r="Y771" s="45">
        <f>OrdersRawTable9[[#This Row],[Gross_Sales]]-OrdersRawTable9[[#This Row],[Discount_Amount]]</f>
        <v>329.29199999999997</v>
      </c>
      <c r="Z771" s="45">
        <f>OrdersRawTable9[[#This Row],[Unit_Cost]]*OrdersRawTable9[[#This Row],[Quantity]]</f>
        <v>237.9</v>
      </c>
      <c r="AA771" s="45">
        <f>OrdersRawTable9[[#This Row],[Net_Sales]]-OrdersRawTable9[[#This Row],[Total_Cost]]</f>
        <v>91.391999999999967</v>
      </c>
      <c r="AB771" s="48">
        <f>IF(OrdersRawTable9[[#This Row],[Net_Sales]]=0,0,OrdersRawTable9[[#This Row],[Profit]]/OrdersRawTable9[[#This Row],[Net_Sales]])</f>
        <v>0.27754090594366088</v>
      </c>
      <c r="AC771" s="45" t="str">
        <f>IF(COUNTIF(ReturnsRawTable[Order_Line_ID],OrdersRawTable9[[#This Row],[Order_Line_ID]])&gt;0,"Yes","No")</f>
        <v>No</v>
      </c>
      <c r="AD771" s="45" t="str">
        <f>IFERROR(VLOOKUP(OrdersRawTable9[[#This Row],[Order_Line_ID]],ReturnsRawTable[[#All],[Order_Line_ID]:[Return_Reason_Raw]],3,FALSE),"")</f>
        <v/>
      </c>
      <c r="AE771" s="49" t="str">
        <f>IFERROR(VLOOKUP(OrdersRawTable9[[#This Row],[Order_Line_ID]],ReturnsRawTable[[#All],[Order_Line_ID]:[Return_Date]],2,FALSE),"")</f>
        <v/>
      </c>
      <c r="AF771" s="45" t="str">
        <f>IFERROR(VLOOKUP(OrdersRawTable9[[#This Row],[Order_Line_ID]],ReturnsRawTable[[Order_Line_ID]:[Refund_Status]],4,FALSE),"")</f>
        <v/>
      </c>
      <c r="AG771" s="45" t="str">
        <f>VLOOKUP(OrdersRawTable9[[#This Row],[Order_ID]],ShipmentsTable[],6,FALSE)</f>
        <v>On time</v>
      </c>
      <c r="AH771" s="49">
        <f>VLOOKUP(OrdersRawTable9[[#This Row],[Order_ID]],ShipmentsTable[],3,FALSE)</f>
        <v>45702</v>
      </c>
    </row>
    <row r="772" spans="1:34" ht="15" customHeight="1">
      <c r="A772" s="14" t="s">
        <v>1478</v>
      </c>
      <c r="B772" s="10" t="s">
        <v>1479</v>
      </c>
      <c r="C772" s="20">
        <v>46022</v>
      </c>
      <c r="D772" s="10" t="s">
        <v>421</v>
      </c>
      <c r="E772" s="10" t="s">
        <v>422</v>
      </c>
      <c r="F772" s="10" t="str">
        <f>TRIM(LEFT(OrdersRawTable9[[#This Row],[Customer_Info]],FIND(",",OrdersRawTable9[[#This Row],[Customer_Info]])-1))</f>
        <v>Yara Dubois</v>
      </c>
      <c r="G77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772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72" s="10">
        <f>LEN(OrdersRawTable9[[#This Row],[Customer_Info]])-LEN(SUBSTITUTE(OrdersRawTable9[[#This Row],[Customer_Info]],",",""))</f>
        <v>2</v>
      </c>
      <c r="J772" s="10" t="s">
        <v>136</v>
      </c>
      <c r="K772" s="23">
        <v>1</v>
      </c>
      <c r="L772" s="26">
        <v>141.46</v>
      </c>
      <c r="M772" s="29">
        <v>0.1</v>
      </c>
      <c r="N772" s="10" t="s">
        <v>70</v>
      </c>
      <c r="O772" s="10" t="str">
        <f>IF(TRIM(OrdersRawTable9[[#This Row],[Sales_Channel_Raw]])="Market place","Marketplace",TRIM(OrdersRawTable9[[#This Row],[Sales_Channel_Raw]]))</f>
        <v>online</v>
      </c>
      <c r="P772" s="10" t="s">
        <v>41</v>
      </c>
      <c r="Q772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772" s="15" t="s">
        <v>52</v>
      </c>
      <c r="S772" t="str">
        <f>VLOOKUP(OrdersRawTable9[[#This Row],[Customer_ID_Raw]],CustomersTable11[],4,FALSE)</f>
        <v>Ontario</v>
      </c>
      <c r="T772" t="str">
        <f>VLOOKUP(OrdersRawTable9[[#This Row],[Customer_ID_Raw]],CustomersTable11[],5,FALSE)</f>
        <v>Consumer</v>
      </c>
      <c r="U772" s="45">
        <f>VLOOKUP(OrdersRawTable9[[#This Row],[Product_ID]],ProductsTable10[],4,FALSE)</f>
        <v>78.650000000000006</v>
      </c>
      <c r="V772" t="str">
        <f>VLOOKUP(OrdersRawTable9[[#This Row],[Product_ID]],ProductsTable10[],3,FALSE)</f>
        <v>Fitness</v>
      </c>
      <c r="W772" s="45">
        <f>OrdersRawTable9[[#This Row],[Unit_Price]]*OrdersRawTable9[[#This Row],[Quantity]]</f>
        <v>141.46</v>
      </c>
      <c r="X772" s="47">
        <f>OrdersRawTable9[[#This Row],[Gross_Sales]]*OrdersRawTable9[[#This Row],[Discount_Pct]]</f>
        <v>14.146000000000001</v>
      </c>
      <c r="Y772" s="45">
        <f>OrdersRawTable9[[#This Row],[Gross_Sales]]-OrdersRawTable9[[#This Row],[Discount_Amount]]</f>
        <v>127.31400000000001</v>
      </c>
      <c r="Z772" s="45">
        <f>OrdersRawTable9[[#This Row],[Unit_Cost]]*OrdersRawTable9[[#This Row],[Quantity]]</f>
        <v>78.650000000000006</v>
      </c>
      <c r="AA772" s="45">
        <f>OrdersRawTable9[[#This Row],[Net_Sales]]-OrdersRawTable9[[#This Row],[Total_Cost]]</f>
        <v>48.664000000000001</v>
      </c>
      <c r="AB772" s="48">
        <f>IF(OrdersRawTable9[[#This Row],[Net_Sales]]=0,0,OrdersRawTable9[[#This Row],[Profit]]/OrdersRawTable9[[#This Row],[Net_Sales]])</f>
        <v>0.38223604631069635</v>
      </c>
      <c r="AC772" s="45" t="str">
        <f>IF(COUNTIF(ReturnsRawTable[Order_Line_ID],OrdersRawTable9[[#This Row],[Order_Line_ID]])&gt;0,"Yes","No")</f>
        <v>No</v>
      </c>
      <c r="AD772" s="45" t="str">
        <f>IFERROR(VLOOKUP(OrdersRawTable9[[#This Row],[Order_Line_ID]],ReturnsRawTable[[#All],[Order_Line_ID]:[Return_Reason_Raw]],3,FALSE),"")</f>
        <v/>
      </c>
      <c r="AE772" s="49" t="str">
        <f>IFERROR(VLOOKUP(OrdersRawTable9[[#This Row],[Order_Line_ID]],ReturnsRawTable[[#All],[Order_Line_ID]:[Return_Date]],2,FALSE),"")</f>
        <v/>
      </c>
      <c r="AF772" s="45" t="str">
        <f>IFERROR(VLOOKUP(OrdersRawTable9[[#This Row],[Order_Line_ID]],ReturnsRawTable[[Order_Line_ID]:[Refund_Status]],4,FALSE),"")</f>
        <v/>
      </c>
      <c r="AG772" s="45" t="str">
        <f>VLOOKUP(OrdersRawTable9[[#This Row],[Order_ID]],ShipmentsTable[],6,FALSE)</f>
        <v>Late</v>
      </c>
      <c r="AH772" s="49">
        <f>VLOOKUP(OrdersRawTable9[[#This Row],[Order_ID]],ShipmentsTable[],3,FALSE)</f>
        <v>46032</v>
      </c>
    </row>
    <row r="773" spans="1:34" ht="15" customHeight="1">
      <c r="A773" s="14" t="s">
        <v>1480</v>
      </c>
      <c r="B773" s="10" t="s">
        <v>1479</v>
      </c>
      <c r="C773" s="20">
        <v>46022</v>
      </c>
      <c r="D773" s="10" t="s">
        <v>421</v>
      </c>
      <c r="E773" s="10" t="s">
        <v>422</v>
      </c>
      <c r="F773" s="10" t="str">
        <f>TRIM(LEFT(OrdersRawTable9[[#This Row],[Customer_Info]],FIND(",",OrdersRawTable9[[#This Row],[Customer_Info]])-1))</f>
        <v>Yara Dubois</v>
      </c>
      <c r="G77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773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73" s="10">
        <f>LEN(OrdersRawTable9[[#This Row],[Customer_Info]])-LEN(SUBSTITUTE(OrdersRawTable9[[#This Row],[Customer_Info]],",",""))</f>
        <v>2</v>
      </c>
      <c r="J773" s="10" t="s">
        <v>152</v>
      </c>
      <c r="K773" s="23">
        <v>2</v>
      </c>
      <c r="L773" s="26">
        <v>234.37</v>
      </c>
      <c r="M773" s="29">
        <v>0.1</v>
      </c>
      <c r="N773" s="10" t="s">
        <v>66</v>
      </c>
      <c r="O773" s="10" t="str">
        <f>IF(TRIM(OrdersRawTable9[[#This Row],[Sales_Channel_Raw]])="Market place","Marketplace",TRIM(OrdersRawTable9[[#This Row],[Sales_Channel_Raw]]))</f>
        <v>Marketplace</v>
      </c>
      <c r="P773" s="10" t="s">
        <v>58</v>
      </c>
      <c r="Q773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773" s="15" t="s">
        <v>52</v>
      </c>
      <c r="S773" t="str">
        <f>VLOOKUP(OrdersRawTable9[[#This Row],[Customer_ID_Raw]],CustomersTable11[],4,FALSE)</f>
        <v>Ontario</v>
      </c>
      <c r="T773" t="str">
        <f>VLOOKUP(OrdersRawTable9[[#This Row],[Customer_ID_Raw]],CustomersTable11[],5,FALSE)</f>
        <v>Consumer</v>
      </c>
      <c r="U773" s="45">
        <f>VLOOKUP(OrdersRawTable9[[#This Row],[Product_ID]],ProductsTable10[],4,FALSE)</f>
        <v>129.41999999999999</v>
      </c>
      <c r="V773" t="str">
        <f>VLOOKUP(OrdersRawTable9[[#This Row],[Product_ID]],ProductsTable10[],3,FALSE)</f>
        <v>Home</v>
      </c>
      <c r="W773" s="45">
        <f>OrdersRawTable9[[#This Row],[Unit_Price]]*OrdersRawTable9[[#This Row],[Quantity]]</f>
        <v>468.74</v>
      </c>
      <c r="X773" s="47">
        <f>OrdersRawTable9[[#This Row],[Gross_Sales]]*OrdersRawTable9[[#This Row],[Discount_Pct]]</f>
        <v>46.874000000000002</v>
      </c>
      <c r="Y773" s="45">
        <f>OrdersRawTable9[[#This Row],[Gross_Sales]]-OrdersRawTable9[[#This Row],[Discount_Amount]]</f>
        <v>421.86599999999999</v>
      </c>
      <c r="Z773" s="45">
        <f>OrdersRawTable9[[#This Row],[Unit_Cost]]*OrdersRawTable9[[#This Row],[Quantity]]</f>
        <v>258.83999999999997</v>
      </c>
      <c r="AA773" s="45">
        <f>OrdersRawTable9[[#This Row],[Net_Sales]]-OrdersRawTable9[[#This Row],[Total_Cost]]</f>
        <v>163.02600000000001</v>
      </c>
      <c r="AB773" s="48">
        <f>IF(OrdersRawTable9[[#This Row],[Net_Sales]]=0,0,OrdersRawTable9[[#This Row],[Profit]]/OrdersRawTable9[[#This Row],[Net_Sales]])</f>
        <v>0.38644024405853994</v>
      </c>
      <c r="AC773" s="45" t="str">
        <f>IF(COUNTIF(ReturnsRawTable[Order_Line_ID],OrdersRawTable9[[#This Row],[Order_Line_ID]])&gt;0,"Yes","No")</f>
        <v>No</v>
      </c>
      <c r="AD773" s="45" t="str">
        <f>IFERROR(VLOOKUP(OrdersRawTable9[[#This Row],[Order_Line_ID]],ReturnsRawTable[[#All],[Order_Line_ID]:[Return_Reason_Raw]],3,FALSE),"")</f>
        <v/>
      </c>
      <c r="AE773" s="49" t="str">
        <f>IFERROR(VLOOKUP(OrdersRawTable9[[#This Row],[Order_Line_ID]],ReturnsRawTable[[#All],[Order_Line_ID]:[Return_Date]],2,FALSE),"")</f>
        <v/>
      </c>
      <c r="AF773" s="45" t="str">
        <f>IFERROR(VLOOKUP(OrdersRawTable9[[#This Row],[Order_Line_ID]],ReturnsRawTable[[Order_Line_ID]:[Refund_Status]],4,FALSE),"")</f>
        <v/>
      </c>
      <c r="AG773" s="45" t="str">
        <f>VLOOKUP(OrdersRawTable9[[#This Row],[Order_ID]],ShipmentsTable[],6,FALSE)</f>
        <v>Late</v>
      </c>
      <c r="AH773" s="49">
        <f>VLOOKUP(OrdersRawTable9[[#This Row],[Order_ID]],ShipmentsTable[],3,FALSE)</f>
        <v>46032</v>
      </c>
    </row>
    <row r="774" spans="1:34" ht="15" customHeight="1">
      <c r="A774" s="14" t="s">
        <v>1481</v>
      </c>
      <c r="B774" s="10" t="s">
        <v>1482</v>
      </c>
      <c r="C774" s="20">
        <v>45943</v>
      </c>
      <c r="D774" s="10" t="s">
        <v>490</v>
      </c>
      <c r="E774" s="10" t="s">
        <v>491</v>
      </c>
      <c r="F774" s="10" t="str">
        <f>TRIM(LEFT(OrdersRawTable9[[#This Row],[Customer_Info]],FIND(",",OrdersRawTable9[[#This Row],[Customer_Info]])-1))</f>
        <v>Adam Gagnon</v>
      </c>
      <c r="G77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774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74" s="10">
        <f>LEN(OrdersRawTable9[[#This Row],[Customer_Info]])-LEN(SUBSTITUTE(OrdersRawTable9[[#This Row],[Customer_Info]],",",""))</f>
        <v>2</v>
      </c>
      <c r="J774" s="10" t="s">
        <v>784</v>
      </c>
      <c r="K774" s="23">
        <v>1</v>
      </c>
      <c r="L774" s="26">
        <v>96.33</v>
      </c>
      <c r="M774" s="29">
        <v>0</v>
      </c>
      <c r="N774" s="10" t="s">
        <v>40</v>
      </c>
      <c r="O774" s="10" t="str">
        <f>IF(TRIM(OrdersRawTable9[[#This Row],[Sales_Channel_Raw]])="Market place","Marketplace",TRIM(OrdersRawTable9[[#This Row],[Sales_Channel_Raw]]))</f>
        <v>Online</v>
      </c>
      <c r="P774" s="10" t="s">
        <v>46</v>
      </c>
      <c r="Q774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774" s="15" t="s">
        <v>67</v>
      </c>
      <c r="S774" t="str">
        <f>VLOOKUP(OrdersRawTable9[[#This Row],[Customer_ID_Raw]],CustomersTable11[],4,FALSE)</f>
        <v>Alberta</v>
      </c>
      <c r="T774" t="str">
        <f>VLOOKUP(OrdersRawTable9[[#This Row],[Customer_ID_Raw]],CustomersTable11[],5,FALSE)</f>
        <v>Consumer</v>
      </c>
      <c r="U774" s="45">
        <f>VLOOKUP(OrdersRawTable9[[#This Row],[Product_ID]],ProductsTable10[],4,FALSE)</f>
        <v>57.85</v>
      </c>
      <c r="V774" t="str">
        <f>VLOOKUP(OrdersRawTable9[[#This Row],[Product_ID]],ProductsTable10[],3,FALSE)</f>
        <v>Accessories</v>
      </c>
      <c r="W774" s="45">
        <f>OrdersRawTable9[[#This Row],[Unit_Price]]*OrdersRawTable9[[#This Row],[Quantity]]</f>
        <v>96.33</v>
      </c>
      <c r="X774" s="47">
        <f>OrdersRawTable9[[#This Row],[Gross_Sales]]*OrdersRawTable9[[#This Row],[Discount_Pct]]</f>
        <v>0</v>
      </c>
      <c r="Y774" s="45">
        <f>OrdersRawTable9[[#This Row],[Gross_Sales]]-OrdersRawTable9[[#This Row],[Discount_Amount]]</f>
        <v>96.33</v>
      </c>
      <c r="Z774" s="45">
        <f>OrdersRawTable9[[#This Row],[Unit_Cost]]*OrdersRawTable9[[#This Row],[Quantity]]</f>
        <v>57.85</v>
      </c>
      <c r="AA774" s="45">
        <f>OrdersRawTable9[[#This Row],[Net_Sales]]-OrdersRawTable9[[#This Row],[Total_Cost]]</f>
        <v>38.479999999999997</v>
      </c>
      <c r="AB774" s="48">
        <f>IF(OrdersRawTable9[[#This Row],[Net_Sales]]=0,0,OrdersRawTable9[[#This Row],[Profit]]/OrdersRawTable9[[#This Row],[Net_Sales]])</f>
        <v>0.39946018893387314</v>
      </c>
      <c r="AC774" s="45" t="str">
        <f>IF(COUNTIF(ReturnsRawTable[Order_Line_ID],OrdersRawTable9[[#This Row],[Order_Line_ID]])&gt;0,"Yes","No")</f>
        <v>No</v>
      </c>
      <c r="AD774" s="45" t="str">
        <f>IFERROR(VLOOKUP(OrdersRawTable9[[#This Row],[Order_Line_ID]],ReturnsRawTable[[#All],[Order_Line_ID]:[Return_Reason_Raw]],3,FALSE),"")</f>
        <v/>
      </c>
      <c r="AE774" s="49" t="str">
        <f>IFERROR(VLOOKUP(OrdersRawTable9[[#This Row],[Order_Line_ID]],ReturnsRawTable[[#All],[Order_Line_ID]:[Return_Date]],2,FALSE),"")</f>
        <v/>
      </c>
      <c r="AF774" s="45" t="str">
        <f>IFERROR(VLOOKUP(OrdersRawTable9[[#This Row],[Order_Line_ID]],ReturnsRawTable[[Order_Line_ID]:[Refund_Status]],4,FALSE),"")</f>
        <v/>
      </c>
      <c r="AG774" s="45" t="str">
        <f>VLOOKUP(OrdersRawTable9[[#This Row],[Order_ID]],ShipmentsTable[],6,FALSE)</f>
        <v>Late</v>
      </c>
      <c r="AH774" s="49">
        <f>VLOOKUP(OrdersRawTable9[[#This Row],[Order_ID]],ShipmentsTable[],3,FALSE)</f>
        <v>45948</v>
      </c>
    </row>
    <row r="775" spans="1:34" ht="15" customHeight="1">
      <c r="A775" s="14" t="s">
        <v>1483</v>
      </c>
      <c r="B775" s="10" t="s">
        <v>1484</v>
      </c>
      <c r="C775" s="20">
        <v>45927</v>
      </c>
      <c r="D775" s="10" t="s">
        <v>1485</v>
      </c>
      <c r="E775" s="10" t="s">
        <v>1486</v>
      </c>
      <c r="F775" s="10" t="str">
        <f>TRIM(LEFT(OrdersRawTable9[[#This Row],[Customer_Info]],FIND(",",OrdersRawTable9[[#This Row],[Customer_Info]])-1))</f>
        <v>Yara Brown</v>
      </c>
      <c r="G77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775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775" s="10">
        <f>LEN(OrdersRawTable9[[#This Row],[Customer_Info]])-LEN(SUBSTITUTE(OrdersRawTable9[[#This Row],[Customer_Info]],",",""))</f>
        <v>2</v>
      </c>
      <c r="J775" s="10" t="s">
        <v>214</v>
      </c>
      <c r="K775" s="23">
        <v>2</v>
      </c>
      <c r="L775" s="26">
        <v>186.92</v>
      </c>
      <c r="M775" s="29">
        <v>0</v>
      </c>
      <c r="N775" s="10" t="s">
        <v>64</v>
      </c>
      <c r="O775" s="10" t="str">
        <f>IF(TRIM(OrdersRawTable9[[#This Row],[Sales_Channel_Raw]])="Market place","Marketplace",TRIM(OrdersRawTable9[[#This Row],[Sales_Channel_Raw]]))</f>
        <v>Retail Store</v>
      </c>
      <c r="P775" s="10" t="s">
        <v>51</v>
      </c>
      <c r="Q775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775" s="15" t="s">
        <v>42</v>
      </c>
      <c r="S775" t="str">
        <f>VLOOKUP(OrdersRawTable9[[#This Row],[Customer_ID_Raw]],CustomersTable11[],4,FALSE)</f>
        <v>Ontario</v>
      </c>
      <c r="T775" t="str">
        <f>VLOOKUP(OrdersRawTable9[[#This Row],[Customer_ID_Raw]],CustomersTable11[],5,FALSE)</f>
        <v>Corporate</v>
      </c>
      <c r="U775" s="45">
        <f>VLOOKUP(OrdersRawTable9[[#This Row],[Product_ID]],ProductsTable10[],4,FALSE)</f>
        <v>114.11</v>
      </c>
      <c r="V775" t="str">
        <f>VLOOKUP(OrdersRawTable9[[#This Row],[Product_ID]],ProductsTable10[],3,FALSE)</f>
        <v>Home</v>
      </c>
      <c r="W775" s="45">
        <f>OrdersRawTable9[[#This Row],[Unit_Price]]*OrdersRawTable9[[#This Row],[Quantity]]</f>
        <v>373.84</v>
      </c>
      <c r="X775" s="47">
        <f>OrdersRawTable9[[#This Row],[Gross_Sales]]*OrdersRawTable9[[#This Row],[Discount_Pct]]</f>
        <v>0</v>
      </c>
      <c r="Y775" s="45">
        <f>OrdersRawTable9[[#This Row],[Gross_Sales]]-OrdersRawTable9[[#This Row],[Discount_Amount]]</f>
        <v>373.84</v>
      </c>
      <c r="Z775" s="45">
        <f>OrdersRawTable9[[#This Row],[Unit_Cost]]*OrdersRawTable9[[#This Row],[Quantity]]</f>
        <v>228.22</v>
      </c>
      <c r="AA775" s="45">
        <f>OrdersRawTable9[[#This Row],[Net_Sales]]-OrdersRawTable9[[#This Row],[Total_Cost]]</f>
        <v>145.61999999999998</v>
      </c>
      <c r="AB775" s="48">
        <f>IF(OrdersRawTable9[[#This Row],[Net_Sales]]=0,0,OrdersRawTable9[[#This Row],[Profit]]/OrdersRawTable9[[#This Row],[Net_Sales]])</f>
        <v>0.38952493045153003</v>
      </c>
      <c r="AC775" s="45" t="str">
        <f>IF(COUNTIF(ReturnsRawTable[Order_Line_ID],OrdersRawTable9[[#This Row],[Order_Line_ID]])&gt;0,"Yes","No")</f>
        <v>Yes</v>
      </c>
      <c r="AD775" s="45" t="str">
        <f>IFERROR(VLOOKUP(OrdersRawTable9[[#This Row],[Order_Line_ID]],ReturnsRawTable[[#All],[Order_Line_ID]:[Return_Reason_Raw]],3,FALSE),"")</f>
        <v>Wrong Item</v>
      </c>
      <c r="AE775" s="49">
        <f>IFERROR(VLOOKUP(OrdersRawTable9[[#This Row],[Order_Line_ID]],ReturnsRawTable[[#All],[Order_Line_ID]:[Return_Date]],2,FALSE),"")</f>
        <v>45954</v>
      </c>
      <c r="AF775" s="45" t="str">
        <f>IFERROR(VLOOKUP(OrdersRawTable9[[#This Row],[Order_Line_ID]],ReturnsRawTable[[Order_Line_ID]:[Refund_Status]],4,FALSE),"")</f>
        <v>Pending</v>
      </c>
      <c r="AG775" s="45" t="str">
        <f>VLOOKUP(OrdersRawTable9[[#This Row],[Order_ID]],ShipmentsTable[],6,FALSE)</f>
        <v>Late</v>
      </c>
      <c r="AH775" s="49">
        <f>VLOOKUP(OrdersRawTable9[[#This Row],[Order_ID]],ShipmentsTable[],3,FALSE)</f>
        <v>45936</v>
      </c>
    </row>
    <row r="776" spans="1:34" ht="15" customHeight="1">
      <c r="A776" s="14" t="s">
        <v>1487</v>
      </c>
      <c r="B776" s="10" t="s">
        <v>1484</v>
      </c>
      <c r="C776" s="20">
        <v>45927</v>
      </c>
      <c r="D776" s="10" t="s">
        <v>1485</v>
      </c>
      <c r="E776" s="10" t="s">
        <v>1486</v>
      </c>
      <c r="F776" s="10" t="str">
        <f>TRIM(LEFT(OrdersRawTable9[[#This Row],[Customer_Info]],FIND(",",OrdersRawTable9[[#This Row],[Customer_Info]])-1))</f>
        <v>Yara Brown</v>
      </c>
      <c r="G77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776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776" s="10">
        <f>LEN(OrdersRawTable9[[#This Row],[Customer_Info]])-LEN(SUBSTITUTE(OrdersRawTable9[[#This Row],[Customer_Info]],",",""))</f>
        <v>2</v>
      </c>
      <c r="J776" s="10" t="s">
        <v>136</v>
      </c>
      <c r="K776" s="23">
        <v>2</v>
      </c>
      <c r="L776" s="26">
        <v>141.46</v>
      </c>
      <c r="M776" s="29">
        <v>0.15</v>
      </c>
      <c r="N776" s="10" t="s">
        <v>70</v>
      </c>
      <c r="O776" s="10" t="str">
        <f>IF(TRIM(OrdersRawTable9[[#This Row],[Sales_Channel_Raw]])="Market place","Marketplace",TRIM(OrdersRawTable9[[#This Row],[Sales_Channel_Raw]]))</f>
        <v>online</v>
      </c>
      <c r="P776" s="10" t="s">
        <v>46</v>
      </c>
      <c r="Q776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776" s="15" t="s">
        <v>67</v>
      </c>
      <c r="S776" t="str">
        <f>VLOOKUP(OrdersRawTable9[[#This Row],[Customer_ID_Raw]],CustomersTable11[],4,FALSE)</f>
        <v>Ontario</v>
      </c>
      <c r="T776" t="str">
        <f>VLOOKUP(OrdersRawTable9[[#This Row],[Customer_ID_Raw]],CustomersTable11[],5,FALSE)</f>
        <v>Corporate</v>
      </c>
      <c r="U776" s="45">
        <f>VLOOKUP(OrdersRawTable9[[#This Row],[Product_ID]],ProductsTable10[],4,FALSE)</f>
        <v>78.650000000000006</v>
      </c>
      <c r="V776" t="str">
        <f>VLOOKUP(OrdersRawTable9[[#This Row],[Product_ID]],ProductsTable10[],3,FALSE)</f>
        <v>Fitness</v>
      </c>
      <c r="W776" s="45">
        <f>OrdersRawTable9[[#This Row],[Unit_Price]]*OrdersRawTable9[[#This Row],[Quantity]]</f>
        <v>282.92</v>
      </c>
      <c r="X776" s="47">
        <f>OrdersRawTable9[[#This Row],[Gross_Sales]]*OrdersRawTable9[[#This Row],[Discount_Pct]]</f>
        <v>42.438000000000002</v>
      </c>
      <c r="Y776" s="45">
        <f>OrdersRawTable9[[#This Row],[Gross_Sales]]-OrdersRawTable9[[#This Row],[Discount_Amount]]</f>
        <v>240.48200000000003</v>
      </c>
      <c r="Z776" s="45">
        <f>OrdersRawTable9[[#This Row],[Unit_Cost]]*OrdersRawTable9[[#This Row],[Quantity]]</f>
        <v>157.30000000000001</v>
      </c>
      <c r="AA776" s="45">
        <f>OrdersRawTable9[[#This Row],[Net_Sales]]-OrdersRawTable9[[#This Row],[Total_Cost]]</f>
        <v>83.182000000000016</v>
      </c>
      <c r="AB776" s="48">
        <f>IF(OrdersRawTable9[[#This Row],[Net_Sales]]=0,0,OrdersRawTable9[[#This Row],[Profit]]/OrdersRawTable9[[#This Row],[Net_Sales]])</f>
        <v>0.34589699021132564</v>
      </c>
      <c r="AC776" s="45" t="str">
        <f>IF(COUNTIF(ReturnsRawTable[Order_Line_ID],OrdersRawTable9[[#This Row],[Order_Line_ID]])&gt;0,"Yes","No")</f>
        <v>Yes</v>
      </c>
      <c r="AD776" s="45" t="str">
        <f>IFERROR(VLOOKUP(OrdersRawTable9[[#This Row],[Order_Line_ID]],ReturnsRawTable[[#All],[Order_Line_ID]:[Return_Reason_Raw]],3,FALSE),"")</f>
        <v>damaged</v>
      </c>
      <c r="AE776" s="49">
        <f>IFERROR(VLOOKUP(OrdersRawTable9[[#This Row],[Order_Line_ID]],ReturnsRawTable[[#All],[Order_Line_ID]:[Return_Date]],2,FALSE),"")</f>
        <v>45941</v>
      </c>
      <c r="AF776" s="45" t="str">
        <f>IFERROR(VLOOKUP(OrdersRawTable9[[#This Row],[Order_Line_ID]],ReturnsRawTable[[Order_Line_ID]:[Refund_Status]],4,FALSE),"")</f>
        <v>Pending</v>
      </c>
      <c r="AG776" s="45" t="str">
        <f>VLOOKUP(OrdersRawTable9[[#This Row],[Order_ID]],ShipmentsTable[],6,FALSE)</f>
        <v>Late</v>
      </c>
      <c r="AH776" s="49">
        <f>VLOOKUP(OrdersRawTable9[[#This Row],[Order_ID]],ShipmentsTable[],3,FALSE)</f>
        <v>45936</v>
      </c>
    </row>
    <row r="777" spans="1:34" ht="15" customHeight="1">
      <c r="A777" s="14" t="s">
        <v>1488</v>
      </c>
      <c r="B777" s="10" t="s">
        <v>1489</v>
      </c>
      <c r="C777" s="20">
        <v>45988</v>
      </c>
      <c r="D777" s="10" t="s">
        <v>1490</v>
      </c>
      <c r="E777" s="10" t="s">
        <v>1491</v>
      </c>
      <c r="F777" s="10" t="str">
        <f>TRIM(LEFT(OrdersRawTable9[[#This Row],[Customer_Info]],FIND(",",OrdersRawTable9[[#This Row],[Customer_Info]])-1))</f>
        <v>Ethan Johnson</v>
      </c>
      <c r="G77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777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777" s="10">
        <f>LEN(OrdersRawTable9[[#This Row],[Customer_Info]])-LEN(SUBSTITUTE(OrdersRawTable9[[#This Row],[Customer_Info]],",",""))</f>
        <v>2</v>
      </c>
      <c r="J777" s="10" t="s">
        <v>178</v>
      </c>
      <c r="K777" s="23">
        <v>1</v>
      </c>
      <c r="L777" s="26">
        <v>61.81</v>
      </c>
      <c r="M777" s="29">
        <v>0</v>
      </c>
      <c r="N777" s="10" t="s">
        <v>64</v>
      </c>
      <c r="O777" s="10" t="str">
        <f>IF(TRIM(OrdersRawTable9[[#This Row],[Sales_Channel_Raw]])="Market place","Marketplace",TRIM(OrdersRawTable9[[#This Row],[Sales_Channel_Raw]]))</f>
        <v>Retail Store</v>
      </c>
      <c r="P777" s="10" t="s">
        <v>58</v>
      </c>
      <c r="Q777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777" s="15" t="s">
        <v>52</v>
      </c>
      <c r="S777" t="str">
        <f>VLOOKUP(OrdersRawTable9[[#This Row],[Customer_ID_Raw]],CustomersTable11[],4,FALSE)</f>
        <v>Manitoba</v>
      </c>
      <c r="T777" t="str">
        <f>VLOOKUP(OrdersRawTable9[[#This Row],[Customer_ID_Raw]],CustomersTable11[],5,FALSE)</f>
        <v>Small Business</v>
      </c>
      <c r="U777" s="45">
        <f>VLOOKUP(OrdersRawTable9[[#This Row],[Product_ID]],ProductsTable10[],4,FALSE)</f>
        <v>33.19</v>
      </c>
      <c r="V777" t="str">
        <f>VLOOKUP(OrdersRawTable9[[#This Row],[Product_ID]],ProductsTable10[],3,FALSE)</f>
        <v>Office</v>
      </c>
      <c r="W777" s="45">
        <f>OrdersRawTable9[[#This Row],[Unit_Price]]*OrdersRawTable9[[#This Row],[Quantity]]</f>
        <v>61.81</v>
      </c>
      <c r="X777" s="47">
        <f>OrdersRawTable9[[#This Row],[Gross_Sales]]*OrdersRawTable9[[#This Row],[Discount_Pct]]</f>
        <v>0</v>
      </c>
      <c r="Y777" s="45">
        <f>OrdersRawTable9[[#This Row],[Gross_Sales]]-OrdersRawTable9[[#This Row],[Discount_Amount]]</f>
        <v>61.81</v>
      </c>
      <c r="Z777" s="45">
        <f>OrdersRawTable9[[#This Row],[Unit_Cost]]*OrdersRawTable9[[#This Row],[Quantity]]</f>
        <v>33.19</v>
      </c>
      <c r="AA777" s="45">
        <f>OrdersRawTable9[[#This Row],[Net_Sales]]-OrdersRawTable9[[#This Row],[Total_Cost]]</f>
        <v>28.620000000000005</v>
      </c>
      <c r="AB777" s="48">
        <f>IF(OrdersRawTable9[[#This Row],[Net_Sales]]=0,0,OrdersRawTable9[[#This Row],[Profit]]/OrdersRawTable9[[#This Row],[Net_Sales]])</f>
        <v>0.46303187186539402</v>
      </c>
      <c r="AC777" s="45" t="str">
        <f>IF(COUNTIF(ReturnsRawTable[Order_Line_ID],OrdersRawTable9[[#This Row],[Order_Line_ID]])&gt;0,"Yes","No")</f>
        <v>No</v>
      </c>
      <c r="AD777" s="45" t="str">
        <f>IFERROR(VLOOKUP(OrdersRawTable9[[#This Row],[Order_Line_ID]],ReturnsRawTable[[#All],[Order_Line_ID]:[Return_Reason_Raw]],3,FALSE),"")</f>
        <v/>
      </c>
      <c r="AE777" s="49" t="str">
        <f>IFERROR(VLOOKUP(OrdersRawTable9[[#This Row],[Order_Line_ID]],ReturnsRawTable[[#All],[Order_Line_ID]:[Return_Date]],2,FALSE),"")</f>
        <v/>
      </c>
      <c r="AF777" s="45" t="str">
        <f>IFERROR(VLOOKUP(OrdersRawTable9[[#This Row],[Order_Line_ID]],ReturnsRawTable[[Order_Line_ID]:[Refund_Status]],4,FALSE),"")</f>
        <v/>
      </c>
      <c r="AG777" s="45" t="str">
        <f>VLOOKUP(OrdersRawTable9[[#This Row],[Order_ID]],ShipmentsTable[],6,FALSE)</f>
        <v>On time</v>
      </c>
      <c r="AH777" s="49">
        <f>VLOOKUP(OrdersRawTable9[[#This Row],[Order_ID]],ShipmentsTable[],3,FALSE)</f>
        <v>45991</v>
      </c>
    </row>
    <row r="778" spans="1:34" ht="15" customHeight="1">
      <c r="A778" s="14" t="s">
        <v>1492</v>
      </c>
      <c r="B778" s="10" t="s">
        <v>1489</v>
      </c>
      <c r="C778" s="20">
        <v>45988</v>
      </c>
      <c r="D778" s="10" t="s">
        <v>1490</v>
      </c>
      <c r="E778" s="10" t="s">
        <v>1491</v>
      </c>
      <c r="F778" s="10" t="str">
        <f>TRIM(LEFT(OrdersRawTable9[[#This Row],[Customer_Info]],FIND(",",OrdersRawTable9[[#This Row],[Customer_Info]])-1))</f>
        <v>Ethan Johnson</v>
      </c>
      <c r="G77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778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778" s="10">
        <f>LEN(OrdersRawTable9[[#This Row],[Customer_Info]])-LEN(SUBSTITUTE(OrdersRawTable9[[#This Row],[Customer_Info]],",",""))</f>
        <v>2</v>
      </c>
      <c r="J778" s="10" t="s">
        <v>39</v>
      </c>
      <c r="K778" s="23">
        <v>1</v>
      </c>
      <c r="L778" s="26">
        <v>236.51</v>
      </c>
      <c r="M778" s="29">
        <v>0</v>
      </c>
      <c r="N778" s="10" t="s">
        <v>64</v>
      </c>
      <c r="O778" s="10" t="str">
        <f>IF(TRIM(OrdersRawTable9[[#This Row],[Sales_Channel_Raw]])="Market place","Marketplace",TRIM(OrdersRawTable9[[#This Row],[Sales_Channel_Raw]]))</f>
        <v>Retail Store</v>
      </c>
      <c r="P778" s="10" t="s">
        <v>41</v>
      </c>
      <c r="Q778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778" s="15" t="s">
        <v>101</v>
      </c>
      <c r="S778" t="str">
        <f>VLOOKUP(OrdersRawTable9[[#This Row],[Customer_ID_Raw]],CustomersTable11[],4,FALSE)</f>
        <v>Manitoba</v>
      </c>
      <c r="T778" t="str">
        <f>VLOOKUP(OrdersRawTable9[[#This Row],[Customer_ID_Raw]],CustomersTable11[],5,FALSE)</f>
        <v>Small Business</v>
      </c>
      <c r="U778" s="45">
        <f>VLOOKUP(OrdersRawTable9[[#This Row],[Product_ID]],ProductsTable10[],4,FALSE)</f>
        <v>142.84</v>
      </c>
      <c r="V778" t="str">
        <f>VLOOKUP(OrdersRawTable9[[#This Row],[Product_ID]],ProductsTable10[],3,FALSE)</f>
        <v>Fitness</v>
      </c>
      <c r="W778" s="45">
        <f>OrdersRawTable9[[#This Row],[Unit_Price]]*OrdersRawTable9[[#This Row],[Quantity]]</f>
        <v>236.51</v>
      </c>
      <c r="X778" s="47">
        <f>OrdersRawTable9[[#This Row],[Gross_Sales]]*OrdersRawTable9[[#This Row],[Discount_Pct]]</f>
        <v>0</v>
      </c>
      <c r="Y778" s="45">
        <f>OrdersRawTable9[[#This Row],[Gross_Sales]]-OrdersRawTable9[[#This Row],[Discount_Amount]]</f>
        <v>236.51</v>
      </c>
      <c r="Z778" s="45">
        <f>OrdersRawTable9[[#This Row],[Unit_Cost]]*OrdersRawTable9[[#This Row],[Quantity]]</f>
        <v>142.84</v>
      </c>
      <c r="AA778" s="45">
        <f>OrdersRawTable9[[#This Row],[Net_Sales]]-OrdersRawTable9[[#This Row],[Total_Cost]]</f>
        <v>93.669999999999987</v>
      </c>
      <c r="AB778" s="48">
        <f>IF(OrdersRawTable9[[#This Row],[Net_Sales]]=0,0,OrdersRawTable9[[#This Row],[Profit]]/OrdersRawTable9[[#This Row],[Net_Sales]])</f>
        <v>0.39605090693839579</v>
      </c>
      <c r="AC778" s="45" t="str">
        <f>IF(COUNTIF(ReturnsRawTable[Order_Line_ID],OrdersRawTable9[[#This Row],[Order_Line_ID]])&gt;0,"Yes","No")</f>
        <v>No</v>
      </c>
      <c r="AD778" s="45" t="str">
        <f>IFERROR(VLOOKUP(OrdersRawTable9[[#This Row],[Order_Line_ID]],ReturnsRawTable[[#All],[Order_Line_ID]:[Return_Reason_Raw]],3,FALSE),"")</f>
        <v/>
      </c>
      <c r="AE778" s="49" t="str">
        <f>IFERROR(VLOOKUP(OrdersRawTable9[[#This Row],[Order_Line_ID]],ReturnsRawTable[[#All],[Order_Line_ID]:[Return_Date]],2,FALSE),"")</f>
        <v/>
      </c>
      <c r="AF778" s="45" t="str">
        <f>IFERROR(VLOOKUP(OrdersRawTable9[[#This Row],[Order_Line_ID]],ReturnsRawTable[[Order_Line_ID]:[Refund_Status]],4,FALSE),"")</f>
        <v/>
      </c>
      <c r="AG778" s="45" t="str">
        <f>VLOOKUP(OrdersRawTable9[[#This Row],[Order_ID]],ShipmentsTable[],6,FALSE)</f>
        <v>On time</v>
      </c>
      <c r="AH778" s="49">
        <f>VLOOKUP(OrdersRawTable9[[#This Row],[Order_ID]],ShipmentsTable[],3,FALSE)</f>
        <v>45991</v>
      </c>
    </row>
    <row r="779" spans="1:34" ht="15" customHeight="1">
      <c r="A779" s="14" t="s">
        <v>1493</v>
      </c>
      <c r="B779" s="10" t="s">
        <v>1489</v>
      </c>
      <c r="C779" s="20">
        <v>45988</v>
      </c>
      <c r="D779" s="10" t="s">
        <v>1490</v>
      </c>
      <c r="E779" s="10" t="s">
        <v>1491</v>
      </c>
      <c r="F779" s="10" t="str">
        <f>TRIM(LEFT(OrdersRawTable9[[#This Row],[Customer_Info]],FIND(",",OrdersRawTable9[[#This Row],[Customer_Info]])-1))</f>
        <v>Ethan Johnson</v>
      </c>
      <c r="G77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779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779" s="10">
        <f>LEN(OrdersRawTable9[[#This Row],[Customer_Info]])-LEN(SUBSTITUTE(OrdersRawTable9[[#This Row],[Customer_Info]],",",""))</f>
        <v>2</v>
      </c>
      <c r="J779" s="10" t="s">
        <v>108</v>
      </c>
      <c r="K779" s="23">
        <v>1</v>
      </c>
      <c r="L779" s="26">
        <v>33.369999999999997</v>
      </c>
      <c r="M779" s="29">
        <v>0</v>
      </c>
      <c r="N779" s="10" t="s">
        <v>66</v>
      </c>
      <c r="O779" s="10" t="str">
        <f>IF(TRIM(OrdersRawTable9[[#This Row],[Sales_Channel_Raw]])="Market place","Marketplace",TRIM(OrdersRawTable9[[#This Row],[Sales_Channel_Raw]]))</f>
        <v>Marketplace</v>
      </c>
      <c r="P779" s="10"/>
      <c r="Q779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779" s="15" t="s">
        <v>52</v>
      </c>
      <c r="S779" t="str">
        <f>VLOOKUP(OrdersRawTable9[[#This Row],[Customer_ID_Raw]],CustomersTable11[],4,FALSE)</f>
        <v>Manitoba</v>
      </c>
      <c r="T779" t="str">
        <f>VLOOKUP(OrdersRawTable9[[#This Row],[Customer_ID_Raw]],CustomersTable11[],5,FALSE)</f>
        <v>Small Business</v>
      </c>
      <c r="U779" s="45">
        <f>VLOOKUP(OrdersRawTable9[[#This Row],[Product_ID]],ProductsTable10[],4,FALSE)</f>
        <v>18.670000000000002</v>
      </c>
      <c r="V779" t="str">
        <f>VLOOKUP(OrdersRawTable9[[#This Row],[Product_ID]],ProductsTable10[],3,FALSE)</f>
        <v>Fitness</v>
      </c>
      <c r="W779" s="45">
        <f>OrdersRawTable9[[#This Row],[Unit_Price]]*OrdersRawTable9[[#This Row],[Quantity]]</f>
        <v>33.369999999999997</v>
      </c>
      <c r="X779" s="47">
        <f>OrdersRawTable9[[#This Row],[Gross_Sales]]*OrdersRawTable9[[#This Row],[Discount_Pct]]</f>
        <v>0</v>
      </c>
      <c r="Y779" s="45">
        <f>OrdersRawTable9[[#This Row],[Gross_Sales]]-OrdersRawTable9[[#This Row],[Discount_Amount]]</f>
        <v>33.369999999999997</v>
      </c>
      <c r="Z779" s="45">
        <f>OrdersRawTable9[[#This Row],[Unit_Cost]]*OrdersRawTable9[[#This Row],[Quantity]]</f>
        <v>18.670000000000002</v>
      </c>
      <c r="AA779" s="45">
        <f>OrdersRawTable9[[#This Row],[Net_Sales]]-OrdersRawTable9[[#This Row],[Total_Cost]]</f>
        <v>14.699999999999996</v>
      </c>
      <c r="AB779" s="48">
        <f>IF(OrdersRawTable9[[#This Row],[Net_Sales]]=0,0,OrdersRawTable9[[#This Row],[Profit]]/OrdersRawTable9[[#This Row],[Net_Sales]])</f>
        <v>0.44051543302367385</v>
      </c>
      <c r="AC779" s="45" t="str">
        <f>IF(COUNTIF(ReturnsRawTable[Order_Line_ID],OrdersRawTable9[[#This Row],[Order_Line_ID]])&gt;0,"Yes","No")</f>
        <v>No</v>
      </c>
      <c r="AD779" s="45" t="str">
        <f>IFERROR(VLOOKUP(OrdersRawTable9[[#This Row],[Order_Line_ID]],ReturnsRawTable[[#All],[Order_Line_ID]:[Return_Reason_Raw]],3,FALSE),"")</f>
        <v/>
      </c>
      <c r="AE779" s="49" t="str">
        <f>IFERROR(VLOOKUP(OrdersRawTable9[[#This Row],[Order_Line_ID]],ReturnsRawTable[[#All],[Order_Line_ID]:[Return_Date]],2,FALSE),"")</f>
        <v/>
      </c>
      <c r="AF779" s="45" t="str">
        <f>IFERROR(VLOOKUP(OrdersRawTable9[[#This Row],[Order_Line_ID]],ReturnsRawTable[[Order_Line_ID]:[Refund_Status]],4,FALSE),"")</f>
        <v/>
      </c>
      <c r="AG779" s="45" t="str">
        <f>VLOOKUP(OrdersRawTable9[[#This Row],[Order_ID]],ShipmentsTable[],6,FALSE)</f>
        <v>On time</v>
      </c>
      <c r="AH779" s="49">
        <f>VLOOKUP(OrdersRawTable9[[#This Row],[Order_ID]],ShipmentsTable[],3,FALSE)</f>
        <v>45991</v>
      </c>
    </row>
    <row r="780" spans="1:34" ht="15" customHeight="1">
      <c r="A780" s="14" t="s">
        <v>1494</v>
      </c>
      <c r="B780" s="10" t="s">
        <v>1489</v>
      </c>
      <c r="C780" s="20">
        <v>45988</v>
      </c>
      <c r="D780" s="10" t="s">
        <v>1490</v>
      </c>
      <c r="E780" s="10" t="s">
        <v>1491</v>
      </c>
      <c r="F780" s="10" t="str">
        <f>TRIM(LEFT(OrdersRawTable9[[#This Row],[Customer_Info]],FIND(",",OrdersRawTable9[[#This Row],[Customer_Info]])-1))</f>
        <v>Ethan Johnson</v>
      </c>
      <c r="G78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780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780" s="10">
        <f>LEN(OrdersRawTable9[[#This Row],[Customer_Info]])-LEN(SUBSTITUTE(OrdersRawTable9[[#This Row],[Customer_Info]],",",""))</f>
        <v>2</v>
      </c>
      <c r="J780" s="10" t="s">
        <v>201</v>
      </c>
      <c r="K780" s="23">
        <v>3</v>
      </c>
      <c r="L780" s="26">
        <v>154.47</v>
      </c>
      <c r="M780" s="29">
        <v>0</v>
      </c>
      <c r="N780" s="10" t="s">
        <v>45</v>
      </c>
      <c r="O780" s="10" t="str">
        <f>IF(TRIM(OrdersRawTable9[[#This Row],[Sales_Channel_Raw]])="Market place","Marketplace",TRIM(OrdersRawTable9[[#This Row],[Sales_Channel_Raw]]))</f>
        <v>Retail Store</v>
      </c>
      <c r="P780" s="10" t="s">
        <v>58</v>
      </c>
      <c r="Q780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780" s="15" t="s">
        <v>42</v>
      </c>
      <c r="S780" t="str">
        <f>VLOOKUP(OrdersRawTable9[[#This Row],[Customer_ID_Raw]],CustomersTable11[],4,FALSE)</f>
        <v>Manitoba</v>
      </c>
      <c r="T780" t="str">
        <f>VLOOKUP(OrdersRawTable9[[#This Row],[Customer_ID_Raw]],CustomersTable11[],5,FALSE)</f>
        <v>Small Business</v>
      </c>
      <c r="U780" s="45">
        <f>VLOOKUP(OrdersRawTable9[[#This Row],[Product_ID]],ProductsTable10[],4,FALSE)</f>
        <v>102.57</v>
      </c>
      <c r="V780" t="str">
        <f>VLOOKUP(OrdersRawTable9[[#This Row],[Product_ID]],ProductsTable10[],3,FALSE)</f>
        <v>Fitness</v>
      </c>
      <c r="W780" s="45">
        <f>OrdersRawTable9[[#This Row],[Unit_Price]]*OrdersRawTable9[[#This Row],[Quantity]]</f>
        <v>463.40999999999997</v>
      </c>
      <c r="X780" s="47">
        <f>OrdersRawTable9[[#This Row],[Gross_Sales]]*OrdersRawTable9[[#This Row],[Discount_Pct]]</f>
        <v>0</v>
      </c>
      <c r="Y780" s="45">
        <f>OrdersRawTable9[[#This Row],[Gross_Sales]]-OrdersRawTable9[[#This Row],[Discount_Amount]]</f>
        <v>463.40999999999997</v>
      </c>
      <c r="Z780" s="45">
        <f>OrdersRawTable9[[#This Row],[Unit_Cost]]*OrdersRawTable9[[#This Row],[Quantity]]</f>
        <v>307.70999999999998</v>
      </c>
      <c r="AA780" s="45">
        <f>OrdersRawTable9[[#This Row],[Net_Sales]]-OrdersRawTable9[[#This Row],[Total_Cost]]</f>
        <v>155.69999999999999</v>
      </c>
      <c r="AB780" s="48">
        <f>IF(OrdersRawTable9[[#This Row],[Net_Sales]]=0,0,OrdersRawTable9[[#This Row],[Profit]]/OrdersRawTable9[[#This Row],[Net_Sales]])</f>
        <v>0.33598757040201982</v>
      </c>
      <c r="AC780" s="45" t="str">
        <f>IF(COUNTIF(ReturnsRawTable[Order_Line_ID],OrdersRawTable9[[#This Row],[Order_Line_ID]])&gt;0,"Yes","No")</f>
        <v>No</v>
      </c>
      <c r="AD780" s="45" t="str">
        <f>IFERROR(VLOOKUP(OrdersRawTable9[[#This Row],[Order_Line_ID]],ReturnsRawTable[[#All],[Order_Line_ID]:[Return_Reason_Raw]],3,FALSE),"")</f>
        <v/>
      </c>
      <c r="AE780" s="49" t="str">
        <f>IFERROR(VLOOKUP(OrdersRawTable9[[#This Row],[Order_Line_ID]],ReturnsRawTable[[#All],[Order_Line_ID]:[Return_Date]],2,FALSE),"")</f>
        <v/>
      </c>
      <c r="AF780" s="45" t="str">
        <f>IFERROR(VLOOKUP(OrdersRawTable9[[#This Row],[Order_Line_ID]],ReturnsRawTable[[Order_Line_ID]:[Refund_Status]],4,FALSE),"")</f>
        <v/>
      </c>
      <c r="AG780" s="45" t="str">
        <f>VLOOKUP(OrdersRawTable9[[#This Row],[Order_ID]],ShipmentsTable[],6,FALSE)</f>
        <v>On time</v>
      </c>
      <c r="AH780" s="49">
        <f>VLOOKUP(OrdersRawTable9[[#This Row],[Order_ID]],ShipmentsTable[],3,FALSE)</f>
        <v>45991</v>
      </c>
    </row>
    <row r="781" spans="1:34" ht="15" customHeight="1">
      <c r="A781" s="14" t="s">
        <v>1495</v>
      </c>
      <c r="B781" s="10" t="s">
        <v>1496</v>
      </c>
      <c r="C781" s="20">
        <v>45767</v>
      </c>
      <c r="D781" s="10" t="s">
        <v>525</v>
      </c>
      <c r="E781" s="10" t="s">
        <v>526</v>
      </c>
      <c r="F781" s="10" t="str">
        <f>TRIM(LEFT(OrdersRawTable9[[#This Row],[Customer_Info]],FIND(",",OrdersRawTable9[[#This Row],[Customer_Info]])-1))</f>
        <v>Yara Johnson</v>
      </c>
      <c r="G78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781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781" s="10">
        <f>LEN(OrdersRawTable9[[#This Row],[Customer_Info]])-LEN(SUBSTITUTE(OrdersRawTable9[[#This Row],[Customer_Info]],",",""))</f>
        <v>2</v>
      </c>
      <c r="J781" s="10" t="s">
        <v>152</v>
      </c>
      <c r="K781" s="23">
        <v>1</v>
      </c>
      <c r="L781" s="26">
        <v>234.37</v>
      </c>
      <c r="M781" s="29">
        <v>0</v>
      </c>
      <c r="N781" s="10" t="s">
        <v>70</v>
      </c>
      <c r="O781" s="10" t="str">
        <f>IF(TRIM(OrdersRawTable9[[#This Row],[Sales_Channel_Raw]])="Market place","Marketplace",TRIM(OrdersRawTable9[[#This Row],[Sales_Channel_Raw]]))</f>
        <v>online</v>
      </c>
      <c r="P781" s="10" t="s">
        <v>98</v>
      </c>
      <c r="Q781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781" s="15" t="s">
        <v>47</v>
      </c>
      <c r="S781" t="str">
        <f>VLOOKUP(OrdersRawTable9[[#This Row],[Customer_ID_Raw]],CustomersTable11[],4,FALSE)</f>
        <v>British Columbia</v>
      </c>
      <c r="T781" t="str">
        <f>VLOOKUP(OrdersRawTable9[[#This Row],[Customer_ID_Raw]],CustomersTable11[],5,FALSE)</f>
        <v>Corporate</v>
      </c>
      <c r="U781" s="45">
        <f>VLOOKUP(OrdersRawTable9[[#This Row],[Product_ID]],ProductsTable10[],4,FALSE)</f>
        <v>129.41999999999999</v>
      </c>
      <c r="V781" t="str">
        <f>VLOOKUP(OrdersRawTable9[[#This Row],[Product_ID]],ProductsTable10[],3,FALSE)</f>
        <v>Home</v>
      </c>
      <c r="W781" s="45">
        <f>OrdersRawTable9[[#This Row],[Unit_Price]]*OrdersRawTable9[[#This Row],[Quantity]]</f>
        <v>234.37</v>
      </c>
      <c r="X781" s="47">
        <f>OrdersRawTable9[[#This Row],[Gross_Sales]]*OrdersRawTable9[[#This Row],[Discount_Pct]]</f>
        <v>0</v>
      </c>
      <c r="Y781" s="45">
        <f>OrdersRawTable9[[#This Row],[Gross_Sales]]-OrdersRawTable9[[#This Row],[Discount_Amount]]</f>
        <v>234.37</v>
      </c>
      <c r="Z781" s="45">
        <f>OrdersRawTable9[[#This Row],[Unit_Cost]]*OrdersRawTable9[[#This Row],[Quantity]]</f>
        <v>129.41999999999999</v>
      </c>
      <c r="AA781" s="45">
        <f>OrdersRawTable9[[#This Row],[Net_Sales]]-OrdersRawTable9[[#This Row],[Total_Cost]]</f>
        <v>104.95000000000002</v>
      </c>
      <c r="AB781" s="48">
        <f>IF(OrdersRawTable9[[#This Row],[Net_Sales]]=0,0,OrdersRawTable9[[#This Row],[Profit]]/OrdersRawTable9[[#This Row],[Net_Sales]])</f>
        <v>0.44779621965268601</v>
      </c>
      <c r="AC781" s="45" t="str">
        <f>IF(COUNTIF(ReturnsRawTable[Order_Line_ID],OrdersRawTable9[[#This Row],[Order_Line_ID]])&gt;0,"Yes","No")</f>
        <v>No</v>
      </c>
      <c r="AD781" s="45" t="str">
        <f>IFERROR(VLOOKUP(OrdersRawTable9[[#This Row],[Order_Line_ID]],ReturnsRawTable[[#All],[Order_Line_ID]:[Return_Reason_Raw]],3,FALSE),"")</f>
        <v/>
      </c>
      <c r="AE781" s="49" t="str">
        <f>IFERROR(VLOOKUP(OrdersRawTable9[[#This Row],[Order_Line_ID]],ReturnsRawTable[[#All],[Order_Line_ID]:[Return_Date]],2,FALSE),"")</f>
        <v/>
      </c>
      <c r="AF781" s="45" t="str">
        <f>IFERROR(VLOOKUP(OrdersRawTable9[[#This Row],[Order_Line_ID]],ReturnsRawTable[[Order_Line_ID]:[Refund_Status]],4,FALSE),"")</f>
        <v/>
      </c>
      <c r="AG781" s="45" t="str">
        <f>VLOOKUP(OrdersRawTable9[[#This Row],[Order_ID]],ShipmentsTable[],6,FALSE)</f>
        <v>On time</v>
      </c>
      <c r="AH781" s="49">
        <f>VLOOKUP(OrdersRawTable9[[#This Row],[Order_ID]],ShipmentsTable[],3,FALSE)</f>
        <v>45769</v>
      </c>
    </row>
    <row r="782" spans="1:34" ht="15" customHeight="1">
      <c r="A782" s="14" t="s">
        <v>1497</v>
      </c>
      <c r="B782" s="10" t="s">
        <v>1496</v>
      </c>
      <c r="C782" s="20">
        <v>45767</v>
      </c>
      <c r="D782" s="10" t="s">
        <v>525</v>
      </c>
      <c r="E782" s="10" t="s">
        <v>526</v>
      </c>
      <c r="F782" s="10" t="str">
        <f>TRIM(LEFT(OrdersRawTable9[[#This Row],[Customer_Info]],FIND(",",OrdersRawTable9[[#This Row],[Customer_Info]])-1))</f>
        <v>Yara Johnson</v>
      </c>
      <c r="G78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782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782" s="10">
        <f>LEN(OrdersRawTable9[[#This Row],[Customer_Info]])-LEN(SUBSTITUTE(OrdersRawTable9[[#This Row],[Customer_Info]],",",""))</f>
        <v>2</v>
      </c>
      <c r="J782" s="10" t="s">
        <v>150</v>
      </c>
      <c r="K782" s="23">
        <v>4</v>
      </c>
      <c r="L782" s="26">
        <v>263.04000000000002</v>
      </c>
      <c r="M782" s="29">
        <v>0.15</v>
      </c>
      <c r="N782" s="10" t="s">
        <v>45</v>
      </c>
      <c r="O782" s="10" t="str">
        <f>IF(TRIM(OrdersRawTable9[[#This Row],[Sales_Channel_Raw]])="Market place","Marketplace",TRIM(OrdersRawTable9[[#This Row],[Sales_Channel_Raw]]))</f>
        <v>Retail Store</v>
      </c>
      <c r="P782" s="10"/>
      <c r="Q782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782" s="15" t="s">
        <v>47</v>
      </c>
      <c r="S782" t="str">
        <f>VLOOKUP(OrdersRawTable9[[#This Row],[Customer_ID_Raw]],CustomersTable11[],4,FALSE)</f>
        <v>British Columbia</v>
      </c>
      <c r="T782" t="str">
        <f>VLOOKUP(OrdersRawTable9[[#This Row],[Customer_ID_Raw]],CustomersTable11[],5,FALSE)</f>
        <v>Corporate</v>
      </c>
      <c r="U782" s="45">
        <f>VLOOKUP(OrdersRawTable9[[#This Row],[Product_ID]],ProductsTable10[],4,FALSE)</f>
        <v>161.84</v>
      </c>
      <c r="V782" t="str">
        <f>VLOOKUP(OrdersRawTable9[[#This Row],[Product_ID]],ProductsTable10[],3,FALSE)</f>
        <v>Office</v>
      </c>
      <c r="W782" s="45">
        <f>OrdersRawTable9[[#This Row],[Unit_Price]]*OrdersRawTable9[[#This Row],[Quantity]]</f>
        <v>1052.1600000000001</v>
      </c>
      <c r="X782" s="47">
        <f>OrdersRawTable9[[#This Row],[Gross_Sales]]*OrdersRawTable9[[#This Row],[Discount_Pct]]</f>
        <v>157.82400000000001</v>
      </c>
      <c r="Y782" s="45">
        <f>OrdersRawTable9[[#This Row],[Gross_Sales]]-OrdersRawTable9[[#This Row],[Discount_Amount]]</f>
        <v>894.33600000000001</v>
      </c>
      <c r="Z782" s="45">
        <f>OrdersRawTable9[[#This Row],[Unit_Cost]]*OrdersRawTable9[[#This Row],[Quantity]]</f>
        <v>647.36</v>
      </c>
      <c r="AA782" s="45">
        <f>OrdersRawTable9[[#This Row],[Net_Sales]]-OrdersRawTable9[[#This Row],[Total_Cost]]</f>
        <v>246.976</v>
      </c>
      <c r="AB782" s="48">
        <f>IF(OrdersRawTable9[[#This Row],[Net_Sales]]=0,0,OrdersRawTable9[[#This Row],[Profit]]/OrdersRawTable9[[#This Row],[Net_Sales]])</f>
        <v>0.27615571776155717</v>
      </c>
      <c r="AC782" s="45" t="str">
        <f>IF(COUNTIF(ReturnsRawTable[Order_Line_ID],OrdersRawTable9[[#This Row],[Order_Line_ID]])&gt;0,"Yes","No")</f>
        <v>No</v>
      </c>
      <c r="AD782" s="45" t="str">
        <f>IFERROR(VLOOKUP(OrdersRawTable9[[#This Row],[Order_Line_ID]],ReturnsRawTable[[#All],[Order_Line_ID]:[Return_Reason_Raw]],3,FALSE),"")</f>
        <v/>
      </c>
      <c r="AE782" s="49" t="str">
        <f>IFERROR(VLOOKUP(OrdersRawTable9[[#This Row],[Order_Line_ID]],ReturnsRawTable[[#All],[Order_Line_ID]:[Return_Date]],2,FALSE),"")</f>
        <v/>
      </c>
      <c r="AF782" s="45" t="str">
        <f>IFERROR(VLOOKUP(OrdersRawTable9[[#This Row],[Order_Line_ID]],ReturnsRawTable[[Order_Line_ID]:[Refund_Status]],4,FALSE),"")</f>
        <v/>
      </c>
      <c r="AG782" s="45" t="str">
        <f>VLOOKUP(OrdersRawTable9[[#This Row],[Order_ID]],ShipmentsTable[],6,FALSE)</f>
        <v>On time</v>
      </c>
      <c r="AH782" s="49">
        <f>VLOOKUP(OrdersRawTable9[[#This Row],[Order_ID]],ShipmentsTable[],3,FALSE)</f>
        <v>45769</v>
      </c>
    </row>
    <row r="783" spans="1:34" ht="15" customHeight="1">
      <c r="A783" s="14" t="s">
        <v>1498</v>
      </c>
      <c r="B783" s="10" t="s">
        <v>1496</v>
      </c>
      <c r="C783" s="20">
        <v>45767</v>
      </c>
      <c r="D783" s="10" t="s">
        <v>525</v>
      </c>
      <c r="E783" s="10" t="s">
        <v>526</v>
      </c>
      <c r="F783" s="10" t="str">
        <f>TRIM(LEFT(OrdersRawTable9[[#This Row],[Customer_Info]],FIND(",",OrdersRawTable9[[#This Row],[Customer_Info]])-1))</f>
        <v>Yara Johnson</v>
      </c>
      <c r="G78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783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783" s="10">
        <f>LEN(OrdersRawTable9[[#This Row],[Customer_Info]])-LEN(SUBSTITUTE(OrdersRawTable9[[#This Row],[Customer_Info]],",",""))</f>
        <v>2</v>
      </c>
      <c r="J783" s="10" t="s">
        <v>171</v>
      </c>
      <c r="K783" s="23">
        <v>3</v>
      </c>
      <c r="L783" s="26">
        <v>228.81</v>
      </c>
      <c r="M783" s="29">
        <v>0</v>
      </c>
      <c r="N783" s="10" t="s">
        <v>45</v>
      </c>
      <c r="O783" s="10" t="str">
        <f>IF(TRIM(OrdersRawTable9[[#This Row],[Sales_Channel_Raw]])="Market place","Marketplace",TRIM(OrdersRawTable9[[#This Row],[Sales_Channel_Raw]]))</f>
        <v>Retail Store</v>
      </c>
      <c r="P783" s="10" t="s">
        <v>51</v>
      </c>
      <c r="Q783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783" s="15" t="s">
        <v>47</v>
      </c>
      <c r="S783" t="str">
        <f>VLOOKUP(OrdersRawTable9[[#This Row],[Customer_ID_Raw]],CustomersTable11[],4,FALSE)</f>
        <v>British Columbia</v>
      </c>
      <c r="T783" t="str">
        <f>VLOOKUP(OrdersRawTable9[[#This Row],[Customer_ID_Raw]],CustomersTable11[],5,FALSE)</f>
        <v>Corporate</v>
      </c>
      <c r="U783" s="45">
        <f>VLOOKUP(OrdersRawTable9[[#This Row],[Product_ID]],ProductsTable10[],4,FALSE)</f>
        <v>130.9</v>
      </c>
      <c r="V783" t="str">
        <f>VLOOKUP(OrdersRawTable9[[#This Row],[Product_ID]],ProductsTable10[],3,FALSE)</f>
        <v>Accessories</v>
      </c>
      <c r="W783" s="45">
        <f>OrdersRawTable9[[#This Row],[Unit_Price]]*OrdersRawTable9[[#This Row],[Quantity]]</f>
        <v>686.43000000000006</v>
      </c>
      <c r="X783" s="47">
        <f>OrdersRawTable9[[#This Row],[Gross_Sales]]*OrdersRawTable9[[#This Row],[Discount_Pct]]</f>
        <v>0</v>
      </c>
      <c r="Y783" s="45">
        <f>OrdersRawTable9[[#This Row],[Gross_Sales]]-OrdersRawTable9[[#This Row],[Discount_Amount]]</f>
        <v>686.43000000000006</v>
      </c>
      <c r="Z783" s="45">
        <f>OrdersRawTable9[[#This Row],[Unit_Cost]]*OrdersRawTable9[[#This Row],[Quantity]]</f>
        <v>392.70000000000005</v>
      </c>
      <c r="AA783" s="45">
        <f>OrdersRawTable9[[#This Row],[Net_Sales]]-OrdersRawTable9[[#This Row],[Total_Cost]]</f>
        <v>293.73</v>
      </c>
      <c r="AB783" s="48">
        <f>IF(OrdersRawTable9[[#This Row],[Net_Sales]]=0,0,OrdersRawTable9[[#This Row],[Profit]]/OrdersRawTable9[[#This Row],[Net_Sales]])</f>
        <v>0.42790961933481925</v>
      </c>
      <c r="AC783" s="45" t="str">
        <f>IF(COUNTIF(ReturnsRawTable[Order_Line_ID],OrdersRawTable9[[#This Row],[Order_Line_ID]])&gt;0,"Yes","No")</f>
        <v>No</v>
      </c>
      <c r="AD783" s="45" t="str">
        <f>IFERROR(VLOOKUP(OrdersRawTable9[[#This Row],[Order_Line_ID]],ReturnsRawTable[[#All],[Order_Line_ID]:[Return_Reason_Raw]],3,FALSE),"")</f>
        <v/>
      </c>
      <c r="AE783" s="49" t="str">
        <f>IFERROR(VLOOKUP(OrdersRawTable9[[#This Row],[Order_Line_ID]],ReturnsRawTable[[#All],[Order_Line_ID]:[Return_Date]],2,FALSE),"")</f>
        <v/>
      </c>
      <c r="AF783" s="45" t="str">
        <f>IFERROR(VLOOKUP(OrdersRawTable9[[#This Row],[Order_Line_ID]],ReturnsRawTable[[Order_Line_ID]:[Refund_Status]],4,FALSE),"")</f>
        <v/>
      </c>
      <c r="AG783" s="45" t="str">
        <f>VLOOKUP(OrdersRawTable9[[#This Row],[Order_ID]],ShipmentsTable[],6,FALSE)</f>
        <v>On time</v>
      </c>
      <c r="AH783" s="49">
        <f>VLOOKUP(OrdersRawTable9[[#This Row],[Order_ID]],ShipmentsTable[],3,FALSE)</f>
        <v>45769</v>
      </c>
    </row>
    <row r="784" spans="1:34" ht="15" customHeight="1">
      <c r="A784" s="14" t="s">
        <v>1499</v>
      </c>
      <c r="B784" s="10" t="s">
        <v>1500</v>
      </c>
      <c r="C784" s="20">
        <v>45873</v>
      </c>
      <c r="D784" s="10" t="s">
        <v>1501</v>
      </c>
      <c r="E784" s="10" t="s">
        <v>476</v>
      </c>
      <c r="F784" s="10" t="str">
        <f>TRIM(LEFT(OrdersRawTable9[[#This Row],[Customer_Info]],FIND(",",OrdersRawTable9[[#This Row],[Customer_Info]])-1))</f>
        <v>Daniel Martin</v>
      </c>
      <c r="G78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784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84" s="10">
        <f>LEN(OrdersRawTable9[[#This Row],[Customer_Info]])-LEN(SUBSTITUTE(OrdersRawTable9[[#This Row],[Customer_Info]],",",""))</f>
        <v>2</v>
      </c>
      <c r="J784" s="10" t="s">
        <v>309</v>
      </c>
      <c r="K784" s="23">
        <v>4</v>
      </c>
      <c r="L784" s="26">
        <v>56.99</v>
      </c>
      <c r="M784" s="29">
        <v>0.15</v>
      </c>
      <c r="N784" s="10" t="s">
        <v>45</v>
      </c>
      <c r="O784" s="10" t="str">
        <f>IF(TRIM(OrdersRawTable9[[#This Row],[Sales_Channel_Raw]])="Market place","Marketplace",TRIM(OrdersRawTable9[[#This Row],[Sales_Channel_Raw]]))</f>
        <v>Retail Store</v>
      </c>
      <c r="P784" s="10" t="s">
        <v>46</v>
      </c>
      <c r="Q784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784" s="15" t="s">
        <v>52</v>
      </c>
      <c r="S784" t="str">
        <f>VLOOKUP(OrdersRawTable9[[#This Row],[Customer_ID_Raw]],CustomersTable11[],4,FALSE)</f>
        <v>Quebec</v>
      </c>
      <c r="T784" t="str">
        <f>VLOOKUP(OrdersRawTable9[[#This Row],[Customer_ID_Raw]],CustomersTable11[],5,FALSE)</f>
        <v>Consumer</v>
      </c>
      <c r="U784" s="45">
        <f>VLOOKUP(OrdersRawTable9[[#This Row],[Product_ID]],ProductsTable10[],4,FALSE)</f>
        <v>33.65</v>
      </c>
      <c r="V784" t="str">
        <f>VLOOKUP(OrdersRawTable9[[#This Row],[Product_ID]],ProductsTable10[],3,FALSE)</f>
        <v>Home</v>
      </c>
      <c r="W784" s="45">
        <f>OrdersRawTable9[[#This Row],[Unit_Price]]*OrdersRawTable9[[#This Row],[Quantity]]</f>
        <v>227.96</v>
      </c>
      <c r="X784" s="47">
        <f>OrdersRawTable9[[#This Row],[Gross_Sales]]*OrdersRawTable9[[#This Row],[Discount_Pct]]</f>
        <v>34.194000000000003</v>
      </c>
      <c r="Y784" s="45">
        <f>OrdersRawTable9[[#This Row],[Gross_Sales]]-OrdersRawTable9[[#This Row],[Discount_Amount]]</f>
        <v>193.76600000000002</v>
      </c>
      <c r="Z784" s="45">
        <f>OrdersRawTable9[[#This Row],[Unit_Cost]]*OrdersRawTable9[[#This Row],[Quantity]]</f>
        <v>134.6</v>
      </c>
      <c r="AA784" s="45">
        <f>OrdersRawTable9[[#This Row],[Net_Sales]]-OrdersRawTable9[[#This Row],[Total_Cost]]</f>
        <v>59.166000000000025</v>
      </c>
      <c r="AB784" s="48">
        <f>IF(OrdersRawTable9[[#This Row],[Net_Sales]]=0,0,OrdersRawTable9[[#This Row],[Profit]]/OrdersRawTable9[[#This Row],[Net_Sales]])</f>
        <v>0.30534768741678114</v>
      </c>
      <c r="AC784" s="45" t="str">
        <f>IF(COUNTIF(ReturnsRawTable[Order_Line_ID],OrdersRawTable9[[#This Row],[Order_Line_ID]])&gt;0,"Yes","No")</f>
        <v>No</v>
      </c>
      <c r="AD784" s="45" t="str">
        <f>IFERROR(VLOOKUP(OrdersRawTable9[[#This Row],[Order_Line_ID]],ReturnsRawTable[[#All],[Order_Line_ID]:[Return_Reason_Raw]],3,FALSE),"")</f>
        <v/>
      </c>
      <c r="AE784" s="49" t="str">
        <f>IFERROR(VLOOKUP(OrdersRawTable9[[#This Row],[Order_Line_ID]],ReturnsRawTable[[#All],[Order_Line_ID]:[Return_Date]],2,FALSE),"")</f>
        <v/>
      </c>
      <c r="AF784" s="45" t="str">
        <f>IFERROR(VLOOKUP(OrdersRawTable9[[#This Row],[Order_Line_ID]],ReturnsRawTable[[Order_Line_ID]:[Refund_Status]],4,FALSE),"")</f>
        <v/>
      </c>
      <c r="AG784" s="45" t="str">
        <f>VLOOKUP(OrdersRawTable9[[#This Row],[Order_ID]],ShipmentsTable[],6,FALSE)</f>
        <v>Late</v>
      </c>
      <c r="AH784" s="49">
        <f>VLOOKUP(OrdersRawTable9[[#This Row],[Order_ID]],ShipmentsTable[],3,FALSE)</f>
        <v>45880</v>
      </c>
    </row>
    <row r="785" spans="1:34" ht="15" customHeight="1">
      <c r="A785" s="14" t="s">
        <v>1502</v>
      </c>
      <c r="B785" s="10" t="s">
        <v>1500</v>
      </c>
      <c r="C785" s="20">
        <v>45873</v>
      </c>
      <c r="D785" s="10" t="s">
        <v>475</v>
      </c>
      <c r="E785" s="10" t="s">
        <v>476</v>
      </c>
      <c r="F785" s="10" t="str">
        <f>TRIM(LEFT(OrdersRawTable9[[#This Row],[Customer_Info]],FIND(",",OrdersRawTable9[[#This Row],[Customer_Info]])-1))</f>
        <v>Daniel Martin</v>
      </c>
      <c r="G78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785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85" s="10">
        <f>LEN(OrdersRawTable9[[#This Row],[Customer_Info]])-LEN(SUBSTITUTE(OrdersRawTable9[[#This Row],[Customer_Info]],",",""))</f>
        <v>2</v>
      </c>
      <c r="J785" s="10" t="s">
        <v>39</v>
      </c>
      <c r="K785" s="23">
        <v>1</v>
      </c>
      <c r="L785" s="26">
        <v>236.51</v>
      </c>
      <c r="M785" s="29">
        <v>0</v>
      </c>
      <c r="N785" s="10" t="s">
        <v>40</v>
      </c>
      <c r="O785" s="10" t="str">
        <f>IF(TRIM(OrdersRawTable9[[#This Row],[Sales_Channel_Raw]])="Market place","Marketplace",TRIM(OrdersRawTable9[[#This Row],[Sales_Channel_Raw]]))</f>
        <v>Online</v>
      </c>
      <c r="P785" s="10"/>
      <c r="Q785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785" s="15" t="s">
        <v>67</v>
      </c>
      <c r="S785" t="str">
        <f>VLOOKUP(OrdersRawTable9[[#This Row],[Customer_ID_Raw]],CustomersTable11[],4,FALSE)</f>
        <v>Quebec</v>
      </c>
      <c r="T785" t="str">
        <f>VLOOKUP(OrdersRawTable9[[#This Row],[Customer_ID_Raw]],CustomersTable11[],5,FALSE)</f>
        <v>Consumer</v>
      </c>
      <c r="U785" s="45">
        <f>VLOOKUP(OrdersRawTable9[[#This Row],[Product_ID]],ProductsTable10[],4,FALSE)</f>
        <v>142.84</v>
      </c>
      <c r="V785" t="str">
        <f>VLOOKUP(OrdersRawTable9[[#This Row],[Product_ID]],ProductsTable10[],3,FALSE)</f>
        <v>Fitness</v>
      </c>
      <c r="W785" s="45">
        <f>OrdersRawTable9[[#This Row],[Unit_Price]]*OrdersRawTable9[[#This Row],[Quantity]]</f>
        <v>236.51</v>
      </c>
      <c r="X785" s="47">
        <f>OrdersRawTable9[[#This Row],[Gross_Sales]]*OrdersRawTable9[[#This Row],[Discount_Pct]]</f>
        <v>0</v>
      </c>
      <c r="Y785" s="45">
        <f>OrdersRawTable9[[#This Row],[Gross_Sales]]-OrdersRawTable9[[#This Row],[Discount_Amount]]</f>
        <v>236.51</v>
      </c>
      <c r="Z785" s="45">
        <f>OrdersRawTable9[[#This Row],[Unit_Cost]]*OrdersRawTable9[[#This Row],[Quantity]]</f>
        <v>142.84</v>
      </c>
      <c r="AA785" s="45">
        <f>OrdersRawTable9[[#This Row],[Net_Sales]]-OrdersRawTable9[[#This Row],[Total_Cost]]</f>
        <v>93.669999999999987</v>
      </c>
      <c r="AB785" s="48">
        <f>IF(OrdersRawTable9[[#This Row],[Net_Sales]]=0,0,OrdersRawTable9[[#This Row],[Profit]]/OrdersRawTable9[[#This Row],[Net_Sales]])</f>
        <v>0.39605090693839579</v>
      </c>
      <c r="AC785" s="45" t="str">
        <f>IF(COUNTIF(ReturnsRawTable[Order_Line_ID],OrdersRawTable9[[#This Row],[Order_Line_ID]])&gt;0,"Yes","No")</f>
        <v>No</v>
      </c>
      <c r="AD785" s="45" t="str">
        <f>IFERROR(VLOOKUP(OrdersRawTable9[[#This Row],[Order_Line_ID]],ReturnsRawTable[[#All],[Order_Line_ID]:[Return_Reason_Raw]],3,FALSE),"")</f>
        <v/>
      </c>
      <c r="AE785" s="49" t="str">
        <f>IFERROR(VLOOKUP(OrdersRawTable9[[#This Row],[Order_Line_ID]],ReturnsRawTable[[#All],[Order_Line_ID]:[Return_Date]],2,FALSE),"")</f>
        <v/>
      </c>
      <c r="AF785" s="45" t="str">
        <f>IFERROR(VLOOKUP(OrdersRawTable9[[#This Row],[Order_Line_ID]],ReturnsRawTable[[Order_Line_ID]:[Refund_Status]],4,FALSE),"")</f>
        <v/>
      </c>
      <c r="AG785" s="45" t="str">
        <f>VLOOKUP(OrdersRawTable9[[#This Row],[Order_ID]],ShipmentsTable[],6,FALSE)</f>
        <v>Late</v>
      </c>
      <c r="AH785" s="49">
        <f>VLOOKUP(OrdersRawTable9[[#This Row],[Order_ID]],ShipmentsTable[],3,FALSE)</f>
        <v>45880</v>
      </c>
    </row>
    <row r="786" spans="1:34" ht="15" customHeight="1">
      <c r="A786" s="14" t="s">
        <v>1503</v>
      </c>
      <c r="B786" s="10" t="s">
        <v>1504</v>
      </c>
      <c r="C786" s="20">
        <v>45977</v>
      </c>
      <c r="D786" s="10" t="s">
        <v>1505</v>
      </c>
      <c r="E786" s="10" t="s">
        <v>1506</v>
      </c>
      <c r="F786" s="10" t="str">
        <f>TRIM(LEFT(OrdersRawTable9[[#This Row],[Customer_Info]],FIND(",",OrdersRawTable9[[#This Row],[Customer_Info]])-1))</f>
        <v>Sara Singh</v>
      </c>
      <c r="G78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786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786" s="10">
        <f>LEN(OrdersRawTable9[[#This Row],[Customer_Info]])-LEN(SUBSTITUTE(OrdersRawTable9[[#This Row],[Customer_Info]],",",""))</f>
        <v>2</v>
      </c>
      <c r="J786" s="10" t="s">
        <v>130</v>
      </c>
      <c r="K786" s="23">
        <v>4</v>
      </c>
      <c r="L786" s="26">
        <v>265.73</v>
      </c>
      <c r="M786" s="29">
        <v>0.05</v>
      </c>
      <c r="N786" s="10" t="s">
        <v>50</v>
      </c>
      <c r="O786" s="10" t="str">
        <f>IF(TRIM(OrdersRawTable9[[#This Row],[Sales_Channel_Raw]])="Market place","Marketplace",TRIM(OrdersRawTable9[[#This Row],[Sales_Channel_Raw]]))</f>
        <v>Marketplace</v>
      </c>
      <c r="P786" s="10" t="s">
        <v>41</v>
      </c>
      <c r="Q786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786" s="15" t="s">
        <v>67</v>
      </c>
      <c r="S786" t="str">
        <f>VLOOKUP(OrdersRawTable9[[#This Row],[Customer_ID_Raw]],CustomersTable11[],4,FALSE)</f>
        <v>Alberta</v>
      </c>
      <c r="T786" t="str">
        <f>VLOOKUP(OrdersRawTable9[[#This Row],[Customer_ID_Raw]],CustomersTable11[],5,FALSE)</f>
        <v>Corporate</v>
      </c>
      <c r="U786" s="45">
        <f>VLOOKUP(OrdersRawTable9[[#This Row],[Product_ID]],ProductsTable10[],4,FALSE)</f>
        <v>154.16999999999999</v>
      </c>
      <c r="V786" t="str">
        <f>VLOOKUP(OrdersRawTable9[[#This Row],[Product_ID]],ProductsTable10[],3,FALSE)</f>
        <v>Electronics</v>
      </c>
      <c r="W786" s="45">
        <f>OrdersRawTable9[[#This Row],[Unit_Price]]*OrdersRawTable9[[#This Row],[Quantity]]</f>
        <v>1062.92</v>
      </c>
      <c r="X786" s="47">
        <f>OrdersRawTable9[[#This Row],[Gross_Sales]]*OrdersRawTable9[[#This Row],[Discount_Pct]]</f>
        <v>53.146000000000008</v>
      </c>
      <c r="Y786" s="45">
        <f>OrdersRawTable9[[#This Row],[Gross_Sales]]-OrdersRawTable9[[#This Row],[Discount_Amount]]</f>
        <v>1009.7740000000001</v>
      </c>
      <c r="Z786" s="45">
        <f>OrdersRawTable9[[#This Row],[Unit_Cost]]*OrdersRawTable9[[#This Row],[Quantity]]</f>
        <v>616.67999999999995</v>
      </c>
      <c r="AA786" s="45">
        <f>OrdersRawTable9[[#This Row],[Net_Sales]]-OrdersRawTable9[[#This Row],[Total_Cost]]</f>
        <v>393.09400000000016</v>
      </c>
      <c r="AB786" s="48">
        <f>IF(OrdersRawTable9[[#This Row],[Net_Sales]]=0,0,OrdersRawTable9[[#This Row],[Profit]]/OrdersRawTable9[[#This Row],[Net_Sales]])</f>
        <v>0.38928908844949478</v>
      </c>
      <c r="AC786" s="45" t="str">
        <f>IF(COUNTIF(ReturnsRawTable[Order_Line_ID],OrdersRawTable9[[#This Row],[Order_Line_ID]])&gt;0,"Yes","No")</f>
        <v>No</v>
      </c>
      <c r="AD786" s="45" t="str">
        <f>IFERROR(VLOOKUP(OrdersRawTable9[[#This Row],[Order_Line_ID]],ReturnsRawTable[[#All],[Order_Line_ID]:[Return_Reason_Raw]],3,FALSE),"")</f>
        <v/>
      </c>
      <c r="AE786" s="49" t="str">
        <f>IFERROR(VLOOKUP(OrdersRawTable9[[#This Row],[Order_Line_ID]],ReturnsRawTable[[#All],[Order_Line_ID]:[Return_Date]],2,FALSE),"")</f>
        <v/>
      </c>
      <c r="AF786" s="45" t="str">
        <f>IFERROR(VLOOKUP(OrdersRawTable9[[#This Row],[Order_Line_ID]],ReturnsRawTable[[Order_Line_ID]:[Refund_Status]],4,FALSE),"")</f>
        <v/>
      </c>
      <c r="AG786" s="45" t="str">
        <f>VLOOKUP(OrdersRawTable9[[#This Row],[Order_ID]],ShipmentsTable[],6,FALSE)</f>
        <v>Late</v>
      </c>
      <c r="AH786" s="49">
        <f>VLOOKUP(OrdersRawTable9[[#This Row],[Order_ID]],ShipmentsTable[],3,FALSE)</f>
        <v>45987</v>
      </c>
    </row>
    <row r="787" spans="1:34" ht="15" customHeight="1">
      <c r="A787" s="14" t="s">
        <v>1507</v>
      </c>
      <c r="B787" s="10" t="s">
        <v>1508</v>
      </c>
      <c r="C787" s="20">
        <v>45925</v>
      </c>
      <c r="D787" s="10" t="s">
        <v>1438</v>
      </c>
      <c r="E787" s="10" t="s">
        <v>1439</v>
      </c>
      <c r="F787" s="10" t="str">
        <f>TRIM(LEFT(OrdersRawTable9[[#This Row],[Customer_Info]],FIND(",",OrdersRawTable9[[#This Row],[Customer_Info]])-1))</f>
        <v>Liam Khan</v>
      </c>
      <c r="G78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787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787" s="10">
        <f>LEN(OrdersRawTable9[[#This Row],[Customer_Info]])-LEN(SUBSTITUTE(OrdersRawTable9[[#This Row],[Customer_Info]],",",""))</f>
        <v>2</v>
      </c>
      <c r="J787" s="10" t="s">
        <v>220</v>
      </c>
      <c r="K787" s="23">
        <v>4</v>
      </c>
      <c r="L787" s="26">
        <v>25.01</v>
      </c>
      <c r="M787" s="29">
        <v>0.15</v>
      </c>
      <c r="N787" s="10" t="s">
        <v>66</v>
      </c>
      <c r="O787" s="10" t="str">
        <f>IF(TRIM(OrdersRawTable9[[#This Row],[Sales_Channel_Raw]])="Market place","Marketplace",TRIM(OrdersRawTable9[[#This Row],[Sales_Channel_Raw]]))</f>
        <v>Marketplace</v>
      </c>
      <c r="P787" s="10" t="s">
        <v>51</v>
      </c>
      <c r="Q787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787" s="15" t="s">
        <v>47</v>
      </c>
      <c r="S787" t="str">
        <f>VLOOKUP(OrdersRawTable9[[#This Row],[Customer_ID_Raw]],CustomersTable11[],4,FALSE)</f>
        <v>British Columbia</v>
      </c>
      <c r="T787" t="str">
        <f>VLOOKUP(OrdersRawTable9[[#This Row],[Customer_ID_Raw]],CustomersTable11[],5,FALSE)</f>
        <v>Corporate</v>
      </c>
      <c r="U787" s="45">
        <f>VLOOKUP(OrdersRawTable9[[#This Row],[Product_ID]],ProductsTable10[],4,FALSE)</f>
        <v>16.86</v>
      </c>
      <c r="V787" t="str">
        <f>VLOOKUP(OrdersRawTable9[[#This Row],[Product_ID]],ProductsTable10[],3,FALSE)</f>
        <v>Office</v>
      </c>
      <c r="W787" s="45">
        <f>OrdersRawTable9[[#This Row],[Unit_Price]]*OrdersRawTable9[[#This Row],[Quantity]]</f>
        <v>100.04</v>
      </c>
      <c r="X787" s="47">
        <f>OrdersRawTable9[[#This Row],[Gross_Sales]]*OrdersRawTable9[[#This Row],[Discount_Pct]]</f>
        <v>15.006</v>
      </c>
      <c r="Y787" s="45">
        <f>OrdersRawTable9[[#This Row],[Gross_Sales]]-OrdersRawTable9[[#This Row],[Discount_Amount]]</f>
        <v>85.034000000000006</v>
      </c>
      <c r="Z787" s="45">
        <f>OrdersRawTable9[[#This Row],[Unit_Cost]]*OrdersRawTable9[[#This Row],[Quantity]]</f>
        <v>67.44</v>
      </c>
      <c r="AA787" s="45">
        <f>OrdersRawTable9[[#This Row],[Net_Sales]]-OrdersRawTable9[[#This Row],[Total_Cost]]</f>
        <v>17.594000000000008</v>
      </c>
      <c r="AB787" s="48">
        <f>IF(OrdersRawTable9[[#This Row],[Net_Sales]]=0,0,OrdersRawTable9[[#This Row],[Profit]]/OrdersRawTable9[[#This Row],[Net_Sales]])</f>
        <v>0.20690547310487578</v>
      </c>
      <c r="AC787" s="45" t="str">
        <f>IF(COUNTIF(ReturnsRawTable[Order_Line_ID],OrdersRawTable9[[#This Row],[Order_Line_ID]])&gt;0,"Yes","No")</f>
        <v>No</v>
      </c>
      <c r="AD787" s="45" t="str">
        <f>IFERROR(VLOOKUP(OrdersRawTable9[[#This Row],[Order_Line_ID]],ReturnsRawTable[[#All],[Order_Line_ID]:[Return_Reason_Raw]],3,FALSE),"")</f>
        <v/>
      </c>
      <c r="AE787" s="49" t="str">
        <f>IFERROR(VLOOKUP(OrdersRawTable9[[#This Row],[Order_Line_ID]],ReturnsRawTable[[#All],[Order_Line_ID]:[Return_Date]],2,FALSE),"")</f>
        <v/>
      </c>
      <c r="AF787" s="45" t="str">
        <f>IFERROR(VLOOKUP(OrdersRawTable9[[#This Row],[Order_Line_ID]],ReturnsRawTable[[Order_Line_ID]:[Refund_Status]],4,FALSE),"")</f>
        <v/>
      </c>
      <c r="AG787" s="45" t="str">
        <f>VLOOKUP(OrdersRawTable9[[#This Row],[Order_ID]],ShipmentsTable[],6,FALSE)</f>
        <v>Late</v>
      </c>
      <c r="AH787" s="49">
        <f>VLOOKUP(OrdersRawTable9[[#This Row],[Order_ID]],ShipmentsTable[],3,FALSE)</f>
        <v>45931</v>
      </c>
    </row>
    <row r="788" spans="1:34" ht="15" customHeight="1">
      <c r="A788" s="14" t="s">
        <v>1509</v>
      </c>
      <c r="B788" s="10" t="s">
        <v>1508</v>
      </c>
      <c r="C788" s="20">
        <v>45925</v>
      </c>
      <c r="D788" s="10" t="s">
        <v>1438</v>
      </c>
      <c r="E788" s="10" t="s">
        <v>1439</v>
      </c>
      <c r="F788" s="10" t="str">
        <f>TRIM(LEFT(OrdersRawTable9[[#This Row],[Customer_Info]],FIND(",",OrdersRawTable9[[#This Row],[Customer_Info]])-1))</f>
        <v>Liam Khan</v>
      </c>
      <c r="G78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788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788" s="10">
        <f>LEN(OrdersRawTable9[[#This Row],[Customer_Info]])-LEN(SUBSTITUTE(OrdersRawTable9[[#This Row],[Customer_Info]],",",""))</f>
        <v>2</v>
      </c>
      <c r="J788" s="10" t="s">
        <v>178</v>
      </c>
      <c r="K788" s="23">
        <v>4</v>
      </c>
      <c r="L788" s="26">
        <v>61.81</v>
      </c>
      <c r="M788" s="29">
        <v>0.05</v>
      </c>
      <c r="N788" s="10" t="s">
        <v>66</v>
      </c>
      <c r="O788" s="10" t="str">
        <f>IF(TRIM(OrdersRawTable9[[#This Row],[Sales_Channel_Raw]])="Market place","Marketplace",TRIM(OrdersRawTable9[[#This Row],[Sales_Channel_Raw]]))</f>
        <v>Marketplace</v>
      </c>
      <c r="P788" s="10" t="s">
        <v>98</v>
      </c>
      <c r="Q788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788" s="15" t="s">
        <v>101</v>
      </c>
      <c r="S788" t="str">
        <f>VLOOKUP(OrdersRawTable9[[#This Row],[Customer_ID_Raw]],CustomersTable11[],4,FALSE)</f>
        <v>British Columbia</v>
      </c>
      <c r="T788" t="str">
        <f>VLOOKUP(OrdersRawTable9[[#This Row],[Customer_ID_Raw]],CustomersTable11[],5,FALSE)</f>
        <v>Corporate</v>
      </c>
      <c r="U788" s="45">
        <f>VLOOKUP(OrdersRawTable9[[#This Row],[Product_ID]],ProductsTable10[],4,FALSE)</f>
        <v>33.19</v>
      </c>
      <c r="V788" t="str">
        <f>VLOOKUP(OrdersRawTable9[[#This Row],[Product_ID]],ProductsTable10[],3,FALSE)</f>
        <v>Office</v>
      </c>
      <c r="W788" s="45">
        <f>OrdersRawTable9[[#This Row],[Unit_Price]]*OrdersRawTable9[[#This Row],[Quantity]]</f>
        <v>247.24</v>
      </c>
      <c r="X788" s="47">
        <f>OrdersRawTable9[[#This Row],[Gross_Sales]]*OrdersRawTable9[[#This Row],[Discount_Pct]]</f>
        <v>12.362000000000002</v>
      </c>
      <c r="Y788" s="45">
        <f>OrdersRawTable9[[#This Row],[Gross_Sales]]-OrdersRawTable9[[#This Row],[Discount_Amount]]</f>
        <v>234.87800000000001</v>
      </c>
      <c r="Z788" s="45">
        <f>OrdersRawTable9[[#This Row],[Unit_Cost]]*OrdersRawTable9[[#This Row],[Quantity]]</f>
        <v>132.76</v>
      </c>
      <c r="AA788" s="45">
        <f>OrdersRawTable9[[#This Row],[Net_Sales]]-OrdersRawTable9[[#This Row],[Total_Cost]]</f>
        <v>102.11800000000002</v>
      </c>
      <c r="AB788" s="48">
        <f>IF(OrdersRawTable9[[#This Row],[Net_Sales]]=0,0,OrdersRawTable9[[#This Row],[Profit]]/OrdersRawTable9[[#This Row],[Net_Sales]])</f>
        <v>0.43477039143725688</v>
      </c>
      <c r="AC788" s="45" t="str">
        <f>IF(COUNTIF(ReturnsRawTable[Order_Line_ID],OrdersRawTable9[[#This Row],[Order_Line_ID]])&gt;0,"Yes","No")</f>
        <v>No</v>
      </c>
      <c r="AD788" s="45" t="str">
        <f>IFERROR(VLOOKUP(OrdersRawTable9[[#This Row],[Order_Line_ID]],ReturnsRawTable[[#All],[Order_Line_ID]:[Return_Reason_Raw]],3,FALSE),"")</f>
        <v/>
      </c>
      <c r="AE788" s="49" t="str">
        <f>IFERROR(VLOOKUP(OrdersRawTable9[[#This Row],[Order_Line_ID]],ReturnsRawTable[[#All],[Order_Line_ID]:[Return_Date]],2,FALSE),"")</f>
        <v/>
      </c>
      <c r="AF788" s="45" t="str">
        <f>IFERROR(VLOOKUP(OrdersRawTable9[[#This Row],[Order_Line_ID]],ReturnsRawTable[[Order_Line_ID]:[Refund_Status]],4,FALSE),"")</f>
        <v/>
      </c>
      <c r="AG788" s="45" t="str">
        <f>VLOOKUP(OrdersRawTable9[[#This Row],[Order_ID]],ShipmentsTable[],6,FALSE)</f>
        <v>Late</v>
      </c>
      <c r="AH788" s="49">
        <f>VLOOKUP(OrdersRawTable9[[#This Row],[Order_ID]],ShipmentsTable[],3,FALSE)</f>
        <v>45931</v>
      </c>
    </row>
    <row r="789" spans="1:34" ht="15" customHeight="1">
      <c r="A789" s="14" t="s">
        <v>1510</v>
      </c>
      <c r="B789" s="10" t="s">
        <v>1508</v>
      </c>
      <c r="C789" s="20">
        <v>45925</v>
      </c>
      <c r="D789" s="10" t="s">
        <v>1438</v>
      </c>
      <c r="E789" s="10" t="s">
        <v>1439</v>
      </c>
      <c r="F789" s="10" t="str">
        <f>TRIM(LEFT(OrdersRawTable9[[#This Row],[Customer_Info]],FIND(",",OrdersRawTable9[[#This Row],[Customer_Info]])-1))</f>
        <v>Liam Khan</v>
      </c>
      <c r="G78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789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789" s="10">
        <f>LEN(OrdersRawTable9[[#This Row],[Customer_Info]])-LEN(SUBSTITUTE(OrdersRawTable9[[#This Row],[Customer_Info]],",",""))</f>
        <v>2</v>
      </c>
      <c r="J789" s="10" t="s">
        <v>270</v>
      </c>
      <c r="K789" s="23">
        <v>1</v>
      </c>
      <c r="L789" s="26">
        <v>214.38</v>
      </c>
      <c r="M789" s="29">
        <v>0.1</v>
      </c>
      <c r="N789" s="10" t="s">
        <v>45</v>
      </c>
      <c r="O789" s="10" t="str">
        <f>IF(TRIM(OrdersRawTable9[[#This Row],[Sales_Channel_Raw]])="Market place","Marketplace",TRIM(OrdersRawTable9[[#This Row],[Sales_Channel_Raw]]))</f>
        <v>Retail Store</v>
      </c>
      <c r="P789" s="10" t="s">
        <v>51</v>
      </c>
      <c r="Q789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789" s="15" t="s">
        <v>42</v>
      </c>
      <c r="S789" t="str">
        <f>VLOOKUP(OrdersRawTable9[[#This Row],[Customer_ID_Raw]],CustomersTable11[],4,FALSE)</f>
        <v>British Columbia</v>
      </c>
      <c r="T789" t="str">
        <f>VLOOKUP(OrdersRawTable9[[#This Row],[Customer_ID_Raw]],CustomersTable11[],5,FALSE)</f>
        <v>Corporate</v>
      </c>
      <c r="U789" s="45">
        <f>VLOOKUP(OrdersRawTable9[[#This Row],[Product_ID]],ProductsTable10[],4,FALSE)</f>
        <v>131.51</v>
      </c>
      <c r="V789" t="str">
        <f>VLOOKUP(OrdersRawTable9[[#This Row],[Product_ID]],ProductsTable10[],3,FALSE)</f>
        <v>Fitness</v>
      </c>
      <c r="W789" s="45">
        <f>OrdersRawTable9[[#This Row],[Unit_Price]]*OrdersRawTable9[[#This Row],[Quantity]]</f>
        <v>214.38</v>
      </c>
      <c r="X789" s="47">
        <f>OrdersRawTable9[[#This Row],[Gross_Sales]]*OrdersRawTable9[[#This Row],[Discount_Pct]]</f>
        <v>21.438000000000002</v>
      </c>
      <c r="Y789" s="45">
        <f>OrdersRawTable9[[#This Row],[Gross_Sales]]-OrdersRawTable9[[#This Row],[Discount_Amount]]</f>
        <v>192.94200000000001</v>
      </c>
      <c r="Z789" s="45">
        <f>OrdersRawTable9[[#This Row],[Unit_Cost]]*OrdersRawTable9[[#This Row],[Quantity]]</f>
        <v>131.51</v>
      </c>
      <c r="AA789" s="45">
        <f>OrdersRawTable9[[#This Row],[Net_Sales]]-OrdersRawTable9[[#This Row],[Total_Cost]]</f>
        <v>61.432000000000016</v>
      </c>
      <c r="AB789" s="48">
        <f>IF(OrdersRawTable9[[#This Row],[Net_Sales]]=0,0,OrdersRawTable9[[#This Row],[Profit]]/OrdersRawTable9[[#This Row],[Net_Sales]])</f>
        <v>0.31839620196743068</v>
      </c>
      <c r="AC789" s="45" t="str">
        <f>IF(COUNTIF(ReturnsRawTable[Order_Line_ID],OrdersRawTable9[[#This Row],[Order_Line_ID]])&gt;0,"Yes","No")</f>
        <v>No</v>
      </c>
      <c r="AD789" s="45" t="str">
        <f>IFERROR(VLOOKUP(OrdersRawTable9[[#This Row],[Order_Line_ID]],ReturnsRawTable[[#All],[Order_Line_ID]:[Return_Reason_Raw]],3,FALSE),"")</f>
        <v/>
      </c>
      <c r="AE789" s="49" t="str">
        <f>IFERROR(VLOOKUP(OrdersRawTable9[[#This Row],[Order_Line_ID]],ReturnsRawTable[[#All],[Order_Line_ID]:[Return_Date]],2,FALSE),"")</f>
        <v/>
      </c>
      <c r="AF789" s="45" t="str">
        <f>IFERROR(VLOOKUP(OrdersRawTable9[[#This Row],[Order_Line_ID]],ReturnsRawTable[[Order_Line_ID]:[Refund_Status]],4,FALSE),"")</f>
        <v/>
      </c>
      <c r="AG789" s="45" t="str">
        <f>VLOOKUP(OrdersRawTable9[[#This Row],[Order_ID]],ShipmentsTable[],6,FALSE)</f>
        <v>Late</v>
      </c>
      <c r="AH789" s="49">
        <f>VLOOKUP(OrdersRawTable9[[#This Row],[Order_ID]],ShipmentsTable[],3,FALSE)</f>
        <v>45931</v>
      </c>
    </row>
    <row r="790" spans="1:34" ht="15" customHeight="1">
      <c r="A790" s="14" t="s">
        <v>1511</v>
      </c>
      <c r="B790" s="10" t="s">
        <v>1512</v>
      </c>
      <c r="C790" s="20">
        <v>45801</v>
      </c>
      <c r="D790" s="10" t="s">
        <v>1513</v>
      </c>
      <c r="E790" s="10" t="s">
        <v>1514</v>
      </c>
      <c r="F790" s="10" t="str">
        <f>TRIM(LEFT(OrdersRawTable9[[#This Row],[Customer_Info]],FIND(",",OrdersRawTable9[[#This Row],[Customer_Info]])-1))</f>
        <v>Amina Singh</v>
      </c>
      <c r="G79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790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790" s="10">
        <f>LEN(OrdersRawTable9[[#This Row],[Customer_Info]])-LEN(SUBSTITUTE(OrdersRawTable9[[#This Row],[Customer_Info]],",",""))</f>
        <v>2</v>
      </c>
      <c r="J790" s="10" t="s">
        <v>112</v>
      </c>
      <c r="K790" s="23">
        <v>2</v>
      </c>
      <c r="L790" s="26">
        <v>88.61</v>
      </c>
      <c r="M790" s="29">
        <v>0</v>
      </c>
      <c r="N790" s="10" t="s">
        <v>64</v>
      </c>
      <c r="O790" s="10" t="str">
        <f>IF(TRIM(OrdersRawTable9[[#This Row],[Sales_Channel_Raw]])="Market place","Marketplace",TRIM(OrdersRawTable9[[#This Row],[Sales_Channel_Raw]]))</f>
        <v>Retail Store</v>
      </c>
      <c r="P790" s="10" t="s">
        <v>58</v>
      </c>
      <c r="Q790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790" s="15" t="s">
        <v>47</v>
      </c>
      <c r="S790" t="str">
        <f>VLOOKUP(OrdersRawTable9[[#This Row],[Customer_ID_Raw]],CustomersTable11[],4,FALSE)</f>
        <v>Ontario</v>
      </c>
      <c r="T790" t="str">
        <f>VLOOKUP(OrdersRawTable9[[#This Row],[Customer_ID_Raw]],CustomersTable11[],5,FALSE)</f>
        <v>Small Business</v>
      </c>
      <c r="U790" s="45">
        <f>VLOOKUP(OrdersRawTable9[[#This Row],[Product_ID]],ProductsTable10[],4,FALSE)</f>
        <v>49.75</v>
      </c>
      <c r="V790" t="str">
        <f>VLOOKUP(OrdersRawTable9[[#This Row],[Product_ID]],ProductsTable10[],3,FALSE)</f>
        <v>Electronics</v>
      </c>
      <c r="W790" s="45">
        <f>OrdersRawTable9[[#This Row],[Unit_Price]]*OrdersRawTable9[[#This Row],[Quantity]]</f>
        <v>177.22</v>
      </c>
      <c r="X790" s="47">
        <f>OrdersRawTable9[[#This Row],[Gross_Sales]]*OrdersRawTable9[[#This Row],[Discount_Pct]]</f>
        <v>0</v>
      </c>
      <c r="Y790" s="45">
        <f>OrdersRawTable9[[#This Row],[Gross_Sales]]-OrdersRawTable9[[#This Row],[Discount_Amount]]</f>
        <v>177.22</v>
      </c>
      <c r="Z790" s="45">
        <f>OrdersRawTable9[[#This Row],[Unit_Cost]]*OrdersRawTable9[[#This Row],[Quantity]]</f>
        <v>99.5</v>
      </c>
      <c r="AA790" s="45">
        <f>OrdersRawTable9[[#This Row],[Net_Sales]]-OrdersRawTable9[[#This Row],[Total_Cost]]</f>
        <v>77.72</v>
      </c>
      <c r="AB790" s="48">
        <f>IF(OrdersRawTable9[[#This Row],[Net_Sales]]=0,0,OrdersRawTable9[[#This Row],[Profit]]/OrdersRawTable9[[#This Row],[Net_Sales]])</f>
        <v>0.43855095361697327</v>
      </c>
      <c r="AC790" s="45" t="str">
        <f>IF(COUNTIF(ReturnsRawTable[Order_Line_ID],OrdersRawTable9[[#This Row],[Order_Line_ID]])&gt;0,"Yes","No")</f>
        <v>No</v>
      </c>
      <c r="AD790" s="45" t="str">
        <f>IFERROR(VLOOKUP(OrdersRawTable9[[#This Row],[Order_Line_ID]],ReturnsRawTable[[#All],[Order_Line_ID]:[Return_Reason_Raw]],3,FALSE),"")</f>
        <v/>
      </c>
      <c r="AE790" s="49" t="str">
        <f>IFERROR(VLOOKUP(OrdersRawTable9[[#This Row],[Order_Line_ID]],ReturnsRawTable[[#All],[Order_Line_ID]:[Return_Date]],2,FALSE),"")</f>
        <v/>
      </c>
      <c r="AF790" s="45" t="str">
        <f>IFERROR(VLOOKUP(OrdersRawTable9[[#This Row],[Order_Line_ID]],ReturnsRawTable[[Order_Line_ID]:[Refund_Status]],4,FALSE),"")</f>
        <v/>
      </c>
      <c r="AG790" s="45" t="str">
        <f>VLOOKUP(OrdersRawTable9[[#This Row],[Order_ID]],ShipmentsTable[],6,FALSE)</f>
        <v>Late</v>
      </c>
      <c r="AH790" s="49">
        <f>VLOOKUP(OrdersRawTable9[[#This Row],[Order_ID]],ShipmentsTable[],3,FALSE)</f>
        <v>45809</v>
      </c>
    </row>
    <row r="791" spans="1:34" ht="15" customHeight="1">
      <c r="A791" s="14" t="s">
        <v>1515</v>
      </c>
      <c r="B791" s="10" t="s">
        <v>1512</v>
      </c>
      <c r="C791" s="20">
        <v>45801</v>
      </c>
      <c r="D791" s="10" t="s">
        <v>1513</v>
      </c>
      <c r="E791" s="10" t="s">
        <v>1514</v>
      </c>
      <c r="F791" s="10" t="str">
        <f>TRIM(LEFT(OrdersRawTable9[[#This Row],[Customer_Info]],FIND(",",OrdersRawTable9[[#This Row],[Customer_Info]])-1))</f>
        <v>Amina Singh</v>
      </c>
      <c r="G79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791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791" s="10">
        <f>LEN(OrdersRawTable9[[#This Row],[Customer_Info]])-LEN(SUBSTITUTE(OrdersRawTable9[[#This Row],[Customer_Info]],",",""))</f>
        <v>2</v>
      </c>
      <c r="J791" s="10" t="s">
        <v>121</v>
      </c>
      <c r="K791" s="23">
        <v>2</v>
      </c>
      <c r="L791" s="26">
        <v>287.16000000000003</v>
      </c>
      <c r="M791" s="29">
        <v>0</v>
      </c>
      <c r="N791" s="10" t="s">
        <v>64</v>
      </c>
      <c r="O791" s="10" t="str">
        <f>IF(TRIM(OrdersRawTable9[[#This Row],[Sales_Channel_Raw]])="Market place","Marketplace",TRIM(OrdersRawTable9[[#This Row],[Sales_Channel_Raw]]))</f>
        <v>Retail Store</v>
      </c>
      <c r="P791" s="10" t="s">
        <v>51</v>
      </c>
      <c r="Q791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791" s="15" t="s">
        <v>101</v>
      </c>
      <c r="S791" t="str">
        <f>VLOOKUP(OrdersRawTable9[[#This Row],[Customer_ID_Raw]],CustomersTable11[],4,FALSE)</f>
        <v>Ontario</v>
      </c>
      <c r="T791" t="str">
        <f>VLOOKUP(OrdersRawTable9[[#This Row],[Customer_ID_Raw]],CustomersTable11[],5,FALSE)</f>
        <v>Small Business</v>
      </c>
      <c r="U791" s="45">
        <f>VLOOKUP(OrdersRawTable9[[#This Row],[Product_ID]],ProductsTable10[],4,FALSE)</f>
        <v>148.21</v>
      </c>
      <c r="V791" t="str">
        <f>VLOOKUP(OrdersRawTable9[[#This Row],[Product_ID]],ProductsTable10[],3,FALSE)</f>
        <v>Accessories</v>
      </c>
      <c r="W791" s="45">
        <f>OrdersRawTable9[[#This Row],[Unit_Price]]*OrdersRawTable9[[#This Row],[Quantity]]</f>
        <v>574.32000000000005</v>
      </c>
      <c r="X791" s="47">
        <f>OrdersRawTable9[[#This Row],[Gross_Sales]]*OrdersRawTable9[[#This Row],[Discount_Pct]]</f>
        <v>0</v>
      </c>
      <c r="Y791" s="45">
        <f>OrdersRawTable9[[#This Row],[Gross_Sales]]-OrdersRawTable9[[#This Row],[Discount_Amount]]</f>
        <v>574.32000000000005</v>
      </c>
      <c r="Z791" s="45">
        <f>OrdersRawTable9[[#This Row],[Unit_Cost]]*OrdersRawTable9[[#This Row],[Quantity]]</f>
        <v>296.42</v>
      </c>
      <c r="AA791" s="45">
        <f>OrdersRawTable9[[#This Row],[Net_Sales]]-OrdersRawTable9[[#This Row],[Total_Cost]]</f>
        <v>277.90000000000003</v>
      </c>
      <c r="AB791" s="48">
        <f>IF(OrdersRawTable9[[#This Row],[Net_Sales]]=0,0,OrdersRawTable9[[#This Row],[Profit]]/OrdersRawTable9[[#This Row],[Net_Sales]])</f>
        <v>0.48387658448251847</v>
      </c>
      <c r="AC791" s="45" t="str">
        <f>IF(COUNTIF(ReturnsRawTable[Order_Line_ID],OrdersRawTable9[[#This Row],[Order_Line_ID]])&gt;0,"Yes","No")</f>
        <v>No</v>
      </c>
      <c r="AD791" s="45" t="str">
        <f>IFERROR(VLOOKUP(OrdersRawTable9[[#This Row],[Order_Line_ID]],ReturnsRawTable[[#All],[Order_Line_ID]:[Return_Reason_Raw]],3,FALSE),"")</f>
        <v/>
      </c>
      <c r="AE791" s="49" t="str">
        <f>IFERROR(VLOOKUP(OrdersRawTable9[[#This Row],[Order_Line_ID]],ReturnsRawTable[[#All],[Order_Line_ID]:[Return_Date]],2,FALSE),"")</f>
        <v/>
      </c>
      <c r="AF791" s="45" t="str">
        <f>IFERROR(VLOOKUP(OrdersRawTable9[[#This Row],[Order_Line_ID]],ReturnsRawTable[[Order_Line_ID]:[Refund_Status]],4,FALSE),"")</f>
        <v/>
      </c>
      <c r="AG791" s="45" t="str">
        <f>VLOOKUP(OrdersRawTable9[[#This Row],[Order_ID]],ShipmentsTable[],6,FALSE)</f>
        <v>Late</v>
      </c>
      <c r="AH791" s="49">
        <f>VLOOKUP(OrdersRawTable9[[#This Row],[Order_ID]],ShipmentsTable[],3,FALSE)</f>
        <v>45809</v>
      </c>
    </row>
    <row r="792" spans="1:34" ht="15" customHeight="1">
      <c r="A792" s="14" t="s">
        <v>1516</v>
      </c>
      <c r="B792" s="10" t="s">
        <v>1512</v>
      </c>
      <c r="C792" s="20">
        <v>45801</v>
      </c>
      <c r="D792" s="10" t="s">
        <v>1513</v>
      </c>
      <c r="E792" s="10" t="s">
        <v>1514</v>
      </c>
      <c r="F792" s="10" t="str">
        <f>TRIM(LEFT(OrdersRawTable9[[#This Row],[Customer_Info]],FIND(",",OrdersRawTable9[[#This Row],[Customer_Info]])-1))</f>
        <v>Amina Singh</v>
      </c>
      <c r="G79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792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792" s="10">
        <f>LEN(OrdersRawTable9[[#This Row],[Customer_Info]])-LEN(SUBSTITUTE(OrdersRawTable9[[#This Row],[Customer_Info]],",",""))</f>
        <v>2</v>
      </c>
      <c r="J792" s="10" t="s">
        <v>147</v>
      </c>
      <c r="K792" s="23">
        <v>3</v>
      </c>
      <c r="L792" s="26">
        <v>102.78</v>
      </c>
      <c r="M792" s="29">
        <v>0</v>
      </c>
      <c r="N792" s="10" t="s">
        <v>70</v>
      </c>
      <c r="O792" s="10" t="str">
        <f>IF(TRIM(OrdersRawTable9[[#This Row],[Sales_Channel_Raw]])="Market place","Marketplace",TRIM(OrdersRawTable9[[#This Row],[Sales_Channel_Raw]]))</f>
        <v>online</v>
      </c>
      <c r="P792" s="10" t="s">
        <v>41</v>
      </c>
      <c r="Q792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792" s="15" t="s">
        <v>67</v>
      </c>
      <c r="S792" t="str">
        <f>VLOOKUP(OrdersRawTable9[[#This Row],[Customer_ID_Raw]],CustomersTable11[],4,FALSE)</f>
        <v>Ontario</v>
      </c>
      <c r="T792" t="str">
        <f>VLOOKUP(OrdersRawTable9[[#This Row],[Customer_ID_Raw]],CustomersTable11[],5,FALSE)</f>
        <v>Small Business</v>
      </c>
      <c r="U792" s="45">
        <f>VLOOKUP(OrdersRawTable9[[#This Row],[Product_ID]],ProductsTable10[],4,FALSE)</f>
        <v>62.65</v>
      </c>
      <c r="V792" t="str">
        <f>VLOOKUP(OrdersRawTable9[[#This Row],[Product_ID]],ProductsTable10[],3,FALSE)</f>
        <v>Accessories</v>
      </c>
      <c r="W792" s="45">
        <f>OrdersRawTable9[[#This Row],[Unit_Price]]*OrdersRawTable9[[#This Row],[Quantity]]</f>
        <v>308.34000000000003</v>
      </c>
      <c r="X792" s="47">
        <f>OrdersRawTable9[[#This Row],[Gross_Sales]]*OrdersRawTable9[[#This Row],[Discount_Pct]]</f>
        <v>0</v>
      </c>
      <c r="Y792" s="45">
        <f>OrdersRawTable9[[#This Row],[Gross_Sales]]-OrdersRawTable9[[#This Row],[Discount_Amount]]</f>
        <v>308.34000000000003</v>
      </c>
      <c r="Z792" s="45">
        <f>OrdersRawTable9[[#This Row],[Unit_Cost]]*OrdersRawTable9[[#This Row],[Quantity]]</f>
        <v>187.95</v>
      </c>
      <c r="AA792" s="45">
        <f>OrdersRawTable9[[#This Row],[Net_Sales]]-OrdersRawTable9[[#This Row],[Total_Cost]]</f>
        <v>120.39000000000004</v>
      </c>
      <c r="AB792" s="48">
        <f>IF(OrdersRawTable9[[#This Row],[Net_Sales]]=0,0,OrdersRawTable9[[#This Row],[Profit]]/OrdersRawTable9[[#This Row],[Net_Sales]])</f>
        <v>0.39044561198676797</v>
      </c>
      <c r="AC792" s="45" t="str">
        <f>IF(COUNTIF(ReturnsRawTable[Order_Line_ID],OrdersRawTable9[[#This Row],[Order_Line_ID]])&gt;0,"Yes","No")</f>
        <v>No</v>
      </c>
      <c r="AD792" s="45" t="str">
        <f>IFERROR(VLOOKUP(OrdersRawTable9[[#This Row],[Order_Line_ID]],ReturnsRawTable[[#All],[Order_Line_ID]:[Return_Reason_Raw]],3,FALSE),"")</f>
        <v/>
      </c>
      <c r="AE792" s="49" t="str">
        <f>IFERROR(VLOOKUP(OrdersRawTable9[[#This Row],[Order_Line_ID]],ReturnsRawTable[[#All],[Order_Line_ID]:[Return_Date]],2,FALSE),"")</f>
        <v/>
      </c>
      <c r="AF792" s="45" t="str">
        <f>IFERROR(VLOOKUP(OrdersRawTable9[[#This Row],[Order_Line_ID]],ReturnsRawTable[[Order_Line_ID]:[Refund_Status]],4,FALSE),"")</f>
        <v/>
      </c>
      <c r="AG792" s="45" t="str">
        <f>VLOOKUP(OrdersRawTable9[[#This Row],[Order_ID]],ShipmentsTable[],6,FALSE)</f>
        <v>Late</v>
      </c>
      <c r="AH792" s="49">
        <f>VLOOKUP(OrdersRawTable9[[#This Row],[Order_ID]],ShipmentsTable[],3,FALSE)</f>
        <v>45809</v>
      </c>
    </row>
    <row r="793" spans="1:34" ht="15" customHeight="1">
      <c r="A793" s="14" t="s">
        <v>1517</v>
      </c>
      <c r="B793" s="10" t="s">
        <v>1512</v>
      </c>
      <c r="C793" s="20">
        <v>45801</v>
      </c>
      <c r="D793" s="10" t="s">
        <v>1513</v>
      </c>
      <c r="E793" s="10" t="s">
        <v>1514</v>
      </c>
      <c r="F793" s="10" t="str">
        <f>TRIM(LEFT(OrdersRawTable9[[#This Row],[Customer_Info]],FIND(",",OrdersRawTable9[[#This Row],[Customer_Info]])-1))</f>
        <v>Amina Singh</v>
      </c>
      <c r="G79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793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793" s="10">
        <f>LEN(OrdersRawTable9[[#This Row],[Customer_Info]])-LEN(SUBSTITUTE(OrdersRawTable9[[#This Row],[Customer_Info]],",",""))</f>
        <v>2</v>
      </c>
      <c r="J793" s="10" t="s">
        <v>108</v>
      </c>
      <c r="K793" s="23">
        <v>4</v>
      </c>
      <c r="L793" s="26">
        <v>33.369999999999997</v>
      </c>
      <c r="M793" s="29">
        <v>0.05</v>
      </c>
      <c r="N793" s="10" t="s">
        <v>64</v>
      </c>
      <c r="O793" s="10" t="str">
        <f>IF(TRIM(OrdersRawTable9[[#This Row],[Sales_Channel_Raw]])="Market place","Marketplace",TRIM(OrdersRawTable9[[#This Row],[Sales_Channel_Raw]]))</f>
        <v>Retail Store</v>
      </c>
      <c r="P793" s="10" t="s">
        <v>98</v>
      </c>
      <c r="Q793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793" s="15" t="s">
        <v>52</v>
      </c>
      <c r="S793" t="str">
        <f>VLOOKUP(OrdersRawTable9[[#This Row],[Customer_ID_Raw]],CustomersTable11[],4,FALSE)</f>
        <v>Ontario</v>
      </c>
      <c r="T793" t="str">
        <f>VLOOKUP(OrdersRawTable9[[#This Row],[Customer_ID_Raw]],CustomersTable11[],5,FALSE)</f>
        <v>Small Business</v>
      </c>
      <c r="U793" s="45">
        <f>VLOOKUP(OrdersRawTable9[[#This Row],[Product_ID]],ProductsTable10[],4,FALSE)</f>
        <v>18.670000000000002</v>
      </c>
      <c r="V793" t="str">
        <f>VLOOKUP(OrdersRawTable9[[#This Row],[Product_ID]],ProductsTable10[],3,FALSE)</f>
        <v>Fitness</v>
      </c>
      <c r="W793" s="45">
        <f>OrdersRawTable9[[#This Row],[Unit_Price]]*OrdersRawTable9[[#This Row],[Quantity]]</f>
        <v>133.47999999999999</v>
      </c>
      <c r="X793" s="47">
        <f>OrdersRawTable9[[#This Row],[Gross_Sales]]*OrdersRawTable9[[#This Row],[Discount_Pct]]</f>
        <v>6.6739999999999995</v>
      </c>
      <c r="Y793" s="45">
        <f>OrdersRawTable9[[#This Row],[Gross_Sales]]-OrdersRawTable9[[#This Row],[Discount_Amount]]</f>
        <v>126.80599999999998</v>
      </c>
      <c r="Z793" s="45">
        <f>OrdersRawTable9[[#This Row],[Unit_Cost]]*OrdersRawTable9[[#This Row],[Quantity]]</f>
        <v>74.680000000000007</v>
      </c>
      <c r="AA793" s="45">
        <f>OrdersRawTable9[[#This Row],[Net_Sales]]-OrdersRawTable9[[#This Row],[Total_Cost]]</f>
        <v>52.125999999999976</v>
      </c>
      <c r="AB793" s="48">
        <f>IF(OrdersRawTable9[[#This Row],[Net_Sales]]=0,0,OrdersRawTable9[[#This Row],[Profit]]/OrdersRawTable9[[#This Row],[Net_Sales]])</f>
        <v>0.41106887686702509</v>
      </c>
      <c r="AC793" s="45" t="str">
        <f>IF(COUNTIF(ReturnsRawTable[Order_Line_ID],OrdersRawTable9[[#This Row],[Order_Line_ID]])&gt;0,"Yes","No")</f>
        <v>Yes</v>
      </c>
      <c r="AD793" s="45" t="str">
        <f>IFERROR(VLOOKUP(OrdersRawTable9[[#This Row],[Order_Line_ID]],ReturnsRawTable[[#All],[Order_Line_ID]:[Return_Reason_Raw]],3,FALSE),"")</f>
        <v>Changed Mind</v>
      </c>
      <c r="AE793" s="49">
        <f>IFERROR(VLOOKUP(OrdersRawTable9[[#This Row],[Order_Line_ID]],ReturnsRawTable[[#All],[Order_Line_ID]:[Return_Date]],2,FALSE),"")</f>
        <v>45811</v>
      </c>
      <c r="AF793" s="45" t="str">
        <f>IFERROR(VLOOKUP(OrdersRawTable9[[#This Row],[Order_Line_ID]],ReturnsRawTable[[Order_Line_ID]:[Refund_Status]],4,FALSE),"")</f>
        <v>Refunded</v>
      </c>
      <c r="AG793" s="45" t="str">
        <f>VLOOKUP(OrdersRawTable9[[#This Row],[Order_ID]],ShipmentsTable[],6,FALSE)</f>
        <v>Late</v>
      </c>
      <c r="AH793" s="49">
        <f>VLOOKUP(OrdersRawTable9[[#This Row],[Order_ID]],ShipmentsTable[],3,FALSE)</f>
        <v>45809</v>
      </c>
    </row>
    <row r="794" spans="1:34" ht="15" customHeight="1">
      <c r="A794" s="14" t="s">
        <v>1518</v>
      </c>
      <c r="B794" s="10" t="s">
        <v>1519</v>
      </c>
      <c r="C794" s="20">
        <v>45745.041666666664</v>
      </c>
      <c r="D794" s="10" t="s">
        <v>193</v>
      </c>
      <c r="E794" s="10" t="s">
        <v>194</v>
      </c>
      <c r="F794" s="10" t="str">
        <f>TRIM(LEFT(OrdersRawTable9[[#This Row],[Customer_Info]],FIND(",",OrdersRawTable9[[#This Row],[Customer_Info]])-1))</f>
        <v>Liam Gagnon</v>
      </c>
      <c r="G79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794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794" s="10">
        <f>LEN(OrdersRawTable9[[#This Row],[Customer_Info]])-LEN(SUBSTITUTE(OrdersRawTable9[[#This Row],[Customer_Info]],",",""))</f>
        <v>2</v>
      </c>
      <c r="J794" s="10" t="s">
        <v>204</v>
      </c>
      <c r="K794" s="23">
        <v>2</v>
      </c>
      <c r="L794" s="26">
        <v>244.25</v>
      </c>
      <c r="M794" s="29">
        <v>0.1</v>
      </c>
      <c r="N794" s="10" t="s">
        <v>70</v>
      </c>
      <c r="O794" s="10" t="str">
        <f>IF(TRIM(OrdersRawTable9[[#This Row],[Sales_Channel_Raw]])="Market place","Marketplace",TRIM(OrdersRawTable9[[#This Row],[Sales_Channel_Raw]]))</f>
        <v>online</v>
      </c>
      <c r="P794" s="10"/>
      <c r="Q794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794" s="15" t="s">
        <v>67</v>
      </c>
      <c r="S794" t="str">
        <f>VLOOKUP(OrdersRawTable9[[#This Row],[Customer_ID_Raw]],CustomersTable11[],4,FALSE)</f>
        <v>Ontario</v>
      </c>
      <c r="T794" t="str">
        <f>VLOOKUP(OrdersRawTable9[[#This Row],[Customer_ID_Raw]],CustomersTable11[],5,FALSE)</f>
        <v>Consumer</v>
      </c>
      <c r="U794" s="45">
        <f>VLOOKUP(OrdersRawTable9[[#This Row],[Product_ID]],ProductsTable10[],4,FALSE)</f>
        <v>150.96</v>
      </c>
      <c r="V794" t="str">
        <f>VLOOKUP(OrdersRawTable9[[#This Row],[Product_ID]],ProductsTable10[],3,FALSE)</f>
        <v>Office</v>
      </c>
      <c r="W794" s="45">
        <f>OrdersRawTable9[[#This Row],[Unit_Price]]*OrdersRawTable9[[#This Row],[Quantity]]</f>
        <v>488.5</v>
      </c>
      <c r="X794" s="47">
        <f>OrdersRawTable9[[#This Row],[Gross_Sales]]*OrdersRawTable9[[#This Row],[Discount_Pct]]</f>
        <v>48.85</v>
      </c>
      <c r="Y794" s="45">
        <f>OrdersRawTable9[[#This Row],[Gross_Sales]]-OrdersRawTable9[[#This Row],[Discount_Amount]]</f>
        <v>439.65</v>
      </c>
      <c r="Z794" s="45">
        <f>OrdersRawTable9[[#This Row],[Unit_Cost]]*OrdersRawTable9[[#This Row],[Quantity]]</f>
        <v>301.92</v>
      </c>
      <c r="AA794" s="45">
        <f>OrdersRawTable9[[#This Row],[Net_Sales]]-OrdersRawTable9[[#This Row],[Total_Cost]]</f>
        <v>137.72999999999996</v>
      </c>
      <c r="AB794" s="48">
        <f>IF(OrdersRawTable9[[#This Row],[Net_Sales]]=0,0,OrdersRawTable9[[#This Row],[Profit]]/OrdersRawTable9[[#This Row],[Net_Sales]])</f>
        <v>0.31327192084612754</v>
      </c>
      <c r="AC794" s="45" t="str">
        <f>IF(COUNTIF(ReturnsRawTable[Order_Line_ID],OrdersRawTable9[[#This Row],[Order_Line_ID]])&gt;0,"Yes","No")</f>
        <v>Yes</v>
      </c>
      <c r="AD794" s="45" t="str">
        <f>IFERROR(VLOOKUP(OrdersRawTable9[[#This Row],[Order_Line_ID]],ReturnsRawTable[[#All],[Order_Line_ID]:[Return_Reason_Raw]],3,FALSE),"")</f>
        <v>Wrong item</v>
      </c>
      <c r="AE794" s="49">
        <f>IFERROR(VLOOKUP(OrdersRawTable9[[#This Row],[Order_Line_ID]],ReturnsRawTable[[#All],[Order_Line_ID]:[Return_Date]],2,FALSE),"")</f>
        <v>45762</v>
      </c>
      <c r="AF794" s="45" t="str">
        <f>IFERROR(VLOOKUP(OrdersRawTable9[[#This Row],[Order_Line_ID]],ReturnsRawTable[[Order_Line_ID]:[Refund_Status]],4,FALSE),"")</f>
        <v>Refunded</v>
      </c>
      <c r="AG794" s="45" t="str">
        <f>VLOOKUP(OrdersRawTable9[[#This Row],[Order_ID]],ShipmentsTable[],6,FALSE)</f>
        <v>Late</v>
      </c>
      <c r="AH794" s="49">
        <f>VLOOKUP(OrdersRawTable9[[#This Row],[Order_ID]],ShipmentsTable[],3,FALSE)</f>
        <v>45752.041666666664</v>
      </c>
    </row>
    <row r="795" spans="1:34" ht="15" customHeight="1">
      <c r="A795" s="14" t="s">
        <v>1520</v>
      </c>
      <c r="B795" s="10" t="s">
        <v>1521</v>
      </c>
      <c r="C795" s="20">
        <v>46011</v>
      </c>
      <c r="D795" s="10" t="s">
        <v>572</v>
      </c>
      <c r="E795" s="10" t="s">
        <v>569</v>
      </c>
      <c r="F795" s="10" t="str">
        <f>TRIM(LEFT(OrdersRawTable9[[#This Row],[Customer_Info]],FIND(",",OrdersRawTable9[[#This Row],[Customer_Info]])-1))</f>
        <v>Sofia Dubois</v>
      </c>
      <c r="G79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795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795" s="10">
        <f>LEN(OrdersRawTable9[[#This Row],[Customer_Info]])-LEN(SUBSTITUTE(OrdersRawTable9[[#This Row],[Customer_Info]],",",""))</f>
        <v>2</v>
      </c>
      <c r="J795" s="10" t="s">
        <v>171</v>
      </c>
      <c r="K795" s="23">
        <v>1</v>
      </c>
      <c r="L795" s="26">
        <v>228.81</v>
      </c>
      <c r="M795" s="29">
        <v>0.1</v>
      </c>
      <c r="N795" s="10" t="s">
        <v>70</v>
      </c>
      <c r="O795" s="10" t="str">
        <f>IF(TRIM(OrdersRawTable9[[#This Row],[Sales_Channel_Raw]])="Market place","Marketplace",TRIM(OrdersRawTable9[[#This Row],[Sales_Channel_Raw]]))</f>
        <v>online</v>
      </c>
      <c r="P795" s="10" t="s">
        <v>98</v>
      </c>
      <c r="Q795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795" s="15" t="s">
        <v>47</v>
      </c>
      <c r="S795" t="str">
        <f>VLOOKUP(OrdersRawTable9[[#This Row],[Customer_ID_Raw]],CustomersTable11[],4,FALSE)</f>
        <v>Quebec</v>
      </c>
      <c r="T795" t="str">
        <f>VLOOKUP(OrdersRawTable9[[#This Row],[Customer_ID_Raw]],CustomersTable11[],5,FALSE)</f>
        <v>Corporate</v>
      </c>
      <c r="U795" s="45">
        <f>VLOOKUP(OrdersRawTable9[[#This Row],[Product_ID]],ProductsTable10[],4,FALSE)</f>
        <v>130.9</v>
      </c>
      <c r="V795" t="str">
        <f>VLOOKUP(OrdersRawTable9[[#This Row],[Product_ID]],ProductsTable10[],3,FALSE)</f>
        <v>Accessories</v>
      </c>
      <c r="W795" s="45">
        <f>OrdersRawTable9[[#This Row],[Unit_Price]]*OrdersRawTable9[[#This Row],[Quantity]]</f>
        <v>228.81</v>
      </c>
      <c r="X795" s="47">
        <f>OrdersRawTable9[[#This Row],[Gross_Sales]]*OrdersRawTable9[[#This Row],[Discount_Pct]]</f>
        <v>22.881</v>
      </c>
      <c r="Y795" s="45">
        <f>OrdersRawTable9[[#This Row],[Gross_Sales]]-OrdersRawTable9[[#This Row],[Discount_Amount]]</f>
        <v>205.929</v>
      </c>
      <c r="Z795" s="45">
        <f>OrdersRawTable9[[#This Row],[Unit_Cost]]*OrdersRawTable9[[#This Row],[Quantity]]</f>
        <v>130.9</v>
      </c>
      <c r="AA795" s="45">
        <f>OrdersRawTable9[[#This Row],[Net_Sales]]-OrdersRawTable9[[#This Row],[Total_Cost]]</f>
        <v>75.028999999999996</v>
      </c>
      <c r="AB795" s="48">
        <f>IF(OrdersRawTable9[[#This Row],[Net_Sales]]=0,0,OrdersRawTable9[[#This Row],[Profit]]/OrdersRawTable9[[#This Row],[Net_Sales]])</f>
        <v>0.3643440214831325</v>
      </c>
      <c r="AC795" s="45" t="str">
        <f>IF(COUNTIF(ReturnsRawTable[Order_Line_ID],OrdersRawTable9[[#This Row],[Order_Line_ID]])&gt;0,"Yes","No")</f>
        <v>No</v>
      </c>
      <c r="AD795" s="45" t="str">
        <f>IFERROR(VLOOKUP(OrdersRawTable9[[#This Row],[Order_Line_ID]],ReturnsRawTable[[#All],[Order_Line_ID]:[Return_Reason_Raw]],3,FALSE),"")</f>
        <v/>
      </c>
      <c r="AE795" s="49" t="str">
        <f>IFERROR(VLOOKUP(OrdersRawTable9[[#This Row],[Order_Line_ID]],ReturnsRawTable[[#All],[Order_Line_ID]:[Return_Date]],2,FALSE),"")</f>
        <v/>
      </c>
      <c r="AF795" s="45" t="str">
        <f>IFERROR(VLOOKUP(OrdersRawTable9[[#This Row],[Order_Line_ID]],ReturnsRawTable[[Order_Line_ID]:[Refund_Status]],4,FALSE),"")</f>
        <v/>
      </c>
      <c r="AG795" s="45" t="str">
        <f>VLOOKUP(OrdersRawTable9[[#This Row],[Order_ID]],ShipmentsTable[],6,FALSE)</f>
        <v>On time</v>
      </c>
      <c r="AH795" s="49">
        <f>VLOOKUP(OrdersRawTable9[[#This Row],[Order_ID]],ShipmentsTable[],3,FALSE)</f>
        <v>46013</v>
      </c>
    </row>
    <row r="796" spans="1:34" ht="15" customHeight="1">
      <c r="A796" s="14" t="s">
        <v>1522</v>
      </c>
      <c r="B796" s="10" t="s">
        <v>1521</v>
      </c>
      <c r="C796" s="20">
        <v>46011</v>
      </c>
      <c r="D796" s="10" t="s">
        <v>572</v>
      </c>
      <c r="E796" s="10" t="s">
        <v>569</v>
      </c>
      <c r="F796" s="10" t="str">
        <f>TRIM(LEFT(OrdersRawTable9[[#This Row],[Customer_Info]],FIND(",",OrdersRawTable9[[#This Row],[Customer_Info]])-1))</f>
        <v>Sofia Dubois</v>
      </c>
      <c r="G79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796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796" s="10">
        <f>LEN(OrdersRawTable9[[#This Row],[Customer_Info]])-LEN(SUBSTITUTE(OrdersRawTable9[[#This Row],[Customer_Info]],",",""))</f>
        <v>2</v>
      </c>
      <c r="J796" s="10" t="s">
        <v>180</v>
      </c>
      <c r="K796" s="23">
        <v>4</v>
      </c>
      <c r="L796" s="26">
        <v>91.75</v>
      </c>
      <c r="M796" s="29">
        <v>0</v>
      </c>
      <c r="N796" s="10" t="s">
        <v>45</v>
      </c>
      <c r="O796" s="10" t="str">
        <f>IF(TRIM(OrdersRawTable9[[#This Row],[Sales_Channel_Raw]])="Market place","Marketplace",TRIM(OrdersRawTable9[[#This Row],[Sales_Channel_Raw]]))</f>
        <v>Retail Store</v>
      </c>
      <c r="P796" s="10" t="s">
        <v>98</v>
      </c>
      <c r="Q796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796" s="15" t="s">
        <v>52</v>
      </c>
      <c r="S796" t="str">
        <f>VLOOKUP(OrdersRawTable9[[#This Row],[Customer_ID_Raw]],CustomersTable11[],4,FALSE)</f>
        <v>Quebec</v>
      </c>
      <c r="T796" t="str">
        <f>VLOOKUP(OrdersRawTable9[[#This Row],[Customer_ID_Raw]],CustomersTable11[],5,FALSE)</f>
        <v>Corporate</v>
      </c>
      <c r="U796" s="45">
        <f>VLOOKUP(OrdersRawTable9[[#This Row],[Product_ID]],ProductsTable10[],4,FALSE)</f>
        <v>58.27</v>
      </c>
      <c r="V796" t="str">
        <f>VLOOKUP(OrdersRawTable9[[#This Row],[Product_ID]],ProductsTable10[],3,FALSE)</f>
        <v>Home</v>
      </c>
      <c r="W796" s="45">
        <f>OrdersRawTable9[[#This Row],[Unit_Price]]*OrdersRawTable9[[#This Row],[Quantity]]</f>
        <v>367</v>
      </c>
      <c r="X796" s="47">
        <f>OrdersRawTable9[[#This Row],[Gross_Sales]]*OrdersRawTable9[[#This Row],[Discount_Pct]]</f>
        <v>0</v>
      </c>
      <c r="Y796" s="45">
        <f>OrdersRawTable9[[#This Row],[Gross_Sales]]-OrdersRawTable9[[#This Row],[Discount_Amount]]</f>
        <v>367</v>
      </c>
      <c r="Z796" s="45">
        <f>OrdersRawTable9[[#This Row],[Unit_Cost]]*OrdersRawTable9[[#This Row],[Quantity]]</f>
        <v>233.08</v>
      </c>
      <c r="AA796" s="45">
        <f>OrdersRawTable9[[#This Row],[Net_Sales]]-OrdersRawTable9[[#This Row],[Total_Cost]]</f>
        <v>133.91999999999999</v>
      </c>
      <c r="AB796" s="48">
        <f>IF(OrdersRawTable9[[#This Row],[Net_Sales]]=0,0,OrdersRawTable9[[#This Row],[Profit]]/OrdersRawTable9[[#This Row],[Net_Sales]])</f>
        <v>0.3649046321525885</v>
      </c>
      <c r="AC796" s="45" t="str">
        <f>IF(COUNTIF(ReturnsRawTable[Order_Line_ID],OrdersRawTable9[[#This Row],[Order_Line_ID]])&gt;0,"Yes","No")</f>
        <v>No</v>
      </c>
      <c r="AD796" s="45" t="str">
        <f>IFERROR(VLOOKUP(OrdersRawTable9[[#This Row],[Order_Line_ID]],ReturnsRawTable[[#All],[Order_Line_ID]:[Return_Reason_Raw]],3,FALSE),"")</f>
        <v/>
      </c>
      <c r="AE796" s="49" t="str">
        <f>IFERROR(VLOOKUP(OrdersRawTable9[[#This Row],[Order_Line_ID]],ReturnsRawTable[[#All],[Order_Line_ID]:[Return_Date]],2,FALSE),"")</f>
        <v/>
      </c>
      <c r="AF796" s="45" t="str">
        <f>IFERROR(VLOOKUP(OrdersRawTable9[[#This Row],[Order_Line_ID]],ReturnsRawTable[[Order_Line_ID]:[Refund_Status]],4,FALSE),"")</f>
        <v/>
      </c>
      <c r="AG796" s="45" t="str">
        <f>VLOOKUP(OrdersRawTable9[[#This Row],[Order_ID]],ShipmentsTable[],6,FALSE)</f>
        <v>On time</v>
      </c>
      <c r="AH796" s="49">
        <f>VLOOKUP(OrdersRawTable9[[#This Row],[Order_ID]],ShipmentsTable[],3,FALSE)</f>
        <v>46013</v>
      </c>
    </row>
    <row r="797" spans="1:34" ht="15" customHeight="1">
      <c r="A797" s="14" t="s">
        <v>1523</v>
      </c>
      <c r="B797" s="10" t="s">
        <v>1521</v>
      </c>
      <c r="C797" s="20">
        <v>46011</v>
      </c>
      <c r="D797" s="10" t="s">
        <v>572</v>
      </c>
      <c r="E797" s="10" t="s">
        <v>569</v>
      </c>
      <c r="F797" s="10" t="str">
        <f>TRIM(LEFT(OrdersRawTable9[[#This Row],[Customer_Info]],FIND(",",OrdersRawTable9[[#This Row],[Customer_Info]])-1))</f>
        <v>Sofia Dubois</v>
      </c>
      <c r="G79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797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797" s="10">
        <f>LEN(OrdersRawTable9[[#This Row],[Customer_Info]])-LEN(SUBSTITUTE(OrdersRawTable9[[#This Row],[Customer_Info]],",",""))</f>
        <v>2</v>
      </c>
      <c r="J797" s="10" t="s">
        <v>220</v>
      </c>
      <c r="K797" s="23">
        <v>4</v>
      </c>
      <c r="L797" s="26">
        <v>25.01</v>
      </c>
      <c r="M797" s="29">
        <v>0</v>
      </c>
      <c r="N797" s="10" t="s">
        <v>70</v>
      </c>
      <c r="O797" s="10" t="str">
        <f>IF(TRIM(OrdersRawTable9[[#This Row],[Sales_Channel_Raw]])="Market place","Marketplace",TRIM(OrdersRawTable9[[#This Row],[Sales_Channel_Raw]]))</f>
        <v>online</v>
      </c>
      <c r="P797" s="10" t="s">
        <v>98</v>
      </c>
      <c r="Q797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797" s="15" t="s">
        <v>42</v>
      </c>
      <c r="S797" t="str">
        <f>VLOOKUP(OrdersRawTable9[[#This Row],[Customer_ID_Raw]],CustomersTable11[],4,FALSE)</f>
        <v>Quebec</v>
      </c>
      <c r="T797" t="str">
        <f>VLOOKUP(OrdersRawTable9[[#This Row],[Customer_ID_Raw]],CustomersTable11[],5,FALSE)</f>
        <v>Corporate</v>
      </c>
      <c r="U797" s="45">
        <f>VLOOKUP(OrdersRawTable9[[#This Row],[Product_ID]],ProductsTable10[],4,FALSE)</f>
        <v>16.86</v>
      </c>
      <c r="V797" t="str">
        <f>VLOOKUP(OrdersRawTable9[[#This Row],[Product_ID]],ProductsTable10[],3,FALSE)</f>
        <v>Office</v>
      </c>
      <c r="W797" s="45">
        <f>OrdersRawTable9[[#This Row],[Unit_Price]]*OrdersRawTable9[[#This Row],[Quantity]]</f>
        <v>100.04</v>
      </c>
      <c r="X797" s="47">
        <f>OrdersRawTable9[[#This Row],[Gross_Sales]]*OrdersRawTable9[[#This Row],[Discount_Pct]]</f>
        <v>0</v>
      </c>
      <c r="Y797" s="45">
        <f>OrdersRawTable9[[#This Row],[Gross_Sales]]-OrdersRawTable9[[#This Row],[Discount_Amount]]</f>
        <v>100.04</v>
      </c>
      <c r="Z797" s="45">
        <f>OrdersRawTable9[[#This Row],[Unit_Cost]]*OrdersRawTable9[[#This Row],[Quantity]]</f>
        <v>67.44</v>
      </c>
      <c r="AA797" s="45">
        <f>OrdersRawTable9[[#This Row],[Net_Sales]]-OrdersRawTable9[[#This Row],[Total_Cost]]</f>
        <v>32.600000000000009</v>
      </c>
      <c r="AB797" s="48">
        <f>IF(OrdersRawTable9[[#This Row],[Net_Sales]]=0,0,OrdersRawTable9[[#This Row],[Profit]]/OrdersRawTable9[[#This Row],[Net_Sales]])</f>
        <v>0.32586965213914443</v>
      </c>
      <c r="AC797" s="45" t="str">
        <f>IF(COUNTIF(ReturnsRawTable[Order_Line_ID],OrdersRawTable9[[#This Row],[Order_Line_ID]])&gt;0,"Yes","No")</f>
        <v>No</v>
      </c>
      <c r="AD797" s="45" t="str">
        <f>IFERROR(VLOOKUP(OrdersRawTable9[[#This Row],[Order_Line_ID]],ReturnsRawTable[[#All],[Order_Line_ID]:[Return_Reason_Raw]],3,FALSE),"")</f>
        <v/>
      </c>
      <c r="AE797" s="49" t="str">
        <f>IFERROR(VLOOKUP(OrdersRawTable9[[#This Row],[Order_Line_ID]],ReturnsRawTable[[#All],[Order_Line_ID]:[Return_Date]],2,FALSE),"")</f>
        <v/>
      </c>
      <c r="AF797" s="45" t="str">
        <f>IFERROR(VLOOKUP(OrdersRawTable9[[#This Row],[Order_Line_ID]],ReturnsRawTable[[Order_Line_ID]:[Refund_Status]],4,FALSE),"")</f>
        <v/>
      </c>
      <c r="AG797" s="45" t="str">
        <f>VLOOKUP(OrdersRawTable9[[#This Row],[Order_ID]],ShipmentsTable[],6,FALSE)</f>
        <v>On time</v>
      </c>
      <c r="AH797" s="49">
        <f>VLOOKUP(OrdersRawTable9[[#This Row],[Order_ID]],ShipmentsTable[],3,FALSE)</f>
        <v>46013</v>
      </c>
    </row>
    <row r="798" spans="1:34" ht="15" customHeight="1">
      <c r="A798" s="14" t="s">
        <v>1524</v>
      </c>
      <c r="B798" s="10" t="s">
        <v>1521</v>
      </c>
      <c r="C798" s="20">
        <v>46011</v>
      </c>
      <c r="D798" s="10" t="s">
        <v>572</v>
      </c>
      <c r="E798" s="10" t="s">
        <v>569</v>
      </c>
      <c r="F798" s="10" t="str">
        <f>TRIM(LEFT(OrdersRawTable9[[#This Row],[Customer_Info]],FIND(",",OrdersRawTable9[[#This Row],[Customer_Info]])-1))</f>
        <v>Sofia Dubois</v>
      </c>
      <c r="G79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798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798" s="10">
        <f>LEN(OrdersRawTable9[[#This Row],[Customer_Info]])-LEN(SUBSTITUTE(OrdersRawTable9[[#This Row],[Customer_Info]],",",""))</f>
        <v>2</v>
      </c>
      <c r="J798" s="10" t="s">
        <v>251</v>
      </c>
      <c r="K798" s="23">
        <v>3</v>
      </c>
      <c r="L798" s="26">
        <v>228.91</v>
      </c>
      <c r="M798" s="29">
        <v>0.05</v>
      </c>
      <c r="N798" s="10" t="s">
        <v>45</v>
      </c>
      <c r="O798" s="10" t="str">
        <f>IF(TRIM(OrdersRawTable9[[#This Row],[Sales_Channel_Raw]])="Market place","Marketplace",TRIM(OrdersRawTable9[[#This Row],[Sales_Channel_Raw]]))</f>
        <v>Retail Store</v>
      </c>
      <c r="P798" s="10" t="s">
        <v>58</v>
      </c>
      <c r="Q798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798" s="15" t="s">
        <v>47</v>
      </c>
      <c r="S798" t="str">
        <f>VLOOKUP(OrdersRawTable9[[#This Row],[Customer_ID_Raw]],CustomersTable11[],4,FALSE)</f>
        <v>Quebec</v>
      </c>
      <c r="T798" t="str">
        <f>VLOOKUP(OrdersRawTable9[[#This Row],[Customer_ID_Raw]],CustomersTable11[],5,FALSE)</f>
        <v>Corporate</v>
      </c>
      <c r="U798" s="45">
        <f>VLOOKUP(OrdersRawTable9[[#This Row],[Product_ID]],ProductsTable10[],4,FALSE)</f>
        <v>149.4</v>
      </c>
      <c r="V798" t="str">
        <f>VLOOKUP(OrdersRawTable9[[#This Row],[Product_ID]],ProductsTable10[],3,FALSE)</f>
        <v>Office</v>
      </c>
      <c r="W798" s="45">
        <f>OrdersRawTable9[[#This Row],[Unit_Price]]*OrdersRawTable9[[#This Row],[Quantity]]</f>
        <v>686.73</v>
      </c>
      <c r="X798" s="47">
        <f>OrdersRawTable9[[#This Row],[Gross_Sales]]*OrdersRawTable9[[#This Row],[Discount_Pct]]</f>
        <v>34.336500000000001</v>
      </c>
      <c r="Y798" s="45">
        <f>OrdersRawTable9[[#This Row],[Gross_Sales]]-OrdersRawTable9[[#This Row],[Discount_Amount]]</f>
        <v>652.39350000000002</v>
      </c>
      <c r="Z798" s="45">
        <f>OrdersRawTable9[[#This Row],[Unit_Cost]]*OrdersRawTable9[[#This Row],[Quantity]]</f>
        <v>448.20000000000005</v>
      </c>
      <c r="AA798" s="45">
        <f>OrdersRawTable9[[#This Row],[Net_Sales]]-OrdersRawTable9[[#This Row],[Total_Cost]]</f>
        <v>204.19349999999997</v>
      </c>
      <c r="AB798" s="48">
        <f>IF(OrdersRawTable9[[#This Row],[Net_Sales]]=0,0,OrdersRawTable9[[#This Row],[Profit]]/OrdersRawTable9[[#This Row],[Net_Sales]])</f>
        <v>0.312991315823962</v>
      </c>
      <c r="AC798" s="45" t="str">
        <f>IF(COUNTIF(ReturnsRawTable[Order_Line_ID],OrdersRawTable9[[#This Row],[Order_Line_ID]])&gt;0,"Yes","No")</f>
        <v>No</v>
      </c>
      <c r="AD798" s="45" t="str">
        <f>IFERROR(VLOOKUP(OrdersRawTable9[[#This Row],[Order_Line_ID]],ReturnsRawTable[[#All],[Order_Line_ID]:[Return_Reason_Raw]],3,FALSE),"")</f>
        <v/>
      </c>
      <c r="AE798" s="49" t="str">
        <f>IFERROR(VLOOKUP(OrdersRawTable9[[#This Row],[Order_Line_ID]],ReturnsRawTable[[#All],[Order_Line_ID]:[Return_Date]],2,FALSE),"")</f>
        <v/>
      </c>
      <c r="AF798" s="45" t="str">
        <f>IFERROR(VLOOKUP(OrdersRawTable9[[#This Row],[Order_Line_ID]],ReturnsRawTable[[Order_Line_ID]:[Refund_Status]],4,FALSE),"")</f>
        <v/>
      </c>
      <c r="AG798" s="45" t="str">
        <f>VLOOKUP(OrdersRawTable9[[#This Row],[Order_ID]],ShipmentsTable[],6,FALSE)</f>
        <v>On time</v>
      </c>
      <c r="AH798" s="49">
        <f>VLOOKUP(OrdersRawTable9[[#This Row],[Order_ID]],ShipmentsTable[],3,FALSE)</f>
        <v>46013</v>
      </c>
    </row>
    <row r="799" spans="1:34" ht="15" customHeight="1">
      <c r="A799" s="14" t="s">
        <v>1525</v>
      </c>
      <c r="B799" s="10" t="s">
        <v>1526</v>
      </c>
      <c r="C799" s="20">
        <v>45783</v>
      </c>
      <c r="D799" s="10" t="s">
        <v>503</v>
      </c>
      <c r="E799" s="10" t="s">
        <v>504</v>
      </c>
      <c r="F799" s="10" t="str">
        <f>TRIM(LEFT(OrdersRawTable9[[#This Row],[Customer_Info]],FIND(",",OrdersRawTable9[[#This Row],[Customer_Info]])-1))</f>
        <v>Omar Gagnon</v>
      </c>
      <c r="G79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799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799" s="10">
        <f>LEN(OrdersRawTable9[[#This Row],[Customer_Info]])-LEN(SUBSTITUTE(OrdersRawTable9[[#This Row],[Customer_Info]],",",""))</f>
        <v>2</v>
      </c>
      <c r="J799" s="10" t="s">
        <v>110</v>
      </c>
      <c r="K799" s="23">
        <v>1</v>
      </c>
      <c r="L799" s="26">
        <v>133.24</v>
      </c>
      <c r="M799" s="29">
        <v>0.05</v>
      </c>
      <c r="N799" s="10" t="s">
        <v>45</v>
      </c>
      <c r="O799" s="10" t="str">
        <f>IF(TRIM(OrdersRawTable9[[#This Row],[Sales_Channel_Raw]])="Market place","Marketplace",TRIM(OrdersRawTable9[[#This Row],[Sales_Channel_Raw]]))</f>
        <v>Retail Store</v>
      </c>
      <c r="P799" s="10" t="s">
        <v>98</v>
      </c>
      <c r="Q799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799" s="15" t="s">
        <v>101</v>
      </c>
      <c r="S799" t="str">
        <f>VLOOKUP(OrdersRawTable9[[#This Row],[Customer_ID_Raw]],CustomersTable11[],4,FALSE)</f>
        <v>Quebec</v>
      </c>
      <c r="T799" t="str">
        <f>VLOOKUP(OrdersRawTable9[[#This Row],[Customer_ID_Raw]],CustomersTable11[],5,FALSE)</f>
        <v>Corporate</v>
      </c>
      <c r="U799" s="45">
        <f>VLOOKUP(OrdersRawTable9[[#This Row],[Product_ID]],ProductsTable10[],4,FALSE)</f>
        <v>77.540000000000006</v>
      </c>
      <c r="V799" t="str">
        <f>VLOOKUP(OrdersRawTable9[[#This Row],[Product_ID]],ProductsTable10[],3,FALSE)</f>
        <v>Electronics</v>
      </c>
      <c r="W799" s="45">
        <f>OrdersRawTable9[[#This Row],[Unit_Price]]*OrdersRawTable9[[#This Row],[Quantity]]</f>
        <v>133.24</v>
      </c>
      <c r="X799" s="47">
        <f>OrdersRawTable9[[#This Row],[Gross_Sales]]*OrdersRawTable9[[#This Row],[Discount_Pct]]</f>
        <v>6.6620000000000008</v>
      </c>
      <c r="Y799" s="45">
        <f>OrdersRawTable9[[#This Row],[Gross_Sales]]-OrdersRawTable9[[#This Row],[Discount_Amount]]</f>
        <v>126.578</v>
      </c>
      <c r="Z799" s="45">
        <f>OrdersRawTable9[[#This Row],[Unit_Cost]]*OrdersRawTable9[[#This Row],[Quantity]]</f>
        <v>77.540000000000006</v>
      </c>
      <c r="AA799" s="45">
        <f>OrdersRawTable9[[#This Row],[Net_Sales]]-OrdersRawTable9[[#This Row],[Total_Cost]]</f>
        <v>49.037999999999997</v>
      </c>
      <c r="AB799" s="48">
        <f>IF(OrdersRawTable9[[#This Row],[Net_Sales]]=0,0,OrdersRawTable9[[#This Row],[Profit]]/OrdersRawTable9[[#This Row],[Net_Sales]])</f>
        <v>0.38741329456935641</v>
      </c>
      <c r="AC799" s="45" t="str">
        <f>IF(COUNTIF(ReturnsRawTable[Order_Line_ID],OrdersRawTable9[[#This Row],[Order_Line_ID]])&gt;0,"Yes","No")</f>
        <v>Yes</v>
      </c>
      <c r="AD799" s="45" t="str">
        <f>IFERROR(VLOOKUP(OrdersRawTable9[[#This Row],[Order_Line_ID]],ReturnsRawTable[[#All],[Order_Line_ID]:[Return_Reason_Raw]],3,FALSE),"")</f>
        <v>Wrong Item</v>
      </c>
      <c r="AE799" s="49">
        <f>IFERROR(VLOOKUP(OrdersRawTable9[[#This Row],[Order_Line_ID]],ReturnsRawTable[[#All],[Order_Line_ID]:[Return_Date]],2,FALSE),"")</f>
        <v>45807</v>
      </c>
      <c r="AF799" s="45" t="str">
        <f>IFERROR(VLOOKUP(OrdersRawTable9[[#This Row],[Order_Line_ID]],ReturnsRawTable[[Order_Line_ID]:[Refund_Status]],4,FALSE),"")</f>
        <v>Refunded</v>
      </c>
      <c r="AG799" s="45" t="str">
        <f>VLOOKUP(OrdersRawTable9[[#This Row],[Order_ID]],ShipmentsTable[],6,FALSE)</f>
        <v>On time</v>
      </c>
      <c r="AH799" s="49">
        <f>VLOOKUP(OrdersRawTable9[[#This Row],[Order_ID]],ShipmentsTable[],3,FALSE)</f>
        <v>45787</v>
      </c>
    </row>
    <row r="800" spans="1:34" ht="15" customHeight="1">
      <c r="A800" s="14" t="s">
        <v>1527</v>
      </c>
      <c r="B800" s="10" t="s">
        <v>1526</v>
      </c>
      <c r="C800" s="20">
        <v>45783</v>
      </c>
      <c r="D800" s="10" t="s">
        <v>503</v>
      </c>
      <c r="E800" s="10" t="s">
        <v>504</v>
      </c>
      <c r="F800" s="10" t="str">
        <f>TRIM(LEFT(OrdersRawTable9[[#This Row],[Customer_Info]],FIND(",",OrdersRawTable9[[#This Row],[Customer_Info]])-1))</f>
        <v>Omar Gagnon</v>
      </c>
      <c r="G80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800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800" s="10">
        <f>LEN(OrdersRawTable9[[#This Row],[Customer_Info]])-LEN(SUBSTITUTE(OrdersRawTable9[[#This Row],[Customer_Info]],",",""))</f>
        <v>2</v>
      </c>
      <c r="J800" s="10" t="s">
        <v>241</v>
      </c>
      <c r="K800" s="23">
        <v>3</v>
      </c>
      <c r="L800" s="26">
        <v>300.56</v>
      </c>
      <c r="M800" s="29">
        <v>0</v>
      </c>
      <c r="N800" s="10" t="s">
        <v>64</v>
      </c>
      <c r="O800" s="10" t="str">
        <f>IF(TRIM(OrdersRawTable9[[#This Row],[Sales_Channel_Raw]])="Market place","Marketplace",TRIM(OrdersRawTable9[[#This Row],[Sales_Channel_Raw]]))</f>
        <v>Retail Store</v>
      </c>
      <c r="P800" s="10" t="s">
        <v>41</v>
      </c>
      <c r="Q800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800" s="15" t="s">
        <v>52</v>
      </c>
      <c r="S800" t="str">
        <f>VLOOKUP(OrdersRawTable9[[#This Row],[Customer_ID_Raw]],CustomersTable11[],4,FALSE)</f>
        <v>Quebec</v>
      </c>
      <c r="T800" t="str">
        <f>VLOOKUP(OrdersRawTable9[[#This Row],[Customer_ID_Raw]],CustomersTable11[],5,FALSE)</f>
        <v>Corporate</v>
      </c>
      <c r="U800" s="45">
        <f>VLOOKUP(OrdersRawTable9[[#This Row],[Product_ID]],ProductsTable10[],4,FALSE)</f>
        <v>158.86000000000001</v>
      </c>
      <c r="V800" t="str">
        <f>VLOOKUP(OrdersRawTable9[[#This Row],[Product_ID]],ProductsTable10[],3,FALSE)</f>
        <v>Accessories</v>
      </c>
      <c r="W800" s="45">
        <f>OrdersRawTable9[[#This Row],[Unit_Price]]*OrdersRawTable9[[#This Row],[Quantity]]</f>
        <v>901.68000000000006</v>
      </c>
      <c r="X800" s="47">
        <f>OrdersRawTable9[[#This Row],[Gross_Sales]]*OrdersRawTable9[[#This Row],[Discount_Pct]]</f>
        <v>0</v>
      </c>
      <c r="Y800" s="45">
        <f>OrdersRawTable9[[#This Row],[Gross_Sales]]-OrdersRawTable9[[#This Row],[Discount_Amount]]</f>
        <v>901.68000000000006</v>
      </c>
      <c r="Z800" s="45">
        <f>OrdersRawTable9[[#This Row],[Unit_Cost]]*OrdersRawTable9[[#This Row],[Quantity]]</f>
        <v>476.58000000000004</v>
      </c>
      <c r="AA800" s="45">
        <f>OrdersRawTable9[[#This Row],[Net_Sales]]-OrdersRawTable9[[#This Row],[Total_Cost]]</f>
        <v>425.1</v>
      </c>
      <c r="AB800" s="48">
        <f>IF(OrdersRawTable9[[#This Row],[Net_Sales]]=0,0,OrdersRawTable9[[#This Row],[Profit]]/OrdersRawTable9[[#This Row],[Net_Sales]])</f>
        <v>0.47145328719723184</v>
      </c>
      <c r="AC800" s="45" t="str">
        <f>IF(COUNTIF(ReturnsRawTable[Order_Line_ID],OrdersRawTable9[[#This Row],[Order_Line_ID]])&gt;0,"Yes","No")</f>
        <v>No</v>
      </c>
      <c r="AD800" s="45" t="str">
        <f>IFERROR(VLOOKUP(OrdersRawTable9[[#This Row],[Order_Line_ID]],ReturnsRawTable[[#All],[Order_Line_ID]:[Return_Reason_Raw]],3,FALSE),"")</f>
        <v/>
      </c>
      <c r="AE800" s="49" t="str">
        <f>IFERROR(VLOOKUP(OrdersRawTable9[[#This Row],[Order_Line_ID]],ReturnsRawTable[[#All],[Order_Line_ID]:[Return_Date]],2,FALSE),"")</f>
        <v/>
      </c>
      <c r="AF800" s="45" t="str">
        <f>IFERROR(VLOOKUP(OrdersRawTable9[[#This Row],[Order_Line_ID]],ReturnsRawTable[[Order_Line_ID]:[Refund_Status]],4,FALSE),"")</f>
        <v/>
      </c>
      <c r="AG800" s="45" t="str">
        <f>VLOOKUP(OrdersRawTable9[[#This Row],[Order_ID]],ShipmentsTable[],6,FALSE)</f>
        <v>On time</v>
      </c>
      <c r="AH800" s="49">
        <f>VLOOKUP(OrdersRawTable9[[#This Row],[Order_ID]],ShipmentsTable[],3,FALSE)</f>
        <v>45787</v>
      </c>
    </row>
    <row r="801" spans="1:34" ht="15" customHeight="1">
      <c r="A801" s="14" t="s">
        <v>1528</v>
      </c>
      <c r="B801" s="10" t="s">
        <v>1529</v>
      </c>
      <c r="C801" s="20">
        <v>45659</v>
      </c>
      <c r="D801" s="10" t="s">
        <v>733</v>
      </c>
      <c r="E801" s="10" t="s">
        <v>734</v>
      </c>
      <c r="F801" s="10" t="str">
        <f>TRIM(LEFT(OrdersRawTable9[[#This Row],[Customer_Info]],FIND(",",OrdersRawTable9[[#This Row],[Customer_Info]])-1))</f>
        <v>Amina Khan</v>
      </c>
      <c r="G80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801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801" s="10">
        <f>LEN(OrdersRawTable9[[#This Row],[Customer_Info]])-LEN(SUBSTITUTE(OrdersRawTable9[[#This Row],[Customer_Info]],",",""))</f>
        <v>2</v>
      </c>
      <c r="J801" s="10" t="s">
        <v>196</v>
      </c>
      <c r="K801" s="23">
        <v>4</v>
      </c>
      <c r="L801" s="26">
        <v>183.73</v>
      </c>
      <c r="M801" s="29">
        <v>0</v>
      </c>
      <c r="N801" s="10" t="s">
        <v>50</v>
      </c>
      <c r="O801" s="10" t="str">
        <f>IF(TRIM(OrdersRawTable9[[#This Row],[Sales_Channel_Raw]])="Market place","Marketplace",TRIM(OrdersRawTable9[[#This Row],[Sales_Channel_Raw]]))</f>
        <v>Marketplace</v>
      </c>
      <c r="P801" s="10" t="s">
        <v>41</v>
      </c>
      <c r="Q801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801" s="15" t="s">
        <v>47</v>
      </c>
      <c r="S801" t="str">
        <f>VLOOKUP(OrdersRawTable9[[#This Row],[Customer_ID_Raw]],CustomersTable11[],4,FALSE)</f>
        <v>Quebec</v>
      </c>
      <c r="T801" t="str">
        <f>VLOOKUP(OrdersRawTable9[[#This Row],[Customer_ID_Raw]],CustomersTable11[],5,FALSE)</f>
        <v>Corporate</v>
      </c>
      <c r="U801" s="45">
        <f>VLOOKUP(OrdersRawTable9[[#This Row],[Product_ID]],ProductsTable10[],4,FALSE)</f>
        <v>98.11</v>
      </c>
      <c r="V801" t="str">
        <f>VLOOKUP(OrdersRawTable9[[#This Row],[Product_ID]],ProductsTable10[],3,FALSE)</f>
        <v>Home</v>
      </c>
      <c r="W801" s="45">
        <f>OrdersRawTable9[[#This Row],[Unit_Price]]*OrdersRawTable9[[#This Row],[Quantity]]</f>
        <v>734.92</v>
      </c>
      <c r="X801" s="47">
        <f>OrdersRawTable9[[#This Row],[Gross_Sales]]*OrdersRawTable9[[#This Row],[Discount_Pct]]</f>
        <v>0</v>
      </c>
      <c r="Y801" s="45">
        <f>OrdersRawTable9[[#This Row],[Gross_Sales]]-OrdersRawTable9[[#This Row],[Discount_Amount]]</f>
        <v>734.92</v>
      </c>
      <c r="Z801" s="45">
        <f>OrdersRawTable9[[#This Row],[Unit_Cost]]*OrdersRawTable9[[#This Row],[Quantity]]</f>
        <v>392.44</v>
      </c>
      <c r="AA801" s="45">
        <f>OrdersRawTable9[[#This Row],[Net_Sales]]-OrdersRawTable9[[#This Row],[Total_Cost]]</f>
        <v>342.47999999999996</v>
      </c>
      <c r="AB801" s="48">
        <f>IF(OrdersRawTable9[[#This Row],[Net_Sales]]=0,0,OrdersRawTable9[[#This Row],[Profit]]/OrdersRawTable9[[#This Row],[Net_Sales]])</f>
        <v>0.46600990584009139</v>
      </c>
      <c r="AC801" s="45" t="str">
        <f>IF(COUNTIF(ReturnsRawTable[Order_Line_ID],OrdersRawTable9[[#This Row],[Order_Line_ID]])&gt;0,"Yes","No")</f>
        <v>No</v>
      </c>
      <c r="AD801" s="45" t="str">
        <f>IFERROR(VLOOKUP(OrdersRawTable9[[#This Row],[Order_Line_ID]],ReturnsRawTable[[#All],[Order_Line_ID]:[Return_Reason_Raw]],3,FALSE),"")</f>
        <v/>
      </c>
      <c r="AE801" s="49" t="str">
        <f>IFERROR(VLOOKUP(OrdersRawTable9[[#This Row],[Order_Line_ID]],ReturnsRawTable[[#All],[Order_Line_ID]:[Return_Date]],2,FALSE),"")</f>
        <v/>
      </c>
      <c r="AF801" s="45" t="str">
        <f>IFERROR(VLOOKUP(OrdersRawTable9[[#This Row],[Order_Line_ID]],ReturnsRawTable[[Order_Line_ID]:[Refund_Status]],4,FALSE),"")</f>
        <v/>
      </c>
      <c r="AG801" s="45" t="str">
        <f>VLOOKUP(OrdersRawTable9[[#This Row],[Order_ID]],ShipmentsTable[],6,FALSE)</f>
        <v>Late</v>
      </c>
      <c r="AH801" s="49">
        <f>VLOOKUP(OrdersRawTable9[[#This Row],[Order_ID]],ShipmentsTable[],3,FALSE)</f>
        <v>45669</v>
      </c>
    </row>
    <row r="802" spans="1:34" ht="15" customHeight="1">
      <c r="A802" s="14" t="s">
        <v>1530</v>
      </c>
      <c r="B802" s="10" t="s">
        <v>1529</v>
      </c>
      <c r="C802" s="20">
        <v>45659</v>
      </c>
      <c r="D802" s="10" t="s">
        <v>733</v>
      </c>
      <c r="E802" s="10" t="s">
        <v>734</v>
      </c>
      <c r="F802" s="10" t="str">
        <f>TRIM(LEFT(OrdersRawTable9[[#This Row],[Customer_Info]],FIND(",",OrdersRawTable9[[#This Row],[Customer_Info]])-1))</f>
        <v>Amina Khan</v>
      </c>
      <c r="G80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802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802" s="10">
        <f>LEN(OrdersRawTable9[[#This Row],[Customer_Info]])-LEN(SUBSTITUTE(OrdersRawTable9[[#This Row],[Customer_Info]],",",""))</f>
        <v>2</v>
      </c>
      <c r="J802" s="10" t="s">
        <v>220</v>
      </c>
      <c r="K802" s="23">
        <v>1</v>
      </c>
      <c r="L802" s="26">
        <v>25.01</v>
      </c>
      <c r="M802" s="29">
        <v>0</v>
      </c>
      <c r="N802" s="10" t="s">
        <v>64</v>
      </c>
      <c r="O802" s="10" t="str">
        <f>IF(TRIM(OrdersRawTable9[[#This Row],[Sales_Channel_Raw]])="Market place","Marketplace",TRIM(OrdersRawTable9[[#This Row],[Sales_Channel_Raw]]))</f>
        <v>Retail Store</v>
      </c>
      <c r="P802" s="10" t="s">
        <v>41</v>
      </c>
      <c r="Q802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802" s="15" t="s">
        <v>67</v>
      </c>
      <c r="S802" t="str">
        <f>VLOOKUP(OrdersRawTable9[[#This Row],[Customer_ID_Raw]],CustomersTable11[],4,FALSE)</f>
        <v>Quebec</v>
      </c>
      <c r="T802" t="str">
        <f>VLOOKUP(OrdersRawTable9[[#This Row],[Customer_ID_Raw]],CustomersTable11[],5,FALSE)</f>
        <v>Corporate</v>
      </c>
      <c r="U802" s="45">
        <f>VLOOKUP(OrdersRawTable9[[#This Row],[Product_ID]],ProductsTable10[],4,FALSE)</f>
        <v>16.86</v>
      </c>
      <c r="V802" t="str">
        <f>VLOOKUP(OrdersRawTable9[[#This Row],[Product_ID]],ProductsTable10[],3,FALSE)</f>
        <v>Office</v>
      </c>
      <c r="W802" s="45">
        <f>OrdersRawTable9[[#This Row],[Unit_Price]]*OrdersRawTable9[[#This Row],[Quantity]]</f>
        <v>25.01</v>
      </c>
      <c r="X802" s="47">
        <f>OrdersRawTable9[[#This Row],[Gross_Sales]]*OrdersRawTable9[[#This Row],[Discount_Pct]]</f>
        <v>0</v>
      </c>
      <c r="Y802" s="45">
        <f>OrdersRawTable9[[#This Row],[Gross_Sales]]-OrdersRawTable9[[#This Row],[Discount_Amount]]</f>
        <v>25.01</v>
      </c>
      <c r="Z802" s="45">
        <f>OrdersRawTable9[[#This Row],[Unit_Cost]]*OrdersRawTable9[[#This Row],[Quantity]]</f>
        <v>16.86</v>
      </c>
      <c r="AA802" s="45">
        <f>OrdersRawTable9[[#This Row],[Net_Sales]]-OrdersRawTable9[[#This Row],[Total_Cost]]</f>
        <v>8.1500000000000021</v>
      </c>
      <c r="AB802" s="48">
        <f>IF(OrdersRawTable9[[#This Row],[Net_Sales]]=0,0,OrdersRawTable9[[#This Row],[Profit]]/OrdersRawTable9[[#This Row],[Net_Sales]])</f>
        <v>0.32586965213914443</v>
      </c>
      <c r="AC802" s="45" t="str">
        <f>IF(COUNTIF(ReturnsRawTable[Order_Line_ID],OrdersRawTable9[[#This Row],[Order_Line_ID]])&gt;0,"Yes","No")</f>
        <v>Yes</v>
      </c>
      <c r="AD802" s="45" t="str">
        <f>IFERROR(VLOOKUP(OrdersRawTable9[[#This Row],[Order_Line_ID]],ReturnsRawTable[[#All],[Order_Line_ID]:[Return_Reason_Raw]],3,FALSE),"")</f>
        <v>Late Delivery</v>
      </c>
      <c r="AE802" s="49">
        <f>IFERROR(VLOOKUP(OrdersRawTable9[[#This Row],[Order_Line_ID]],ReturnsRawTable[[#All],[Order_Line_ID]:[Return_Date]],2,FALSE),"")</f>
        <v>45672</v>
      </c>
      <c r="AF802" s="45" t="str">
        <f>IFERROR(VLOOKUP(OrdersRawTable9[[#This Row],[Order_Line_ID]],ReturnsRawTable[[Order_Line_ID]:[Refund_Status]],4,FALSE),"")</f>
        <v>Pending</v>
      </c>
      <c r="AG802" s="45" t="str">
        <f>VLOOKUP(OrdersRawTable9[[#This Row],[Order_ID]],ShipmentsTable[],6,FALSE)</f>
        <v>Late</v>
      </c>
      <c r="AH802" s="49">
        <f>VLOOKUP(OrdersRawTable9[[#This Row],[Order_ID]],ShipmentsTable[],3,FALSE)</f>
        <v>45669</v>
      </c>
    </row>
    <row r="803" spans="1:34" ht="15" customHeight="1">
      <c r="A803" s="14" t="s">
        <v>1531</v>
      </c>
      <c r="B803" s="10" t="s">
        <v>1532</v>
      </c>
      <c r="C803" s="20">
        <v>45737.041666666664</v>
      </c>
      <c r="D803" s="10" t="s">
        <v>490</v>
      </c>
      <c r="E803" s="10" t="s">
        <v>491</v>
      </c>
      <c r="F803" s="10" t="str">
        <f>TRIM(LEFT(OrdersRawTable9[[#This Row],[Customer_Info]],FIND(",",OrdersRawTable9[[#This Row],[Customer_Info]])-1))</f>
        <v>Adam Gagnon</v>
      </c>
      <c r="G80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803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803" s="10">
        <f>LEN(OrdersRawTable9[[#This Row],[Customer_Info]])-LEN(SUBSTITUTE(OrdersRawTable9[[#This Row],[Customer_Info]],",",""))</f>
        <v>2</v>
      </c>
      <c r="J803" s="10" t="s">
        <v>214</v>
      </c>
      <c r="K803" s="23">
        <v>4</v>
      </c>
      <c r="L803" s="26">
        <v>186.92</v>
      </c>
      <c r="M803" s="29">
        <v>0</v>
      </c>
      <c r="N803" s="10" t="s">
        <v>70</v>
      </c>
      <c r="O803" s="10" t="str">
        <f>IF(TRIM(OrdersRawTable9[[#This Row],[Sales_Channel_Raw]])="Market place","Marketplace",TRIM(OrdersRawTable9[[#This Row],[Sales_Channel_Raw]]))</f>
        <v>online</v>
      </c>
      <c r="P803" s="10" t="s">
        <v>46</v>
      </c>
      <c r="Q803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803" s="15" t="s">
        <v>47</v>
      </c>
      <c r="S803" t="str">
        <f>VLOOKUP(OrdersRawTable9[[#This Row],[Customer_ID_Raw]],CustomersTable11[],4,FALSE)</f>
        <v>Alberta</v>
      </c>
      <c r="T803" t="str">
        <f>VLOOKUP(OrdersRawTable9[[#This Row],[Customer_ID_Raw]],CustomersTable11[],5,FALSE)</f>
        <v>Consumer</v>
      </c>
      <c r="U803" s="45">
        <f>VLOOKUP(OrdersRawTable9[[#This Row],[Product_ID]],ProductsTable10[],4,FALSE)</f>
        <v>114.11</v>
      </c>
      <c r="V803" t="str">
        <f>VLOOKUP(OrdersRawTable9[[#This Row],[Product_ID]],ProductsTable10[],3,FALSE)</f>
        <v>Home</v>
      </c>
      <c r="W803" s="45">
        <f>OrdersRawTable9[[#This Row],[Unit_Price]]*OrdersRawTable9[[#This Row],[Quantity]]</f>
        <v>747.68</v>
      </c>
      <c r="X803" s="47">
        <f>OrdersRawTable9[[#This Row],[Gross_Sales]]*OrdersRawTable9[[#This Row],[Discount_Pct]]</f>
        <v>0</v>
      </c>
      <c r="Y803" s="45">
        <f>OrdersRawTable9[[#This Row],[Gross_Sales]]-OrdersRawTable9[[#This Row],[Discount_Amount]]</f>
        <v>747.68</v>
      </c>
      <c r="Z803" s="45">
        <f>OrdersRawTable9[[#This Row],[Unit_Cost]]*OrdersRawTable9[[#This Row],[Quantity]]</f>
        <v>456.44</v>
      </c>
      <c r="AA803" s="45">
        <f>OrdersRawTable9[[#This Row],[Net_Sales]]-OrdersRawTable9[[#This Row],[Total_Cost]]</f>
        <v>291.23999999999995</v>
      </c>
      <c r="AB803" s="48">
        <f>IF(OrdersRawTable9[[#This Row],[Net_Sales]]=0,0,OrdersRawTable9[[#This Row],[Profit]]/OrdersRawTable9[[#This Row],[Net_Sales]])</f>
        <v>0.38952493045153003</v>
      </c>
      <c r="AC803" s="45" t="str">
        <f>IF(COUNTIF(ReturnsRawTable[Order_Line_ID],OrdersRawTable9[[#This Row],[Order_Line_ID]])&gt;0,"Yes","No")</f>
        <v>No</v>
      </c>
      <c r="AD803" s="45" t="str">
        <f>IFERROR(VLOOKUP(OrdersRawTable9[[#This Row],[Order_Line_ID]],ReturnsRawTable[[#All],[Order_Line_ID]:[Return_Reason_Raw]],3,FALSE),"")</f>
        <v/>
      </c>
      <c r="AE803" s="49" t="str">
        <f>IFERROR(VLOOKUP(OrdersRawTable9[[#This Row],[Order_Line_ID]],ReturnsRawTable[[#All],[Order_Line_ID]:[Return_Date]],2,FALSE),"")</f>
        <v/>
      </c>
      <c r="AF803" s="45" t="str">
        <f>IFERROR(VLOOKUP(OrdersRawTable9[[#This Row],[Order_Line_ID]],ReturnsRawTable[[Order_Line_ID]:[Refund_Status]],4,FALSE),"")</f>
        <v/>
      </c>
      <c r="AG803" s="45" t="str">
        <f>VLOOKUP(OrdersRawTable9[[#This Row],[Order_ID]],ShipmentsTable[],6,FALSE)</f>
        <v>Late</v>
      </c>
      <c r="AH803" s="49">
        <f>VLOOKUP(OrdersRawTable9[[#This Row],[Order_ID]],ShipmentsTable[],3,FALSE)</f>
        <v>45743.041666666664</v>
      </c>
    </row>
    <row r="804" spans="1:34" ht="15" customHeight="1">
      <c r="A804" s="14" t="s">
        <v>1533</v>
      </c>
      <c r="B804" s="10" t="s">
        <v>1532</v>
      </c>
      <c r="C804" s="20">
        <v>45737.041666666664</v>
      </c>
      <c r="D804" s="10" t="s">
        <v>490</v>
      </c>
      <c r="E804" s="10" t="s">
        <v>491</v>
      </c>
      <c r="F804" s="10" t="str">
        <f>TRIM(LEFT(OrdersRawTable9[[#This Row],[Customer_Info]],FIND(",",OrdersRawTable9[[#This Row],[Customer_Info]])-1))</f>
        <v>Adam Gagnon</v>
      </c>
      <c r="G80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804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804" s="10">
        <f>LEN(OrdersRawTable9[[#This Row],[Customer_Info]])-LEN(SUBSTITUTE(OrdersRawTable9[[#This Row],[Customer_Info]],",",""))</f>
        <v>2</v>
      </c>
      <c r="J804" s="10" t="s">
        <v>150</v>
      </c>
      <c r="K804" s="23">
        <v>3</v>
      </c>
      <c r="L804" s="26">
        <v>263.04000000000002</v>
      </c>
      <c r="M804" s="29">
        <v>0.05</v>
      </c>
      <c r="N804" s="10" t="s">
        <v>64</v>
      </c>
      <c r="O804" s="10" t="str">
        <f>IF(TRIM(OrdersRawTable9[[#This Row],[Sales_Channel_Raw]])="Market place","Marketplace",TRIM(OrdersRawTable9[[#This Row],[Sales_Channel_Raw]]))</f>
        <v>Retail Store</v>
      </c>
      <c r="P804" s="10"/>
      <c r="Q804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804" s="15" t="s">
        <v>42</v>
      </c>
      <c r="S804" t="str">
        <f>VLOOKUP(OrdersRawTable9[[#This Row],[Customer_ID_Raw]],CustomersTable11[],4,FALSE)</f>
        <v>Alberta</v>
      </c>
      <c r="T804" t="str">
        <f>VLOOKUP(OrdersRawTable9[[#This Row],[Customer_ID_Raw]],CustomersTable11[],5,FALSE)</f>
        <v>Consumer</v>
      </c>
      <c r="U804" s="45">
        <f>VLOOKUP(OrdersRawTable9[[#This Row],[Product_ID]],ProductsTable10[],4,FALSE)</f>
        <v>161.84</v>
      </c>
      <c r="V804" t="str">
        <f>VLOOKUP(OrdersRawTable9[[#This Row],[Product_ID]],ProductsTable10[],3,FALSE)</f>
        <v>Office</v>
      </c>
      <c r="W804" s="45">
        <f>OrdersRawTable9[[#This Row],[Unit_Price]]*OrdersRawTable9[[#This Row],[Quantity]]</f>
        <v>789.12000000000012</v>
      </c>
      <c r="X804" s="47">
        <f>OrdersRawTable9[[#This Row],[Gross_Sales]]*OrdersRawTable9[[#This Row],[Discount_Pct]]</f>
        <v>39.45600000000001</v>
      </c>
      <c r="Y804" s="45">
        <f>OrdersRawTable9[[#This Row],[Gross_Sales]]-OrdersRawTable9[[#This Row],[Discount_Amount]]</f>
        <v>749.6640000000001</v>
      </c>
      <c r="Z804" s="45">
        <f>OrdersRawTable9[[#This Row],[Unit_Cost]]*OrdersRawTable9[[#This Row],[Quantity]]</f>
        <v>485.52</v>
      </c>
      <c r="AA804" s="45">
        <f>OrdersRawTable9[[#This Row],[Net_Sales]]-OrdersRawTable9[[#This Row],[Total_Cost]]</f>
        <v>264.14400000000012</v>
      </c>
      <c r="AB804" s="48">
        <f>IF(OrdersRawTable9[[#This Row],[Net_Sales]]=0,0,OrdersRawTable9[[#This Row],[Profit]]/OrdersRawTable9[[#This Row],[Net_Sales]])</f>
        <v>0.35234985273402497</v>
      </c>
      <c r="AC804" s="45" t="str">
        <f>IF(COUNTIF(ReturnsRawTable[Order_Line_ID],OrdersRawTable9[[#This Row],[Order_Line_ID]])&gt;0,"Yes","No")</f>
        <v>No</v>
      </c>
      <c r="AD804" s="45" t="str">
        <f>IFERROR(VLOOKUP(OrdersRawTable9[[#This Row],[Order_Line_ID]],ReturnsRawTable[[#All],[Order_Line_ID]:[Return_Reason_Raw]],3,FALSE),"")</f>
        <v/>
      </c>
      <c r="AE804" s="49" t="str">
        <f>IFERROR(VLOOKUP(OrdersRawTable9[[#This Row],[Order_Line_ID]],ReturnsRawTable[[#All],[Order_Line_ID]:[Return_Date]],2,FALSE),"")</f>
        <v/>
      </c>
      <c r="AF804" s="45" t="str">
        <f>IFERROR(VLOOKUP(OrdersRawTable9[[#This Row],[Order_Line_ID]],ReturnsRawTable[[Order_Line_ID]:[Refund_Status]],4,FALSE),"")</f>
        <v/>
      </c>
      <c r="AG804" s="45" t="str">
        <f>VLOOKUP(OrdersRawTable9[[#This Row],[Order_ID]],ShipmentsTable[],6,FALSE)</f>
        <v>Late</v>
      </c>
      <c r="AH804" s="49">
        <f>VLOOKUP(OrdersRawTable9[[#This Row],[Order_ID]],ShipmentsTable[],3,FALSE)</f>
        <v>45743.041666666664</v>
      </c>
    </row>
    <row r="805" spans="1:34" ht="15" customHeight="1">
      <c r="A805" s="14" t="s">
        <v>1534</v>
      </c>
      <c r="B805" s="10" t="s">
        <v>1532</v>
      </c>
      <c r="C805" s="20">
        <v>45737.041666666664</v>
      </c>
      <c r="D805" s="10" t="s">
        <v>490</v>
      </c>
      <c r="E805" s="10" t="s">
        <v>491</v>
      </c>
      <c r="F805" s="10" t="str">
        <f>TRIM(LEFT(OrdersRawTable9[[#This Row],[Customer_Info]],FIND(",",OrdersRawTable9[[#This Row],[Customer_Info]])-1))</f>
        <v>Adam Gagnon</v>
      </c>
      <c r="G80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805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805" s="10">
        <f>LEN(OrdersRawTable9[[#This Row],[Customer_Info]])-LEN(SUBSTITUTE(OrdersRawTable9[[#This Row],[Customer_Info]],",",""))</f>
        <v>2</v>
      </c>
      <c r="J805" s="10" t="s">
        <v>72</v>
      </c>
      <c r="K805" s="23">
        <v>3</v>
      </c>
      <c r="L805" s="26">
        <v>210.2</v>
      </c>
      <c r="M805" s="29">
        <v>0</v>
      </c>
      <c r="N805" s="10" t="s">
        <v>66</v>
      </c>
      <c r="O805" s="10" t="str">
        <f>IF(TRIM(OrdersRawTable9[[#This Row],[Sales_Channel_Raw]])="Market place","Marketplace",TRIM(OrdersRawTable9[[#This Row],[Sales_Channel_Raw]]))</f>
        <v>Marketplace</v>
      </c>
      <c r="P805" s="10" t="s">
        <v>46</v>
      </c>
      <c r="Q805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805" s="15" t="s">
        <v>47</v>
      </c>
      <c r="S805" t="str">
        <f>VLOOKUP(OrdersRawTable9[[#This Row],[Customer_ID_Raw]],CustomersTable11[],4,FALSE)</f>
        <v>Alberta</v>
      </c>
      <c r="T805" t="str">
        <f>VLOOKUP(OrdersRawTable9[[#This Row],[Customer_ID_Raw]],CustomersTable11[],5,FALSE)</f>
        <v>Consumer</v>
      </c>
      <c r="U805" s="45">
        <f>VLOOKUP(OrdersRawTable9[[#This Row],[Product_ID]],ProductsTable10[],4,FALSE)</f>
        <v>136.25</v>
      </c>
      <c r="V805" t="str">
        <f>VLOOKUP(OrdersRawTable9[[#This Row],[Product_ID]],ProductsTable10[],3,FALSE)</f>
        <v>Fitness</v>
      </c>
      <c r="W805" s="45">
        <f>OrdersRawTable9[[#This Row],[Unit_Price]]*OrdersRawTable9[[#This Row],[Quantity]]</f>
        <v>630.59999999999991</v>
      </c>
      <c r="X805" s="47">
        <f>OrdersRawTable9[[#This Row],[Gross_Sales]]*OrdersRawTable9[[#This Row],[Discount_Pct]]</f>
        <v>0</v>
      </c>
      <c r="Y805" s="45">
        <f>OrdersRawTable9[[#This Row],[Gross_Sales]]-OrdersRawTable9[[#This Row],[Discount_Amount]]</f>
        <v>630.59999999999991</v>
      </c>
      <c r="Z805" s="45">
        <f>OrdersRawTable9[[#This Row],[Unit_Cost]]*OrdersRawTable9[[#This Row],[Quantity]]</f>
        <v>408.75</v>
      </c>
      <c r="AA805" s="45">
        <f>OrdersRawTable9[[#This Row],[Net_Sales]]-OrdersRawTable9[[#This Row],[Total_Cost]]</f>
        <v>221.84999999999991</v>
      </c>
      <c r="AB805" s="48">
        <f>IF(OrdersRawTable9[[#This Row],[Net_Sales]]=0,0,OrdersRawTable9[[#This Row],[Profit]]/OrdersRawTable9[[#This Row],[Net_Sales]])</f>
        <v>0.35180780209324441</v>
      </c>
      <c r="AC805" s="45" t="str">
        <f>IF(COUNTIF(ReturnsRawTable[Order_Line_ID],OrdersRawTable9[[#This Row],[Order_Line_ID]])&gt;0,"Yes","No")</f>
        <v>No</v>
      </c>
      <c r="AD805" s="45" t="str">
        <f>IFERROR(VLOOKUP(OrdersRawTable9[[#This Row],[Order_Line_ID]],ReturnsRawTable[[#All],[Order_Line_ID]:[Return_Reason_Raw]],3,FALSE),"")</f>
        <v/>
      </c>
      <c r="AE805" s="49" t="str">
        <f>IFERROR(VLOOKUP(OrdersRawTable9[[#This Row],[Order_Line_ID]],ReturnsRawTable[[#All],[Order_Line_ID]:[Return_Date]],2,FALSE),"")</f>
        <v/>
      </c>
      <c r="AF805" s="45" t="str">
        <f>IFERROR(VLOOKUP(OrdersRawTable9[[#This Row],[Order_Line_ID]],ReturnsRawTable[[Order_Line_ID]:[Refund_Status]],4,FALSE),"")</f>
        <v/>
      </c>
      <c r="AG805" s="45" t="str">
        <f>VLOOKUP(OrdersRawTable9[[#This Row],[Order_ID]],ShipmentsTable[],6,FALSE)</f>
        <v>Late</v>
      </c>
      <c r="AH805" s="49">
        <f>VLOOKUP(OrdersRawTable9[[#This Row],[Order_ID]],ShipmentsTable[],3,FALSE)</f>
        <v>45743.041666666664</v>
      </c>
    </row>
    <row r="806" spans="1:34" ht="15" customHeight="1">
      <c r="A806" s="14" t="s">
        <v>1535</v>
      </c>
      <c r="B806" s="10" t="s">
        <v>1536</v>
      </c>
      <c r="C806" s="20">
        <v>45928</v>
      </c>
      <c r="D806" s="10" t="s">
        <v>1537</v>
      </c>
      <c r="E806" s="10" t="s">
        <v>1538</v>
      </c>
      <c r="F806" s="10" t="str">
        <f>TRIM(LEFT(OrdersRawTable9[[#This Row],[Customer_Info]],FIND(",",OrdersRawTable9[[#This Row],[Customer_Info]])-1))</f>
        <v>Noah Johnson</v>
      </c>
      <c r="G80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806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806" s="10">
        <f>LEN(OrdersRawTable9[[#This Row],[Customer_Info]])-LEN(SUBSTITUTE(OrdersRawTable9[[#This Row],[Customer_Info]],",",""))</f>
        <v>2</v>
      </c>
      <c r="J806" s="10" t="s">
        <v>495</v>
      </c>
      <c r="K806" s="23">
        <v>2</v>
      </c>
      <c r="L806" s="26">
        <v>207.71</v>
      </c>
      <c r="M806" s="29">
        <v>0</v>
      </c>
      <c r="N806" s="10" t="s">
        <v>40</v>
      </c>
      <c r="O806" s="10" t="str">
        <f>IF(TRIM(OrdersRawTable9[[#This Row],[Sales_Channel_Raw]])="Market place","Marketplace",TRIM(OrdersRawTable9[[#This Row],[Sales_Channel_Raw]]))</f>
        <v>Online</v>
      </c>
      <c r="P806" s="10" t="s">
        <v>98</v>
      </c>
      <c r="Q806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806" s="15" t="s">
        <v>52</v>
      </c>
      <c r="S806" t="str">
        <f>VLOOKUP(OrdersRawTable9[[#This Row],[Customer_ID_Raw]],CustomersTable11[],4,FALSE)</f>
        <v>British Columbia</v>
      </c>
      <c r="T806" t="str">
        <f>VLOOKUP(OrdersRawTable9[[#This Row],[Customer_ID_Raw]],CustomersTable11[],5,FALSE)</f>
        <v>Consumer</v>
      </c>
      <c r="U806" s="45">
        <f>VLOOKUP(OrdersRawTable9[[#This Row],[Product_ID]],ProductsTable10[],4,FALSE)</f>
        <v>132.97</v>
      </c>
      <c r="V806" t="str">
        <f>VLOOKUP(OrdersRawTable9[[#This Row],[Product_ID]],ProductsTable10[],3,FALSE)</f>
        <v>Home</v>
      </c>
      <c r="W806" s="45">
        <f>OrdersRawTable9[[#This Row],[Unit_Price]]*OrdersRawTable9[[#This Row],[Quantity]]</f>
        <v>415.42</v>
      </c>
      <c r="X806" s="47">
        <f>OrdersRawTable9[[#This Row],[Gross_Sales]]*OrdersRawTable9[[#This Row],[Discount_Pct]]</f>
        <v>0</v>
      </c>
      <c r="Y806" s="45">
        <f>OrdersRawTable9[[#This Row],[Gross_Sales]]-OrdersRawTable9[[#This Row],[Discount_Amount]]</f>
        <v>415.42</v>
      </c>
      <c r="Z806" s="45">
        <f>OrdersRawTable9[[#This Row],[Unit_Cost]]*OrdersRawTable9[[#This Row],[Quantity]]</f>
        <v>265.94</v>
      </c>
      <c r="AA806" s="45">
        <f>OrdersRawTable9[[#This Row],[Net_Sales]]-OrdersRawTable9[[#This Row],[Total_Cost]]</f>
        <v>149.48000000000002</v>
      </c>
      <c r="AB806" s="48">
        <f>IF(OrdersRawTable9[[#This Row],[Net_Sales]]=0,0,OrdersRawTable9[[#This Row],[Profit]]/OrdersRawTable9[[#This Row],[Net_Sales]])</f>
        <v>0.35982860719272064</v>
      </c>
      <c r="AC806" s="45" t="str">
        <f>IF(COUNTIF(ReturnsRawTable[Order_Line_ID],OrdersRawTable9[[#This Row],[Order_Line_ID]])&gt;0,"Yes","No")</f>
        <v>No</v>
      </c>
      <c r="AD806" s="45" t="str">
        <f>IFERROR(VLOOKUP(OrdersRawTable9[[#This Row],[Order_Line_ID]],ReturnsRawTable[[#All],[Order_Line_ID]:[Return_Reason_Raw]],3,FALSE),"")</f>
        <v/>
      </c>
      <c r="AE806" s="49" t="str">
        <f>IFERROR(VLOOKUP(OrdersRawTable9[[#This Row],[Order_Line_ID]],ReturnsRawTable[[#All],[Order_Line_ID]:[Return_Date]],2,FALSE),"")</f>
        <v/>
      </c>
      <c r="AF806" s="45" t="str">
        <f>IFERROR(VLOOKUP(OrdersRawTable9[[#This Row],[Order_Line_ID]],ReturnsRawTable[[Order_Line_ID]:[Refund_Status]],4,FALSE),"")</f>
        <v/>
      </c>
      <c r="AG806" s="45" t="str">
        <f>VLOOKUP(OrdersRawTable9[[#This Row],[Order_ID]],ShipmentsTable[],6,FALSE)</f>
        <v>Late</v>
      </c>
      <c r="AH806" s="49">
        <f>VLOOKUP(OrdersRawTable9[[#This Row],[Order_ID]],ShipmentsTable[],3,FALSE)</f>
        <v>45935</v>
      </c>
    </row>
    <row r="807" spans="1:34" ht="15" customHeight="1">
      <c r="A807" s="14" t="s">
        <v>1539</v>
      </c>
      <c r="B807" s="10" t="s">
        <v>1540</v>
      </c>
      <c r="C807" s="20">
        <v>45994</v>
      </c>
      <c r="D807" s="10" t="s">
        <v>187</v>
      </c>
      <c r="E807" s="10" t="s">
        <v>188</v>
      </c>
      <c r="F807" s="10" t="str">
        <f>TRIM(LEFT(OrdersRawTable9[[#This Row],[Customer_Info]],FIND(",",OrdersRawTable9[[#This Row],[Customer_Info]])-1))</f>
        <v>Liam Singh</v>
      </c>
      <c r="G80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807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807" s="10">
        <f>LEN(OrdersRawTable9[[#This Row],[Customer_Info]])-LEN(SUBSTITUTE(OrdersRawTable9[[#This Row],[Customer_Info]],",",""))</f>
        <v>2</v>
      </c>
      <c r="J807" s="10" t="s">
        <v>784</v>
      </c>
      <c r="K807" s="23">
        <v>3</v>
      </c>
      <c r="L807" s="26">
        <v>96.33</v>
      </c>
      <c r="M807" s="29">
        <v>0</v>
      </c>
      <c r="N807" s="10" t="s">
        <v>70</v>
      </c>
      <c r="O807" s="10" t="str">
        <f>IF(TRIM(OrdersRawTable9[[#This Row],[Sales_Channel_Raw]])="Market place","Marketplace",TRIM(OrdersRawTable9[[#This Row],[Sales_Channel_Raw]]))</f>
        <v>online</v>
      </c>
      <c r="P807" s="10" t="s">
        <v>51</v>
      </c>
      <c r="Q807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807" s="15" t="s">
        <v>67</v>
      </c>
      <c r="S807" t="str">
        <f>VLOOKUP(OrdersRawTable9[[#This Row],[Customer_ID_Raw]],CustomersTable11[],4,FALSE)</f>
        <v>Alberta</v>
      </c>
      <c r="T807" t="str">
        <f>VLOOKUP(OrdersRawTable9[[#This Row],[Customer_ID_Raw]],CustomersTable11[],5,FALSE)</f>
        <v>Small Business</v>
      </c>
      <c r="U807" s="45">
        <f>VLOOKUP(OrdersRawTable9[[#This Row],[Product_ID]],ProductsTable10[],4,FALSE)</f>
        <v>57.85</v>
      </c>
      <c r="V807" t="str">
        <f>VLOOKUP(OrdersRawTable9[[#This Row],[Product_ID]],ProductsTable10[],3,FALSE)</f>
        <v>Accessories</v>
      </c>
      <c r="W807" s="45">
        <f>OrdersRawTable9[[#This Row],[Unit_Price]]*OrdersRawTable9[[#This Row],[Quantity]]</f>
        <v>288.99</v>
      </c>
      <c r="X807" s="47">
        <f>OrdersRawTable9[[#This Row],[Gross_Sales]]*OrdersRawTable9[[#This Row],[Discount_Pct]]</f>
        <v>0</v>
      </c>
      <c r="Y807" s="45">
        <f>OrdersRawTable9[[#This Row],[Gross_Sales]]-OrdersRawTable9[[#This Row],[Discount_Amount]]</f>
        <v>288.99</v>
      </c>
      <c r="Z807" s="45">
        <f>OrdersRawTable9[[#This Row],[Unit_Cost]]*OrdersRawTable9[[#This Row],[Quantity]]</f>
        <v>173.55</v>
      </c>
      <c r="AA807" s="45">
        <f>OrdersRawTable9[[#This Row],[Net_Sales]]-OrdersRawTable9[[#This Row],[Total_Cost]]</f>
        <v>115.44</v>
      </c>
      <c r="AB807" s="48">
        <f>IF(OrdersRawTable9[[#This Row],[Net_Sales]]=0,0,OrdersRawTable9[[#This Row],[Profit]]/OrdersRawTable9[[#This Row],[Net_Sales]])</f>
        <v>0.39946018893387314</v>
      </c>
      <c r="AC807" s="45" t="str">
        <f>IF(COUNTIF(ReturnsRawTable[Order_Line_ID],OrdersRawTable9[[#This Row],[Order_Line_ID]])&gt;0,"Yes","No")</f>
        <v>Yes</v>
      </c>
      <c r="AD807" s="45" t="str">
        <f>IFERROR(VLOOKUP(OrdersRawTable9[[#This Row],[Order_Line_ID]],ReturnsRawTable[[#All],[Order_Line_ID]:[Return_Reason_Raw]],3,FALSE),"")</f>
        <v>Damaged</v>
      </c>
      <c r="AE807" s="49">
        <f>IFERROR(VLOOKUP(OrdersRawTable9[[#This Row],[Order_Line_ID]],ReturnsRawTable[[#All],[Order_Line_ID]:[Return_Date]],2,FALSE),"")</f>
        <v>46016</v>
      </c>
      <c r="AF807" s="45" t="str">
        <f>IFERROR(VLOOKUP(OrdersRawTable9[[#This Row],[Order_Line_ID]],ReturnsRawTable[[Order_Line_ID]:[Refund_Status]],4,FALSE),"")</f>
        <v>Refunded</v>
      </c>
      <c r="AG807" s="45" t="str">
        <f>VLOOKUP(OrdersRawTable9[[#This Row],[Order_ID]],ShipmentsTable[],6,FALSE)</f>
        <v>Late</v>
      </c>
      <c r="AH807" s="49">
        <f>VLOOKUP(OrdersRawTable9[[#This Row],[Order_ID]],ShipmentsTable[],3,FALSE)</f>
        <v>46000</v>
      </c>
    </row>
    <row r="808" spans="1:34" ht="15" customHeight="1">
      <c r="A808" s="14" t="s">
        <v>1541</v>
      </c>
      <c r="B808" s="10" t="s">
        <v>1540</v>
      </c>
      <c r="C808" s="20">
        <v>45994</v>
      </c>
      <c r="D808" s="10" t="s">
        <v>187</v>
      </c>
      <c r="E808" s="10" t="s">
        <v>188</v>
      </c>
      <c r="F808" s="10" t="str">
        <f>TRIM(LEFT(OrdersRawTable9[[#This Row],[Customer_Info]],FIND(",",OrdersRawTable9[[#This Row],[Customer_Info]])-1))</f>
        <v>Liam Singh</v>
      </c>
      <c r="G80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808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808" s="10">
        <f>LEN(OrdersRawTable9[[#This Row],[Customer_Info]])-LEN(SUBSTITUTE(OrdersRawTable9[[#This Row],[Customer_Info]],",",""))</f>
        <v>2</v>
      </c>
      <c r="J808" s="10" t="s">
        <v>49</v>
      </c>
      <c r="K808" s="23">
        <v>1</v>
      </c>
      <c r="L808" s="26">
        <v>300.16000000000003</v>
      </c>
      <c r="M808" s="29">
        <v>0</v>
      </c>
      <c r="N808" s="10" t="s">
        <v>70</v>
      </c>
      <c r="O808" s="10" t="str">
        <f>IF(TRIM(OrdersRawTable9[[#This Row],[Sales_Channel_Raw]])="Market place","Marketplace",TRIM(OrdersRawTable9[[#This Row],[Sales_Channel_Raw]]))</f>
        <v>online</v>
      </c>
      <c r="P808" s="10" t="s">
        <v>41</v>
      </c>
      <c r="Q808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808" s="15" t="s">
        <v>67</v>
      </c>
      <c r="S808" t="str">
        <f>VLOOKUP(OrdersRawTable9[[#This Row],[Customer_ID_Raw]],CustomersTable11[],4,FALSE)</f>
        <v>Alberta</v>
      </c>
      <c r="T808" t="str">
        <f>VLOOKUP(OrdersRawTable9[[#This Row],[Customer_ID_Raw]],CustomersTable11[],5,FALSE)</f>
        <v>Small Business</v>
      </c>
      <c r="U808" s="45">
        <f>VLOOKUP(OrdersRawTable9[[#This Row],[Product_ID]],ProductsTable10[],4,FALSE)</f>
        <v>158.46</v>
      </c>
      <c r="V808" t="str">
        <f>VLOOKUP(OrdersRawTable9[[#This Row],[Product_ID]],ProductsTable10[],3,FALSE)</f>
        <v>Office</v>
      </c>
      <c r="W808" s="45">
        <f>OrdersRawTable9[[#This Row],[Unit_Price]]*OrdersRawTable9[[#This Row],[Quantity]]</f>
        <v>300.16000000000003</v>
      </c>
      <c r="X808" s="47">
        <f>OrdersRawTable9[[#This Row],[Gross_Sales]]*OrdersRawTable9[[#This Row],[Discount_Pct]]</f>
        <v>0</v>
      </c>
      <c r="Y808" s="45">
        <f>OrdersRawTable9[[#This Row],[Gross_Sales]]-OrdersRawTable9[[#This Row],[Discount_Amount]]</f>
        <v>300.16000000000003</v>
      </c>
      <c r="Z808" s="45">
        <f>OrdersRawTable9[[#This Row],[Unit_Cost]]*OrdersRawTable9[[#This Row],[Quantity]]</f>
        <v>158.46</v>
      </c>
      <c r="AA808" s="45">
        <f>OrdersRawTable9[[#This Row],[Net_Sales]]-OrdersRawTable9[[#This Row],[Total_Cost]]</f>
        <v>141.70000000000002</v>
      </c>
      <c r="AB808" s="48">
        <f>IF(OrdersRawTable9[[#This Row],[Net_Sales]]=0,0,OrdersRawTable9[[#This Row],[Profit]]/OrdersRawTable9[[#This Row],[Net_Sales]])</f>
        <v>0.47208155650319833</v>
      </c>
      <c r="AC808" s="45" t="str">
        <f>IF(COUNTIF(ReturnsRawTable[Order_Line_ID],OrdersRawTable9[[#This Row],[Order_Line_ID]])&gt;0,"Yes","No")</f>
        <v>No</v>
      </c>
      <c r="AD808" s="45" t="str">
        <f>IFERROR(VLOOKUP(OrdersRawTable9[[#This Row],[Order_Line_ID]],ReturnsRawTable[[#All],[Order_Line_ID]:[Return_Reason_Raw]],3,FALSE),"")</f>
        <v/>
      </c>
      <c r="AE808" s="49" t="str">
        <f>IFERROR(VLOOKUP(OrdersRawTable9[[#This Row],[Order_Line_ID]],ReturnsRawTable[[#All],[Order_Line_ID]:[Return_Date]],2,FALSE),"")</f>
        <v/>
      </c>
      <c r="AF808" s="45" t="str">
        <f>IFERROR(VLOOKUP(OrdersRawTable9[[#This Row],[Order_Line_ID]],ReturnsRawTable[[Order_Line_ID]:[Refund_Status]],4,FALSE),"")</f>
        <v/>
      </c>
      <c r="AG808" s="45" t="str">
        <f>VLOOKUP(OrdersRawTable9[[#This Row],[Order_ID]],ShipmentsTable[],6,FALSE)</f>
        <v>Late</v>
      </c>
      <c r="AH808" s="49">
        <f>VLOOKUP(OrdersRawTable9[[#This Row],[Order_ID]],ShipmentsTable[],3,FALSE)</f>
        <v>46000</v>
      </c>
    </row>
    <row r="809" spans="1:34" ht="15" customHeight="1">
      <c r="A809" s="14" t="s">
        <v>1542</v>
      </c>
      <c r="B809" s="10" t="s">
        <v>1543</v>
      </c>
      <c r="C809" s="20">
        <v>45774</v>
      </c>
      <c r="D809" s="10" t="s">
        <v>1544</v>
      </c>
      <c r="E809" s="10" t="s">
        <v>1545</v>
      </c>
      <c r="F809" s="10" t="str">
        <f>TRIM(LEFT(OrdersRawTable9[[#This Row],[Customer_Info]],FIND(",",OrdersRawTable9[[#This Row],[Customer_Info]])-1))</f>
        <v>Maya Gagnon</v>
      </c>
      <c r="G80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809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809" s="10">
        <f>LEN(OrdersRawTable9[[#This Row],[Customer_Info]])-LEN(SUBSTITUTE(OrdersRawTable9[[#This Row],[Customer_Info]],",",""))</f>
        <v>2</v>
      </c>
      <c r="J809" s="10" t="s">
        <v>128</v>
      </c>
      <c r="K809" s="23">
        <v>3</v>
      </c>
      <c r="L809" s="26">
        <v>25.15</v>
      </c>
      <c r="M809" s="29">
        <v>0.1</v>
      </c>
      <c r="N809" s="10" t="s">
        <v>66</v>
      </c>
      <c r="O809" s="10" t="str">
        <f>IF(TRIM(OrdersRawTable9[[#This Row],[Sales_Channel_Raw]])="Market place","Marketplace",TRIM(OrdersRawTable9[[#This Row],[Sales_Channel_Raw]]))</f>
        <v>Marketplace</v>
      </c>
      <c r="P809" s="10" t="s">
        <v>98</v>
      </c>
      <c r="Q809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809" s="15" t="s">
        <v>47</v>
      </c>
      <c r="S809" t="str">
        <f>VLOOKUP(OrdersRawTable9[[#This Row],[Customer_ID_Raw]],CustomersTable11[],4,FALSE)</f>
        <v>Alberta</v>
      </c>
      <c r="T809" t="str">
        <f>VLOOKUP(OrdersRawTable9[[#This Row],[Customer_ID_Raw]],CustomersTable11[],5,FALSE)</f>
        <v>Corporate</v>
      </c>
      <c r="U809" s="45">
        <f>VLOOKUP(OrdersRawTable9[[#This Row],[Product_ID]],ProductsTable10[],4,FALSE)</f>
        <v>14.24</v>
      </c>
      <c r="V809" t="str">
        <f>VLOOKUP(OrdersRawTable9[[#This Row],[Product_ID]],ProductsTable10[],3,FALSE)</f>
        <v>Electronics</v>
      </c>
      <c r="W809" s="45">
        <f>OrdersRawTable9[[#This Row],[Unit_Price]]*OrdersRawTable9[[#This Row],[Quantity]]</f>
        <v>75.449999999999989</v>
      </c>
      <c r="X809" s="47">
        <f>OrdersRawTable9[[#This Row],[Gross_Sales]]*OrdersRawTable9[[#This Row],[Discount_Pct]]</f>
        <v>7.544999999999999</v>
      </c>
      <c r="Y809" s="45">
        <f>OrdersRawTable9[[#This Row],[Gross_Sales]]-OrdersRawTable9[[#This Row],[Discount_Amount]]</f>
        <v>67.904999999999987</v>
      </c>
      <c r="Z809" s="45">
        <f>OrdersRawTable9[[#This Row],[Unit_Cost]]*OrdersRawTable9[[#This Row],[Quantity]]</f>
        <v>42.72</v>
      </c>
      <c r="AA809" s="45">
        <f>OrdersRawTable9[[#This Row],[Net_Sales]]-OrdersRawTable9[[#This Row],[Total_Cost]]</f>
        <v>25.184999999999988</v>
      </c>
      <c r="AB809" s="48">
        <f>IF(OrdersRawTable9[[#This Row],[Net_Sales]]=0,0,OrdersRawTable9[[#This Row],[Profit]]/OrdersRawTable9[[#This Row],[Net_Sales]])</f>
        <v>0.37088579633311231</v>
      </c>
      <c r="AC809" s="45" t="str">
        <f>IF(COUNTIF(ReturnsRawTable[Order_Line_ID],OrdersRawTable9[[#This Row],[Order_Line_ID]])&gt;0,"Yes","No")</f>
        <v>No</v>
      </c>
      <c r="AD809" s="45" t="str">
        <f>IFERROR(VLOOKUP(OrdersRawTable9[[#This Row],[Order_Line_ID]],ReturnsRawTable[[#All],[Order_Line_ID]:[Return_Reason_Raw]],3,FALSE),"")</f>
        <v/>
      </c>
      <c r="AE809" s="49" t="str">
        <f>IFERROR(VLOOKUP(OrdersRawTable9[[#This Row],[Order_Line_ID]],ReturnsRawTable[[#All],[Order_Line_ID]:[Return_Date]],2,FALSE),"")</f>
        <v/>
      </c>
      <c r="AF809" s="45" t="str">
        <f>IFERROR(VLOOKUP(OrdersRawTable9[[#This Row],[Order_Line_ID]],ReturnsRawTable[[Order_Line_ID]:[Refund_Status]],4,FALSE),"")</f>
        <v/>
      </c>
      <c r="AG809" s="45" t="str">
        <f>VLOOKUP(OrdersRawTable9[[#This Row],[Order_ID]],ShipmentsTable[],6,FALSE)</f>
        <v>On time</v>
      </c>
      <c r="AH809" s="49">
        <f>VLOOKUP(OrdersRawTable9[[#This Row],[Order_ID]],ShipmentsTable[],3,FALSE)</f>
        <v>45777</v>
      </c>
    </row>
    <row r="810" spans="1:34" ht="15" customHeight="1">
      <c r="A810" s="14" t="s">
        <v>1546</v>
      </c>
      <c r="B810" s="10" t="s">
        <v>1543</v>
      </c>
      <c r="C810" s="20">
        <v>45774</v>
      </c>
      <c r="D810" s="10" t="s">
        <v>1544</v>
      </c>
      <c r="E810" s="10" t="s">
        <v>1545</v>
      </c>
      <c r="F810" s="10" t="str">
        <f>TRIM(LEFT(OrdersRawTable9[[#This Row],[Customer_Info]],FIND(",",OrdersRawTable9[[#This Row],[Customer_Info]])-1))</f>
        <v>Maya Gagnon</v>
      </c>
      <c r="G81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810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810" s="10">
        <f>LEN(OrdersRawTable9[[#This Row],[Customer_Info]])-LEN(SUBSTITUTE(OrdersRawTable9[[#This Row],[Customer_Info]],",",""))</f>
        <v>2</v>
      </c>
      <c r="J810" s="10" t="s">
        <v>196</v>
      </c>
      <c r="K810" s="23">
        <v>1</v>
      </c>
      <c r="L810" s="26">
        <v>183.73</v>
      </c>
      <c r="M810" s="29">
        <v>0</v>
      </c>
      <c r="N810" s="10" t="s">
        <v>64</v>
      </c>
      <c r="O810" s="10" t="str">
        <f>IF(TRIM(OrdersRawTable9[[#This Row],[Sales_Channel_Raw]])="Market place","Marketplace",TRIM(OrdersRawTable9[[#This Row],[Sales_Channel_Raw]]))</f>
        <v>Retail Store</v>
      </c>
      <c r="P810" s="10" t="s">
        <v>98</v>
      </c>
      <c r="Q810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810" s="15" t="s">
        <v>42</v>
      </c>
      <c r="S810" t="str">
        <f>VLOOKUP(OrdersRawTable9[[#This Row],[Customer_ID_Raw]],CustomersTable11[],4,FALSE)</f>
        <v>Alberta</v>
      </c>
      <c r="T810" t="str">
        <f>VLOOKUP(OrdersRawTable9[[#This Row],[Customer_ID_Raw]],CustomersTable11[],5,FALSE)</f>
        <v>Corporate</v>
      </c>
      <c r="U810" s="45">
        <f>VLOOKUP(OrdersRawTable9[[#This Row],[Product_ID]],ProductsTable10[],4,FALSE)</f>
        <v>98.11</v>
      </c>
      <c r="V810" t="str">
        <f>VLOOKUP(OrdersRawTable9[[#This Row],[Product_ID]],ProductsTable10[],3,FALSE)</f>
        <v>Home</v>
      </c>
      <c r="W810" s="45">
        <f>OrdersRawTable9[[#This Row],[Unit_Price]]*OrdersRawTable9[[#This Row],[Quantity]]</f>
        <v>183.73</v>
      </c>
      <c r="X810" s="47">
        <f>OrdersRawTable9[[#This Row],[Gross_Sales]]*OrdersRawTable9[[#This Row],[Discount_Pct]]</f>
        <v>0</v>
      </c>
      <c r="Y810" s="45">
        <f>OrdersRawTable9[[#This Row],[Gross_Sales]]-OrdersRawTable9[[#This Row],[Discount_Amount]]</f>
        <v>183.73</v>
      </c>
      <c r="Z810" s="45">
        <f>OrdersRawTable9[[#This Row],[Unit_Cost]]*OrdersRawTable9[[#This Row],[Quantity]]</f>
        <v>98.11</v>
      </c>
      <c r="AA810" s="45">
        <f>OrdersRawTable9[[#This Row],[Net_Sales]]-OrdersRawTable9[[#This Row],[Total_Cost]]</f>
        <v>85.61999999999999</v>
      </c>
      <c r="AB810" s="48">
        <f>IF(OrdersRawTable9[[#This Row],[Net_Sales]]=0,0,OrdersRawTable9[[#This Row],[Profit]]/OrdersRawTable9[[#This Row],[Net_Sales]])</f>
        <v>0.46600990584009139</v>
      </c>
      <c r="AC810" s="45" t="str">
        <f>IF(COUNTIF(ReturnsRawTable[Order_Line_ID],OrdersRawTable9[[#This Row],[Order_Line_ID]])&gt;0,"Yes","No")</f>
        <v>No</v>
      </c>
      <c r="AD810" s="45" t="str">
        <f>IFERROR(VLOOKUP(OrdersRawTable9[[#This Row],[Order_Line_ID]],ReturnsRawTable[[#All],[Order_Line_ID]:[Return_Reason_Raw]],3,FALSE),"")</f>
        <v/>
      </c>
      <c r="AE810" s="49" t="str">
        <f>IFERROR(VLOOKUP(OrdersRawTable9[[#This Row],[Order_Line_ID]],ReturnsRawTable[[#All],[Order_Line_ID]:[Return_Date]],2,FALSE),"")</f>
        <v/>
      </c>
      <c r="AF810" s="45" t="str">
        <f>IFERROR(VLOOKUP(OrdersRawTable9[[#This Row],[Order_Line_ID]],ReturnsRawTable[[Order_Line_ID]:[Refund_Status]],4,FALSE),"")</f>
        <v/>
      </c>
      <c r="AG810" s="45" t="str">
        <f>VLOOKUP(OrdersRawTable9[[#This Row],[Order_ID]],ShipmentsTable[],6,FALSE)</f>
        <v>On time</v>
      </c>
      <c r="AH810" s="49">
        <f>VLOOKUP(OrdersRawTable9[[#This Row],[Order_ID]],ShipmentsTable[],3,FALSE)</f>
        <v>45777</v>
      </c>
    </row>
    <row r="811" spans="1:34" ht="15" customHeight="1">
      <c r="A811" s="14" t="s">
        <v>1547</v>
      </c>
      <c r="B811" s="10" t="s">
        <v>1543</v>
      </c>
      <c r="C811" s="20">
        <v>45774</v>
      </c>
      <c r="D811" s="10" t="s">
        <v>1544</v>
      </c>
      <c r="E811" s="10" t="s">
        <v>1545</v>
      </c>
      <c r="F811" s="10" t="str">
        <f>TRIM(LEFT(OrdersRawTable9[[#This Row],[Customer_Info]],FIND(",",OrdersRawTable9[[#This Row],[Customer_Info]])-1))</f>
        <v>Maya Gagnon</v>
      </c>
      <c r="G81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811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811" s="10">
        <f>LEN(OrdersRawTable9[[#This Row],[Customer_Info]])-LEN(SUBSTITUTE(OrdersRawTable9[[#This Row],[Customer_Info]],",",""))</f>
        <v>2</v>
      </c>
      <c r="J811" s="10" t="s">
        <v>428</v>
      </c>
      <c r="K811" s="23">
        <v>1</v>
      </c>
      <c r="L811" s="26">
        <v>110.88</v>
      </c>
      <c r="M811" s="29">
        <v>0</v>
      </c>
      <c r="N811" s="10" t="s">
        <v>64</v>
      </c>
      <c r="O811" s="10" t="str">
        <f>IF(TRIM(OrdersRawTable9[[#This Row],[Sales_Channel_Raw]])="Market place","Marketplace",TRIM(OrdersRawTable9[[#This Row],[Sales_Channel_Raw]]))</f>
        <v>Retail Store</v>
      </c>
      <c r="P811" s="10" t="s">
        <v>41</v>
      </c>
      <c r="Q811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811" s="15" t="s">
        <v>52</v>
      </c>
      <c r="S811" t="str">
        <f>VLOOKUP(OrdersRawTable9[[#This Row],[Customer_ID_Raw]],CustomersTable11[],4,FALSE)</f>
        <v>Alberta</v>
      </c>
      <c r="T811" t="str">
        <f>VLOOKUP(OrdersRawTable9[[#This Row],[Customer_ID_Raw]],CustomersTable11[],5,FALSE)</f>
        <v>Corporate</v>
      </c>
      <c r="U811" s="45">
        <f>VLOOKUP(OrdersRawTable9[[#This Row],[Product_ID]],ProductsTable10[],4,FALSE)</f>
        <v>57.09</v>
      </c>
      <c r="V811" t="str">
        <f>VLOOKUP(OrdersRawTable9[[#This Row],[Product_ID]],ProductsTable10[],3,FALSE)</f>
        <v>Electronics</v>
      </c>
      <c r="W811" s="45">
        <f>OrdersRawTable9[[#This Row],[Unit_Price]]*OrdersRawTable9[[#This Row],[Quantity]]</f>
        <v>110.88</v>
      </c>
      <c r="X811" s="47">
        <f>OrdersRawTable9[[#This Row],[Gross_Sales]]*OrdersRawTable9[[#This Row],[Discount_Pct]]</f>
        <v>0</v>
      </c>
      <c r="Y811" s="45">
        <f>OrdersRawTable9[[#This Row],[Gross_Sales]]-OrdersRawTable9[[#This Row],[Discount_Amount]]</f>
        <v>110.88</v>
      </c>
      <c r="Z811" s="45">
        <f>OrdersRawTable9[[#This Row],[Unit_Cost]]*OrdersRawTable9[[#This Row],[Quantity]]</f>
        <v>57.09</v>
      </c>
      <c r="AA811" s="45">
        <f>OrdersRawTable9[[#This Row],[Net_Sales]]-OrdersRawTable9[[#This Row],[Total_Cost]]</f>
        <v>53.789999999999992</v>
      </c>
      <c r="AB811" s="48">
        <f>IF(OrdersRawTable9[[#This Row],[Net_Sales]]=0,0,OrdersRawTable9[[#This Row],[Profit]]/OrdersRawTable9[[#This Row],[Net_Sales]])</f>
        <v>0.48511904761904756</v>
      </c>
      <c r="AC811" s="45" t="str">
        <f>IF(COUNTIF(ReturnsRawTable[Order_Line_ID],OrdersRawTable9[[#This Row],[Order_Line_ID]])&gt;0,"Yes","No")</f>
        <v>Yes</v>
      </c>
      <c r="AD811" s="45" t="str">
        <f>IFERROR(VLOOKUP(OrdersRawTable9[[#This Row],[Order_Line_ID]],ReturnsRawTable[[#All],[Order_Line_ID]:[Return_Reason_Raw]],3,FALSE),"")</f>
        <v>Changed Mind</v>
      </c>
      <c r="AE811" s="49">
        <f>IFERROR(VLOOKUP(OrdersRawTable9[[#This Row],[Order_Line_ID]],ReturnsRawTable[[#All],[Order_Line_ID]:[Return_Date]],2,FALSE),"")</f>
        <v>45795</v>
      </c>
      <c r="AF811" s="45" t="str">
        <f>IFERROR(VLOOKUP(OrdersRawTable9[[#This Row],[Order_Line_ID]],ReturnsRawTable[[Order_Line_ID]:[Refund_Status]],4,FALSE),"")</f>
        <v>Refunded</v>
      </c>
      <c r="AG811" s="45" t="str">
        <f>VLOOKUP(OrdersRawTable9[[#This Row],[Order_ID]],ShipmentsTable[],6,FALSE)</f>
        <v>On time</v>
      </c>
      <c r="AH811" s="49">
        <f>VLOOKUP(OrdersRawTable9[[#This Row],[Order_ID]],ShipmentsTable[],3,FALSE)</f>
        <v>45777</v>
      </c>
    </row>
    <row r="812" spans="1:34" ht="15" customHeight="1">
      <c r="A812" s="14" t="s">
        <v>1548</v>
      </c>
      <c r="B812" s="10" t="s">
        <v>1549</v>
      </c>
      <c r="C812" s="20">
        <v>45931</v>
      </c>
      <c r="D812" s="10" t="s">
        <v>1415</v>
      </c>
      <c r="E812" s="10" t="s">
        <v>1416</v>
      </c>
      <c r="F812" s="10" t="str">
        <f>TRIM(LEFT(OrdersRawTable9[[#This Row],[Customer_Info]],FIND(",",OrdersRawTable9[[#This Row],[Customer_Info]])-1))</f>
        <v>Maya Wilson</v>
      </c>
      <c r="G81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812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812" s="10">
        <f>LEN(OrdersRawTable9[[#This Row],[Customer_Info]])-LEN(SUBSTITUTE(OrdersRawTable9[[#This Row],[Customer_Info]],",",""))</f>
        <v>2</v>
      </c>
      <c r="J812" s="10" t="s">
        <v>309</v>
      </c>
      <c r="K812" s="23">
        <v>2</v>
      </c>
      <c r="L812" s="26">
        <v>56.99</v>
      </c>
      <c r="M812" s="29">
        <v>0</v>
      </c>
      <c r="N812" s="10" t="s">
        <v>66</v>
      </c>
      <c r="O812" s="10" t="str">
        <f>IF(TRIM(OrdersRawTable9[[#This Row],[Sales_Channel_Raw]])="Market place","Marketplace",TRIM(OrdersRawTable9[[#This Row],[Sales_Channel_Raw]]))</f>
        <v>Marketplace</v>
      </c>
      <c r="P812" s="10" t="s">
        <v>58</v>
      </c>
      <c r="Q812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812" s="15" t="s">
        <v>42</v>
      </c>
      <c r="S812" t="str">
        <f>VLOOKUP(OrdersRawTable9[[#This Row],[Customer_ID_Raw]],CustomersTable11[],4,FALSE)</f>
        <v>Manitoba</v>
      </c>
      <c r="T812" t="str">
        <f>VLOOKUP(OrdersRawTable9[[#This Row],[Customer_ID_Raw]],CustomersTable11[],5,FALSE)</f>
        <v>Consumer</v>
      </c>
      <c r="U812" s="45">
        <f>VLOOKUP(OrdersRawTable9[[#This Row],[Product_ID]],ProductsTable10[],4,FALSE)</f>
        <v>33.65</v>
      </c>
      <c r="V812" t="str">
        <f>VLOOKUP(OrdersRawTable9[[#This Row],[Product_ID]],ProductsTable10[],3,FALSE)</f>
        <v>Home</v>
      </c>
      <c r="W812" s="45">
        <f>OrdersRawTable9[[#This Row],[Unit_Price]]*OrdersRawTable9[[#This Row],[Quantity]]</f>
        <v>113.98</v>
      </c>
      <c r="X812" s="47">
        <f>OrdersRawTable9[[#This Row],[Gross_Sales]]*OrdersRawTable9[[#This Row],[Discount_Pct]]</f>
        <v>0</v>
      </c>
      <c r="Y812" s="45">
        <f>OrdersRawTable9[[#This Row],[Gross_Sales]]-OrdersRawTable9[[#This Row],[Discount_Amount]]</f>
        <v>113.98</v>
      </c>
      <c r="Z812" s="45">
        <f>OrdersRawTable9[[#This Row],[Unit_Cost]]*OrdersRawTable9[[#This Row],[Quantity]]</f>
        <v>67.3</v>
      </c>
      <c r="AA812" s="45">
        <f>OrdersRawTable9[[#This Row],[Net_Sales]]-OrdersRawTable9[[#This Row],[Total_Cost]]</f>
        <v>46.680000000000007</v>
      </c>
      <c r="AB812" s="48">
        <f>IF(OrdersRawTable9[[#This Row],[Net_Sales]]=0,0,OrdersRawTable9[[#This Row],[Profit]]/OrdersRawTable9[[#This Row],[Net_Sales]])</f>
        <v>0.40954553430426394</v>
      </c>
      <c r="AC812" s="45" t="str">
        <f>IF(COUNTIF(ReturnsRawTable[Order_Line_ID],OrdersRawTable9[[#This Row],[Order_Line_ID]])&gt;0,"Yes","No")</f>
        <v>No</v>
      </c>
      <c r="AD812" s="45" t="str">
        <f>IFERROR(VLOOKUP(OrdersRawTable9[[#This Row],[Order_Line_ID]],ReturnsRawTable[[#All],[Order_Line_ID]:[Return_Reason_Raw]],3,FALSE),"")</f>
        <v/>
      </c>
      <c r="AE812" s="49" t="str">
        <f>IFERROR(VLOOKUP(OrdersRawTable9[[#This Row],[Order_Line_ID]],ReturnsRawTable[[#All],[Order_Line_ID]:[Return_Date]],2,FALSE),"")</f>
        <v/>
      </c>
      <c r="AF812" s="45" t="str">
        <f>IFERROR(VLOOKUP(OrdersRawTable9[[#This Row],[Order_Line_ID]],ReturnsRawTable[[Order_Line_ID]:[Refund_Status]],4,FALSE),"")</f>
        <v/>
      </c>
      <c r="AG812" s="45" t="str">
        <f>VLOOKUP(OrdersRawTable9[[#This Row],[Order_ID]],ShipmentsTable[],6,FALSE)</f>
        <v>On time</v>
      </c>
      <c r="AH812" s="49">
        <f>VLOOKUP(OrdersRawTable9[[#This Row],[Order_ID]],ShipmentsTable[],3,FALSE)</f>
        <v>45934</v>
      </c>
    </row>
    <row r="813" spans="1:34" ht="15" customHeight="1">
      <c r="A813" s="14" t="s">
        <v>1550</v>
      </c>
      <c r="B813" s="10" t="s">
        <v>1551</v>
      </c>
      <c r="C813" s="20">
        <v>45704</v>
      </c>
      <c r="D813" s="10" t="s">
        <v>207</v>
      </c>
      <c r="E813" s="10" t="s">
        <v>208</v>
      </c>
      <c r="F813" s="10" t="str">
        <f>TRIM(LEFT(OrdersRawTable9[[#This Row],[Customer_Info]],FIND(",",OrdersRawTable9[[#This Row],[Customer_Info]])-1))</f>
        <v>Sofia Gagnon</v>
      </c>
      <c r="G81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813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813" s="10">
        <f>LEN(OrdersRawTable9[[#This Row],[Customer_Info]])-LEN(SUBSTITUTE(OrdersRawTable9[[#This Row],[Customer_Info]],",",""))</f>
        <v>2</v>
      </c>
      <c r="J813" s="10" t="s">
        <v>100</v>
      </c>
      <c r="K813" s="23">
        <v>4</v>
      </c>
      <c r="L813" s="26">
        <v>42.72</v>
      </c>
      <c r="M813" s="29">
        <v>0.15</v>
      </c>
      <c r="N813" s="10" t="s">
        <v>70</v>
      </c>
      <c r="O813" s="10" t="str">
        <f>IF(TRIM(OrdersRawTable9[[#This Row],[Sales_Channel_Raw]])="Market place","Marketplace",TRIM(OrdersRawTable9[[#This Row],[Sales_Channel_Raw]]))</f>
        <v>online</v>
      </c>
      <c r="P813" s="10" t="s">
        <v>58</v>
      </c>
      <c r="Q813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813" s="15" t="s">
        <v>47</v>
      </c>
      <c r="S813" t="str">
        <f>VLOOKUP(OrdersRawTable9[[#This Row],[Customer_ID_Raw]],CustomersTable11[],4,FALSE)</f>
        <v>Quebec</v>
      </c>
      <c r="T813" t="str">
        <f>VLOOKUP(OrdersRawTable9[[#This Row],[Customer_ID_Raw]],CustomersTable11[],5,FALSE)</f>
        <v>Corporate</v>
      </c>
      <c r="U813" s="45">
        <f>VLOOKUP(OrdersRawTable9[[#This Row],[Product_ID]],ProductsTable10[],4,FALSE)</f>
        <v>24.46</v>
      </c>
      <c r="V813" t="str">
        <f>VLOOKUP(OrdersRawTable9[[#This Row],[Product_ID]],ProductsTable10[],3,FALSE)</f>
        <v>Electronics</v>
      </c>
      <c r="W813" s="45">
        <f>OrdersRawTable9[[#This Row],[Unit_Price]]*OrdersRawTable9[[#This Row],[Quantity]]</f>
        <v>170.88</v>
      </c>
      <c r="X813" s="47">
        <f>OrdersRawTable9[[#This Row],[Gross_Sales]]*OrdersRawTable9[[#This Row],[Discount_Pct]]</f>
        <v>25.631999999999998</v>
      </c>
      <c r="Y813" s="45">
        <f>OrdersRawTable9[[#This Row],[Gross_Sales]]-OrdersRawTable9[[#This Row],[Discount_Amount]]</f>
        <v>145.24799999999999</v>
      </c>
      <c r="Z813" s="45">
        <f>OrdersRawTable9[[#This Row],[Unit_Cost]]*OrdersRawTable9[[#This Row],[Quantity]]</f>
        <v>97.84</v>
      </c>
      <c r="AA813" s="45">
        <f>OrdersRawTable9[[#This Row],[Net_Sales]]-OrdersRawTable9[[#This Row],[Total_Cost]]</f>
        <v>47.407999999999987</v>
      </c>
      <c r="AB813" s="48">
        <f>IF(OrdersRawTable9[[#This Row],[Net_Sales]]=0,0,OrdersRawTable9[[#This Row],[Profit]]/OrdersRawTable9[[#This Row],[Net_Sales]])</f>
        <v>0.32639347873981045</v>
      </c>
      <c r="AC813" s="45" t="str">
        <f>IF(COUNTIF(ReturnsRawTable[Order_Line_ID],OrdersRawTable9[[#This Row],[Order_Line_ID]])&gt;0,"Yes","No")</f>
        <v>No</v>
      </c>
      <c r="AD813" s="45" t="str">
        <f>IFERROR(VLOOKUP(OrdersRawTable9[[#This Row],[Order_Line_ID]],ReturnsRawTable[[#All],[Order_Line_ID]:[Return_Reason_Raw]],3,FALSE),"")</f>
        <v/>
      </c>
      <c r="AE813" s="49" t="str">
        <f>IFERROR(VLOOKUP(OrdersRawTable9[[#This Row],[Order_Line_ID]],ReturnsRawTable[[#All],[Order_Line_ID]:[Return_Date]],2,FALSE),"")</f>
        <v/>
      </c>
      <c r="AF813" s="45" t="str">
        <f>IFERROR(VLOOKUP(OrdersRawTable9[[#This Row],[Order_Line_ID]],ReturnsRawTable[[Order_Line_ID]:[Refund_Status]],4,FALSE),"")</f>
        <v/>
      </c>
      <c r="AG813" s="45" t="str">
        <f>VLOOKUP(OrdersRawTable9[[#This Row],[Order_ID]],ShipmentsTable[],6,FALSE)</f>
        <v>On time</v>
      </c>
      <c r="AH813" s="49">
        <f>VLOOKUP(OrdersRawTable9[[#This Row],[Order_ID]],ShipmentsTable[],3,FALSE)</f>
        <v>45706</v>
      </c>
    </row>
    <row r="814" spans="1:34" ht="15" customHeight="1">
      <c r="A814" s="14" t="s">
        <v>1552</v>
      </c>
      <c r="B814" s="10" t="s">
        <v>1551</v>
      </c>
      <c r="C814" s="20">
        <v>45704</v>
      </c>
      <c r="D814" s="10" t="s">
        <v>207</v>
      </c>
      <c r="E814" s="10" t="s">
        <v>208</v>
      </c>
      <c r="F814" s="10" t="str">
        <f>TRIM(LEFT(OrdersRawTable9[[#This Row],[Customer_Info]],FIND(",",OrdersRawTable9[[#This Row],[Customer_Info]])-1))</f>
        <v>Sofia Gagnon</v>
      </c>
      <c r="G81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814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814" s="10">
        <f>LEN(OrdersRawTable9[[#This Row],[Customer_Info]])-LEN(SUBSTITUTE(OrdersRawTable9[[#This Row],[Customer_Info]],",",""))</f>
        <v>2</v>
      </c>
      <c r="J814" s="10" t="s">
        <v>106</v>
      </c>
      <c r="K814" s="23">
        <v>2</v>
      </c>
      <c r="L814" s="26">
        <v>195.38</v>
      </c>
      <c r="M814" s="29">
        <v>0.15</v>
      </c>
      <c r="N814" s="10" t="s">
        <v>50</v>
      </c>
      <c r="O814" s="10" t="str">
        <f>IF(TRIM(OrdersRawTable9[[#This Row],[Sales_Channel_Raw]])="Market place","Marketplace",TRIM(OrdersRawTable9[[#This Row],[Sales_Channel_Raw]]))</f>
        <v>Marketplace</v>
      </c>
      <c r="P814" s="10"/>
      <c r="Q814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814" s="15" t="s">
        <v>42</v>
      </c>
      <c r="S814" t="str">
        <f>VLOOKUP(OrdersRawTable9[[#This Row],[Customer_ID_Raw]],CustomersTable11[],4,FALSE)</f>
        <v>Quebec</v>
      </c>
      <c r="T814" t="str">
        <f>VLOOKUP(OrdersRawTable9[[#This Row],[Customer_ID_Raw]],CustomersTable11[],5,FALSE)</f>
        <v>Corporate</v>
      </c>
      <c r="U814" s="45">
        <f>VLOOKUP(OrdersRawTable9[[#This Row],[Product_ID]],ProductsTable10[],4,FALSE)</f>
        <v>114.29</v>
      </c>
      <c r="V814" t="str">
        <f>VLOOKUP(OrdersRawTable9[[#This Row],[Product_ID]],ProductsTable10[],3,FALSE)</f>
        <v>Electronics</v>
      </c>
      <c r="W814" s="45">
        <f>OrdersRawTable9[[#This Row],[Unit_Price]]*OrdersRawTable9[[#This Row],[Quantity]]</f>
        <v>390.76</v>
      </c>
      <c r="X814" s="47">
        <f>OrdersRawTable9[[#This Row],[Gross_Sales]]*OrdersRawTable9[[#This Row],[Discount_Pct]]</f>
        <v>58.613999999999997</v>
      </c>
      <c r="Y814" s="45">
        <f>OrdersRawTable9[[#This Row],[Gross_Sales]]-OrdersRawTable9[[#This Row],[Discount_Amount]]</f>
        <v>332.14600000000002</v>
      </c>
      <c r="Z814" s="45">
        <f>OrdersRawTable9[[#This Row],[Unit_Cost]]*OrdersRawTable9[[#This Row],[Quantity]]</f>
        <v>228.58</v>
      </c>
      <c r="AA814" s="45">
        <f>OrdersRawTable9[[#This Row],[Net_Sales]]-OrdersRawTable9[[#This Row],[Total_Cost]]</f>
        <v>103.566</v>
      </c>
      <c r="AB814" s="48">
        <f>IF(OrdersRawTable9[[#This Row],[Net_Sales]]=0,0,OrdersRawTable9[[#This Row],[Profit]]/OrdersRawTable9[[#This Row],[Net_Sales]])</f>
        <v>0.31180866245566707</v>
      </c>
      <c r="AC814" s="45" t="str">
        <f>IF(COUNTIF(ReturnsRawTable[Order_Line_ID],OrdersRawTable9[[#This Row],[Order_Line_ID]])&gt;0,"Yes","No")</f>
        <v>No</v>
      </c>
      <c r="AD814" s="45" t="str">
        <f>IFERROR(VLOOKUP(OrdersRawTable9[[#This Row],[Order_Line_ID]],ReturnsRawTable[[#All],[Order_Line_ID]:[Return_Reason_Raw]],3,FALSE),"")</f>
        <v/>
      </c>
      <c r="AE814" s="49" t="str">
        <f>IFERROR(VLOOKUP(OrdersRawTable9[[#This Row],[Order_Line_ID]],ReturnsRawTable[[#All],[Order_Line_ID]:[Return_Date]],2,FALSE),"")</f>
        <v/>
      </c>
      <c r="AF814" s="45" t="str">
        <f>IFERROR(VLOOKUP(OrdersRawTable9[[#This Row],[Order_Line_ID]],ReturnsRawTable[[Order_Line_ID]:[Refund_Status]],4,FALSE),"")</f>
        <v/>
      </c>
      <c r="AG814" s="45" t="str">
        <f>VLOOKUP(OrdersRawTable9[[#This Row],[Order_ID]],ShipmentsTable[],6,FALSE)</f>
        <v>On time</v>
      </c>
      <c r="AH814" s="49">
        <f>VLOOKUP(OrdersRawTable9[[#This Row],[Order_ID]],ShipmentsTable[],3,FALSE)</f>
        <v>45706</v>
      </c>
    </row>
    <row r="815" spans="1:34" ht="15" customHeight="1">
      <c r="A815" s="14" t="s">
        <v>1553</v>
      </c>
      <c r="B815" s="10" t="s">
        <v>1551</v>
      </c>
      <c r="C815" s="20">
        <v>45704</v>
      </c>
      <c r="D815" s="10" t="s">
        <v>207</v>
      </c>
      <c r="E815" s="10" t="s">
        <v>208</v>
      </c>
      <c r="F815" s="10" t="str">
        <f>TRIM(LEFT(OrdersRawTable9[[#This Row],[Customer_Info]],FIND(",",OrdersRawTable9[[#This Row],[Customer_Info]])-1))</f>
        <v>Sofia Gagnon</v>
      </c>
      <c r="G81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815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815" s="10">
        <f>LEN(OrdersRawTable9[[#This Row],[Customer_Info]])-LEN(SUBSTITUTE(OrdersRawTable9[[#This Row],[Customer_Info]],",",""))</f>
        <v>2</v>
      </c>
      <c r="J815" s="10" t="s">
        <v>178</v>
      </c>
      <c r="K815" s="23">
        <v>4</v>
      </c>
      <c r="L815" s="26">
        <v>61.81</v>
      </c>
      <c r="M815" s="29">
        <v>0.05</v>
      </c>
      <c r="N815" s="10" t="s">
        <v>66</v>
      </c>
      <c r="O815" s="10" t="str">
        <f>IF(TRIM(OrdersRawTable9[[#This Row],[Sales_Channel_Raw]])="Market place","Marketplace",TRIM(OrdersRawTable9[[#This Row],[Sales_Channel_Raw]]))</f>
        <v>Marketplace</v>
      </c>
      <c r="P815" s="10" t="s">
        <v>41</v>
      </c>
      <c r="Q815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815" s="15" t="s">
        <v>101</v>
      </c>
      <c r="S815" t="str">
        <f>VLOOKUP(OrdersRawTable9[[#This Row],[Customer_ID_Raw]],CustomersTable11[],4,FALSE)</f>
        <v>Quebec</v>
      </c>
      <c r="T815" t="str">
        <f>VLOOKUP(OrdersRawTable9[[#This Row],[Customer_ID_Raw]],CustomersTable11[],5,FALSE)</f>
        <v>Corporate</v>
      </c>
      <c r="U815" s="45">
        <f>VLOOKUP(OrdersRawTable9[[#This Row],[Product_ID]],ProductsTable10[],4,FALSE)</f>
        <v>33.19</v>
      </c>
      <c r="V815" t="str">
        <f>VLOOKUP(OrdersRawTable9[[#This Row],[Product_ID]],ProductsTable10[],3,FALSE)</f>
        <v>Office</v>
      </c>
      <c r="W815" s="45">
        <f>OrdersRawTable9[[#This Row],[Unit_Price]]*OrdersRawTable9[[#This Row],[Quantity]]</f>
        <v>247.24</v>
      </c>
      <c r="X815" s="47">
        <f>OrdersRawTable9[[#This Row],[Gross_Sales]]*OrdersRawTable9[[#This Row],[Discount_Pct]]</f>
        <v>12.362000000000002</v>
      </c>
      <c r="Y815" s="45">
        <f>OrdersRawTable9[[#This Row],[Gross_Sales]]-OrdersRawTable9[[#This Row],[Discount_Amount]]</f>
        <v>234.87800000000001</v>
      </c>
      <c r="Z815" s="45">
        <f>OrdersRawTable9[[#This Row],[Unit_Cost]]*OrdersRawTable9[[#This Row],[Quantity]]</f>
        <v>132.76</v>
      </c>
      <c r="AA815" s="45">
        <f>OrdersRawTable9[[#This Row],[Net_Sales]]-OrdersRawTable9[[#This Row],[Total_Cost]]</f>
        <v>102.11800000000002</v>
      </c>
      <c r="AB815" s="48">
        <f>IF(OrdersRawTable9[[#This Row],[Net_Sales]]=0,0,OrdersRawTable9[[#This Row],[Profit]]/OrdersRawTable9[[#This Row],[Net_Sales]])</f>
        <v>0.43477039143725688</v>
      </c>
      <c r="AC815" s="45" t="str">
        <f>IF(COUNTIF(ReturnsRawTable[Order_Line_ID],OrdersRawTable9[[#This Row],[Order_Line_ID]])&gt;0,"Yes","No")</f>
        <v>No</v>
      </c>
      <c r="AD815" s="45" t="str">
        <f>IFERROR(VLOOKUP(OrdersRawTable9[[#This Row],[Order_Line_ID]],ReturnsRawTable[[#All],[Order_Line_ID]:[Return_Reason_Raw]],3,FALSE),"")</f>
        <v/>
      </c>
      <c r="AE815" s="49" t="str">
        <f>IFERROR(VLOOKUP(OrdersRawTable9[[#This Row],[Order_Line_ID]],ReturnsRawTable[[#All],[Order_Line_ID]:[Return_Date]],2,FALSE),"")</f>
        <v/>
      </c>
      <c r="AF815" s="45" t="str">
        <f>IFERROR(VLOOKUP(OrdersRawTable9[[#This Row],[Order_Line_ID]],ReturnsRawTable[[Order_Line_ID]:[Refund_Status]],4,FALSE),"")</f>
        <v/>
      </c>
      <c r="AG815" s="45" t="str">
        <f>VLOOKUP(OrdersRawTable9[[#This Row],[Order_ID]],ShipmentsTable[],6,FALSE)</f>
        <v>On time</v>
      </c>
      <c r="AH815" s="49">
        <f>VLOOKUP(OrdersRawTable9[[#This Row],[Order_ID]],ShipmentsTable[],3,FALSE)</f>
        <v>45706</v>
      </c>
    </row>
    <row r="816" spans="1:34" ht="15" customHeight="1">
      <c r="A816" s="14" t="s">
        <v>1554</v>
      </c>
      <c r="B816" s="10" t="s">
        <v>1555</v>
      </c>
      <c r="C816" s="20">
        <v>45867</v>
      </c>
      <c r="D816" s="10" t="s">
        <v>748</v>
      </c>
      <c r="E816" s="10" t="s">
        <v>749</v>
      </c>
      <c r="F816" s="10" t="str">
        <f>TRIM(LEFT(OrdersRawTable9[[#This Row],[Customer_Info]],FIND(",",OrdersRawTable9[[#This Row],[Customer_Info]])-1))</f>
        <v>Liam Singh</v>
      </c>
      <c r="G81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816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816" s="10">
        <f>LEN(OrdersRawTable9[[#This Row],[Customer_Info]])-LEN(SUBSTITUTE(OrdersRawTable9[[#This Row],[Customer_Info]],",",""))</f>
        <v>2</v>
      </c>
      <c r="J816" s="10" t="s">
        <v>332</v>
      </c>
      <c r="K816" s="23">
        <v>2</v>
      </c>
      <c r="L816" s="26">
        <v>273.89</v>
      </c>
      <c r="M816" s="29">
        <v>0.05</v>
      </c>
      <c r="N816" s="10" t="s">
        <v>66</v>
      </c>
      <c r="O816" s="10" t="str">
        <f>IF(TRIM(OrdersRawTable9[[#This Row],[Sales_Channel_Raw]])="Market place","Marketplace",TRIM(OrdersRawTable9[[#This Row],[Sales_Channel_Raw]]))</f>
        <v>Marketplace</v>
      </c>
      <c r="P816" s="10"/>
      <c r="Q816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816" s="15" t="s">
        <v>101</v>
      </c>
      <c r="S816" t="str">
        <f>VLOOKUP(OrdersRawTable9[[#This Row],[Customer_ID_Raw]],CustomersTable11[],4,FALSE)</f>
        <v>Alberta</v>
      </c>
      <c r="T816" t="str">
        <f>VLOOKUP(OrdersRawTable9[[#This Row],[Customer_ID_Raw]],CustomersTable11[],5,FALSE)</f>
        <v>Corporate</v>
      </c>
      <c r="U816" s="45">
        <f>VLOOKUP(OrdersRawTable9[[#This Row],[Product_ID]],ProductsTable10[],4,FALSE)</f>
        <v>140.66999999999999</v>
      </c>
      <c r="V816" t="str">
        <f>VLOOKUP(OrdersRawTable9[[#This Row],[Product_ID]],ProductsTable10[],3,FALSE)</f>
        <v>Home</v>
      </c>
      <c r="W816" s="45">
        <f>OrdersRawTable9[[#This Row],[Unit_Price]]*OrdersRawTable9[[#This Row],[Quantity]]</f>
        <v>547.78</v>
      </c>
      <c r="X816" s="47">
        <f>OrdersRawTable9[[#This Row],[Gross_Sales]]*OrdersRawTable9[[#This Row],[Discount_Pct]]</f>
        <v>27.388999999999999</v>
      </c>
      <c r="Y816" s="45">
        <f>OrdersRawTable9[[#This Row],[Gross_Sales]]-OrdersRawTable9[[#This Row],[Discount_Amount]]</f>
        <v>520.39099999999996</v>
      </c>
      <c r="Z816" s="45">
        <f>OrdersRawTable9[[#This Row],[Unit_Cost]]*OrdersRawTable9[[#This Row],[Quantity]]</f>
        <v>281.33999999999997</v>
      </c>
      <c r="AA816" s="45">
        <f>OrdersRawTable9[[#This Row],[Net_Sales]]-OrdersRawTable9[[#This Row],[Total_Cost]]</f>
        <v>239.05099999999999</v>
      </c>
      <c r="AB816" s="48">
        <f>IF(OrdersRawTable9[[#This Row],[Net_Sales]]=0,0,OrdersRawTable9[[#This Row],[Profit]]/OrdersRawTable9[[#This Row],[Net_Sales]])</f>
        <v>0.45936805209928688</v>
      </c>
      <c r="AC816" s="45" t="str">
        <f>IF(COUNTIF(ReturnsRawTable[Order_Line_ID],OrdersRawTable9[[#This Row],[Order_Line_ID]])&gt;0,"Yes","No")</f>
        <v>No</v>
      </c>
      <c r="AD816" s="45" t="str">
        <f>IFERROR(VLOOKUP(OrdersRawTable9[[#This Row],[Order_Line_ID]],ReturnsRawTable[[#All],[Order_Line_ID]:[Return_Reason_Raw]],3,FALSE),"")</f>
        <v/>
      </c>
      <c r="AE816" s="49" t="str">
        <f>IFERROR(VLOOKUP(OrdersRawTable9[[#This Row],[Order_Line_ID]],ReturnsRawTable[[#All],[Order_Line_ID]:[Return_Date]],2,FALSE),"")</f>
        <v/>
      </c>
      <c r="AF816" s="45" t="str">
        <f>IFERROR(VLOOKUP(OrdersRawTable9[[#This Row],[Order_Line_ID]],ReturnsRawTable[[Order_Line_ID]:[Refund_Status]],4,FALSE),"")</f>
        <v/>
      </c>
      <c r="AG816" s="45" t="str">
        <f>VLOOKUP(OrdersRawTable9[[#This Row],[Order_ID]],ShipmentsTable[],6,FALSE)</f>
        <v>On time</v>
      </c>
      <c r="AH816" s="49">
        <f>VLOOKUP(OrdersRawTable9[[#This Row],[Order_ID]],ShipmentsTable[],3,FALSE)</f>
        <v>45871</v>
      </c>
    </row>
    <row r="817" spans="1:34" ht="15" customHeight="1">
      <c r="A817" s="14" t="s">
        <v>1556</v>
      </c>
      <c r="B817" s="10" t="s">
        <v>1557</v>
      </c>
      <c r="C817" s="20">
        <v>45731.041666666664</v>
      </c>
      <c r="D817" s="10" t="s">
        <v>300</v>
      </c>
      <c r="E817" s="10" t="s">
        <v>301</v>
      </c>
      <c r="F817" s="10" t="str">
        <f>TRIM(LEFT(OrdersRawTable9[[#This Row],[Customer_Info]],FIND(",",OrdersRawTable9[[#This Row],[Customer_Info]])-1))</f>
        <v>Daniel Khan</v>
      </c>
      <c r="G81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817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817" s="10">
        <f>LEN(OrdersRawTable9[[#This Row],[Customer_Info]])-LEN(SUBSTITUTE(OrdersRawTable9[[#This Row],[Customer_Info]],",",""))</f>
        <v>2</v>
      </c>
      <c r="J817" s="10" t="s">
        <v>241</v>
      </c>
      <c r="K817" s="23">
        <v>1</v>
      </c>
      <c r="L817" s="26">
        <v>300.56</v>
      </c>
      <c r="M817" s="29">
        <v>0.1</v>
      </c>
      <c r="N817" s="10" t="s">
        <v>64</v>
      </c>
      <c r="O817" s="10" t="str">
        <f>IF(TRIM(OrdersRawTable9[[#This Row],[Sales_Channel_Raw]])="Market place","Marketplace",TRIM(OrdersRawTable9[[#This Row],[Sales_Channel_Raw]]))</f>
        <v>Retail Store</v>
      </c>
      <c r="P817" s="10"/>
      <c r="Q817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817" s="15" t="s">
        <v>47</v>
      </c>
      <c r="S817" t="str">
        <f>VLOOKUP(OrdersRawTable9[[#This Row],[Customer_ID_Raw]],CustomersTable11[],4,FALSE)</f>
        <v>Nova Scotia</v>
      </c>
      <c r="T817" t="str">
        <f>VLOOKUP(OrdersRawTable9[[#This Row],[Customer_ID_Raw]],CustomersTable11[],5,FALSE)</f>
        <v>Small Business</v>
      </c>
      <c r="U817" s="45">
        <f>VLOOKUP(OrdersRawTable9[[#This Row],[Product_ID]],ProductsTable10[],4,FALSE)</f>
        <v>158.86000000000001</v>
      </c>
      <c r="V817" t="str">
        <f>VLOOKUP(OrdersRawTable9[[#This Row],[Product_ID]],ProductsTable10[],3,FALSE)</f>
        <v>Accessories</v>
      </c>
      <c r="W817" s="45">
        <f>OrdersRawTable9[[#This Row],[Unit_Price]]*OrdersRawTable9[[#This Row],[Quantity]]</f>
        <v>300.56</v>
      </c>
      <c r="X817" s="47">
        <f>OrdersRawTable9[[#This Row],[Gross_Sales]]*OrdersRawTable9[[#This Row],[Discount_Pct]]</f>
        <v>30.056000000000001</v>
      </c>
      <c r="Y817" s="45">
        <f>OrdersRawTable9[[#This Row],[Gross_Sales]]-OrdersRawTable9[[#This Row],[Discount_Amount]]</f>
        <v>270.50400000000002</v>
      </c>
      <c r="Z817" s="45">
        <f>OrdersRawTable9[[#This Row],[Unit_Cost]]*OrdersRawTable9[[#This Row],[Quantity]]</f>
        <v>158.86000000000001</v>
      </c>
      <c r="AA817" s="45">
        <f>OrdersRawTable9[[#This Row],[Net_Sales]]-OrdersRawTable9[[#This Row],[Total_Cost]]</f>
        <v>111.64400000000001</v>
      </c>
      <c r="AB817" s="48">
        <f>IF(OrdersRawTable9[[#This Row],[Net_Sales]]=0,0,OrdersRawTable9[[#This Row],[Profit]]/OrdersRawTable9[[#This Row],[Net_Sales]])</f>
        <v>0.4127258746635909</v>
      </c>
      <c r="AC817" s="45" t="str">
        <f>IF(COUNTIF(ReturnsRawTable[Order_Line_ID],OrdersRawTable9[[#This Row],[Order_Line_ID]])&gt;0,"Yes","No")</f>
        <v>Yes</v>
      </c>
      <c r="AD817" s="45" t="str">
        <f>IFERROR(VLOOKUP(OrdersRawTable9[[#This Row],[Order_Line_ID]],ReturnsRawTable[[#All],[Order_Line_ID]:[Return_Reason_Raw]],3,FALSE),"")</f>
        <v>Wrong Item</v>
      </c>
      <c r="AE817" s="49">
        <f>IFERROR(VLOOKUP(OrdersRawTable9[[#This Row],[Order_Line_ID]],ReturnsRawTable[[#All],[Order_Line_ID]:[Return_Date]],2,FALSE),"")</f>
        <v>45738.041666666664</v>
      </c>
      <c r="AF817" s="45" t="str">
        <f>IFERROR(VLOOKUP(OrdersRawTable9[[#This Row],[Order_Line_ID]],ReturnsRawTable[[Order_Line_ID]:[Refund_Status]],4,FALSE),"")</f>
        <v>Refunded</v>
      </c>
      <c r="AG817" s="45" t="str">
        <f>VLOOKUP(OrdersRawTable9[[#This Row],[Order_ID]],ShipmentsTable[],6,FALSE)</f>
        <v>Late</v>
      </c>
      <c r="AH817" s="49">
        <f>VLOOKUP(OrdersRawTable9[[#This Row],[Order_ID]],ShipmentsTable[],3,FALSE)</f>
        <v>45736.041666666664</v>
      </c>
    </row>
    <row r="818" spans="1:34" ht="15" customHeight="1">
      <c r="A818" s="14" t="s">
        <v>1558</v>
      </c>
      <c r="B818" s="10" t="s">
        <v>1559</v>
      </c>
      <c r="C818" s="20">
        <v>45819</v>
      </c>
      <c r="D818" s="10" t="s">
        <v>748</v>
      </c>
      <c r="E818" s="10" t="s">
        <v>749</v>
      </c>
      <c r="F818" s="10" t="str">
        <f>TRIM(LEFT(OrdersRawTable9[[#This Row],[Customer_Info]],FIND(",",OrdersRawTable9[[#This Row],[Customer_Info]])-1))</f>
        <v>Liam Singh</v>
      </c>
      <c r="G81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818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818" s="10">
        <f>LEN(OrdersRawTable9[[#This Row],[Customer_Info]])-LEN(SUBSTITUTE(OrdersRawTable9[[#This Row],[Customer_Info]],",",""))</f>
        <v>2</v>
      </c>
      <c r="J818" s="10" t="s">
        <v>44</v>
      </c>
      <c r="K818" s="23">
        <v>1</v>
      </c>
      <c r="L818" s="26">
        <v>238.47</v>
      </c>
      <c r="M818" s="29">
        <v>0.15</v>
      </c>
      <c r="N818" s="10" t="s">
        <v>45</v>
      </c>
      <c r="O818" s="10" t="str">
        <f>IF(TRIM(OrdersRawTable9[[#This Row],[Sales_Channel_Raw]])="Market place","Marketplace",TRIM(OrdersRawTable9[[#This Row],[Sales_Channel_Raw]]))</f>
        <v>Retail Store</v>
      </c>
      <c r="P818" s="10" t="s">
        <v>58</v>
      </c>
      <c r="Q818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818" s="15" t="s">
        <v>67</v>
      </c>
      <c r="S818" t="str">
        <f>VLOOKUP(OrdersRawTable9[[#This Row],[Customer_ID_Raw]],CustomersTable11[],4,FALSE)</f>
        <v>Alberta</v>
      </c>
      <c r="T818" t="str">
        <f>VLOOKUP(OrdersRawTable9[[#This Row],[Customer_ID_Raw]],CustomersTable11[],5,FALSE)</f>
        <v>Corporate</v>
      </c>
      <c r="U818" s="45">
        <f>VLOOKUP(OrdersRawTable9[[#This Row],[Product_ID]],ProductsTable10[],4,FALSE)</f>
        <v>127.65</v>
      </c>
      <c r="V818" t="str">
        <f>VLOOKUP(OrdersRawTable9[[#This Row],[Product_ID]],ProductsTable10[],3,FALSE)</f>
        <v>Accessories</v>
      </c>
      <c r="W818" s="45">
        <f>OrdersRawTable9[[#This Row],[Unit_Price]]*OrdersRawTable9[[#This Row],[Quantity]]</f>
        <v>238.47</v>
      </c>
      <c r="X818" s="47">
        <f>OrdersRawTable9[[#This Row],[Gross_Sales]]*OrdersRawTable9[[#This Row],[Discount_Pct]]</f>
        <v>35.770499999999998</v>
      </c>
      <c r="Y818" s="45">
        <f>OrdersRawTable9[[#This Row],[Gross_Sales]]-OrdersRawTable9[[#This Row],[Discount_Amount]]</f>
        <v>202.6995</v>
      </c>
      <c r="Z818" s="45">
        <f>OrdersRawTable9[[#This Row],[Unit_Cost]]*OrdersRawTable9[[#This Row],[Quantity]]</f>
        <v>127.65</v>
      </c>
      <c r="AA818" s="45">
        <f>OrdersRawTable9[[#This Row],[Net_Sales]]-OrdersRawTable9[[#This Row],[Total_Cost]]</f>
        <v>75.049499999999995</v>
      </c>
      <c r="AB818" s="48">
        <f>IF(OrdersRawTable9[[#This Row],[Net_Sales]]=0,0,OrdersRawTable9[[#This Row],[Profit]]/OrdersRawTable9[[#This Row],[Net_Sales]])</f>
        <v>0.3702500499507892</v>
      </c>
      <c r="AC818" s="45" t="str">
        <f>IF(COUNTIF(ReturnsRawTable[Order_Line_ID],OrdersRawTable9[[#This Row],[Order_Line_ID]])&gt;0,"Yes","No")</f>
        <v>No</v>
      </c>
      <c r="AD818" s="45" t="str">
        <f>IFERROR(VLOOKUP(OrdersRawTable9[[#This Row],[Order_Line_ID]],ReturnsRawTable[[#All],[Order_Line_ID]:[Return_Reason_Raw]],3,FALSE),"")</f>
        <v/>
      </c>
      <c r="AE818" s="49" t="str">
        <f>IFERROR(VLOOKUP(OrdersRawTable9[[#This Row],[Order_Line_ID]],ReturnsRawTable[[#All],[Order_Line_ID]:[Return_Date]],2,FALSE),"")</f>
        <v/>
      </c>
      <c r="AF818" s="45" t="str">
        <f>IFERROR(VLOOKUP(OrdersRawTable9[[#This Row],[Order_Line_ID]],ReturnsRawTable[[Order_Line_ID]:[Refund_Status]],4,FALSE),"")</f>
        <v/>
      </c>
      <c r="AG818" s="45" t="str">
        <f>VLOOKUP(OrdersRawTable9[[#This Row],[Order_ID]],ShipmentsTable[],6,FALSE)</f>
        <v>On time</v>
      </c>
      <c r="AH818" s="49">
        <f>VLOOKUP(OrdersRawTable9[[#This Row],[Order_ID]],ShipmentsTable[],3,FALSE)</f>
        <v>45822</v>
      </c>
    </row>
    <row r="819" spans="1:34" ht="15" customHeight="1">
      <c r="A819" s="14" t="s">
        <v>1560</v>
      </c>
      <c r="B819" s="10" t="s">
        <v>1559</v>
      </c>
      <c r="C819" s="20">
        <v>45819</v>
      </c>
      <c r="D819" s="10" t="s">
        <v>748</v>
      </c>
      <c r="E819" s="10" t="s">
        <v>749</v>
      </c>
      <c r="F819" s="10" t="str">
        <f>TRIM(LEFT(OrdersRawTable9[[#This Row],[Customer_Info]],FIND(",",OrdersRawTable9[[#This Row],[Customer_Info]])-1))</f>
        <v>Liam Singh</v>
      </c>
      <c r="G81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819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819" s="10">
        <f>LEN(OrdersRawTable9[[#This Row],[Customer_Info]])-LEN(SUBSTITUTE(OrdersRawTable9[[#This Row],[Customer_Info]],",",""))</f>
        <v>2</v>
      </c>
      <c r="J819" s="10" t="s">
        <v>150</v>
      </c>
      <c r="K819" s="23">
        <v>2</v>
      </c>
      <c r="L819" s="26">
        <v>263.04000000000002</v>
      </c>
      <c r="M819" s="29">
        <v>0</v>
      </c>
      <c r="N819" s="10" t="s">
        <v>70</v>
      </c>
      <c r="O819" s="10" t="str">
        <f>IF(TRIM(OrdersRawTable9[[#This Row],[Sales_Channel_Raw]])="Market place","Marketplace",TRIM(OrdersRawTable9[[#This Row],[Sales_Channel_Raw]]))</f>
        <v>online</v>
      </c>
      <c r="P819" s="10" t="s">
        <v>58</v>
      </c>
      <c r="Q819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819" s="15" t="s">
        <v>52</v>
      </c>
      <c r="S819" t="str">
        <f>VLOOKUP(OrdersRawTable9[[#This Row],[Customer_ID_Raw]],CustomersTable11[],4,FALSE)</f>
        <v>Alberta</v>
      </c>
      <c r="T819" t="str">
        <f>VLOOKUP(OrdersRawTable9[[#This Row],[Customer_ID_Raw]],CustomersTable11[],5,FALSE)</f>
        <v>Corporate</v>
      </c>
      <c r="U819" s="45">
        <f>VLOOKUP(OrdersRawTable9[[#This Row],[Product_ID]],ProductsTable10[],4,FALSE)</f>
        <v>161.84</v>
      </c>
      <c r="V819" t="str">
        <f>VLOOKUP(OrdersRawTable9[[#This Row],[Product_ID]],ProductsTable10[],3,FALSE)</f>
        <v>Office</v>
      </c>
      <c r="W819" s="45">
        <f>OrdersRawTable9[[#This Row],[Unit_Price]]*OrdersRawTable9[[#This Row],[Quantity]]</f>
        <v>526.08000000000004</v>
      </c>
      <c r="X819" s="47">
        <f>OrdersRawTable9[[#This Row],[Gross_Sales]]*OrdersRawTable9[[#This Row],[Discount_Pct]]</f>
        <v>0</v>
      </c>
      <c r="Y819" s="45">
        <f>OrdersRawTable9[[#This Row],[Gross_Sales]]-OrdersRawTable9[[#This Row],[Discount_Amount]]</f>
        <v>526.08000000000004</v>
      </c>
      <c r="Z819" s="45">
        <f>OrdersRawTable9[[#This Row],[Unit_Cost]]*OrdersRawTable9[[#This Row],[Quantity]]</f>
        <v>323.68</v>
      </c>
      <c r="AA819" s="45">
        <f>OrdersRawTable9[[#This Row],[Net_Sales]]-OrdersRawTable9[[#This Row],[Total_Cost]]</f>
        <v>202.40000000000003</v>
      </c>
      <c r="AB819" s="48">
        <f>IF(OrdersRawTable9[[#This Row],[Net_Sales]]=0,0,OrdersRawTable9[[#This Row],[Profit]]/OrdersRawTable9[[#This Row],[Net_Sales]])</f>
        <v>0.38473236009732364</v>
      </c>
      <c r="AC819" s="45" t="str">
        <f>IF(COUNTIF(ReturnsRawTable[Order_Line_ID],OrdersRawTable9[[#This Row],[Order_Line_ID]])&gt;0,"Yes","No")</f>
        <v>No</v>
      </c>
      <c r="AD819" s="45" t="str">
        <f>IFERROR(VLOOKUP(OrdersRawTable9[[#This Row],[Order_Line_ID]],ReturnsRawTable[[#All],[Order_Line_ID]:[Return_Reason_Raw]],3,FALSE),"")</f>
        <v/>
      </c>
      <c r="AE819" s="49" t="str">
        <f>IFERROR(VLOOKUP(OrdersRawTable9[[#This Row],[Order_Line_ID]],ReturnsRawTable[[#All],[Order_Line_ID]:[Return_Date]],2,FALSE),"")</f>
        <v/>
      </c>
      <c r="AF819" s="45" t="str">
        <f>IFERROR(VLOOKUP(OrdersRawTable9[[#This Row],[Order_Line_ID]],ReturnsRawTable[[Order_Line_ID]:[Refund_Status]],4,FALSE),"")</f>
        <v/>
      </c>
      <c r="AG819" s="45" t="str">
        <f>VLOOKUP(OrdersRawTable9[[#This Row],[Order_ID]],ShipmentsTable[],6,FALSE)</f>
        <v>On time</v>
      </c>
      <c r="AH819" s="49">
        <f>VLOOKUP(OrdersRawTable9[[#This Row],[Order_ID]],ShipmentsTable[],3,FALSE)</f>
        <v>45822</v>
      </c>
    </row>
    <row r="820" spans="1:34" ht="15" customHeight="1">
      <c r="A820" s="14" t="s">
        <v>1561</v>
      </c>
      <c r="B820" s="10" t="s">
        <v>1562</v>
      </c>
      <c r="C820" s="20">
        <v>45770</v>
      </c>
      <c r="D820" s="10" t="s">
        <v>1563</v>
      </c>
      <c r="E820" s="10" t="s">
        <v>1564</v>
      </c>
      <c r="F820" s="10" t="str">
        <f>TRIM(LEFT(OrdersRawTable9[[#This Row],[Customer_Info]],FIND(",",OrdersRawTable9[[#This Row],[Customer_Info]])-1))</f>
        <v>Ethan Johnson</v>
      </c>
      <c r="G82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820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820" s="10">
        <f>LEN(OrdersRawTable9[[#This Row],[Customer_Info]])-LEN(SUBSTITUTE(OrdersRawTable9[[#This Row],[Customer_Info]],",",""))</f>
        <v>2</v>
      </c>
      <c r="J820" s="10" t="s">
        <v>77</v>
      </c>
      <c r="K820" s="23">
        <v>2</v>
      </c>
      <c r="L820" s="26">
        <v>34.909999999999997</v>
      </c>
      <c r="M820" s="29">
        <v>0.15</v>
      </c>
      <c r="N820" s="10" t="s">
        <v>64</v>
      </c>
      <c r="O820" s="10" t="str">
        <f>IF(TRIM(OrdersRawTable9[[#This Row],[Sales_Channel_Raw]])="Market place","Marketplace",TRIM(OrdersRawTable9[[#This Row],[Sales_Channel_Raw]]))</f>
        <v>Retail Store</v>
      </c>
      <c r="P820" s="10" t="s">
        <v>58</v>
      </c>
      <c r="Q820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820" s="15" t="s">
        <v>42</v>
      </c>
      <c r="S820" t="str">
        <f>VLOOKUP(OrdersRawTable9[[#This Row],[Customer_ID_Raw]],CustomersTable11[],4,FALSE)</f>
        <v>Alberta</v>
      </c>
      <c r="T820" t="str">
        <f>VLOOKUP(OrdersRawTable9[[#This Row],[Customer_ID_Raw]],CustomersTable11[],5,FALSE)</f>
        <v>Consumer</v>
      </c>
      <c r="U820" s="45">
        <f>VLOOKUP(OrdersRawTable9[[#This Row],[Product_ID]],ProductsTable10[],4,FALSE)</f>
        <v>19.670000000000002</v>
      </c>
      <c r="V820" t="str">
        <f>VLOOKUP(OrdersRawTable9[[#This Row],[Product_ID]],ProductsTable10[],3,FALSE)</f>
        <v>Accessories</v>
      </c>
      <c r="W820" s="45">
        <f>OrdersRawTable9[[#This Row],[Unit_Price]]*OrdersRawTable9[[#This Row],[Quantity]]</f>
        <v>69.819999999999993</v>
      </c>
      <c r="X820" s="47">
        <f>OrdersRawTable9[[#This Row],[Gross_Sales]]*OrdersRawTable9[[#This Row],[Discount_Pct]]</f>
        <v>10.472999999999999</v>
      </c>
      <c r="Y820" s="45">
        <f>OrdersRawTable9[[#This Row],[Gross_Sales]]-OrdersRawTable9[[#This Row],[Discount_Amount]]</f>
        <v>59.346999999999994</v>
      </c>
      <c r="Z820" s="45">
        <f>OrdersRawTable9[[#This Row],[Unit_Cost]]*OrdersRawTable9[[#This Row],[Quantity]]</f>
        <v>39.340000000000003</v>
      </c>
      <c r="AA820" s="45">
        <f>OrdersRawTable9[[#This Row],[Net_Sales]]-OrdersRawTable9[[#This Row],[Total_Cost]]</f>
        <v>20.006999999999991</v>
      </c>
      <c r="AB820" s="48">
        <f>IF(OrdersRawTable9[[#This Row],[Net_Sales]]=0,0,OrdersRawTable9[[#This Row],[Profit]]/OrdersRawTable9[[#This Row],[Net_Sales]])</f>
        <v>0.33711897821288345</v>
      </c>
      <c r="AC820" s="45" t="str">
        <f>IF(COUNTIF(ReturnsRawTable[Order_Line_ID],OrdersRawTable9[[#This Row],[Order_Line_ID]])&gt;0,"Yes","No")</f>
        <v>No</v>
      </c>
      <c r="AD820" s="45" t="str">
        <f>IFERROR(VLOOKUP(OrdersRawTable9[[#This Row],[Order_Line_ID]],ReturnsRawTable[[#All],[Order_Line_ID]:[Return_Reason_Raw]],3,FALSE),"")</f>
        <v/>
      </c>
      <c r="AE820" s="49" t="str">
        <f>IFERROR(VLOOKUP(OrdersRawTable9[[#This Row],[Order_Line_ID]],ReturnsRawTable[[#All],[Order_Line_ID]:[Return_Date]],2,FALSE),"")</f>
        <v/>
      </c>
      <c r="AF820" s="45" t="str">
        <f>IFERROR(VLOOKUP(OrdersRawTable9[[#This Row],[Order_Line_ID]],ReturnsRawTable[[Order_Line_ID]:[Refund_Status]],4,FALSE),"")</f>
        <v/>
      </c>
      <c r="AG820" s="45" t="str">
        <f>VLOOKUP(OrdersRawTable9[[#This Row],[Order_ID]],ShipmentsTable[],6,FALSE)</f>
        <v>Late</v>
      </c>
      <c r="AH820" s="49">
        <f>VLOOKUP(OrdersRawTable9[[#This Row],[Order_ID]],ShipmentsTable[],3,FALSE)</f>
        <v>45780</v>
      </c>
    </row>
    <row r="821" spans="1:34" ht="15" customHeight="1">
      <c r="A821" s="14" t="s">
        <v>1565</v>
      </c>
      <c r="B821" s="10" t="s">
        <v>1562</v>
      </c>
      <c r="C821" s="20">
        <v>45770</v>
      </c>
      <c r="D821" s="10" t="s">
        <v>1563</v>
      </c>
      <c r="E821" s="10" t="s">
        <v>1564</v>
      </c>
      <c r="F821" s="10" t="str">
        <f>TRIM(LEFT(OrdersRawTable9[[#This Row],[Customer_Info]],FIND(",",OrdersRawTable9[[#This Row],[Customer_Info]])-1))</f>
        <v>Ethan Johnson</v>
      </c>
      <c r="G82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821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821" s="10">
        <f>LEN(OrdersRawTable9[[#This Row],[Customer_Info]])-LEN(SUBSTITUTE(OrdersRawTable9[[#This Row],[Customer_Info]],",",""))</f>
        <v>2</v>
      </c>
      <c r="J821" s="10" t="s">
        <v>117</v>
      </c>
      <c r="K821" s="23">
        <v>4</v>
      </c>
      <c r="L821" s="26">
        <v>251.17</v>
      </c>
      <c r="M821" s="29">
        <v>0.15</v>
      </c>
      <c r="N821" s="10" t="s">
        <v>66</v>
      </c>
      <c r="O821" s="10" t="str">
        <f>IF(TRIM(OrdersRawTable9[[#This Row],[Sales_Channel_Raw]])="Market place","Marketplace",TRIM(OrdersRawTable9[[#This Row],[Sales_Channel_Raw]]))</f>
        <v>Marketplace</v>
      </c>
      <c r="P821" s="10" t="s">
        <v>41</v>
      </c>
      <c r="Q821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821" s="15" t="s">
        <v>52</v>
      </c>
      <c r="S821" t="str">
        <f>VLOOKUP(OrdersRawTable9[[#This Row],[Customer_ID_Raw]],CustomersTable11[],4,FALSE)</f>
        <v>Alberta</v>
      </c>
      <c r="T821" t="str">
        <f>VLOOKUP(OrdersRawTable9[[#This Row],[Customer_ID_Raw]],CustomersTable11[],5,FALSE)</f>
        <v>Consumer</v>
      </c>
      <c r="U821" s="45">
        <f>VLOOKUP(OrdersRawTable9[[#This Row],[Product_ID]],ProductsTable10[],4,FALSE)</f>
        <v>151.59</v>
      </c>
      <c r="V821" t="str">
        <f>VLOOKUP(OrdersRawTable9[[#This Row],[Product_ID]],ProductsTable10[],3,FALSE)</f>
        <v>Fitness</v>
      </c>
      <c r="W821" s="45">
        <f>OrdersRawTable9[[#This Row],[Unit_Price]]*OrdersRawTable9[[#This Row],[Quantity]]</f>
        <v>1004.68</v>
      </c>
      <c r="X821" s="47">
        <f>OrdersRawTable9[[#This Row],[Gross_Sales]]*OrdersRawTable9[[#This Row],[Discount_Pct]]</f>
        <v>150.702</v>
      </c>
      <c r="Y821" s="45">
        <f>OrdersRawTable9[[#This Row],[Gross_Sales]]-OrdersRawTable9[[#This Row],[Discount_Amount]]</f>
        <v>853.97799999999995</v>
      </c>
      <c r="Z821" s="45">
        <f>OrdersRawTable9[[#This Row],[Unit_Cost]]*OrdersRawTable9[[#This Row],[Quantity]]</f>
        <v>606.36</v>
      </c>
      <c r="AA821" s="45">
        <f>OrdersRawTable9[[#This Row],[Net_Sales]]-OrdersRawTable9[[#This Row],[Total_Cost]]</f>
        <v>247.61799999999994</v>
      </c>
      <c r="AB821" s="48">
        <f>IF(OrdersRawTable9[[#This Row],[Net_Sales]]=0,0,OrdersRawTable9[[#This Row],[Profit]]/OrdersRawTable9[[#This Row],[Net_Sales]])</f>
        <v>0.28995828932361251</v>
      </c>
      <c r="AC821" s="45" t="str">
        <f>IF(COUNTIF(ReturnsRawTable[Order_Line_ID],OrdersRawTable9[[#This Row],[Order_Line_ID]])&gt;0,"Yes","No")</f>
        <v>Yes</v>
      </c>
      <c r="AD821" s="45" t="str">
        <f>IFERROR(VLOOKUP(OrdersRawTable9[[#This Row],[Order_Line_ID]],ReturnsRawTable[[#All],[Order_Line_ID]:[Return_Reason_Raw]],3,FALSE),"")</f>
        <v>Changed Mind</v>
      </c>
      <c r="AE821" s="49">
        <f>IFERROR(VLOOKUP(OrdersRawTable9[[#This Row],[Order_Line_ID]],ReturnsRawTable[[#All],[Order_Line_ID]:[Return_Date]],2,FALSE),"")</f>
        <v>45800</v>
      </c>
      <c r="AF821" s="45" t="str">
        <f>IFERROR(VLOOKUP(OrdersRawTable9[[#This Row],[Order_Line_ID]],ReturnsRawTable[[Order_Line_ID]:[Refund_Status]],4,FALSE),"")</f>
        <v>Refunded</v>
      </c>
      <c r="AG821" s="45" t="str">
        <f>VLOOKUP(OrdersRawTable9[[#This Row],[Order_ID]],ShipmentsTable[],6,FALSE)</f>
        <v>Late</v>
      </c>
      <c r="AH821" s="49">
        <f>VLOOKUP(OrdersRawTable9[[#This Row],[Order_ID]],ShipmentsTable[],3,FALSE)</f>
        <v>45780</v>
      </c>
    </row>
    <row r="822" spans="1:34" ht="15" customHeight="1">
      <c r="A822" s="14" t="s">
        <v>1566</v>
      </c>
      <c r="B822" s="10" t="s">
        <v>1567</v>
      </c>
      <c r="C822" s="20">
        <v>45698</v>
      </c>
      <c r="D822" s="10" t="s">
        <v>163</v>
      </c>
      <c r="E822" s="10" t="s">
        <v>164</v>
      </c>
      <c r="F822" s="10" t="str">
        <f>TRIM(LEFT(OrdersRawTable9[[#This Row],[Customer_Info]],FIND(",",OrdersRawTable9[[#This Row],[Customer_Info]])-1))</f>
        <v>Yara Ali</v>
      </c>
      <c r="G82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822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822" s="10">
        <f>LEN(OrdersRawTable9[[#This Row],[Customer_Info]])-LEN(SUBSTITUTE(OrdersRawTable9[[#This Row],[Customer_Info]],",",""))</f>
        <v>2</v>
      </c>
      <c r="J822" s="10" t="s">
        <v>332</v>
      </c>
      <c r="K822" s="23">
        <v>4</v>
      </c>
      <c r="L822" s="26">
        <v>273.89</v>
      </c>
      <c r="M822" s="29">
        <v>0.15</v>
      </c>
      <c r="N822" s="10" t="s">
        <v>40</v>
      </c>
      <c r="O822" s="10" t="str">
        <f>IF(TRIM(OrdersRawTable9[[#This Row],[Sales_Channel_Raw]])="Market place","Marketplace",TRIM(OrdersRawTable9[[#This Row],[Sales_Channel_Raw]]))</f>
        <v>Online</v>
      </c>
      <c r="P822" s="10" t="s">
        <v>98</v>
      </c>
      <c r="Q822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822" s="15" t="s">
        <v>67</v>
      </c>
      <c r="S822" t="str">
        <f>VLOOKUP(OrdersRawTable9[[#This Row],[Customer_ID_Raw]],CustomersTable11[],4,FALSE)</f>
        <v>Ontario</v>
      </c>
      <c r="T822" t="str">
        <f>VLOOKUP(OrdersRawTable9[[#This Row],[Customer_ID_Raw]],CustomersTable11[],5,FALSE)</f>
        <v>Small Business</v>
      </c>
      <c r="U822" s="45">
        <f>VLOOKUP(OrdersRawTable9[[#This Row],[Product_ID]],ProductsTable10[],4,FALSE)</f>
        <v>140.66999999999999</v>
      </c>
      <c r="V822" t="str">
        <f>VLOOKUP(OrdersRawTable9[[#This Row],[Product_ID]],ProductsTable10[],3,FALSE)</f>
        <v>Home</v>
      </c>
      <c r="W822" s="45">
        <f>OrdersRawTable9[[#This Row],[Unit_Price]]*OrdersRawTable9[[#This Row],[Quantity]]</f>
        <v>1095.56</v>
      </c>
      <c r="X822" s="47">
        <f>OrdersRawTable9[[#This Row],[Gross_Sales]]*OrdersRawTable9[[#This Row],[Discount_Pct]]</f>
        <v>164.33399999999997</v>
      </c>
      <c r="Y822" s="45">
        <f>OrdersRawTable9[[#This Row],[Gross_Sales]]-OrdersRawTable9[[#This Row],[Discount_Amount]]</f>
        <v>931.226</v>
      </c>
      <c r="Z822" s="45">
        <f>OrdersRawTable9[[#This Row],[Unit_Cost]]*OrdersRawTable9[[#This Row],[Quantity]]</f>
        <v>562.67999999999995</v>
      </c>
      <c r="AA822" s="45">
        <f>OrdersRawTable9[[#This Row],[Net_Sales]]-OrdersRawTable9[[#This Row],[Total_Cost]]</f>
        <v>368.54600000000005</v>
      </c>
      <c r="AB822" s="48">
        <f>IF(OrdersRawTable9[[#This Row],[Net_Sales]]=0,0,OrdersRawTable9[[#This Row],[Profit]]/OrdersRawTable9[[#This Row],[Net_Sales]])</f>
        <v>0.39576429352273246</v>
      </c>
      <c r="AC822" s="45" t="str">
        <f>IF(COUNTIF(ReturnsRawTable[Order_Line_ID],OrdersRawTable9[[#This Row],[Order_Line_ID]])&gt;0,"Yes","No")</f>
        <v>No</v>
      </c>
      <c r="AD822" s="45" t="str">
        <f>IFERROR(VLOOKUP(OrdersRawTable9[[#This Row],[Order_Line_ID]],ReturnsRawTable[[#All],[Order_Line_ID]:[Return_Reason_Raw]],3,FALSE),"")</f>
        <v/>
      </c>
      <c r="AE822" s="49" t="str">
        <f>IFERROR(VLOOKUP(OrdersRawTable9[[#This Row],[Order_Line_ID]],ReturnsRawTable[[#All],[Order_Line_ID]:[Return_Date]],2,FALSE),"")</f>
        <v/>
      </c>
      <c r="AF822" s="45" t="str">
        <f>IFERROR(VLOOKUP(OrdersRawTable9[[#This Row],[Order_Line_ID]],ReturnsRawTable[[Order_Line_ID]:[Refund_Status]],4,FALSE),"")</f>
        <v/>
      </c>
      <c r="AG822" s="45" t="str">
        <f>VLOOKUP(OrdersRawTable9[[#This Row],[Order_ID]],ShipmentsTable[],6,FALSE)</f>
        <v>Late</v>
      </c>
      <c r="AH822" s="49">
        <f>VLOOKUP(OrdersRawTable9[[#This Row],[Order_ID]],ShipmentsTable[],3,FALSE)</f>
        <v>45705</v>
      </c>
    </row>
    <row r="823" spans="1:34" ht="15" customHeight="1">
      <c r="A823" s="14" t="s">
        <v>1568</v>
      </c>
      <c r="B823" s="10" t="s">
        <v>1567</v>
      </c>
      <c r="C823" s="20">
        <v>45698</v>
      </c>
      <c r="D823" s="10" t="s">
        <v>163</v>
      </c>
      <c r="E823" s="10" t="s">
        <v>164</v>
      </c>
      <c r="F823" s="10" t="str">
        <f>TRIM(LEFT(OrdersRawTable9[[#This Row],[Customer_Info]],FIND(",",OrdersRawTable9[[#This Row],[Customer_Info]])-1))</f>
        <v>Yara Ali</v>
      </c>
      <c r="G82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823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823" s="10">
        <f>LEN(OrdersRawTable9[[#This Row],[Customer_Info]])-LEN(SUBSTITUTE(OrdersRawTable9[[#This Row],[Customer_Info]],",",""))</f>
        <v>2</v>
      </c>
      <c r="J823" s="10" t="s">
        <v>88</v>
      </c>
      <c r="K823" s="23">
        <v>2</v>
      </c>
      <c r="L823" s="26">
        <v>147.46</v>
      </c>
      <c r="M823" s="29">
        <v>0.1</v>
      </c>
      <c r="N823" s="10" t="s">
        <v>66</v>
      </c>
      <c r="O823" s="10" t="str">
        <f>IF(TRIM(OrdersRawTable9[[#This Row],[Sales_Channel_Raw]])="Market place","Marketplace",TRIM(OrdersRawTable9[[#This Row],[Sales_Channel_Raw]]))</f>
        <v>Marketplace</v>
      </c>
      <c r="P823" s="10" t="s">
        <v>51</v>
      </c>
      <c r="Q823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823" s="15" t="s">
        <v>101</v>
      </c>
      <c r="S823" t="str">
        <f>VLOOKUP(OrdersRawTable9[[#This Row],[Customer_ID_Raw]],CustomersTable11[],4,FALSE)</f>
        <v>Ontario</v>
      </c>
      <c r="T823" t="str">
        <f>VLOOKUP(OrdersRawTable9[[#This Row],[Customer_ID_Raw]],CustomersTable11[],5,FALSE)</f>
        <v>Small Business</v>
      </c>
      <c r="U823" s="45">
        <f>VLOOKUP(OrdersRawTable9[[#This Row],[Product_ID]],ProductsTable10[],4,FALSE)</f>
        <v>100.95</v>
      </c>
      <c r="V823" t="str">
        <f>VLOOKUP(OrdersRawTable9[[#This Row],[Product_ID]],ProductsTable10[],3,FALSE)</f>
        <v>Electronics</v>
      </c>
      <c r="W823" s="45">
        <f>OrdersRawTable9[[#This Row],[Unit_Price]]*OrdersRawTable9[[#This Row],[Quantity]]</f>
        <v>294.92</v>
      </c>
      <c r="X823" s="47">
        <f>OrdersRawTable9[[#This Row],[Gross_Sales]]*OrdersRawTable9[[#This Row],[Discount_Pct]]</f>
        <v>29.492000000000004</v>
      </c>
      <c r="Y823" s="45">
        <f>OrdersRawTable9[[#This Row],[Gross_Sales]]-OrdersRawTable9[[#This Row],[Discount_Amount]]</f>
        <v>265.428</v>
      </c>
      <c r="Z823" s="45">
        <f>OrdersRawTable9[[#This Row],[Unit_Cost]]*OrdersRawTable9[[#This Row],[Quantity]]</f>
        <v>201.9</v>
      </c>
      <c r="AA823" s="45">
        <f>OrdersRawTable9[[#This Row],[Net_Sales]]-OrdersRawTable9[[#This Row],[Total_Cost]]</f>
        <v>63.527999999999992</v>
      </c>
      <c r="AB823" s="48">
        <f>IF(OrdersRawTable9[[#This Row],[Net_Sales]]=0,0,OrdersRawTable9[[#This Row],[Profit]]/OrdersRawTable9[[#This Row],[Net_Sales]])</f>
        <v>0.23934174239341741</v>
      </c>
      <c r="AC823" s="45" t="str">
        <f>IF(COUNTIF(ReturnsRawTable[Order_Line_ID],OrdersRawTable9[[#This Row],[Order_Line_ID]])&gt;0,"Yes","No")</f>
        <v>No</v>
      </c>
      <c r="AD823" s="45" t="str">
        <f>IFERROR(VLOOKUP(OrdersRawTable9[[#This Row],[Order_Line_ID]],ReturnsRawTable[[#All],[Order_Line_ID]:[Return_Reason_Raw]],3,FALSE),"")</f>
        <v/>
      </c>
      <c r="AE823" s="49" t="str">
        <f>IFERROR(VLOOKUP(OrdersRawTable9[[#This Row],[Order_Line_ID]],ReturnsRawTable[[#All],[Order_Line_ID]:[Return_Date]],2,FALSE),"")</f>
        <v/>
      </c>
      <c r="AF823" s="45" t="str">
        <f>IFERROR(VLOOKUP(OrdersRawTable9[[#This Row],[Order_Line_ID]],ReturnsRawTable[[Order_Line_ID]:[Refund_Status]],4,FALSE),"")</f>
        <v/>
      </c>
      <c r="AG823" s="45" t="str">
        <f>VLOOKUP(OrdersRawTable9[[#This Row],[Order_ID]],ShipmentsTable[],6,FALSE)</f>
        <v>Late</v>
      </c>
      <c r="AH823" s="49">
        <f>VLOOKUP(OrdersRawTable9[[#This Row],[Order_ID]],ShipmentsTable[],3,FALSE)</f>
        <v>45705</v>
      </c>
    </row>
    <row r="824" spans="1:34" ht="15" customHeight="1">
      <c r="A824" s="14" t="s">
        <v>1569</v>
      </c>
      <c r="B824" s="10" t="s">
        <v>1567</v>
      </c>
      <c r="C824" s="20">
        <v>45698</v>
      </c>
      <c r="D824" s="10" t="s">
        <v>163</v>
      </c>
      <c r="E824" s="10" t="s">
        <v>164</v>
      </c>
      <c r="F824" s="10" t="str">
        <f>TRIM(LEFT(OrdersRawTable9[[#This Row],[Customer_Info]],FIND(",",OrdersRawTable9[[#This Row],[Customer_Info]])-1))</f>
        <v>Yara Ali</v>
      </c>
      <c r="G82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824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824" s="10">
        <f>LEN(OrdersRawTable9[[#This Row],[Customer_Info]])-LEN(SUBSTITUTE(OrdersRawTable9[[#This Row],[Customer_Info]],",",""))</f>
        <v>2</v>
      </c>
      <c r="J824" s="10" t="s">
        <v>178</v>
      </c>
      <c r="K824" s="23">
        <v>2</v>
      </c>
      <c r="L824" s="26">
        <v>61.81</v>
      </c>
      <c r="M824" s="29">
        <v>0.05</v>
      </c>
      <c r="N824" s="10" t="s">
        <v>40</v>
      </c>
      <c r="O824" s="10" t="str">
        <f>IF(TRIM(OrdersRawTable9[[#This Row],[Sales_Channel_Raw]])="Market place","Marketplace",TRIM(OrdersRawTable9[[#This Row],[Sales_Channel_Raw]]))</f>
        <v>Online</v>
      </c>
      <c r="P824" s="10" t="s">
        <v>46</v>
      </c>
      <c r="Q824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824" s="15" t="s">
        <v>101</v>
      </c>
      <c r="S824" t="str">
        <f>VLOOKUP(OrdersRawTable9[[#This Row],[Customer_ID_Raw]],CustomersTable11[],4,FALSE)</f>
        <v>Ontario</v>
      </c>
      <c r="T824" t="str">
        <f>VLOOKUP(OrdersRawTable9[[#This Row],[Customer_ID_Raw]],CustomersTable11[],5,FALSE)</f>
        <v>Small Business</v>
      </c>
      <c r="U824" s="45">
        <f>VLOOKUP(OrdersRawTable9[[#This Row],[Product_ID]],ProductsTable10[],4,FALSE)</f>
        <v>33.19</v>
      </c>
      <c r="V824" t="str">
        <f>VLOOKUP(OrdersRawTable9[[#This Row],[Product_ID]],ProductsTable10[],3,FALSE)</f>
        <v>Office</v>
      </c>
      <c r="W824" s="45">
        <f>OrdersRawTable9[[#This Row],[Unit_Price]]*OrdersRawTable9[[#This Row],[Quantity]]</f>
        <v>123.62</v>
      </c>
      <c r="X824" s="47">
        <f>OrdersRawTable9[[#This Row],[Gross_Sales]]*OrdersRawTable9[[#This Row],[Discount_Pct]]</f>
        <v>6.1810000000000009</v>
      </c>
      <c r="Y824" s="45">
        <f>OrdersRawTable9[[#This Row],[Gross_Sales]]-OrdersRawTable9[[#This Row],[Discount_Amount]]</f>
        <v>117.43900000000001</v>
      </c>
      <c r="Z824" s="45">
        <f>OrdersRawTable9[[#This Row],[Unit_Cost]]*OrdersRawTable9[[#This Row],[Quantity]]</f>
        <v>66.38</v>
      </c>
      <c r="AA824" s="45">
        <f>OrdersRawTable9[[#This Row],[Net_Sales]]-OrdersRawTable9[[#This Row],[Total_Cost]]</f>
        <v>51.059000000000012</v>
      </c>
      <c r="AB824" s="48">
        <f>IF(OrdersRawTable9[[#This Row],[Net_Sales]]=0,0,OrdersRawTable9[[#This Row],[Profit]]/OrdersRawTable9[[#This Row],[Net_Sales]])</f>
        <v>0.43477039143725688</v>
      </c>
      <c r="AC824" s="45" t="str">
        <f>IF(COUNTIF(ReturnsRawTable[Order_Line_ID],OrdersRawTable9[[#This Row],[Order_Line_ID]])&gt;0,"Yes","No")</f>
        <v>No</v>
      </c>
      <c r="AD824" s="45" t="str">
        <f>IFERROR(VLOOKUP(OrdersRawTable9[[#This Row],[Order_Line_ID]],ReturnsRawTable[[#All],[Order_Line_ID]:[Return_Reason_Raw]],3,FALSE),"")</f>
        <v/>
      </c>
      <c r="AE824" s="49" t="str">
        <f>IFERROR(VLOOKUP(OrdersRawTable9[[#This Row],[Order_Line_ID]],ReturnsRawTable[[#All],[Order_Line_ID]:[Return_Date]],2,FALSE),"")</f>
        <v/>
      </c>
      <c r="AF824" s="45" t="str">
        <f>IFERROR(VLOOKUP(OrdersRawTable9[[#This Row],[Order_Line_ID]],ReturnsRawTable[[Order_Line_ID]:[Refund_Status]],4,FALSE),"")</f>
        <v/>
      </c>
      <c r="AG824" s="45" t="str">
        <f>VLOOKUP(OrdersRawTable9[[#This Row],[Order_ID]],ShipmentsTable[],6,FALSE)</f>
        <v>Late</v>
      </c>
      <c r="AH824" s="49">
        <f>VLOOKUP(OrdersRawTable9[[#This Row],[Order_ID]],ShipmentsTable[],3,FALSE)</f>
        <v>45705</v>
      </c>
    </row>
    <row r="825" spans="1:34" ht="15" customHeight="1">
      <c r="A825" s="14" t="s">
        <v>1570</v>
      </c>
      <c r="B825" s="10" t="s">
        <v>1571</v>
      </c>
      <c r="C825" s="20">
        <v>46012</v>
      </c>
      <c r="D825" s="10" t="s">
        <v>365</v>
      </c>
      <c r="E825" s="10" t="s">
        <v>366</v>
      </c>
      <c r="F825" s="10" t="str">
        <f>TRIM(LEFT(OrdersRawTable9[[#This Row],[Customer_Info]],FIND(",",OrdersRawTable9[[#This Row],[Customer_Info]])-1))</f>
        <v>Emma Singh</v>
      </c>
      <c r="G82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825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825" s="10">
        <f>LEN(OrdersRawTable9[[#This Row],[Customer_Info]])-LEN(SUBSTITUTE(OrdersRawTable9[[#This Row],[Customer_Info]],",",""))</f>
        <v>2</v>
      </c>
      <c r="J825" s="10" t="s">
        <v>201</v>
      </c>
      <c r="K825" s="23">
        <v>1</v>
      </c>
      <c r="L825" s="26">
        <v>154.47</v>
      </c>
      <c r="M825" s="29">
        <v>0.05</v>
      </c>
      <c r="N825" s="10" t="s">
        <v>40</v>
      </c>
      <c r="O825" s="10" t="str">
        <f>IF(TRIM(OrdersRawTable9[[#This Row],[Sales_Channel_Raw]])="Market place","Marketplace",TRIM(OrdersRawTable9[[#This Row],[Sales_Channel_Raw]]))</f>
        <v>Online</v>
      </c>
      <c r="P825" s="10" t="s">
        <v>51</v>
      </c>
      <c r="Q825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825" s="15" t="s">
        <v>67</v>
      </c>
      <c r="S825" t="str">
        <f>VLOOKUP(OrdersRawTable9[[#This Row],[Customer_ID_Raw]],CustomersTable11[],4,FALSE)</f>
        <v>Manitoba</v>
      </c>
      <c r="T825" t="str">
        <f>VLOOKUP(OrdersRawTable9[[#This Row],[Customer_ID_Raw]],CustomersTable11[],5,FALSE)</f>
        <v>Small Business</v>
      </c>
      <c r="U825" s="45">
        <f>VLOOKUP(OrdersRawTable9[[#This Row],[Product_ID]],ProductsTable10[],4,FALSE)</f>
        <v>102.57</v>
      </c>
      <c r="V825" t="str">
        <f>VLOOKUP(OrdersRawTable9[[#This Row],[Product_ID]],ProductsTable10[],3,FALSE)</f>
        <v>Fitness</v>
      </c>
      <c r="W825" s="45">
        <f>OrdersRawTable9[[#This Row],[Unit_Price]]*OrdersRawTable9[[#This Row],[Quantity]]</f>
        <v>154.47</v>
      </c>
      <c r="X825" s="47">
        <f>OrdersRawTable9[[#This Row],[Gross_Sales]]*OrdersRawTable9[[#This Row],[Discount_Pct]]</f>
        <v>7.7235000000000005</v>
      </c>
      <c r="Y825" s="45">
        <f>OrdersRawTable9[[#This Row],[Gross_Sales]]-OrdersRawTable9[[#This Row],[Discount_Amount]]</f>
        <v>146.7465</v>
      </c>
      <c r="Z825" s="45">
        <f>OrdersRawTable9[[#This Row],[Unit_Cost]]*OrdersRawTable9[[#This Row],[Quantity]]</f>
        <v>102.57</v>
      </c>
      <c r="AA825" s="45">
        <f>OrdersRawTable9[[#This Row],[Net_Sales]]-OrdersRawTable9[[#This Row],[Total_Cost]]</f>
        <v>44.176500000000004</v>
      </c>
      <c r="AB825" s="48">
        <f>IF(OrdersRawTable9[[#This Row],[Net_Sales]]=0,0,OrdersRawTable9[[#This Row],[Profit]]/OrdersRawTable9[[#This Row],[Net_Sales]])</f>
        <v>0.30103954779159986</v>
      </c>
      <c r="AC825" s="45" t="str">
        <f>IF(COUNTIF(ReturnsRawTable[Order_Line_ID],OrdersRawTable9[[#This Row],[Order_Line_ID]])&gt;0,"Yes","No")</f>
        <v>No</v>
      </c>
      <c r="AD825" s="45" t="str">
        <f>IFERROR(VLOOKUP(OrdersRawTable9[[#This Row],[Order_Line_ID]],ReturnsRawTable[[#All],[Order_Line_ID]:[Return_Reason_Raw]],3,FALSE),"")</f>
        <v/>
      </c>
      <c r="AE825" s="49" t="str">
        <f>IFERROR(VLOOKUP(OrdersRawTable9[[#This Row],[Order_Line_ID]],ReturnsRawTable[[#All],[Order_Line_ID]:[Return_Date]],2,FALSE),"")</f>
        <v/>
      </c>
      <c r="AF825" s="45" t="str">
        <f>IFERROR(VLOOKUP(OrdersRawTable9[[#This Row],[Order_Line_ID]],ReturnsRawTable[[Order_Line_ID]:[Refund_Status]],4,FALSE),"")</f>
        <v/>
      </c>
      <c r="AG825" s="45" t="str">
        <f>VLOOKUP(OrdersRawTable9[[#This Row],[Order_ID]],ShipmentsTable[],6,FALSE)</f>
        <v>On time</v>
      </c>
      <c r="AH825" s="49">
        <f>VLOOKUP(OrdersRawTable9[[#This Row],[Order_ID]],ShipmentsTable[],3,FALSE)</f>
        <v>46016</v>
      </c>
    </row>
    <row r="826" spans="1:34" ht="15" customHeight="1">
      <c r="A826" s="14" t="s">
        <v>1572</v>
      </c>
      <c r="B826" s="10" t="s">
        <v>1571</v>
      </c>
      <c r="C826" s="20">
        <v>46012</v>
      </c>
      <c r="D826" s="10" t="s">
        <v>365</v>
      </c>
      <c r="E826" s="10" t="s">
        <v>366</v>
      </c>
      <c r="F826" s="10" t="str">
        <f>TRIM(LEFT(OrdersRawTable9[[#This Row],[Customer_Info]],FIND(",",OrdersRawTable9[[#This Row],[Customer_Info]])-1))</f>
        <v>Emma Singh</v>
      </c>
      <c r="G82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826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826" s="10">
        <f>LEN(OrdersRawTable9[[#This Row],[Customer_Info]])-LEN(SUBSTITUTE(OrdersRawTable9[[#This Row],[Customer_Info]],",",""))</f>
        <v>2</v>
      </c>
      <c r="J826" s="10" t="s">
        <v>63</v>
      </c>
      <c r="K826" s="23">
        <v>3</v>
      </c>
      <c r="L826" s="26">
        <v>105.38</v>
      </c>
      <c r="M826" s="29">
        <v>0.05</v>
      </c>
      <c r="N826" s="10" t="s">
        <v>50</v>
      </c>
      <c r="O826" s="10" t="str">
        <f>IF(TRIM(OrdersRawTable9[[#This Row],[Sales_Channel_Raw]])="Market place","Marketplace",TRIM(OrdersRawTable9[[#This Row],[Sales_Channel_Raw]]))</f>
        <v>Marketplace</v>
      </c>
      <c r="P826" s="10" t="s">
        <v>46</v>
      </c>
      <c r="Q826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826" s="15" t="s">
        <v>101</v>
      </c>
      <c r="S826" t="str">
        <f>VLOOKUP(OrdersRawTable9[[#This Row],[Customer_ID_Raw]],CustomersTable11[],4,FALSE)</f>
        <v>Manitoba</v>
      </c>
      <c r="T826" t="str">
        <f>VLOOKUP(OrdersRawTable9[[#This Row],[Customer_ID_Raw]],CustomersTable11[],5,FALSE)</f>
        <v>Small Business</v>
      </c>
      <c r="U826" s="45">
        <f>VLOOKUP(OrdersRawTable9[[#This Row],[Product_ID]],ProductsTable10[],4,FALSE)</f>
        <v>67.290000000000006</v>
      </c>
      <c r="V826" t="str">
        <f>VLOOKUP(OrdersRawTable9[[#This Row],[Product_ID]],ProductsTable10[],3,FALSE)</f>
        <v>Electronics</v>
      </c>
      <c r="W826" s="45">
        <f>OrdersRawTable9[[#This Row],[Unit_Price]]*OrdersRawTable9[[#This Row],[Quantity]]</f>
        <v>316.14</v>
      </c>
      <c r="X826" s="47">
        <f>OrdersRawTable9[[#This Row],[Gross_Sales]]*OrdersRawTable9[[#This Row],[Discount_Pct]]</f>
        <v>15.807</v>
      </c>
      <c r="Y826" s="45">
        <f>OrdersRawTable9[[#This Row],[Gross_Sales]]-OrdersRawTable9[[#This Row],[Discount_Amount]]</f>
        <v>300.33299999999997</v>
      </c>
      <c r="Z826" s="45">
        <f>OrdersRawTable9[[#This Row],[Unit_Cost]]*OrdersRawTable9[[#This Row],[Quantity]]</f>
        <v>201.87</v>
      </c>
      <c r="AA826" s="45">
        <f>OrdersRawTable9[[#This Row],[Net_Sales]]-OrdersRawTable9[[#This Row],[Total_Cost]]</f>
        <v>98.462999999999965</v>
      </c>
      <c r="AB826" s="48">
        <f>IF(OrdersRawTable9[[#This Row],[Net_Sales]]=0,0,OrdersRawTable9[[#This Row],[Profit]]/OrdersRawTable9[[#This Row],[Net_Sales]])</f>
        <v>0.32784609083916844</v>
      </c>
      <c r="AC826" s="45" t="str">
        <f>IF(COUNTIF(ReturnsRawTable[Order_Line_ID],OrdersRawTable9[[#This Row],[Order_Line_ID]])&gt;0,"Yes","No")</f>
        <v>No</v>
      </c>
      <c r="AD826" s="45" t="str">
        <f>IFERROR(VLOOKUP(OrdersRawTable9[[#This Row],[Order_Line_ID]],ReturnsRawTable[[#All],[Order_Line_ID]:[Return_Reason_Raw]],3,FALSE),"")</f>
        <v/>
      </c>
      <c r="AE826" s="49" t="str">
        <f>IFERROR(VLOOKUP(OrdersRawTable9[[#This Row],[Order_Line_ID]],ReturnsRawTable[[#All],[Order_Line_ID]:[Return_Date]],2,FALSE),"")</f>
        <v/>
      </c>
      <c r="AF826" s="45" t="str">
        <f>IFERROR(VLOOKUP(OrdersRawTable9[[#This Row],[Order_Line_ID]],ReturnsRawTable[[Order_Line_ID]:[Refund_Status]],4,FALSE),"")</f>
        <v/>
      </c>
      <c r="AG826" s="45" t="str">
        <f>VLOOKUP(OrdersRawTable9[[#This Row],[Order_ID]],ShipmentsTable[],6,FALSE)</f>
        <v>On time</v>
      </c>
      <c r="AH826" s="49">
        <f>VLOOKUP(OrdersRawTable9[[#This Row],[Order_ID]],ShipmentsTable[],3,FALSE)</f>
        <v>46016</v>
      </c>
    </row>
    <row r="827" spans="1:34" ht="15" customHeight="1">
      <c r="A827" s="14" t="s">
        <v>1573</v>
      </c>
      <c r="B827" s="10" t="s">
        <v>1574</v>
      </c>
      <c r="C827" s="20">
        <v>45878</v>
      </c>
      <c r="D827" s="10" t="s">
        <v>1575</v>
      </c>
      <c r="E827" s="10" t="s">
        <v>1576</v>
      </c>
      <c r="F827" s="10" t="str">
        <f>TRIM(LEFT(OrdersRawTable9[[#This Row],[Customer_Info]],FIND(",",OrdersRawTable9[[#This Row],[Customer_Info]])-1))</f>
        <v>Daniel Dubois</v>
      </c>
      <c r="G82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827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827" s="10">
        <f>LEN(OrdersRawTable9[[#This Row],[Customer_Info]])-LEN(SUBSTITUTE(OrdersRawTable9[[#This Row],[Customer_Info]],",",""))</f>
        <v>2</v>
      </c>
      <c r="J827" s="10" t="s">
        <v>88</v>
      </c>
      <c r="K827" s="23">
        <v>3</v>
      </c>
      <c r="L827" s="26">
        <v>147.46</v>
      </c>
      <c r="M827" s="29">
        <v>0.15</v>
      </c>
      <c r="N827" s="10" t="s">
        <v>50</v>
      </c>
      <c r="O827" s="10" t="str">
        <f>IF(TRIM(OrdersRawTable9[[#This Row],[Sales_Channel_Raw]])="Market place","Marketplace",TRIM(OrdersRawTable9[[#This Row],[Sales_Channel_Raw]]))</f>
        <v>Marketplace</v>
      </c>
      <c r="P827" s="10"/>
      <c r="Q827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827" s="15" t="s">
        <v>101</v>
      </c>
      <c r="S827" t="str">
        <f>VLOOKUP(OrdersRawTable9[[#This Row],[Customer_ID_Raw]],CustomersTable11[],4,FALSE)</f>
        <v>Quebec</v>
      </c>
      <c r="T827" t="str">
        <f>VLOOKUP(OrdersRawTable9[[#This Row],[Customer_ID_Raw]],CustomersTable11[],5,FALSE)</f>
        <v>Consumer</v>
      </c>
      <c r="U827" s="45">
        <f>VLOOKUP(OrdersRawTable9[[#This Row],[Product_ID]],ProductsTable10[],4,FALSE)</f>
        <v>100.95</v>
      </c>
      <c r="V827" t="str">
        <f>VLOOKUP(OrdersRawTable9[[#This Row],[Product_ID]],ProductsTable10[],3,FALSE)</f>
        <v>Electronics</v>
      </c>
      <c r="W827" s="45">
        <f>OrdersRawTable9[[#This Row],[Unit_Price]]*OrdersRawTable9[[#This Row],[Quantity]]</f>
        <v>442.38</v>
      </c>
      <c r="X827" s="47">
        <f>OrdersRawTable9[[#This Row],[Gross_Sales]]*OrdersRawTable9[[#This Row],[Discount_Pct]]</f>
        <v>66.356999999999999</v>
      </c>
      <c r="Y827" s="45">
        <f>OrdersRawTable9[[#This Row],[Gross_Sales]]-OrdersRawTable9[[#This Row],[Discount_Amount]]</f>
        <v>376.02300000000002</v>
      </c>
      <c r="Z827" s="45">
        <f>OrdersRawTable9[[#This Row],[Unit_Cost]]*OrdersRawTable9[[#This Row],[Quantity]]</f>
        <v>302.85000000000002</v>
      </c>
      <c r="AA827" s="45">
        <f>OrdersRawTable9[[#This Row],[Net_Sales]]-OrdersRawTable9[[#This Row],[Total_Cost]]</f>
        <v>73.173000000000002</v>
      </c>
      <c r="AB827" s="48">
        <f>IF(OrdersRawTable9[[#This Row],[Net_Sales]]=0,0,OrdersRawTable9[[#This Row],[Profit]]/OrdersRawTable9[[#This Row],[Net_Sales]])</f>
        <v>0.19459713900479492</v>
      </c>
      <c r="AC827" s="45" t="str">
        <f>IF(COUNTIF(ReturnsRawTable[Order_Line_ID],OrdersRawTable9[[#This Row],[Order_Line_ID]])&gt;0,"Yes","No")</f>
        <v>No</v>
      </c>
      <c r="AD827" s="45" t="str">
        <f>IFERROR(VLOOKUP(OrdersRawTable9[[#This Row],[Order_Line_ID]],ReturnsRawTable[[#All],[Order_Line_ID]:[Return_Reason_Raw]],3,FALSE),"")</f>
        <v/>
      </c>
      <c r="AE827" s="49" t="str">
        <f>IFERROR(VLOOKUP(OrdersRawTable9[[#This Row],[Order_Line_ID]],ReturnsRawTable[[#All],[Order_Line_ID]:[Return_Date]],2,FALSE),"")</f>
        <v/>
      </c>
      <c r="AF827" s="45" t="str">
        <f>IFERROR(VLOOKUP(OrdersRawTable9[[#This Row],[Order_Line_ID]],ReturnsRawTable[[Order_Line_ID]:[Refund_Status]],4,FALSE),"")</f>
        <v/>
      </c>
      <c r="AG827" s="45" t="str">
        <f>VLOOKUP(OrdersRawTable9[[#This Row],[Order_ID]],ShipmentsTable[],6,FALSE)</f>
        <v>Late</v>
      </c>
      <c r="AH827" s="49">
        <f>VLOOKUP(OrdersRawTable9[[#This Row],[Order_ID]],ShipmentsTable[],3,FALSE)</f>
        <v>45884</v>
      </c>
    </row>
    <row r="828" spans="1:34" ht="15" customHeight="1">
      <c r="A828" s="14" t="s">
        <v>1577</v>
      </c>
      <c r="B828" s="10" t="s">
        <v>1574</v>
      </c>
      <c r="C828" s="20">
        <v>45878</v>
      </c>
      <c r="D828" s="10" t="s">
        <v>1575</v>
      </c>
      <c r="E828" s="10" t="s">
        <v>1576</v>
      </c>
      <c r="F828" s="10" t="str">
        <f>TRIM(LEFT(OrdersRawTable9[[#This Row],[Customer_Info]],FIND(",",OrdersRawTable9[[#This Row],[Customer_Info]])-1))</f>
        <v>Daniel Dubois</v>
      </c>
      <c r="G82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828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828" s="10">
        <f>LEN(OrdersRawTable9[[#This Row],[Customer_Info]])-LEN(SUBSTITUTE(OrdersRawTable9[[#This Row],[Customer_Info]],",",""))</f>
        <v>2</v>
      </c>
      <c r="J828" s="10" t="s">
        <v>121</v>
      </c>
      <c r="K828" s="23">
        <v>2</v>
      </c>
      <c r="L828" s="26">
        <v>287.16000000000003</v>
      </c>
      <c r="M828" s="29">
        <v>0.05</v>
      </c>
      <c r="N828" s="10" t="s">
        <v>66</v>
      </c>
      <c r="O828" s="10" t="str">
        <f>IF(TRIM(OrdersRawTable9[[#This Row],[Sales_Channel_Raw]])="Market place","Marketplace",TRIM(OrdersRawTable9[[#This Row],[Sales_Channel_Raw]]))</f>
        <v>Marketplace</v>
      </c>
      <c r="P828" s="10" t="s">
        <v>46</v>
      </c>
      <c r="Q828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828" s="15" t="s">
        <v>52</v>
      </c>
      <c r="S828" t="str">
        <f>VLOOKUP(OrdersRawTable9[[#This Row],[Customer_ID_Raw]],CustomersTable11[],4,FALSE)</f>
        <v>Quebec</v>
      </c>
      <c r="T828" t="str">
        <f>VLOOKUP(OrdersRawTable9[[#This Row],[Customer_ID_Raw]],CustomersTable11[],5,FALSE)</f>
        <v>Consumer</v>
      </c>
      <c r="U828" s="45">
        <f>VLOOKUP(OrdersRawTable9[[#This Row],[Product_ID]],ProductsTable10[],4,FALSE)</f>
        <v>148.21</v>
      </c>
      <c r="V828" t="str">
        <f>VLOOKUP(OrdersRawTable9[[#This Row],[Product_ID]],ProductsTable10[],3,FALSE)</f>
        <v>Accessories</v>
      </c>
      <c r="W828" s="45">
        <f>OrdersRawTable9[[#This Row],[Unit_Price]]*OrdersRawTable9[[#This Row],[Quantity]]</f>
        <v>574.32000000000005</v>
      </c>
      <c r="X828" s="47">
        <f>OrdersRawTable9[[#This Row],[Gross_Sales]]*OrdersRawTable9[[#This Row],[Discount_Pct]]</f>
        <v>28.716000000000005</v>
      </c>
      <c r="Y828" s="45">
        <f>OrdersRawTable9[[#This Row],[Gross_Sales]]-OrdersRawTable9[[#This Row],[Discount_Amount]]</f>
        <v>545.60400000000004</v>
      </c>
      <c r="Z828" s="45">
        <f>OrdersRawTable9[[#This Row],[Unit_Cost]]*OrdersRawTable9[[#This Row],[Quantity]]</f>
        <v>296.42</v>
      </c>
      <c r="AA828" s="45">
        <f>OrdersRawTable9[[#This Row],[Net_Sales]]-OrdersRawTable9[[#This Row],[Total_Cost]]</f>
        <v>249.18400000000003</v>
      </c>
      <c r="AB828" s="48">
        <f>IF(OrdersRawTable9[[#This Row],[Net_Sales]]=0,0,OrdersRawTable9[[#This Row],[Profit]]/OrdersRawTable9[[#This Row],[Net_Sales]])</f>
        <v>0.45671219419212472</v>
      </c>
      <c r="AC828" s="45" t="str">
        <f>IF(COUNTIF(ReturnsRawTable[Order_Line_ID],OrdersRawTable9[[#This Row],[Order_Line_ID]])&gt;0,"Yes","No")</f>
        <v>No</v>
      </c>
      <c r="AD828" s="45" t="str">
        <f>IFERROR(VLOOKUP(OrdersRawTable9[[#This Row],[Order_Line_ID]],ReturnsRawTable[[#All],[Order_Line_ID]:[Return_Reason_Raw]],3,FALSE),"")</f>
        <v/>
      </c>
      <c r="AE828" s="49" t="str">
        <f>IFERROR(VLOOKUP(OrdersRawTable9[[#This Row],[Order_Line_ID]],ReturnsRawTable[[#All],[Order_Line_ID]:[Return_Date]],2,FALSE),"")</f>
        <v/>
      </c>
      <c r="AF828" s="45" t="str">
        <f>IFERROR(VLOOKUP(OrdersRawTable9[[#This Row],[Order_Line_ID]],ReturnsRawTable[[Order_Line_ID]:[Refund_Status]],4,FALSE),"")</f>
        <v/>
      </c>
      <c r="AG828" s="45" t="str">
        <f>VLOOKUP(OrdersRawTable9[[#This Row],[Order_ID]],ShipmentsTable[],6,FALSE)</f>
        <v>Late</v>
      </c>
      <c r="AH828" s="49">
        <f>VLOOKUP(OrdersRawTable9[[#This Row],[Order_ID]],ShipmentsTable[],3,FALSE)</f>
        <v>45884</v>
      </c>
    </row>
    <row r="829" spans="1:34" ht="15" customHeight="1">
      <c r="A829" s="14" t="s">
        <v>1578</v>
      </c>
      <c r="B829" s="10" t="s">
        <v>1579</v>
      </c>
      <c r="C829" s="20">
        <v>45962</v>
      </c>
      <c r="D829" s="10" t="s">
        <v>163</v>
      </c>
      <c r="E829" s="10" t="s">
        <v>164</v>
      </c>
      <c r="F829" s="10" t="str">
        <f>TRIM(LEFT(OrdersRawTable9[[#This Row],[Customer_Info]],FIND(",",OrdersRawTable9[[#This Row],[Customer_Info]])-1))</f>
        <v>Yara Ali</v>
      </c>
      <c r="G82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829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829" s="10">
        <f>LEN(OrdersRawTable9[[#This Row],[Customer_Info]])-LEN(SUBSTITUTE(OrdersRawTable9[[#This Row],[Customer_Info]],",",""))</f>
        <v>2</v>
      </c>
      <c r="J829" s="10" t="s">
        <v>80</v>
      </c>
      <c r="K829" s="23">
        <v>3</v>
      </c>
      <c r="L829" s="26">
        <v>142.16</v>
      </c>
      <c r="M829" s="29">
        <v>0</v>
      </c>
      <c r="N829" s="10" t="s">
        <v>66</v>
      </c>
      <c r="O829" s="10" t="str">
        <f>IF(TRIM(OrdersRawTable9[[#This Row],[Sales_Channel_Raw]])="Market place","Marketplace",TRIM(OrdersRawTable9[[#This Row],[Sales_Channel_Raw]]))</f>
        <v>Marketplace</v>
      </c>
      <c r="P829" s="10" t="s">
        <v>41</v>
      </c>
      <c r="Q829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829" s="15" t="s">
        <v>42</v>
      </c>
      <c r="S829" t="str">
        <f>VLOOKUP(OrdersRawTable9[[#This Row],[Customer_ID_Raw]],CustomersTable11[],4,FALSE)</f>
        <v>Ontario</v>
      </c>
      <c r="T829" t="str">
        <f>VLOOKUP(OrdersRawTable9[[#This Row],[Customer_ID_Raw]],CustomersTable11[],5,FALSE)</f>
        <v>Small Business</v>
      </c>
      <c r="U829" s="45">
        <f>VLOOKUP(OrdersRawTable9[[#This Row],[Product_ID]],ProductsTable10[],4,FALSE)</f>
        <v>85.34</v>
      </c>
      <c r="V829" t="str">
        <f>VLOOKUP(OrdersRawTable9[[#This Row],[Product_ID]],ProductsTable10[],3,FALSE)</f>
        <v>Home</v>
      </c>
      <c r="W829" s="45">
        <f>OrdersRawTable9[[#This Row],[Unit_Price]]*OrdersRawTable9[[#This Row],[Quantity]]</f>
        <v>426.48</v>
      </c>
      <c r="X829" s="47">
        <f>OrdersRawTable9[[#This Row],[Gross_Sales]]*OrdersRawTable9[[#This Row],[Discount_Pct]]</f>
        <v>0</v>
      </c>
      <c r="Y829" s="45">
        <f>OrdersRawTable9[[#This Row],[Gross_Sales]]-OrdersRawTable9[[#This Row],[Discount_Amount]]</f>
        <v>426.48</v>
      </c>
      <c r="Z829" s="45">
        <f>OrdersRawTable9[[#This Row],[Unit_Cost]]*OrdersRawTable9[[#This Row],[Quantity]]</f>
        <v>256.02</v>
      </c>
      <c r="AA829" s="45">
        <f>OrdersRawTable9[[#This Row],[Net_Sales]]-OrdersRawTable9[[#This Row],[Total_Cost]]</f>
        <v>170.46000000000004</v>
      </c>
      <c r="AB829" s="48">
        <f>IF(OrdersRawTable9[[#This Row],[Net_Sales]]=0,0,OrdersRawTable9[[#This Row],[Profit]]/OrdersRawTable9[[#This Row],[Net_Sales]])</f>
        <v>0.39969048958919534</v>
      </c>
      <c r="AC829" s="45" t="str">
        <f>IF(COUNTIF(ReturnsRawTable[Order_Line_ID],OrdersRawTable9[[#This Row],[Order_Line_ID]])&gt;0,"Yes","No")</f>
        <v>No</v>
      </c>
      <c r="AD829" s="45" t="str">
        <f>IFERROR(VLOOKUP(OrdersRawTable9[[#This Row],[Order_Line_ID]],ReturnsRawTable[[#All],[Order_Line_ID]:[Return_Reason_Raw]],3,FALSE),"")</f>
        <v/>
      </c>
      <c r="AE829" s="49" t="str">
        <f>IFERROR(VLOOKUP(OrdersRawTable9[[#This Row],[Order_Line_ID]],ReturnsRawTable[[#All],[Order_Line_ID]:[Return_Date]],2,FALSE),"")</f>
        <v/>
      </c>
      <c r="AF829" s="45" t="str">
        <f>IFERROR(VLOOKUP(OrdersRawTable9[[#This Row],[Order_Line_ID]],ReturnsRawTable[[Order_Line_ID]:[Refund_Status]],4,FALSE),"")</f>
        <v/>
      </c>
      <c r="AG829" s="45" t="str">
        <f>VLOOKUP(OrdersRawTable9[[#This Row],[Order_ID]],ShipmentsTable[],6,FALSE)</f>
        <v>On time</v>
      </c>
      <c r="AH829" s="49">
        <f>VLOOKUP(OrdersRawTable9[[#This Row],[Order_ID]],ShipmentsTable[],3,FALSE)</f>
        <v>45965</v>
      </c>
    </row>
    <row r="830" spans="1:34" ht="15" customHeight="1">
      <c r="A830" s="14" t="s">
        <v>1580</v>
      </c>
      <c r="B830" s="10" t="s">
        <v>1579</v>
      </c>
      <c r="C830" s="20">
        <v>45962</v>
      </c>
      <c r="D830" s="10" t="s">
        <v>163</v>
      </c>
      <c r="E830" s="10" t="s">
        <v>164</v>
      </c>
      <c r="F830" s="10" t="str">
        <f>TRIM(LEFT(OrdersRawTable9[[#This Row],[Customer_Info]],FIND(",",OrdersRawTable9[[#This Row],[Customer_Info]])-1))</f>
        <v>Yara Ali</v>
      </c>
      <c r="G83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830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830" s="10">
        <f>LEN(OrdersRawTable9[[#This Row],[Customer_Info]])-LEN(SUBSTITUTE(OrdersRawTable9[[#This Row],[Customer_Info]],",",""))</f>
        <v>2</v>
      </c>
      <c r="J830" s="10" t="s">
        <v>521</v>
      </c>
      <c r="K830" s="23">
        <v>2</v>
      </c>
      <c r="L830" s="26">
        <v>37.82</v>
      </c>
      <c r="M830" s="29">
        <v>0.15</v>
      </c>
      <c r="N830" s="10" t="s">
        <v>70</v>
      </c>
      <c r="O830" s="10" t="str">
        <f>IF(TRIM(OrdersRawTable9[[#This Row],[Sales_Channel_Raw]])="Market place","Marketplace",TRIM(OrdersRawTable9[[#This Row],[Sales_Channel_Raw]]))</f>
        <v>online</v>
      </c>
      <c r="P830" s="10" t="s">
        <v>51</v>
      </c>
      <c r="Q830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830" s="15" t="s">
        <v>47</v>
      </c>
      <c r="S830" t="str">
        <f>VLOOKUP(OrdersRawTable9[[#This Row],[Customer_ID_Raw]],CustomersTable11[],4,FALSE)</f>
        <v>Ontario</v>
      </c>
      <c r="T830" t="str">
        <f>VLOOKUP(OrdersRawTable9[[#This Row],[Customer_ID_Raw]],CustomersTable11[],5,FALSE)</f>
        <v>Small Business</v>
      </c>
      <c r="U830" s="45">
        <f>VLOOKUP(OrdersRawTable9[[#This Row],[Product_ID]],ProductsTable10[],4,FALSE)</f>
        <v>24.76</v>
      </c>
      <c r="V830" t="str">
        <f>VLOOKUP(OrdersRawTable9[[#This Row],[Product_ID]],ProductsTable10[],3,FALSE)</f>
        <v>Electronics</v>
      </c>
      <c r="W830" s="45">
        <f>OrdersRawTable9[[#This Row],[Unit_Price]]*OrdersRawTable9[[#This Row],[Quantity]]</f>
        <v>75.64</v>
      </c>
      <c r="X830" s="47">
        <f>OrdersRawTable9[[#This Row],[Gross_Sales]]*OrdersRawTable9[[#This Row],[Discount_Pct]]</f>
        <v>11.346</v>
      </c>
      <c r="Y830" s="45">
        <f>OrdersRawTable9[[#This Row],[Gross_Sales]]-OrdersRawTable9[[#This Row],[Discount_Amount]]</f>
        <v>64.293999999999997</v>
      </c>
      <c r="Z830" s="45">
        <f>OrdersRawTable9[[#This Row],[Unit_Cost]]*OrdersRawTable9[[#This Row],[Quantity]]</f>
        <v>49.52</v>
      </c>
      <c r="AA830" s="45">
        <f>OrdersRawTable9[[#This Row],[Net_Sales]]-OrdersRawTable9[[#This Row],[Total_Cost]]</f>
        <v>14.773999999999994</v>
      </c>
      <c r="AB830" s="48">
        <f>IF(OrdersRawTable9[[#This Row],[Net_Sales]]=0,0,OrdersRawTable9[[#This Row],[Profit]]/OrdersRawTable9[[#This Row],[Net_Sales]])</f>
        <v>0.22978816063707336</v>
      </c>
      <c r="AC830" s="45" t="str">
        <f>IF(COUNTIF(ReturnsRawTable[Order_Line_ID],OrdersRawTable9[[#This Row],[Order_Line_ID]])&gt;0,"Yes","No")</f>
        <v>No</v>
      </c>
      <c r="AD830" s="45" t="str">
        <f>IFERROR(VLOOKUP(OrdersRawTable9[[#This Row],[Order_Line_ID]],ReturnsRawTable[[#All],[Order_Line_ID]:[Return_Reason_Raw]],3,FALSE),"")</f>
        <v/>
      </c>
      <c r="AE830" s="49" t="str">
        <f>IFERROR(VLOOKUP(OrdersRawTable9[[#This Row],[Order_Line_ID]],ReturnsRawTable[[#All],[Order_Line_ID]:[Return_Date]],2,FALSE),"")</f>
        <v/>
      </c>
      <c r="AF830" s="45" t="str">
        <f>IFERROR(VLOOKUP(OrdersRawTable9[[#This Row],[Order_Line_ID]],ReturnsRawTable[[Order_Line_ID]:[Refund_Status]],4,FALSE),"")</f>
        <v/>
      </c>
      <c r="AG830" s="45" t="str">
        <f>VLOOKUP(OrdersRawTable9[[#This Row],[Order_ID]],ShipmentsTable[],6,FALSE)</f>
        <v>On time</v>
      </c>
      <c r="AH830" s="49">
        <f>VLOOKUP(OrdersRawTable9[[#This Row],[Order_ID]],ShipmentsTable[],3,FALSE)</f>
        <v>45965</v>
      </c>
    </row>
    <row r="831" spans="1:34" ht="15" customHeight="1">
      <c r="A831" s="14" t="s">
        <v>1581</v>
      </c>
      <c r="B831" s="10" t="s">
        <v>1579</v>
      </c>
      <c r="C831" s="20">
        <v>45962</v>
      </c>
      <c r="D831" s="10" t="s">
        <v>163</v>
      </c>
      <c r="E831" s="10" t="s">
        <v>164</v>
      </c>
      <c r="F831" s="10" t="str">
        <f>TRIM(LEFT(OrdersRawTable9[[#This Row],[Customer_Info]],FIND(",",OrdersRawTable9[[#This Row],[Customer_Info]])-1))</f>
        <v>Yara Ali</v>
      </c>
      <c r="G83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Ottawa</v>
      </c>
      <c r="H831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831" s="10">
        <f>LEN(OrdersRawTable9[[#This Row],[Customer_Info]])-LEN(SUBSTITUTE(OrdersRawTable9[[#This Row],[Customer_Info]],",",""))</f>
        <v>2</v>
      </c>
      <c r="J831" s="10" t="s">
        <v>316</v>
      </c>
      <c r="K831" s="23">
        <v>2</v>
      </c>
      <c r="L831" s="26">
        <v>180.37</v>
      </c>
      <c r="M831" s="29">
        <v>0</v>
      </c>
      <c r="N831" s="10" t="s">
        <v>70</v>
      </c>
      <c r="O831" s="10" t="str">
        <f>IF(TRIM(OrdersRawTable9[[#This Row],[Sales_Channel_Raw]])="Market place","Marketplace",TRIM(OrdersRawTable9[[#This Row],[Sales_Channel_Raw]]))</f>
        <v>online</v>
      </c>
      <c r="P831" s="10" t="s">
        <v>98</v>
      </c>
      <c r="Q831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831" s="15" t="s">
        <v>52</v>
      </c>
      <c r="S831" t="str">
        <f>VLOOKUP(OrdersRawTable9[[#This Row],[Customer_ID_Raw]],CustomersTable11[],4,FALSE)</f>
        <v>Ontario</v>
      </c>
      <c r="T831" t="str">
        <f>VLOOKUP(OrdersRawTable9[[#This Row],[Customer_ID_Raw]],CustomersTable11[],5,FALSE)</f>
        <v>Small Business</v>
      </c>
      <c r="U831" s="45">
        <f>VLOOKUP(OrdersRawTable9[[#This Row],[Product_ID]],ProductsTable10[],4,FALSE)</f>
        <v>107.55</v>
      </c>
      <c r="V831" t="str">
        <f>VLOOKUP(OrdersRawTable9[[#This Row],[Product_ID]],ProductsTable10[],3,FALSE)</f>
        <v>Accessories</v>
      </c>
      <c r="W831" s="45">
        <f>OrdersRawTable9[[#This Row],[Unit_Price]]*OrdersRawTable9[[#This Row],[Quantity]]</f>
        <v>360.74</v>
      </c>
      <c r="X831" s="47">
        <f>OrdersRawTable9[[#This Row],[Gross_Sales]]*OrdersRawTable9[[#This Row],[Discount_Pct]]</f>
        <v>0</v>
      </c>
      <c r="Y831" s="45">
        <f>OrdersRawTable9[[#This Row],[Gross_Sales]]-OrdersRawTable9[[#This Row],[Discount_Amount]]</f>
        <v>360.74</v>
      </c>
      <c r="Z831" s="45">
        <f>OrdersRawTable9[[#This Row],[Unit_Cost]]*OrdersRawTable9[[#This Row],[Quantity]]</f>
        <v>215.1</v>
      </c>
      <c r="AA831" s="45">
        <f>OrdersRawTable9[[#This Row],[Net_Sales]]-OrdersRawTable9[[#This Row],[Total_Cost]]</f>
        <v>145.64000000000001</v>
      </c>
      <c r="AB831" s="48">
        <f>IF(OrdersRawTable9[[#This Row],[Net_Sales]]=0,0,OrdersRawTable9[[#This Row],[Profit]]/OrdersRawTable9[[#This Row],[Net_Sales]])</f>
        <v>0.40372567500138606</v>
      </c>
      <c r="AC831" s="45" t="str">
        <f>IF(COUNTIF(ReturnsRawTable[Order_Line_ID],OrdersRawTable9[[#This Row],[Order_Line_ID]])&gt;0,"Yes","No")</f>
        <v>No</v>
      </c>
      <c r="AD831" s="45" t="str">
        <f>IFERROR(VLOOKUP(OrdersRawTable9[[#This Row],[Order_Line_ID]],ReturnsRawTable[[#All],[Order_Line_ID]:[Return_Reason_Raw]],3,FALSE),"")</f>
        <v/>
      </c>
      <c r="AE831" s="49" t="str">
        <f>IFERROR(VLOOKUP(OrdersRawTable9[[#This Row],[Order_Line_ID]],ReturnsRawTable[[#All],[Order_Line_ID]:[Return_Date]],2,FALSE),"")</f>
        <v/>
      </c>
      <c r="AF831" s="45" t="str">
        <f>IFERROR(VLOOKUP(OrdersRawTable9[[#This Row],[Order_Line_ID]],ReturnsRawTable[[Order_Line_ID]:[Refund_Status]],4,FALSE),"")</f>
        <v/>
      </c>
      <c r="AG831" s="45" t="str">
        <f>VLOOKUP(OrdersRawTable9[[#This Row],[Order_ID]],ShipmentsTable[],6,FALSE)</f>
        <v>On time</v>
      </c>
      <c r="AH831" s="49">
        <f>VLOOKUP(OrdersRawTable9[[#This Row],[Order_ID]],ShipmentsTable[],3,FALSE)</f>
        <v>45965</v>
      </c>
    </row>
    <row r="832" spans="1:34" ht="15" customHeight="1">
      <c r="A832" s="14" t="s">
        <v>1582</v>
      </c>
      <c r="B832" s="10" t="s">
        <v>1583</v>
      </c>
      <c r="C832" s="20">
        <v>45671</v>
      </c>
      <c r="D832" s="10" t="s">
        <v>1584</v>
      </c>
      <c r="E832" s="10" t="s">
        <v>1514</v>
      </c>
      <c r="F832" s="10" t="str">
        <f>TRIM(LEFT(OrdersRawTable9[[#This Row],[Customer_Info]],FIND(",",OrdersRawTable9[[#This Row],[Customer_Info]])-1))</f>
        <v>Amina Singh</v>
      </c>
      <c r="G83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832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832" s="10">
        <f>LEN(OrdersRawTable9[[#This Row],[Customer_Info]])-LEN(SUBSTITUTE(OrdersRawTable9[[#This Row],[Customer_Info]],",",""))</f>
        <v>2</v>
      </c>
      <c r="J832" s="10" t="s">
        <v>251</v>
      </c>
      <c r="K832" s="23">
        <v>3</v>
      </c>
      <c r="L832" s="26">
        <v>228.91</v>
      </c>
      <c r="M832" s="29">
        <v>0</v>
      </c>
      <c r="N832" s="10" t="s">
        <v>66</v>
      </c>
      <c r="O832" s="10" t="str">
        <f>IF(TRIM(OrdersRawTable9[[#This Row],[Sales_Channel_Raw]])="Market place","Marketplace",TRIM(OrdersRawTable9[[#This Row],[Sales_Channel_Raw]]))</f>
        <v>Marketplace</v>
      </c>
      <c r="P832" s="10" t="s">
        <v>51</v>
      </c>
      <c r="Q832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832" s="15" t="s">
        <v>42</v>
      </c>
      <c r="S832" t="str">
        <f>VLOOKUP(OrdersRawTable9[[#This Row],[Customer_ID_Raw]],CustomersTable11[],4,FALSE)</f>
        <v>Ontario</v>
      </c>
      <c r="T832" t="str">
        <f>VLOOKUP(OrdersRawTable9[[#This Row],[Customer_ID_Raw]],CustomersTable11[],5,FALSE)</f>
        <v>Small Business</v>
      </c>
      <c r="U832" s="45">
        <f>VLOOKUP(OrdersRawTable9[[#This Row],[Product_ID]],ProductsTable10[],4,FALSE)</f>
        <v>149.4</v>
      </c>
      <c r="V832" t="str">
        <f>VLOOKUP(OrdersRawTable9[[#This Row],[Product_ID]],ProductsTable10[],3,FALSE)</f>
        <v>Office</v>
      </c>
      <c r="W832" s="45">
        <f>OrdersRawTable9[[#This Row],[Unit_Price]]*OrdersRawTable9[[#This Row],[Quantity]]</f>
        <v>686.73</v>
      </c>
      <c r="X832" s="47">
        <f>OrdersRawTable9[[#This Row],[Gross_Sales]]*OrdersRawTable9[[#This Row],[Discount_Pct]]</f>
        <v>0</v>
      </c>
      <c r="Y832" s="45">
        <f>OrdersRawTable9[[#This Row],[Gross_Sales]]-OrdersRawTable9[[#This Row],[Discount_Amount]]</f>
        <v>686.73</v>
      </c>
      <c r="Z832" s="45">
        <f>OrdersRawTable9[[#This Row],[Unit_Cost]]*OrdersRawTable9[[#This Row],[Quantity]]</f>
        <v>448.20000000000005</v>
      </c>
      <c r="AA832" s="45">
        <f>OrdersRawTable9[[#This Row],[Net_Sales]]-OrdersRawTable9[[#This Row],[Total_Cost]]</f>
        <v>238.52999999999997</v>
      </c>
      <c r="AB832" s="48">
        <f>IF(OrdersRawTable9[[#This Row],[Net_Sales]]=0,0,OrdersRawTable9[[#This Row],[Profit]]/OrdersRawTable9[[#This Row],[Net_Sales]])</f>
        <v>0.34734175003276391</v>
      </c>
      <c r="AC832" s="45" t="str">
        <f>IF(COUNTIF(ReturnsRawTable[Order_Line_ID],OrdersRawTable9[[#This Row],[Order_Line_ID]])&gt;0,"Yes","No")</f>
        <v>No</v>
      </c>
      <c r="AD832" s="45" t="str">
        <f>IFERROR(VLOOKUP(OrdersRawTable9[[#This Row],[Order_Line_ID]],ReturnsRawTable[[#All],[Order_Line_ID]:[Return_Reason_Raw]],3,FALSE),"")</f>
        <v/>
      </c>
      <c r="AE832" s="49" t="str">
        <f>IFERROR(VLOOKUP(OrdersRawTable9[[#This Row],[Order_Line_ID]],ReturnsRawTable[[#All],[Order_Line_ID]:[Return_Date]],2,FALSE),"")</f>
        <v/>
      </c>
      <c r="AF832" s="45" t="str">
        <f>IFERROR(VLOOKUP(OrdersRawTable9[[#This Row],[Order_Line_ID]],ReturnsRawTable[[Order_Line_ID]:[Refund_Status]],4,FALSE),"")</f>
        <v/>
      </c>
      <c r="AG832" s="45" t="str">
        <f>VLOOKUP(OrdersRawTable9[[#This Row],[Order_ID]],ShipmentsTable[],6,FALSE)</f>
        <v>On time</v>
      </c>
      <c r="AH832" s="49">
        <f>VLOOKUP(OrdersRawTable9[[#This Row],[Order_ID]],ShipmentsTable[],3,FALSE)</f>
        <v>45675</v>
      </c>
    </row>
    <row r="833" spans="1:34" ht="15" customHeight="1">
      <c r="A833" s="14" t="s">
        <v>1585</v>
      </c>
      <c r="B833" s="10" t="s">
        <v>1583</v>
      </c>
      <c r="C833" s="20">
        <v>45671</v>
      </c>
      <c r="D833" s="10" t="s">
        <v>1513</v>
      </c>
      <c r="E833" s="10" t="s">
        <v>1514</v>
      </c>
      <c r="F833" s="10" t="str">
        <f>TRIM(LEFT(OrdersRawTable9[[#This Row],[Customer_Info]],FIND(",",OrdersRawTable9[[#This Row],[Customer_Info]])-1))</f>
        <v>Amina Singh</v>
      </c>
      <c r="G83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833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833" s="10">
        <f>LEN(OrdersRawTable9[[#This Row],[Customer_Info]])-LEN(SUBSTITUTE(OrdersRawTable9[[#This Row],[Customer_Info]],",",""))</f>
        <v>2</v>
      </c>
      <c r="J833" s="10" t="s">
        <v>241</v>
      </c>
      <c r="K833" s="23">
        <v>3</v>
      </c>
      <c r="L833" s="26">
        <v>300.56</v>
      </c>
      <c r="M833" s="29">
        <v>0.15</v>
      </c>
      <c r="N833" s="10" t="s">
        <v>45</v>
      </c>
      <c r="O833" s="10" t="str">
        <f>IF(TRIM(OrdersRawTable9[[#This Row],[Sales_Channel_Raw]])="Market place","Marketplace",TRIM(OrdersRawTable9[[#This Row],[Sales_Channel_Raw]]))</f>
        <v>Retail Store</v>
      </c>
      <c r="P833" s="10" t="s">
        <v>98</v>
      </c>
      <c r="Q833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833" s="15" t="s">
        <v>47</v>
      </c>
      <c r="S833" t="str">
        <f>VLOOKUP(OrdersRawTable9[[#This Row],[Customer_ID_Raw]],CustomersTable11[],4,FALSE)</f>
        <v>Ontario</v>
      </c>
      <c r="T833" t="str">
        <f>VLOOKUP(OrdersRawTable9[[#This Row],[Customer_ID_Raw]],CustomersTable11[],5,FALSE)</f>
        <v>Small Business</v>
      </c>
      <c r="U833" s="45">
        <f>VLOOKUP(OrdersRawTable9[[#This Row],[Product_ID]],ProductsTable10[],4,FALSE)</f>
        <v>158.86000000000001</v>
      </c>
      <c r="V833" t="str">
        <f>VLOOKUP(OrdersRawTable9[[#This Row],[Product_ID]],ProductsTable10[],3,FALSE)</f>
        <v>Accessories</v>
      </c>
      <c r="W833" s="45">
        <f>OrdersRawTable9[[#This Row],[Unit_Price]]*OrdersRawTable9[[#This Row],[Quantity]]</f>
        <v>901.68000000000006</v>
      </c>
      <c r="X833" s="47">
        <f>OrdersRawTable9[[#This Row],[Gross_Sales]]*OrdersRawTable9[[#This Row],[Discount_Pct]]</f>
        <v>135.25200000000001</v>
      </c>
      <c r="Y833" s="45">
        <f>OrdersRawTable9[[#This Row],[Gross_Sales]]-OrdersRawTable9[[#This Row],[Discount_Amount]]</f>
        <v>766.42800000000011</v>
      </c>
      <c r="Z833" s="45">
        <f>OrdersRawTable9[[#This Row],[Unit_Cost]]*OrdersRawTable9[[#This Row],[Quantity]]</f>
        <v>476.58000000000004</v>
      </c>
      <c r="AA833" s="45">
        <f>OrdersRawTable9[[#This Row],[Net_Sales]]-OrdersRawTable9[[#This Row],[Total_Cost]]</f>
        <v>289.84800000000007</v>
      </c>
      <c r="AB833" s="48">
        <f>IF(OrdersRawTable9[[#This Row],[Net_Sales]]=0,0,OrdersRawTable9[[#This Row],[Profit]]/OrdersRawTable9[[#This Row],[Net_Sales]])</f>
        <v>0.37818033787909633</v>
      </c>
      <c r="AC833" s="45" t="str">
        <f>IF(COUNTIF(ReturnsRawTable[Order_Line_ID],OrdersRawTable9[[#This Row],[Order_Line_ID]])&gt;0,"Yes","No")</f>
        <v>No</v>
      </c>
      <c r="AD833" s="45" t="str">
        <f>IFERROR(VLOOKUP(OrdersRawTable9[[#This Row],[Order_Line_ID]],ReturnsRawTable[[#All],[Order_Line_ID]:[Return_Reason_Raw]],3,FALSE),"")</f>
        <v/>
      </c>
      <c r="AE833" s="49" t="str">
        <f>IFERROR(VLOOKUP(OrdersRawTable9[[#This Row],[Order_Line_ID]],ReturnsRawTable[[#All],[Order_Line_ID]:[Return_Date]],2,FALSE),"")</f>
        <v/>
      </c>
      <c r="AF833" s="45" t="str">
        <f>IFERROR(VLOOKUP(OrdersRawTable9[[#This Row],[Order_Line_ID]],ReturnsRawTable[[Order_Line_ID]:[Refund_Status]],4,FALSE),"")</f>
        <v/>
      </c>
      <c r="AG833" s="45" t="str">
        <f>VLOOKUP(OrdersRawTable9[[#This Row],[Order_ID]],ShipmentsTable[],6,FALSE)</f>
        <v>On time</v>
      </c>
      <c r="AH833" s="49">
        <f>VLOOKUP(OrdersRawTable9[[#This Row],[Order_ID]],ShipmentsTable[],3,FALSE)</f>
        <v>45675</v>
      </c>
    </row>
    <row r="834" spans="1:34" ht="15" customHeight="1">
      <c r="A834" s="14" t="s">
        <v>1586</v>
      </c>
      <c r="B834" s="10" t="s">
        <v>1583</v>
      </c>
      <c r="C834" s="20">
        <v>45671</v>
      </c>
      <c r="D834" s="10" t="s">
        <v>1513</v>
      </c>
      <c r="E834" s="10" t="s">
        <v>1514</v>
      </c>
      <c r="F834" s="10" t="str">
        <f>TRIM(LEFT(OrdersRawTable9[[#This Row],[Customer_Info]],FIND(",",OrdersRawTable9[[#This Row],[Customer_Info]])-1))</f>
        <v>Amina Singh</v>
      </c>
      <c r="G83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834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834" s="10">
        <f>LEN(OrdersRawTable9[[#This Row],[Customer_Info]])-LEN(SUBSTITUTE(OrdersRawTable9[[#This Row],[Customer_Info]],",",""))</f>
        <v>2</v>
      </c>
      <c r="J834" s="10" t="s">
        <v>270</v>
      </c>
      <c r="K834" s="23">
        <v>3</v>
      </c>
      <c r="L834" s="26">
        <v>214.38</v>
      </c>
      <c r="M834" s="29">
        <v>0.05</v>
      </c>
      <c r="N834" s="10" t="s">
        <v>70</v>
      </c>
      <c r="O834" s="10" t="str">
        <f>IF(TRIM(OrdersRawTable9[[#This Row],[Sales_Channel_Raw]])="Market place","Marketplace",TRIM(OrdersRawTable9[[#This Row],[Sales_Channel_Raw]]))</f>
        <v>online</v>
      </c>
      <c r="P834" s="10" t="s">
        <v>41</v>
      </c>
      <c r="Q834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834" s="15" t="s">
        <v>47</v>
      </c>
      <c r="S834" t="str">
        <f>VLOOKUP(OrdersRawTable9[[#This Row],[Customer_ID_Raw]],CustomersTable11[],4,FALSE)</f>
        <v>Ontario</v>
      </c>
      <c r="T834" t="str">
        <f>VLOOKUP(OrdersRawTable9[[#This Row],[Customer_ID_Raw]],CustomersTable11[],5,FALSE)</f>
        <v>Small Business</v>
      </c>
      <c r="U834" s="45">
        <f>VLOOKUP(OrdersRawTable9[[#This Row],[Product_ID]],ProductsTable10[],4,FALSE)</f>
        <v>131.51</v>
      </c>
      <c r="V834" t="str">
        <f>VLOOKUP(OrdersRawTable9[[#This Row],[Product_ID]],ProductsTable10[],3,FALSE)</f>
        <v>Fitness</v>
      </c>
      <c r="W834" s="45">
        <f>OrdersRawTable9[[#This Row],[Unit_Price]]*OrdersRawTable9[[#This Row],[Quantity]]</f>
        <v>643.14</v>
      </c>
      <c r="X834" s="47">
        <f>OrdersRawTable9[[#This Row],[Gross_Sales]]*OrdersRawTable9[[#This Row],[Discount_Pct]]</f>
        <v>32.157000000000004</v>
      </c>
      <c r="Y834" s="45">
        <f>OrdersRawTable9[[#This Row],[Gross_Sales]]-OrdersRawTable9[[#This Row],[Discount_Amount]]</f>
        <v>610.98299999999995</v>
      </c>
      <c r="Z834" s="45">
        <f>OrdersRawTable9[[#This Row],[Unit_Cost]]*OrdersRawTable9[[#This Row],[Quantity]]</f>
        <v>394.53</v>
      </c>
      <c r="AA834" s="45">
        <f>OrdersRawTable9[[#This Row],[Net_Sales]]-OrdersRawTable9[[#This Row],[Total_Cost]]</f>
        <v>216.45299999999997</v>
      </c>
      <c r="AB834" s="48">
        <f>IF(OrdersRawTable9[[#This Row],[Net_Sales]]=0,0,OrdersRawTable9[[#This Row],[Profit]]/OrdersRawTable9[[#This Row],[Net_Sales]])</f>
        <v>0.35427008607440796</v>
      </c>
      <c r="AC834" s="45" t="str">
        <f>IF(COUNTIF(ReturnsRawTable[Order_Line_ID],OrdersRawTable9[[#This Row],[Order_Line_ID]])&gt;0,"Yes","No")</f>
        <v>No</v>
      </c>
      <c r="AD834" s="45" t="str">
        <f>IFERROR(VLOOKUP(OrdersRawTable9[[#This Row],[Order_Line_ID]],ReturnsRawTable[[#All],[Order_Line_ID]:[Return_Reason_Raw]],3,FALSE),"")</f>
        <v/>
      </c>
      <c r="AE834" s="49" t="str">
        <f>IFERROR(VLOOKUP(OrdersRawTable9[[#This Row],[Order_Line_ID]],ReturnsRawTable[[#All],[Order_Line_ID]:[Return_Date]],2,FALSE),"")</f>
        <v/>
      </c>
      <c r="AF834" s="45" t="str">
        <f>IFERROR(VLOOKUP(OrdersRawTable9[[#This Row],[Order_Line_ID]],ReturnsRawTable[[Order_Line_ID]:[Refund_Status]],4,FALSE),"")</f>
        <v/>
      </c>
      <c r="AG834" s="45" t="str">
        <f>VLOOKUP(OrdersRawTable9[[#This Row],[Order_ID]],ShipmentsTable[],6,FALSE)</f>
        <v>On time</v>
      </c>
      <c r="AH834" s="49">
        <f>VLOOKUP(OrdersRawTable9[[#This Row],[Order_ID]],ShipmentsTable[],3,FALSE)</f>
        <v>45675</v>
      </c>
    </row>
    <row r="835" spans="1:34" ht="15" customHeight="1">
      <c r="A835" s="14" t="s">
        <v>1587</v>
      </c>
      <c r="B835" s="10" t="s">
        <v>1583</v>
      </c>
      <c r="C835" s="20">
        <v>45671</v>
      </c>
      <c r="D835" s="10" t="s">
        <v>1513</v>
      </c>
      <c r="E835" s="10" t="s">
        <v>1514</v>
      </c>
      <c r="F835" s="10" t="str">
        <f>TRIM(LEFT(OrdersRawTable9[[#This Row],[Customer_Info]],FIND(",",OrdersRawTable9[[#This Row],[Customer_Info]])-1))</f>
        <v>Amina Singh</v>
      </c>
      <c r="G83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835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835" s="10">
        <f>LEN(OrdersRawTable9[[#This Row],[Customer_Info]])-LEN(SUBSTITUTE(OrdersRawTable9[[#This Row],[Customer_Info]],",",""))</f>
        <v>2</v>
      </c>
      <c r="J835" s="10" t="s">
        <v>495</v>
      </c>
      <c r="K835" s="23">
        <v>3</v>
      </c>
      <c r="L835" s="26">
        <v>207.71</v>
      </c>
      <c r="M835" s="29">
        <v>0.1</v>
      </c>
      <c r="N835" s="10" t="s">
        <v>64</v>
      </c>
      <c r="O835" s="10" t="str">
        <f>IF(TRIM(OrdersRawTable9[[#This Row],[Sales_Channel_Raw]])="Market place","Marketplace",TRIM(OrdersRawTable9[[#This Row],[Sales_Channel_Raw]]))</f>
        <v>Retail Store</v>
      </c>
      <c r="P835" s="10" t="s">
        <v>41</v>
      </c>
      <c r="Q835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835" s="15" t="s">
        <v>67</v>
      </c>
      <c r="S835" t="str">
        <f>VLOOKUP(OrdersRawTable9[[#This Row],[Customer_ID_Raw]],CustomersTable11[],4,FALSE)</f>
        <v>Ontario</v>
      </c>
      <c r="T835" t="str">
        <f>VLOOKUP(OrdersRawTable9[[#This Row],[Customer_ID_Raw]],CustomersTable11[],5,FALSE)</f>
        <v>Small Business</v>
      </c>
      <c r="U835" s="45">
        <f>VLOOKUP(OrdersRawTable9[[#This Row],[Product_ID]],ProductsTable10[],4,FALSE)</f>
        <v>132.97</v>
      </c>
      <c r="V835" t="str">
        <f>VLOOKUP(OrdersRawTable9[[#This Row],[Product_ID]],ProductsTable10[],3,FALSE)</f>
        <v>Home</v>
      </c>
      <c r="W835" s="45">
        <f>OrdersRawTable9[[#This Row],[Unit_Price]]*OrdersRawTable9[[#This Row],[Quantity]]</f>
        <v>623.13</v>
      </c>
      <c r="X835" s="47">
        <f>OrdersRawTable9[[#This Row],[Gross_Sales]]*OrdersRawTable9[[#This Row],[Discount_Pct]]</f>
        <v>62.313000000000002</v>
      </c>
      <c r="Y835" s="45">
        <f>OrdersRawTable9[[#This Row],[Gross_Sales]]-OrdersRawTable9[[#This Row],[Discount_Amount]]</f>
        <v>560.81700000000001</v>
      </c>
      <c r="Z835" s="45">
        <f>OrdersRawTable9[[#This Row],[Unit_Cost]]*OrdersRawTable9[[#This Row],[Quantity]]</f>
        <v>398.90999999999997</v>
      </c>
      <c r="AA835" s="45">
        <f>OrdersRawTable9[[#This Row],[Net_Sales]]-OrdersRawTable9[[#This Row],[Total_Cost]]</f>
        <v>161.90700000000004</v>
      </c>
      <c r="AB835" s="48">
        <f>IF(OrdersRawTable9[[#This Row],[Net_Sales]]=0,0,OrdersRawTable9[[#This Row],[Profit]]/OrdersRawTable9[[#This Row],[Net_Sales]])</f>
        <v>0.28869845243635633</v>
      </c>
      <c r="AC835" s="45" t="str">
        <f>IF(COUNTIF(ReturnsRawTable[Order_Line_ID],OrdersRawTable9[[#This Row],[Order_Line_ID]])&gt;0,"Yes","No")</f>
        <v>Yes</v>
      </c>
      <c r="AD835" s="45" t="str">
        <f>IFERROR(VLOOKUP(OrdersRawTable9[[#This Row],[Order_Line_ID]],ReturnsRawTable[[#All],[Order_Line_ID]:[Return_Reason_Raw]],3,FALSE),"")</f>
        <v>damaged</v>
      </c>
      <c r="AE835" s="49">
        <f>IFERROR(VLOOKUP(OrdersRawTable9[[#This Row],[Order_Line_ID]],ReturnsRawTable[[#All],[Order_Line_ID]:[Return_Date]],2,FALSE),"")</f>
        <v>45684</v>
      </c>
      <c r="AF835" s="45" t="str">
        <f>IFERROR(VLOOKUP(OrdersRawTable9[[#This Row],[Order_Line_ID]],ReturnsRawTable[[Order_Line_ID]:[Refund_Status]],4,FALSE),"")</f>
        <v>Refunded</v>
      </c>
      <c r="AG835" s="45" t="str">
        <f>VLOOKUP(OrdersRawTable9[[#This Row],[Order_ID]],ShipmentsTable[],6,FALSE)</f>
        <v>On time</v>
      </c>
      <c r="AH835" s="49">
        <f>VLOOKUP(OrdersRawTable9[[#This Row],[Order_ID]],ShipmentsTable[],3,FALSE)</f>
        <v>45675</v>
      </c>
    </row>
    <row r="836" spans="1:34" ht="15" customHeight="1">
      <c r="A836" s="14" t="s">
        <v>1588</v>
      </c>
      <c r="B836" s="10" t="s">
        <v>1589</v>
      </c>
      <c r="C836" s="20">
        <v>45701</v>
      </c>
      <c r="D836" s="10" t="s">
        <v>859</v>
      </c>
      <c r="E836" s="10" t="s">
        <v>860</v>
      </c>
      <c r="F836" s="10" t="str">
        <f>TRIM(LEFT(OrdersRawTable9[[#This Row],[Customer_Info]],FIND(",",OrdersRawTable9[[#This Row],[Customer_Info]])-1))</f>
        <v>Sofia Martin</v>
      </c>
      <c r="G83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836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836" s="10">
        <f>LEN(OrdersRawTable9[[#This Row],[Customer_Info]])-LEN(SUBSTITUTE(OrdersRawTable9[[#This Row],[Customer_Info]],",",""))</f>
        <v>2</v>
      </c>
      <c r="J836" s="10" t="s">
        <v>150</v>
      </c>
      <c r="K836" s="23">
        <v>1</v>
      </c>
      <c r="L836" s="26">
        <v>263.04000000000002</v>
      </c>
      <c r="M836" s="29">
        <v>0.1</v>
      </c>
      <c r="N836" s="10" t="s">
        <v>70</v>
      </c>
      <c r="O836" s="10" t="str">
        <f>IF(TRIM(OrdersRawTable9[[#This Row],[Sales_Channel_Raw]])="Market place","Marketplace",TRIM(OrdersRawTable9[[#This Row],[Sales_Channel_Raw]]))</f>
        <v>online</v>
      </c>
      <c r="P836" s="10" t="s">
        <v>51</v>
      </c>
      <c r="Q836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836" s="15" t="s">
        <v>52</v>
      </c>
      <c r="S836" t="str">
        <f>VLOOKUP(OrdersRawTable9[[#This Row],[Customer_ID_Raw]],CustomersTable11[],4,FALSE)</f>
        <v>British Columbia</v>
      </c>
      <c r="T836" t="str">
        <f>VLOOKUP(OrdersRawTable9[[#This Row],[Customer_ID_Raw]],CustomersTable11[],5,FALSE)</f>
        <v>Small Business</v>
      </c>
      <c r="U836" s="45">
        <f>VLOOKUP(OrdersRawTable9[[#This Row],[Product_ID]],ProductsTable10[],4,FALSE)</f>
        <v>161.84</v>
      </c>
      <c r="V836" t="str">
        <f>VLOOKUP(OrdersRawTable9[[#This Row],[Product_ID]],ProductsTable10[],3,FALSE)</f>
        <v>Office</v>
      </c>
      <c r="W836" s="45">
        <f>OrdersRawTable9[[#This Row],[Unit_Price]]*OrdersRawTable9[[#This Row],[Quantity]]</f>
        <v>263.04000000000002</v>
      </c>
      <c r="X836" s="47">
        <f>OrdersRawTable9[[#This Row],[Gross_Sales]]*OrdersRawTable9[[#This Row],[Discount_Pct]]</f>
        <v>26.304000000000002</v>
      </c>
      <c r="Y836" s="45">
        <f>OrdersRawTable9[[#This Row],[Gross_Sales]]-OrdersRawTable9[[#This Row],[Discount_Amount]]</f>
        <v>236.73600000000002</v>
      </c>
      <c r="Z836" s="45">
        <f>OrdersRawTable9[[#This Row],[Unit_Cost]]*OrdersRawTable9[[#This Row],[Quantity]]</f>
        <v>161.84</v>
      </c>
      <c r="AA836" s="45">
        <f>OrdersRawTable9[[#This Row],[Net_Sales]]-OrdersRawTable9[[#This Row],[Total_Cost]]</f>
        <v>74.896000000000015</v>
      </c>
      <c r="AB836" s="48">
        <f>IF(OrdersRawTable9[[#This Row],[Net_Sales]]=0,0,OrdersRawTable9[[#This Row],[Profit]]/OrdersRawTable9[[#This Row],[Net_Sales]])</f>
        <v>0.31636928899702627</v>
      </c>
      <c r="AC836" s="45" t="str">
        <f>IF(COUNTIF(ReturnsRawTable[Order_Line_ID],OrdersRawTable9[[#This Row],[Order_Line_ID]])&gt;0,"Yes","No")</f>
        <v>No</v>
      </c>
      <c r="AD836" s="45" t="str">
        <f>IFERROR(VLOOKUP(OrdersRawTable9[[#This Row],[Order_Line_ID]],ReturnsRawTable[[#All],[Order_Line_ID]:[Return_Reason_Raw]],3,FALSE),"")</f>
        <v/>
      </c>
      <c r="AE836" s="49" t="str">
        <f>IFERROR(VLOOKUP(OrdersRawTable9[[#This Row],[Order_Line_ID]],ReturnsRawTable[[#All],[Order_Line_ID]:[Return_Date]],2,FALSE),"")</f>
        <v/>
      </c>
      <c r="AF836" s="45" t="str">
        <f>IFERROR(VLOOKUP(OrdersRawTable9[[#This Row],[Order_Line_ID]],ReturnsRawTable[[Order_Line_ID]:[Refund_Status]],4,FALSE),"")</f>
        <v/>
      </c>
      <c r="AG836" s="45" t="str">
        <f>VLOOKUP(OrdersRawTable9[[#This Row],[Order_ID]],ShipmentsTable[],6,FALSE)</f>
        <v>Late</v>
      </c>
      <c r="AH836" s="49">
        <f>VLOOKUP(OrdersRawTable9[[#This Row],[Order_ID]],ShipmentsTable[],3,FALSE)</f>
        <v>45706</v>
      </c>
    </row>
    <row r="837" spans="1:34" ht="15" customHeight="1">
      <c r="A837" s="14" t="s">
        <v>1590</v>
      </c>
      <c r="B837" s="10" t="s">
        <v>1589</v>
      </c>
      <c r="C837" s="20">
        <v>45701</v>
      </c>
      <c r="D837" s="10" t="s">
        <v>859</v>
      </c>
      <c r="E837" s="10" t="s">
        <v>860</v>
      </c>
      <c r="F837" s="10" t="str">
        <f>TRIM(LEFT(OrdersRawTable9[[#This Row],[Customer_Info]],FIND(",",OrdersRawTable9[[#This Row],[Customer_Info]])-1))</f>
        <v>Sofia Martin</v>
      </c>
      <c r="G83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837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837" s="10">
        <f>LEN(OrdersRawTable9[[#This Row],[Customer_Info]])-LEN(SUBSTITUTE(OrdersRawTable9[[#This Row],[Customer_Info]],",",""))</f>
        <v>2</v>
      </c>
      <c r="J837" s="10" t="s">
        <v>428</v>
      </c>
      <c r="K837" s="23">
        <v>2</v>
      </c>
      <c r="L837" s="26">
        <v>110.88</v>
      </c>
      <c r="M837" s="29">
        <v>0.15</v>
      </c>
      <c r="N837" s="10" t="s">
        <v>70</v>
      </c>
      <c r="O837" s="10" t="str">
        <f>IF(TRIM(OrdersRawTable9[[#This Row],[Sales_Channel_Raw]])="Market place","Marketplace",TRIM(OrdersRawTable9[[#This Row],[Sales_Channel_Raw]]))</f>
        <v>online</v>
      </c>
      <c r="P837" s="10" t="s">
        <v>46</v>
      </c>
      <c r="Q837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837" s="15" t="s">
        <v>47</v>
      </c>
      <c r="S837" t="str">
        <f>VLOOKUP(OrdersRawTable9[[#This Row],[Customer_ID_Raw]],CustomersTable11[],4,FALSE)</f>
        <v>British Columbia</v>
      </c>
      <c r="T837" t="str">
        <f>VLOOKUP(OrdersRawTable9[[#This Row],[Customer_ID_Raw]],CustomersTable11[],5,FALSE)</f>
        <v>Small Business</v>
      </c>
      <c r="U837" s="45">
        <f>VLOOKUP(OrdersRawTable9[[#This Row],[Product_ID]],ProductsTable10[],4,FALSE)</f>
        <v>57.09</v>
      </c>
      <c r="V837" t="str">
        <f>VLOOKUP(OrdersRawTable9[[#This Row],[Product_ID]],ProductsTable10[],3,FALSE)</f>
        <v>Electronics</v>
      </c>
      <c r="W837" s="45">
        <f>OrdersRawTable9[[#This Row],[Unit_Price]]*OrdersRawTable9[[#This Row],[Quantity]]</f>
        <v>221.76</v>
      </c>
      <c r="X837" s="47">
        <f>OrdersRawTable9[[#This Row],[Gross_Sales]]*OrdersRawTable9[[#This Row],[Discount_Pct]]</f>
        <v>33.263999999999996</v>
      </c>
      <c r="Y837" s="45">
        <f>OrdersRawTable9[[#This Row],[Gross_Sales]]-OrdersRawTable9[[#This Row],[Discount_Amount]]</f>
        <v>188.49599999999998</v>
      </c>
      <c r="Z837" s="45">
        <f>OrdersRawTable9[[#This Row],[Unit_Cost]]*OrdersRawTable9[[#This Row],[Quantity]]</f>
        <v>114.18</v>
      </c>
      <c r="AA837" s="45">
        <f>OrdersRawTable9[[#This Row],[Net_Sales]]-OrdersRawTable9[[#This Row],[Total_Cost]]</f>
        <v>74.315999999999974</v>
      </c>
      <c r="AB837" s="48">
        <f>IF(OrdersRawTable9[[#This Row],[Net_Sales]]=0,0,OrdersRawTable9[[#This Row],[Profit]]/OrdersRawTable9[[#This Row],[Net_Sales]])</f>
        <v>0.39425770308123237</v>
      </c>
      <c r="AC837" s="45" t="str">
        <f>IF(COUNTIF(ReturnsRawTable[Order_Line_ID],OrdersRawTable9[[#This Row],[Order_Line_ID]])&gt;0,"Yes","No")</f>
        <v>No</v>
      </c>
      <c r="AD837" s="45" t="str">
        <f>IFERROR(VLOOKUP(OrdersRawTable9[[#This Row],[Order_Line_ID]],ReturnsRawTable[[#All],[Order_Line_ID]:[Return_Reason_Raw]],3,FALSE),"")</f>
        <v/>
      </c>
      <c r="AE837" s="49" t="str">
        <f>IFERROR(VLOOKUP(OrdersRawTable9[[#This Row],[Order_Line_ID]],ReturnsRawTable[[#All],[Order_Line_ID]:[Return_Date]],2,FALSE),"")</f>
        <v/>
      </c>
      <c r="AF837" s="45" t="str">
        <f>IFERROR(VLOOKUP(OrdersRawTable9[[#This Row],[Order_Line_ID]],ReturnsRawTable[[Order_Line_ID]:[Refund_Status]],4,FALSE),"")</f>
        <v/>
      </c>
      <c r="AG837" s="45" t="str">
        <f>VLOOKUP(OrdersRawTable9[[#This Row],[Order_ID]],ShipmentsTable[],6,FALSE)</f>
        <v>Late</v>
      </c>
      <c r="AH837" s="49">
        <f>VLOOKUP(OrdersRawTable9[[#This Row],[Order_ID]],ShipmentsTable[],3,FALSE)</f>
        <v>45706</v>
      </c>
    </row>
    <row r="838" spans="1:34" ht="15" customHeight="1">
      <c r="A838" s="14" t="s">
        <v>1591</v>
      </c>
      <c r="B838" s="10" t="s">
        <v>1589</v>
      </c>
      <c r="C838" s="20">
        <v>45701</v>
      </c>
      <c r="D838" s="10" t="s">
        <v>859</v>
      </c>
      <c r="E838" s="10" t="s">
        <v>860</v>
      </c>
      <c r="F838" s="10" t="str">
        <f>TRIM(LEFT(OrdersRawTable9[[#This Row],[Customer_Info]],FIND(",",OrdersRawTable9[[#This Row],[Customer_Info]])-1))</f>
        <v>Sofia Martin</v>
      </c>
      <c r="G83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838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838" s="10">
        <f>LEN(OrdersRawTable9[[#This Row],[Customer_Info]])-LEN(SUBSTITUTE(OrdersRawTable9[[#This Row],[Customer_Info]],",",""))</f>
        <v>2</v>
      </c>
      <c r="J838" s="10" t="s">
        <v>495</v>
      </c>
      <c r="K838" s="23">
        <v>3</v>
      </c>
      <c r="L838" s="26">
        <v>207.71</v>
      </c>
      <c r="M838" s="29">
        <v>0</v>
      </c>
      <c r="N838" s="10" t="s">
        <v>66</v>
      </c>
      <c r="O838" s="10" t="str">
        <f>IF(TRIM(OrdersRawTable9[[#This Row],[Sales_Channel_Raw]])="Market place","Marketplace",TRIM(OrdersRawTable9[[#This Row],[Sales_Channel_Raw]]))</f>
        <v>Marketplace</v>
      </c>
      <c r="P838" s="10" t="s">
        <v>98</v>
      </c>
      <c r="Q838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838" s="15" t="s">
        <v>42</v>
      </c>
      <c r="S838" t="str">
        <f>VLOOKUP(OrdersRawTable9[[#This Row],[Customer_ID_Raw]],CustomersTable11[],4,FALSE)</f>
        <v>British Columbia</v>
      </c>
      <c r="T838" t="str">
        <f>VLOOKUP(OrdersRawTable9[[#This Row],[Customer_ID_Raw]],CustomersTable11[],5,FALSE)</f>
        <v>Small Business</v>
      </c>
      <c r="U838" s="45">
        <f>VLOOKUP(OrdersRawTable9[[#This Row],[Product_ID]],ProductsTable10[],4,FALSE)</f>
        <v>132.97</v>
      </c>
      <c r="V838" t="str">
        <f>VLOOKUP(OrdersRawTable9[[#This Row],[Product_ID]],ProductsTable10[],3,FALSE)</f>
        <v>Home</v>
      </c>
      <c r="W838" s="45">
        <f>OrdersRawTable9[[#This Row],[Unit_Price]]*OrdersRawTable9[[#This Row],[Quantity]]</f>
        <v>623.13</v>
      </c>
      <c r="X838" s="47">
        <f>OrdersRawTable9[[#This Row],[Gross_Sales]]*OrdersRawTable9[[#This Row],[Discount_Pct]]</f>
        <v>0</v>
      </c>
      <c r="Y838" s="45">
        <f>OrdersRawTable9[[#This Row],[Gross_Sales]]-OrdersRawTable9[[#This Row],[Discount_Amount]]</f>
        <v>623.13</v>
      </c>
      <c r="Z838" s="45">
        <f>OrdersRawTable9[[#This Row],[Unit_Cost]]*OrdersRawTable9[[#This Row],[Quantity]]</f>
        <v>398.90999999999997</v>
      </c>
      <c r="AA838" s="45">
        <f>OrdersRawTable9[[#This Row],[Net_Sales]]-OrdersRawTable9[[#This Row],[Total_Cost]]</f>
        <v>224.22000000000003</v>
      </c>
      <c r="AB838" s="48">
        <f>IF(OrdersRawTable9[[#This Row],[Net_Sales]]=0,0,OrdersRawTable9[[#This Row],[Profit]]/OrdersRawTable9[[#This Row],[Net_Sales]])</f>
        <v>0.35982860719272064</v>
      </c>
      <c r="AC838" s="45" t="str">
        <f>IF(COUNTIF(ReturnsRawTable[Order_Line_ID],OrdersRawTable9[[#This Row],[Order_Line_ID]])&gt;0,"Yes","No")</f>
        <v>No</v>
      </c>
      <c r="AD838" s="45" t="str">
        <f>IFERROR(VLOOKUP(OrdersRawTable9[[#This Row],[Order_Line_ID]],ReturnsRawTable[[#All],[Order_Line_ID]:[Return_Reason_Raw]],3,FALSE),"")</f>
        <v/>
      </c>
      <c r="AE838" s="49" t="str">
        <f>IFERROR(VLOOKUP(OrdersRawTable9[[#This Row],[Order_Line_ID]],ReturnsRawTable[[#All],[Order_Line_ID]:[Return_Date]],2,FALSE),"")</f>
        <v/>
      </c>
      <c r="AF838" s="45" t="str">
        <f>IFERROR(VLOOKUP(OrdersRawTable9[[#This Row],[Order_Line_ID]],ReturnsRawTable[[Order_Line_ID]:[Refund_Status]],4,FALSE),"")</f>
        <v/>
      </c>
      <c r="AG838" s="45" t="str">
        <f>VLOOKUP(OrdersRawTable9[[#This Row],[Order_ID]],ShipmentsTable[],6,FALSE)</f>
        <v>Late</v>
      </c>
      <c r="AH838" s="49">
        <f>VLOOKUP(OrdersRawTable9[[#This Row],[Order_ID]],ShipmentsTable[],3,FALSE)</f>
        <v>45706</v>
      </c>
    </row>
    <row r="839" spans="1:34" ht="15" customHeight="1">
      <c r="A839" s="14" t="s">
        <v>1592</v>
      </c>
      <c r="B839" s="10" t="s">
        <v>1593</v>
      </c>
      <c r="C839" s="20">
        <v>45747.041666666664</v>
      </c>
      <c r="D839" s="10" t="s">
        <v>1594</v>
      </c>
      <c r="E839" s="10" t="s">
        <v>1595</v>
      </c>
      <c r="F839" s="10" t="str">
        <f>TRIM(LEFT(OrdersRawTable9[[#This Row],[Customer_Info]],FIND(",",OrdersRawTable9[[#This Row],[Customer_Info]])-1))</f>
        <v>Yara Ali</v>
      </c>
      <c r="G83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839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839" s="10">
        <f>LEN(OrdersRawTable9[[#This Row],[Customer_Info]])-LEN(SUBSTITUTE(OrdersRawTable9[[#This Row],[Customer_Info]],",",""))</f>
        <v>2</v>
      </c>
      <c r="J839" s="10" t="s">
        <v>49</v>
      </c>
      <c r="K839" s="23">
        <v>2</v>
      </c>
      <c r="L839" s="26">
        <v>300.16000000000003</v>
      </c>
      <c r="M839" s="29">
        <v>0.05</v>
      </c>
      <c r="N839" s="10" t="s">
        <v>70</v>
      </c>
      <c r="O839" s="10" t="str">
        <f>IF(TRIM(OrdersRawTable9[[#This Row],[Sales_Channel_Raw]])="Market place","Marketplace",TRIM(OrdersRawTable9[[#This Row],[Sales_Channel_Raw]]))</f>
        <v>online</v>
      </c>
      <c r="P839" s="10" t="s">
        <v>41</v>
      </c>
      <c r="Q839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839" s="15" t="s">
        <v>67</v>
      </c>
      <c r="S839" t="str">
        <f>VLOOKUP(OrdersRawTable9[[#This Row],[Customer_ID_Raw]],CustomersTable11[],4,FALSE)</f>
        <v>Ontario</v>
      </c>
      <c r="T839" t="str">
        <f>VLOOKUP(OrdersRawTable9[[#This Row],[Customer_ID_Raw]],CustomersTable11[],5,FALSE)</f>
        <v>Corporate</v>
      </c>
      <c r="U839" s="45">
        <f>VLOOKUP(OrdersRawTable9[[#This Row],[Product_ID]],ProductsTable10[],4,FALSE)</f>
        <v>158.46</v>
      </c>
      <c r="V839" t="str">
        <f>VLOOKUP(OrdersRawTable9[[#This Row],[Product_ID]],ProductsTable10[],3,FALSE)</f>
        <v>Office</v>
      </c>
      <c r="W839" s="45">
        <f>OrdersRawTable9[[#This Row],[Unit_Price]]*OrdersRawTable9[[#This Row],[Quantity]]</f>
        <v>600.32000000000005</v>
      </c>
      <c r="X839" s="47">
        <f>OrdersRawTable9[[#This Row],[Gross_Sales]]*OrdersRawTable9[[#This Row],[Discount_Pct]]</f>
        <v>30.016000000000005</v>
      </c>
      <c r="Y839" s="45">
        <f>OrdersRawTable9[[#This Row],[Gross_Sales]]-OrdersRawTable9[[#This Row],[Discount_Amount]]</f>
        <v>570.30400000000009</v>
      </c>
      <c r="Z839" s="45">
        <f>OrdersRawTable9[[#This Row],[Unit_Cost]]*OrdersRawTable9[[#This Row],[Quantity]]</f>
        <v>316.92</v>
      </c>
      <c r="AA839" s="45">
        <f>OrdersRawTable9[[#This Row],[Net_Sales]]-OrdersRawTable9[[#This Row],[Total_Cost]]</f>
        <v>253.38400000000007</v>
      </c>
      <c r="AB839" s="48">
        <f>IF(OrdersRawTable9[[#This Row],[Net_Sales]]=0,0,OrdersRawTable9[[#This Row],[Profit]]/OrdersRawTable9[[#This Row],[Net_Sales]])</f>
        <v>0.4442963752665246</v>
      </c>
      <c r="AC839" s="45" t="str">
        <f>IF(COUNTIF(ReturnsRawTable[Order_Line_ID],OrdersRawTable9[[#This Row],[Order_Line_ID]])&gt;0,"Yes","No")</f>
        <v>Yes</v>
      </c>
      <c r="AD839" s="45" t="str">
        <f>IFERROR(VLOOKUP(OrdersRawTable9[[#This Row],[Order_Line_ID]],ReturnsRawTable[[#All],[Order_Line_ID]:[Return_Reason_Raw]],3,FALSE),"")</f>
        <v>Wrong Item</v>
      </c>
      <c r="AE839" s="49">
        <f>IFERROR(VLOOKUP(OrdersRawTable9[[#This Row],[Order_Line_ID]],ReturnsRawTable[[#All],[Order_Line_ID]:[Return_Date]],2,FALSE),"")</f>
        <v>45754</v>
      </c>
      <c r="AF839" s="45" t="str">
        <f>IFERROR(VLOOKUP(OrdersRawTable9[[#This Row],[Order_Line_ID]],ReturnsRawTable[[Order_Line_ID]:[Refund_Status]],4,FALSE),"")</f>
        <v>Pending</v>
      </c>
      <c r="AG839" s="45" t="str">
        <f>VLOOKUP(OrdersRawTable9[[#This Row],[Order_ID]],ShipmentsTable[],6,FALSE)</f>
        <v>Late</v>
      </c>
      <c r="AH839" s="49">
        <f>VLOOKUP(OrdersRawTable9[[#This Row],[Order_ID]],ShipmentsTable[],3,FALSE)</f>
        <v>45753.041666666664</v>
      </c>
    </row>
    <row r="840" spans="1:34" ht="15" customHeight="1">
      <c r="A840" s="14" t="s">
        <v>1596</v>
      </c>
      <c r="B840" s="10" t="s">
        <v>1593</v>
      </c>
      <c r="C840" s="20">
        <v>45747.041666666664</v>
      </c>
      <c r="D840" s="10" t="s">
        <v>1594</v>
      </c>
      <c r="E840" s="10" t="s">
        <v>1595</v>
      </c>
      <c r="F840" s="10" t="str">
        <f>TRIM(LEFT(OrdersRawTable9[[#This Row],[Customer_Info]],FIND(",",OrdersRawTable9[[#This Row],[Customer_Info]])-1))</f>
        <v>Yara Ali</v>
      </c>
      <c r="G84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840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840" s="10">
        <f>LEN(OrdersRawTable9[[#This Row],[Customer_Info]])-LEN(SUBSTITUTE(OrdersRawTable9[[#This Row],[Customer_Info]],",",""))</f>
        <v>2</v>
      </c>
      <c r="J840" s="10" t="s">
        <v>279</v>
      </c>
      <c r="K840" s="23">
        <v>2</v>
      </c>
      <c r="L840" s="26">
        <v>52.79</v>
      </c>
      <c r="M840" s="29">
        <v>0.05</v>
      </c>
      <c r="N840" s="10" t="s">
        <v>40</v>
      </c>
      <c r="O840" s="10" t="str">
        <f>IF(TRIM(OrdersRawTable9[[#This Row],[Sales_Channel_Raw]])="Market place","Marketplace",TRIM(OrdersRawTable9[[#This Row],[Sales_Channel_Raw]]))</f>
        <v>Online</v>
      </c>
      <c r="P840" s="10" t="s">
        <v>46</v>
      </c>
      <c r="Q840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840" s="15" t="s">
        <v>47</v>
      </c>
      <c r="S840" t="str">
        <f>VLOOKUP(OrdersRawTable9[[#This Row],[Customer_ID_Raw]],CustomersTable11[],4,FALSE)</f>
        <v>Ontario</v>
      </c>
      <c r="T840" t="str">
        <f>VLOOKUP(OrdersRawTable9[[#This Row],[Customer_ID_Raw]],CustomersTable11[],5,FALSE)</f>
        <v>Corporate</v>
      </c>
      <c r="U840" s="45">
        <f>VLOOKUP(OrdersRawTable9[[#This Row],[Product_ID]],ProductsTable10[],4,FALSE)</f>
        <v>28.17</v>
      </c>
      <c r="V840" t="str">
        <f>VLOOKUP(OrdersRawTable9[[#This Row],[Product_ID]],ProductsTable10[],3,FALSE)</f>
        <v>Office</v>
      </c>
      <c r="W840" s="45">
        <f>OrdersRawTable9[[#This Row],[Unit_Price]]*OrdersRawTable9[[#This Row],[Quantity]]</f>
        <v>105.58</v>
      </c>
      <c r="X840" s="47">
        <f>OrdersRawTable9[[#This Row],[Gross_Sales]]*OrdersRawTable9[[#This Row],[Discount_Pct]]</f>
        <v>5.2789999999999999</v>
      </c>
      <c r="Y840" s="45">
        <f>OrdersRawTable9[[#This Row],[Gross_Sales]]-OrdersRawTable9[[#This Row],[Discount_Amount]]</f>
        <v>100.301</v>
      </c>
      <c r="Z840" s="45">
        <f>OrdersRawTable9[[#This Row],[Unit_Cost]]*OrdersRawTable9[[#This Row],[Quantity]]</f>
        <v>56.34</v>
      </c>
      <c r="AA840" s="45">
        <f>OrdersRawTable9[[#This Row],[Net_Sales]]-OrdersRawTable9[[#This Row],[Total_Cost]]</f>
        <v>43.960999999999999</v>
      </c>
      <c r="AB840" s="48">
        <f>IF(OrdersRawTable9[[#This Row],[Net_Sales]]=0,0,OrdersRawTable9[[#This Row],[Profit]]/OrdersRawTable9[[#This Row],[Net_Sales]])</f>
        <v>0.43829074485797748</v>
      </c>
      <c r="AC840" s="45" t="str">
        <f>IF(COUNTIF(ReturnsRawTable[Order_Line_ID],OrdersRawTable9[[#This Row],[Order_Line_ID]])&gt;0,"Yes","No")</f>
        <v>Yes</v>
      </c>
      <c r="AD840" s="45" t="str">
        <f>IFERROR(VLOOKUP(OrdersRawTable9[[#This Row],[Order_Line_ID]],ReturnsRawTable[[#All],[Order_Line_ID]:[Return_Reason_Raw]],3,FALSE),"")</f>
        <v>Wrong Item</v>
      </c>
      <c r="AE840" s="49">
        <f>IFERROR(VLOOKUP(OrdersRawTable9[[#This Row],[Order_Line_ID]],ReturnsRawTable[[#All],[Order_Line_ID]:[Return_Date]],2,FALSE),"")</f>
        <v>45762</v>
      </c>
      <c r="AF840" s="45" t="str">
        <f>IFERROR(VLOOKUP(OrdersRawTable9[[#This Row],[Order_Line_ID]],ReturnsRawTable[[Order_Line_ID]:[Refund_Status]],4,FALSE),"")</f>
        <v>Refunded</v>
      </c>
      <c r="AG840" s="45" t="str">
        <f>VLOOKUP(OrdersRawTable9[[#This Row],[Order_ID]],ShipmentsTable[],6,FALSE)</f>
        <v>Late</v>
      </c>
      <c r="AH840" s="49">
        <f>VLOOKUP(OrdersRawTable9[[#This Row],[Order_ID]],ShipmentsTable[],3,FALSE)</f>
        <v>45753.041666666664</v>
      </c>
    </row>
    <row r="841" spans="1:34" ht="15" customHeight="1">
      <c r="A841" s="14" t="s">
        <v>1597</v>
      </c>
      <c r="B841" s="10" t="s">
        <v>1593</v>
      </c>
      <c r="C841" s="20">
        <v>45747.041666666664</v>
      </c>
      <c r="D841" s="10" t="s">
        <v>1594</v>
      </c>
      <c r="E841" s="10" t="s">
        <v>1595</v>
      </c>
      <c r="F841" s="10" t="str">
        <f>TRIM(LEFT(OrdersRawTable9[[#This Row],[Customer_Info]],FIND(",",OrdersRawTable9[[#This Row],[Customer_Info]])-1))</f>
        <v>Yara Ali</v>
      </c>
      <c r="G84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841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841" s="10">
        <f>LEN(OrdersRawTable9[[#This Row],[Customer_Info]])-LEN(SUBSTITUTE(OrdersRawTable9[[#This Row],[Customer_Info]],",",""))</f>
        <v>2</v>
      </c>
      <c r="J841" s="10" t="s">
        <v>100</v>
      </c>
      <c r="K841" s="23">
        <v>1</v>
      </c>
      <c r="L841" s="26">
        <v>42.72</v>
      </c>
      <c r="M841" s="29">
        <v>0</v>
      </c>
      <c r="N841" s="10" t="s">
        <v>40</v>
      </c>
      <c r="O841" s="10" t="str">
        <f>IF(TRIM(OrdersRawTable9[[#This Row],[Sales_Channel_Raw]])="Market place","Marketplace",TRIM(OrdersRawTable9[[#This Row],[Sales_Channel_Raw]]))</f>
        <v>Online</v>
      </c>
      <c r="P841" s="10" t="s">
        <v>46</v>
      </c>
      <c r="Q841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841" s="15" t="s">
        <v>42</v>
      </c>
      <c r="S841" t="str">
        <f>VLOOKUP(OrdersRawTable9[[#This Row],[Customer_ID_Raw]],CustomersTable11[],4,FALSE)</f>
        <v>Ontario</v>
      </c>
      <c r="T841" t="str">
        <f>VLOOKUP(OrdersRawTable9[[#This Row],[Customer_ID_Raw]],CustomersTable11[],5,FALSE)</f>
        <v>Corporate</v>
      </c>
      <c r="U841" s="45">
        <f>VLOOKUP(OrdersRawTable9[[#This Row],[Product_ID]],ProductsTable10[],4,FALSE)</f>
        <v>24.46</v>
      </c>
      <c r="V841" t="str">
        <f>VLOOKUP(OrdersRawTable9[[#This Row],[Product_ID]],ProductsTable10[],3,FALSE)</f>
        <v>Electronics</v>
      </c>
      <c r="W841" s="45">
        <f>OrdersRawTable9[[#This Row],[Unit_Price]]*OrdersRawTable9[[#This Row],[Quantity]]</f>
        <v>42.72</v>
      </c>
      <c r="X841" s="47">
        <f>OrdersRawTable9[[#This Row],[Gross_Sales]]*OrdersRawTable9[[#This Row],[Discount_Pct]]</f>
        <v>0</v>
      </c>
      <c r="Y841" s="45">
        <f>OrdersRawTable9[[#This Row],[Gross_Sales]]-OrdersRawTable9[[#This Row],[Discount_Amount]]</f>
        <v>42.72</v>
      </c>
      <c r="Z841" s="45">
        <f>OrdersRawTable9[[#This Row],[Unit_Cost]]*OrdersRawTable9[[#This Row],[Quantity]]</f>
        <v>24.46</v>
      </c>
      <c r="AA841" s="45">
        <f>OrdersRawTable9[[#This Row],[Net_Sales]]-OrdersRawTable9[[#This Row],[Total_Cost]]</f>
        <v>18.259999999999998</v>
      </c>
      <c r="AB841" s="48">
        <f>IF(OrdersRawTable9[[#This Row],[Net_Sales]]=0,0,OrdersRawTable9[[#This Row],[Profit]]/OrdersRawTable9[[#This Row],[Net_Sales]])</f>
        <v>0.42743445692883891</v>
      </c>
      <c r="AC841" s="45" t="str">
        <f>IF(COUNTIF(ReturnsRawTable[Order_Line_ID],OrdersRawTable9[[#This Row],[Order_Line_ID]])&gt;0,"Yes","No")</f>
        <v>Yes</v>
      </c>
      <c r="AD841" s="45" t="str">
        <f>IFERROR(VLOOKUP(OrdersRawTable9[[#This Row],[Order_Line_ID]],ReturnsRawTable[[#All],[Order_Line_ID]:[Return_Reason_Raw]],3,FALSE),"")</f>
        <v>Damaged</v>
      </c>
      <c r="AE841" s="49">
        <f>IFERROR(VLOOKUP(OrdersRawTable9[[#This Row],[Order_Line_ID]],ReturnsRawTable[[#All],[Order_Line_ID]:[Return_Date]],2,FALSE),"")</f>
        <v>45760</v>
      </c>
      <c r="AF841" s="45" t="str">
        <f>IFERROR(VLOOKUP(OrdersRawTable9[[#This Row],[Order_Line_ID]],ReturnsRawTable[[Order_Line_ID]:[Refund_Status]],4,FALSE),"")</f>
        <v>Pending</v>
      </c>
      <c r="AG841" s="45" t="str">
        <f>VLOOKUP(OrdersRawTable9[[#This Row],[Order_ID]],ShipmentsTable[],6,FALSE)</f>
        <v>Late</v>
      </c>
      <c r="AH841" s="49">
        <f>VLOOKUP(OrdersRawTable9[[#This Row],[Order_ID]],ShipmentsTable[],3,FALSE)</f>
        <v>45753.041666666664</v>
      </c>
    </row>
    <row r="842" spans="1:34" ht="15" customHeight="1">
      <c r="A842" s="14" t="s">
        <v>1598</v>
      </c>
      <c r="B842" s="10" t="s">
        <v>1599</v>
      </c>
      <c r="C842" s="20">
        <v>45840</v>
      </c>
      <c r="D842" s="10" t="s">
        <v>947</v>
      </c>
      <c r="E842" s="10" t="s">
        <v>948</v>
      </c>
      <c r="F842" s="10" t="str">
        <f>TRIM(LEFT(OrdersRawTable9[[#This Row],[Customer_Info]],FIND(",",OrdersRawTable9[[#This Row],[Customer_Info]])-1))</f>
        <v>Adam Ali</v>
      </c>
      <c r="G84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842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842" s="10">
        <f>LEN(OrdersRawTable9[[#This Row],[Customer_Info]])-LEN(SUBSTITUTE(OrdersRawTable9[[#This Row],[Customer_Info]],",",""))</f>
        <v>2</v>
      </c>
      <c r="J842" s="10" t="s">
        <v>468</v>
      </c>
      <c r="K842" s="23">
        <v>3</v>
      </c>
      <c r="L842" s="26">
        <v>160</v>
      </c>
      <c r="M842" s="29">
        <v>0</v>
      </c>
      <c r="N842" s="10" t="s">
        <v>70</v>
      </c>
      <c r="O842" s="10" t="str">
        <f>IF(TRIM(OrdersRawTable9[[#This Row],[Sales_Channel_Raw]])="Market place","Marketplace",TRIM(OrdersRawTable9[[#This Row],[Sales_Channel_Raw]]))</f>
        <v>online</v>
      </c>
      <c r="P842" s="10" t="s">
        <v>58</v>
      </c>
      <c r="Q842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842" s="15" t="s">
        <v>101</v>
      </c>
      <c r="S842" t="str">
        <f>VLOOKUP(OrdersRawTable9[[#This Row],[Customer_ID_Raw]],CustomersTable11[],4,FALSE)</f>
        <v>Ontario</v>
      </c>
      <c r="T842" t="str">
        <f>VLOOKUP(OrdersRawTable9[[#This Row],[Customer_ID_Raw]],CustomersTable11[],5,FALSE)</f>
        <v>Corporate</v>
      </c>
      <c r="U842" s="45">
        <f>VLOOKUP(OrdersRawTable9[[#This Row],[Product_ID]],ProductsTable10[],4,FALSE)</f>
        <v>101.58</v>
      </c>
      <c r="V842" t="str">
        <f>VLOOKUP(OrdersRawTable9[[#This Row],[Product_ID]],ProductsTable10[],3,FALSE)</f>
        <v>Fitness</v>
      </c>
      <c r="W842" s="45">
        <f>OrdersRawTable9[[#This Row],[Unit_Price]]*OrdersRawTable9[[#This Row],[Quantity]]</f>
        <v>480</v>
      </c>
      <c r="X842" s="47">
        <f>OrdersRawTable9[[#This Row],[Gross_Sales]]*OrdersRawTable9[[#This Row],[Discount_Pct]]</f>
        <v>0</v>
      </c>
      <c r="Y842" s="45">
        <f>OrdersRawTable9[[#This Row],[Gross_Sales]]-OrdersRawTable9[[#This Row],[Discount_Amount]]</f>
        <v>480</v>
      </c>
      <c r="Z842" s="45">
        <f>OrdersRawTable9[[#This Row],[Unit_Cost]]*OrdersRawTable9[[#This Row],[Quantity]]</f>
        <v>304.74</v>
      </c>
      <c r="AA842" s="45">
        <f>OrdersRawTable9[[#This Row],[Net_Sales]]-OrdersRawTable9[[#This Row],[Total_Cost]]</f>
        <v>175.26</v>
      </c>
      <c r="AB842" s="48">
        <f>IF(OrdersRawTable9[[#This Row],[Net_Sales]]=0,0,OrdersRawTable9[[#This Row],[Profit]]/OrdersRawTable9[[#This Row],[Net_Sales]])</f>
        <v>0.36512499999999998</v>
      </c>
      <c r="AC842" s="45" t="str">
        <f>IF(COUNTIF(ReturnsRawTable[Order_Line_ID],OrdersRawTable9[[#This Row],[Order_Line_ID]])&gt;0,"Yes","No")</f>
        <v>No</v>
      </c>
      <c r="AD842" s="45" t="str">
        <f>IFERROR(VLOOKUP(OrdersRawTable9[[#This Row],[Order_Line_ID]],ReturnsRawTable[[#All],[Order_Line_ID]:[Return_Reason_Raw]],3,FALSE),"")</f>
        <v/>
      </c>
      <c r="AE842" s="49" t="str">
        <f>IFERROR(VLOOKUP(OrdersRawTable9[[#This Row],[Order_Line_ID]],ReturnsRawTable[[#All],[Order_Line_ID]:[Return_Date]],2,FALSE),"")</f>
        <v/>
      </c>
      <c r="AF842" s="45" t="str">
        <f>IFERROR(VLOOKUP(OrdersRawTable9[[#This Row],[Order_Line_ID]],ReturnsRawTable[[Order_Line_ID]:[Refund_Status]],4,FALSE),"")</f>
        <v/>
      </c>
      <c r="AG842" s="45" t="str">
        <f>VLOOKUP(OrdersRawTable9[[#This Row],[Order_ID]],ShipmentsTable[],6,FALSE)</f>
        <v>Late</v>
      </c>
      <c r="AH842" s="49">
        <f>VLOOKUP(OrdersRawTable9[[#This Row],[Order_ID]],ShipmentsTable[],3,FALSE)</f>
        <v>45849</v>
      </c>
    </row>
    <row r="843" spans="1:34" ht="15" customHeight="1">
      <c r="A843" s="14" t="s">
        <v>1600</v>
      </c>
      <c r="B843" s="10" t="s">
        <v>1599</v>
      </c>
      <c r="C843" s="20">
        <v>45840</v>
      </c>
      <c r="D843" s="10" t="s">
        <v>947</v>
      </c>
      <c r="E843" s="10" t="s">
        <v>948</v>
      </c>
      <c r="F843" s="10" t="str">
        <f>TRIM(LEFT(OrdersRawTable9[[#This Row],[Customer_Info]],FIND(",",OrdersRawTable9[[#This Row],[Customer_Info]])-1))</f>
        <v>Adam Ali</v>
      </c>
      <c r="G84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843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843" s="10">
        <f>LEN(OrdersRawTable9[[#This Row],[Customer_Info]])-LEN(SUBSTITUTE(OrdersRawTable9[[#This Row],[Customer_Info]],",",""))</f>
        <v>2</v>
      </c>
      <c r="J843" s="10" t="s">
        <v>309</v>
      </c>
      <c r="K843" s="23">
        <v>4</v>
      </c>
      <c r="L843" s="26">
        <v>56.99</v>
      </c>
      <c r="M843" s="29">
        <v>0.15</v>
      </c>
      <c r="N843" s="10" t="s">
        <v>45</v>
      </c>
      <c r="O843" s="10" t="str">
        <f>IF(TRIM(OrdersRawTable9[[#This Row],[Sales_Channel_Raw]])="Market place","Marketplace",TRIM(OrdersRawTable9[[#This Row],[Sales_Channel_Raw]]))</f>
        <v>Retail Store</v>
      </c>
      <c r="P843" s="10" t="s">
        <v>51</v>
      </c>
      <c r="Q843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843" s="15" t="s">
        <v>101</v>
      </c>
      <c r="S843" t="str">
        <f>VLOOKUP(OrdersRawTable9[[#This Row],[Customer_ID_Raw]],CustomersTable11[],4,FALSE)</f>
        <v>Ontario</v>
      </c>
      <c r="T843" t="str">
        <f>VLOOKUP(OrdersRawTable9[[#This Row],[Customer_ID_Raw]],CustomersTable11[],5,FALSE)</f>
        <v>Corporate</v>
      </c>
      <c r="U843" s="45">
        <f>VLOOKUP(OrdersRawTable9[[#This Row],[Product_ID]],ProductsTable10[],4,FALSE)</f>
        <v>33.65</v>
      </c>
      <c r="V843" t="str">
        <f>VLOOKUP(OrdersRawTable9[[#This Row],[Product_ID]],ProductsTable10[],3,FALSE)</f>
        <v>Home</v>
      </c>
      <c r="W843" s="45">
        <f>OrdersRawTable9[[#This Row],[Unit_Price]]*OrdersRawTable9[[#This Row],[Quantity]]</f>
        <v>227.96</v>
      </c>
      <c r="X843" s="47">
        <f>OrdersRawTable9[[#This Row],[Gross_Sales]]*OrdersRawTable9[[#This Row],[Discount_Pct]]</f>
        <v>34.194000000000003</v>
      </c>
      <c r="Y843" s="45">
        <f>OrdersRawTable9[[#This Row],[Gross_Sales]]-OrdersRawTable9[[#This Row],[Discount_Amount]]</f>
        <v>193.76600000000002</v>
      </c>
      <c r="Z843" s="45">
        <f>OrdersRawTable9[[#This Row],[Unit_Cost]]*OrdersRawTable9[[#This Row],[Quantity]]</f>
        <v>134.6</v>
      </c>
      <c r="AA843" s="45">
        <f>OrdersRawTable9[[#This Row],[Net_Sales]]-OrdersRawTable9[[#This Row],[Total_Cost]]</f>
        <v>59.166000000000025</v>
      </c>
      <c r="AB843" s="48">
        <f>IF(OrdersRawTable9[[#This Row],[Net_Sales]]=0,0,OrdersRawTable9[[#This Row],[Profit]]/OrdersRawTable9[[#This Row],[Net_Sales]])</f>
        <v>0.30534768741678114</v>
      </c>
      <c r="AC843" s="45" t="str">
        <f>IF(COUNTIF(ReturnsRawTable[Order_Line_ID],OrdersRawTable9[[#This Row],[Order_Line_ID]])&gt;0,"Yes","No")</f>
        <v>No</v>
      </c>
      <c r="AD843" s="45" t="str">
        <f>IFERROR(VLOOKUP(OrdersRawTable9[[#This Row],[Order_Line_ID]],ReturnsRawTable[[#All],[Order_Line_ID]:[Return_Reason_Raw]],3,FALSE),"")</f>
        <v/>
      </c>
      <c r="AE843" s="49" t="str">
        <f>IFERROR(VLOOKUP(OrdersRawTable9[[#This Row],[Order_Line_ID]],ReturnsRawTable[[#All],[Order_Line_ID]:[Return_Date]],2,FALSE),"")</f>
        <v/>
      </c>
      <c r="AF843" s="45" t="str">
        <f>IFERROR(VLOOKUP(OrdersRawTable9[[#This Row],[Order_Line_ID]],ReturnsRawTable[[Order_Line_ID]:[Refund_Status]],4,FALSE),"")</f>
        <v/>
      </c>
      <c r="AG843" s="45" t="str">
        <f>VLOOKUP(OrdersRawTable9[[#This Row],[Order_ID]],ShipmentsTable[],6,FALSE)</f>
        <v>Late</v>
      </c>
      <c r="AH843" s="49">
        <f>VLOOKUP(OrdersRawTable9[[#This Row],[Order_ID]],ShipmentsTable[],3,FALSE)</f>
        <v>45849</v>
      </c>
    </row>
    <row r="844" spans="1:34" ht="15" customHeight="1">
      <c r="A844" s="14" t="s">
        <v>1601</v>
      </c>
      <c r="B844" s="10" t="s">
        <v>1602</v>
      </c>
      <c r="C844" s="20">
        <v>45878</v>
      </c>
      <c r="D844" s="10" t="s">
        <v>672</v>
      </c>
      <c r="E844" s="10" t="s">
        <v>673</v>
      </c>
      <c r="F844" s="10" t="str">
        <f>TRIM(LEFT(OrdersRawTable9[[#This Row],[Customer_Info]],FIND(",",OrdersRawTable9[[#This Row],[Customer_Info]])-1))</f>
        <v>Adam Tremblay</v>
      </c>
      <c r="G84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844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844" s="10">
        <f>LEN(OrdersRawTable9[[#This Row],[Customer_Info]])-LEN(SUBSTITUTE(OrdersRawTable9[[#This Row],[Customer_Info]],",",""))</f>
        <v>2</v>
      </c>
      <c r="J844" s="10" t="s">
        <v>332</v>
      </c>
      <c r="K844" s="23">
        <v>3</v>
      </c>
      <c r="L844" s="26">
        <v>273.89</v>
      </c>
      <c r="M844" s="29">
        <v>0</v>
      </c>
      <c r="N844" s="10" t="s">
        <v>50</v>
      </c>
      <c r="O844" s="10" t="str">
        <f>IF(TRIM(OrdersRawTable9[[#This Row],[Sales_Channel_Raw]])="Market place","Marketplace",TRIM(OrdersRawTable9[[#This Row],[Sales_Channel_Raw]]))</f>
        <v>Marketplace</v>
      </c>
      <c r="P844" s="10" t="s">
        <v>51</v>
      </c>
      <c r="Q844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844" s="15" t="s">
        <v>52</v>
      </c>
      <c r="S844" t="str">
        <f>VLOOKUP(OrdersRawTable9[[#This Row],[Customer_ID_Raw]],CustomersTable11[],4,FALSE)</f>
        <v>Alberta</v>
      </c>
      <c r="T844" t="str">
        <f>VLOOKUP(OrdersRawTable9[[#This Row],[Customer_ID_Raw]],CustomersTable11[],5,FALSE)</f>
        <v>Small Business</v>
      </c>
      <c r="U844" s="45">
        <f>VLOOKUP(OrdersRawTable9[[#This Row],[Product_ID]],ProductsTable10[],4,FALSE)</f>
        <v>140.66999999999999</v>
      </c>
      <c r="V844" t="str">
        <f>VLOOKUP(OrdersRawTable9[[#This Row],[Product_ID]],ProductsTable10[],3,FALSE)</f>
        <v>Home</v>
      </c>
      <c r="W844" s="45">
        <f>OrdersRawTable9[[#This Row],[Unit_Price]]*OrdersRawTable9[[#This Row],[Quantity]]</f>
        <v>821.67</v>
      </c>
      <c r="X844" s="47">
        <f>OrdersRawTable9[[#This Row],[Gross_Sales]]*OrdersRawTable9[[#This Row],[Discount_Pct]]</f>
        <v>0</v>
      </c>
      <c r="Y844" s="45">
        <f>OrdersRawTable9[[#This Row],[Gross_Sales]]-OrdersRawTable9[[#This Row],[Discount_Amount]]</f>
        <v>821.67</v>
      </c>
      <c r="Z844" s="45">
        <f>OrdersRawTable9[[#This Row],[Unit_Cost]]*OrdersRawTable9[[#This Row],[Quantity]]</f>
        <v>422.01</v>
      </c>
      <c r="AA844" s="45">
        <f>OrdersRawTable9[[#This Row],[Net_Sales]]-OrdersRawTable9[[#This Row],[Total_Cost]]</f>
        <v>399.65999999999997</v>
      </c>
      <c r="AB844" s="48">
        <f>IF(OrdersRawTable9[[#This Row],[Net_Sales]]=0,0,OrdersRawTable9[[#This Row],[Profit]]/OrdersRawTable9[[#This Row],[Net_Sales]])</f>
        <v>0.48639964949432252</v>
      </c>
      <c r="AC844" s="45" t="str">
        <f>IF(COUNTIF(ReturnsRawTable[Order_Line_ID],OrdersRawTable9[[#This Row],[Order_Line_ID]])&gt;0,"Yes","No")</f>
        <v>Yes</v>
      </c>
      <c r="AD844" s="45" t="str">
        <f>IFERROR(VLOOKUP(OrdersRawTable9[[#This Row],[Order_Line_ID]],ReturnsRawTable[[#All],[Order_Line_ID]:[Return_Reason_Raw]],3,FALSE),"")</f>
        <v>Not as Described</v>
      </c>
      <c r="AE844" s="49">
        <f>IFERROR(VLOOKUP(OrdersRawTable9[[#This Row],[Order_Line_ID]],ReturnsRawTable[[#All],[Order_Line_ID]:[Return_Date]],2,FALSE),"")</f>
        <v>45893</v>
      </c>
      <c r="AF844" s="45" t="str">
        <f>IFERROR(VLOOKUP(OrdersRawTable9[[#This Row],[Order_Line_ID]],ReturnsRawTable[[Order_Line_ID]:[Refund_Status]],4,FALSE),"")</f>
        <v>Refunded</v>
      </c>
      <c r="AG844" s="45" t="str">
        <f>VLOOKUP(OrdersRawTable9[[#This Row],[Order_ID]],ShipmentsTable[],6,FALSE)</f>
        <v>On time</v>
      </c>
      <c r="AH844" s="49">
        <f>VLOOKUP(OrdersRawTable9[[#This Row],[Order_ID]],ShipmentsTable[],3,FALSE)</f>
        <v>45881</v>
      </c>
    </row>
    <row r="845" spans="1:34" ht="15" customHeight="1">
      <c r="A845" s="14" t="s">
        <v>1603</v>
      </c>
      <c r="B845" s="10" t="s">
        <v>1604</v>
      </c>
      <c r="C845" s="20">
        <v>45766</v>
      </c>
      <c r="D845" s="10" t="s">
        <v>1605</v>
      </c>
      <c r="E845" s="10" t="s">
        <v>1606</v>
      </c>
      <c r="F845" s="10" t="str">
        <f>TRIM(LEFT(OrdersRawTable9[[#This Row],[Customer_Info]],FIND(",",OrdersRawTable9[[#This Row],[Customer_Info]])-1))</f>
        <v>Ethan Brown</v>
      </c>
      <c r="G84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845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845" s="10">
        <f>LEN(OrdersRawTable9[[#This Row],[Customer_Info]])-LEN(SUBSTITUTE(OrdersRawTable9[[#This Row],[Customer_Info]],",",""))</f>
        <v>2</v>
      </c>
      <c r="J845" s="10" t="s">
        <v>136</v>
      </c>
      <c r="K845" s="23">
        <v>2</v>
      </c>
      <c r="L845" s="26">
        <v>141.46</v>
      </c>
      <c r="M845" s="29">
        <v>0</v>
      </c>
      <c r="N845" s="10" t="s">
        <v>66</v>
      </c>
      <c r="O845" s="10" t="str">
        <f>IF(TRIM(OrdersRawTable9[[#This Row],[Sales_Channel_Raw]])="Market place","Marketplace",TRIM(OrdersRawTable9[[#This Row],[Sales_Channel_Raw]]))</f>
        <v>Marketplace</v>
      </c>
      <c r="P845" s="10" t="s">
        <v>41</v>
      </c>
      <c r="Q845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845" s="15" t="s">
        <v>42</v>
      </c>
      <c r="S845" t="str">
        <f>VLOOKUP(OrdersRawTable9[[#This Row],[Customer_ID_Raw]],CustomersTable11[],4,FALSE)</f>
        <v>Nova Scotia</v>
      </c>
      <c r="T845" t="str">
        <f>VLOOKUP(OrdersRawTable9[[#This Row],[Customer_ID_Raw]],CustomersTable11[],5,FALSE)</f>
        <v>Consumer</v>
      </c>
      <c r="U845" s="45">
        <f>VLOOKUP(OrdersRawTable9[[#This Row],[Product_ID]],ProductsTable10[],4,FALSE)</f>
        <v>78.650000000000006</v>
      </c>
      <c r="V845" t="str">
        <f>VLOOKUP(OrdersRawTable9[[#This Row],[Product_ID]],ProductsTable10[],3,FALSE)</f>
        <v>Fitness</v>
      </c>
      <c r="W845" s="45">
        <f>OrdersRawTable9[[#This Row],[Unit_Price]]*OrdersRawTable9[[#This Row],[Quantity]]</f>
        <v>282.92</v>
      </c>
      <c r="X845" s="47">
        <f>OrdersRawTable9[[#This Row],[Gross_Sales]]*OrdersRawTable9[[#This Row],[Discount_Pct]]</f>
        <v>0</v>
      </c>
      <c r="Y845" s="45">
        <f>OrdersRawTable9[[#This Row],[Gross_Sales]]-OrdersRawTable9[[#This Row],[Discount_Amount]]</f>
        <v>282.92</v>
      </c>
      <c r="Z845" s="45">
        <f>OrdersRawTable9[[#This Row],[Unit_Cost]]*OrdersRawTable9[[#This Row],[Quantity]]</f>
        <v>157.30000000000001</v>
      </c>
      <c r="AA845" s="45">
        <f>OrdersRawTable9[[#This Row],[Net_Sales]]-OrdersRawTable9[[#This Row],[Total_Cost]]</f>
        <v>125.62</v>
      </c>
      <c r="AB845" s="48">
        <f>IF(OrdersRawTable9[[#This Row],[Net_Sales]]=0,0,OrdersRawTable9[[#This Row],[Profit]]/OrdersRawTable9[[#This Row],[Net_Sales]])</f>
        <v>0.44401244167962672</v>
      </c>
      <c r="AC845" s="45" t="str">
        <f>IF(COUNTIF(ReturnsRawTable[Order_Line_ID],OrdersRawTable9[[#This Row],[Order_Line_ID]])&gt;0,"Yes","No")</f>
        <v>No</v>
      </c>
      <c r="AD845" s="45" t="str">
        <f>IFERROR(VLOOKUP(OrdersRawTable9[[#This Row],[Order_Line_ID]],ReturnsRawTable[[#All],[Order_Line_ID]:[Return_Reason_Raw]],3,FALSE),"")</f>
        <v/>
      </c>
      <c r="AE845" s="49" t="str">
        <f>IFERROR(VLOOKUP(OrdersRawTable9[[#This Row],[Order_Line_ID]],ReturnsRawTable[[#All],[Order_Line_ID]:[Return_Date]],2,FALSE),"")</f>
        <v/>
      </c>
      <c r="AF845" s="45" t="str">
        <f>IFERROR(VLOOKUP(OrdersRawTable9[[#This Row],[Order_Line_ID]],ReturnsRawTable[[Order_Line_ID]:[Refund_Status]],4,FALSE),"")</f>
        <v/>
      </c>
      <c r="AG845" s="45" t="str">
        <f>VLOOKUP(OrdersRawTable9[[#This Row],[Order_ID]],ShipmentsTable[],6,FALSE)</f>
        <v>Late</v>
      </c>
      <c r="AH845" s="49">
        <f>VLOOKUP(OrdersRawTable9[[#This Row],[Order_ID]],ShipmentsTable[],3,FALSE)</f>
        <v>45774</v>
      </c>
    </row>
    <row r="846" spans="1:34" ht="15" customHeight="1">
      <c r="A846" s="14" t="s">
        <v>1607</v>
      </c>
      <c r="B846" s="10" t="s">
        <v>1604</v>
      </c>
      <c r="C846" s="20">
        <v>45766</v>
      </c>
      <c r="D846" s="10" t="s">
        <v>1605</v>
      </c>
      <c r="E846" s="10" t="s">
        <v>1606</v>
      </c>
      <c r="F846" s="10" t="str">
        <f>TRIM(LEFT(OrdersRawTable9[[#This Row],[Customer_Info]],FIND(",",OrdersRawTable9[[#This Row],[Customer_Info]])-1))</f>
        <v>Ethan Brown</v>
      </c>
      <c r="G84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846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846" s="10">
        <f>LEN(OrdersRawTable9[[#This Row],[Customer_Info]])-LEN(SUBSTITUTE(OrdersRawTable9[[#This Row],[Customer_Info]],",",""))</f>
        <v>2</v>
      </c>
      <c r="J846" s="10" t="s">
        <v>150</v>
      </c>
      <c r="K846" s="23">
        <v>4</v>
      </c>
      <c r="L846" s="26">
        <v>263.04000000000002</v>
      </c>
      <c r="M846" s="29">
        <v>0.1</v>
      </c>
      <c r="N846" s="10" t="s">
        <v>50</v>
      </c>
      <c r="O846" s="10" t="str">
        <f>IF(TRIM(OrdersRawTable9[[#This Row],[Sales_Channel_Raw]])="Market place","Marketplace",TRIM(OrdersRawTable9[[#This Row],[Sales_Channel_Raw]]))</f>
        <v>Marketplace</v>
      </c>
      <c r="P846" s="10" t="s">
        <v>58</v>
      </c>
      <c r="Q846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846" s="15" t="s">
        <v>42</v>
      </c>
      <c r="S846" t="str">
        <f>VLOOKUP(OrdersRawTable9[[#This Row],[Customer_ID_Raw]],CustomersTable11[],4,FALSE)</f>
        <v>Nova Scotia</v>
      </c>
      <c r="T846" t="str">
        <f>VLOOKUP(OrdersRawTable9[[#This Row],[Customer_ID_Raw]],CustomersTable11[],5,FALSE)</f>
        <v>Consumer</v>
      </c>
      <c r="U846" s="45">
        <f>VLOOKUP(OrdersRawTable9[[#This Row],[Product_ID]],ProductsTable10[],4,FALSE)</f>
        <v>161.84</v>
      </c>
      <c r="V846" t="str">
        <f>VLOOKUP(OrdersRawTable9[[#This Row],[Product_ID]],ProductsTable10[],3,FALSE)</f>
        <v>Office</v>
      </c>
      <c r="W846" s="45">
        <f>OrdersRawTable9[[#This Row],[Unit_Price]]*OrdersRawTable9[[#This Row],[Quantity]]</f>
        <v>1052.1600000000001</v>
      </c>
      <c r="X846" s="47">
        <f>OrdersRawTable9[[#This Row],[Gross_Sales]]*OrdersRawTable9[[#This Row],[Discount_Pct]]</f>
        <v>105.21600000000001</v>
      </c>
      <c r="Y846" s="45">
        <f>OrdersRawTable9[[#This Row],[Gross_Sales]]-OrdersRawTable9[[#This Row],[Discount_Amount]]</f>
        <v>946.94400000000007</v>
      </c>
      <c r="Z846" s="45">
        <f>OrdersRawTable9[[#This Row],[Unit_Cost]]*OrdersRawTable9[[#This Row],[Quantity]]</f>
        <v>647.36</v>
      </c>
      <c r="AA846" s="45">
        <f>OrdersRawTable9[[#This Row],[Net_Sales]]-OrdersRawTable9[[#This Row],[Total_Cost]]</f>
        <v>299.58400000000006</v>
      </c>
      <c r="AB846" s="48">
        <f>IF(OrdersRawTable9[[#This Row],[Net_Sales]]=0,0,OrdersRawTable9[[#This Row],[Profit]]/OrdersRawTable9[[#This Row],[Net_Sales]])</f>
        <v>0.31636928899702627</v>
      </c>
      <c r="AC846" s="45" t="str">
        <f>IF(COUNTIF(ReturnsRawTable[Order_Line_ID],OrdersRawTable9[[#This Row],[Order_Line_ID]])&gt;0,"Yes","No")</f>
        <v>No</v>
      </c>
      <c r="AD846" s="45" t="str">
        <f>IFERROR(VLOOKUP(OrdersRawTable9[[#This Row],[Order_Line_ID]],ReturnsRawTable[[#All],[Order_Line_ID]:[Return_Reason_Raw]],3,FALSE),"")</f>
        <v/>
      </c>
      <c r="AE846" s="49" t="str">
        <f>IFERROR(VLOOKUP(OrdersRawTable9[[#This Row],[Order_Line_ID]],ReturnsRawTable[[#All],[Order_Line_ID]:[Return_Date]],2,FALSE),"")</f>
        <v/>
      </c>
      <c r="AF846" s="45" t="str">
        <f>IFERROR(VLOOKUP(OrdersRawTable9[[#This Row],[Order_Line_ID]],ReturnsRawTable[[Order_Line_ID]:[Refund_Status]],4,FALSE),"")</f>
        <v/>
      </c>
      <c r="AG846" s="45" t="str">
        <f>VLOOKUP(OrdersRawTable9[[#This Row],[Order_ID]],ShipmentsTable[],6,FALSE)</f>
        <v>Late</v>
      </c>
      <c r="AH846" s="49">
        <f>VLOOKUP(OrdersRawTable9[[#This Row],[Order_ID]],ShipmentsTable[],3,FALSE)</f>
        <v>45774</v>
      </c>
    </row>
    <row r="847" spans="1:34" ht="15" customHeight="1">
      <c r="A847" s="14" t="s">
        <v>1608</v>
      </c>
      <c r="B847" s="10" t="s">
        <v>1609</v>
      </c>
      <c r="C847" s="20">
        <v>45801</v>
      </c>
      <c r="D847" s="10" t="s">
        <v>697</v>
      </c>
      <c r="E847" s="10" t="s">
        <v>695</v>
      </c>
      <c r="F847" s="10" t="str">
        <f>TRIM(LEFT(OrdersRawTable9[[#This Row],[Customer_Info]],FIND(",",OrdersRawTable9[[#This Row],[Customer_Info]])-1))</f>
        <v>Adam Brown</v>
      </c>
      <c r="G84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847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847" s="10">
        <f>LEN(OrdersRawTable9[[#This Row],[Customer_Info]])-LEN(SUBSTITUTE(OrdersRawTable9[[#This Row],[Customer_Info]],",",""))</f>
        <v>2</v>
      </c>
      <c r="J847" s="10" t="s">
        <v>468</v>
      </c>
      <c r="K847" s="23">
        <v>1</v>
      </c>
      <c r="L847" s="26">
        <v>160</v>
      </c>
      <c r="M847" s="29">
        <v>0</v>
      </c>
      <c r="N847" s="10" t="s">
        <v>66</v>
      </c>
      <c r="O847" s="10" t="str">
        <f>IF(TRIM(OrdersRawTable9[[#This Row],[Sales_Channel_Raw]])="Market place","Marketplace",TRIM(OrdersRawTable9[[#This Row],[Sales_Channel_Raw]]))</f>
        <v>Marketplace</v>
      </c>
      <c r="P847" s="10" t="s">
        <v>51</v>
      </c>
      <c r="Q847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847" s="15" t="s">
        <v>47</v>
      </c>
      <c r="S847" t="str">
        <f>VLOOKUP(OrdersRawTable9[[#This Row],[Customer_ID_Raw]],CustomersTable11[],4,FALSE)</f>
        <v>Quebec</v>
      </c>
      <c r="T847" t="str">
        <f>VLOOKUP(OrdersRawTable9[[#This Row],[Customer_ID_Raw]],CustomersTable11[],5,FALSE)</f>
        <v>Small Business</v>
      </c>
      <c r="U847" s="45">
        <f>VLOOKUP(OrdersRawTable9[[#This Row],[Product_ID]],ProductsTable10[],4,FALSE)</f>
        <v>101.58</v>
      </c>
      <c r="V847" t="str">
        <f>VLOOKUP(OrdersRawTable9[[#This Row],[Product_ID]],ProductsTable10[],3,FALSE)</f>
        <v>Fitness</v>
      </c>
      <c r="W847" s="45">
        <f>OrdersRawTable9[[#This Row],[Unit_Price]]*OrdersRawTable9[[#This Row],[Quantity]]</f>
        <v>160</v>
      </c>
      <c r="X847" s="47">
        <f>OrdersRawTable9[[#This Row],[Gross_Sales]]*OrdersRawTable9[[#This Row],[Discount_Pct]]</f>
        <v>0</v>
      </c>
      <c r="Y847" s="45">
        <f>OrdersRawTable9[[#This Row],[Gross_Sales]]-OrdersRawTable9[[#This Row],[Discount_Amount]]</f>
        <v>160</v>
      </c>
      <c r="Z847" s="45">
        <f>OrdersRawTable9[[#This Row],[Unit_Cost]]*OrdersRawTable9[[#This Row],[Quantity]]</f>
        <v>101.58</v>
      </c>
      <c r="AA847" s="45">
        <f>OrdersRawTable9[[#This Row],[Net_Sales]]-OrdersRawTable9[[#This Row],[Total_Cost]]</f>
        <v>58.42</v>
      </c>
      <c r="AB847" s="48">
        <f>IF(OrdersRawTable9[[#This Row],[Net_Sales]]=0,0,OrdersRawTable9[[#This Row],[Profit]]/OrdersRawTable9[[#This Row],[Net_Sales]])</f>
        <v>0.36512500000000003</v>
      </c>
      <c r="AC847" s="45" t="str">
        <f>IF(COUNTIF(ReturnsRawTable[Order_Line_ID],OrdersRawTable9[[#This Row],[Order_Line_ID]])&gt;0,"Yes","No")</f>
        <v>No</v>
      </c>
      <c r="AD847" s="45" t="str">
        <f>IFERROR(VLOOKUP(OrdersRawTable9[[#This Row],[Order_Line_ID]],ReturnsRawTable[[#All],[Order_Line_ID]:[Return_Reason_Raw]],3,FALSE),"")</f>
        <v/>
      </c>
      <c r="AE847" s="49" t="str">
        <f>IFERROR(VLOOKUP(OrdersRawTable9[[#This Row],[Order_Line_ID]],ReturnsRawTable[[#All],[Order_Line_ID]:[Return_Date]],2,FALSE),"")</f>
        <v/>
      </c>
      <c r="AF847" s="45" t="str">
        <f>IFERROR(VLOOKUP(OrdersRawTable9[[#This Row],[Order_Line_ID]],ReturnsRawTable[[Order_Line_ID]:[Refund_Status]],4,FALSE),"")</f>
        <v/>
      </c>
      <c r="AG847" s="45" t="str">
        <f>VLOOKUP(OrdersRawTable9[[#This Row],[Order_ID]],ShipmentsTable[],6,FALSE)</f>
        <v>Late</v>
      </c>
      <c r="AH847" s="49">
        <f>VLOOKUP(OrdersRawTable9[[#This Row],[Order_ID]],ShipmentsTable[],3,FALSE)</f>
        <v>45811</v>
      </c>
    </row>
    <row r="848" spans="1:34" ht="15" customHeight="1">
      <c r="A848" s="14" t="s">
        <v>1610</v>
      </c>
      <c r="B848" s="10" t="s">
        <v>1609</v>
      </c>
      <c r="C848" s="20">
        <v>45801</v>
      </c>
      <c r="D848" s="10" t="s">
        <v>697</v>
      </c>
      <c r="E848" s="10" t="s">
        <v>695</v>
      </c>
      <c r="F848" s="10" t="str">
        <f>TRIM(LEFT(OrdersRawTable9[[#This Row],[Customer_Info]],FIND(",",OrdersRawTable9[[#This Row],[Customer_Info]])-1))</f>
        <v>Adam Brown</v>
      </c>
      <c r="G84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Montreal</v>
      </c>
      <c r="H848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848" s="10">
        <f>LEN(OrdersRawTable9[[#This Row],[Customer_Info]])-LEN(SUBSTITUTE(OrdersRawTable9[[#This Row],[Customer_Info]],",",""))</f>
        <v>2</v>
      </c>
      <c r="J848" s="10" t="s">
        <v>241</v>
      </c>
      <c r="K848" s="23">
        <v>1</v>
      </c>
      <c r="L848" s="26">
        <v>300.56</v>
      </c>
      <c r="M848" s="29">
        <v>0.05</v>
      </c>
      <c r="N848" s="10" t="s">
        <v>45</v>
      </c>
      <c r="O848" s="10" t="str">
        <f>IF(TRIM(OrdersRawTable9[[#This Row],[Sales_Channel_Raw]])="Market place","Marketplace",TRIM(OrdersRawTable9[[#This Row],[Sales_Channel_Raw]]))</f>
        <v>Retail Store</v>
      </c>
      <c r="P848" s="10" t="s">
        <v>46</v>
      </c>
      <c r="Q848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848" s="15" t="s">
        <v>42</v>
      </c>
      <c r="S848" t="str">
        <f>VLOOKUP(OrdersRawTable9[[#This Row],[Customer_ID_Raw]],CustomersTable11[],4,FALSE)</f>
        <v>Quebec</v>
      </c>
      <c r="T848" t="str">
        <f>VLOOKUP(OrdersRawTable9[[#This Row],[Customer_ID_Raw]],CustomersTable11[],5,FALSE)</f>
        <v>Small Business</v>
      </c>
      <c r="U848" s="45">
        <f>VLOOKUP(OrdersRawTable9[[#This Row],[Product_ID]],ProductsTable10[],4,FALSE)</f>
        <v>158.86000000000001</v>
      </c>
      <c r="V848" t="str">
        <f>VLOOKUP(OrdersRawTable9[[#This Row],[Product_ID]],ProductsTable10[],3,FALSE)</f>
        <v>Accessories</v>
      </c>
      <c r="W848" s="45">
        <f>OrdersRawTable9[[#This Row],[Unit_Price]]*OrdersRawTable9[[#This Row],[Quantity]]</f>
        <v>300.56</v>
      </c>
      <c r="X848" s="47">
        <f>OrdersRawTable9[[#This Row],[Gross_Sales]]*OrdersRawTable9[[#This Row],[Discount_Pct]]</f>
        <v>15.028</v>
      </c>
      <c r="Y848" s="45">
        <f>OrdersRawTable9[[#This Row],[Gross_Sales]]-OrdersRawTable9[[#This Row],[Discount_Amount]]</f>
        <v>285.53199999999998</v>
      </c>
      <c r="Z848" s="45">
        <f>OrdersRawTable9[[#This Row],[Unit_Cost]]*OrdersRawTable9[[#This Row],[Quantity]]</f>
        <v>158.86000000000001</v>
      </c>
      <c r="AA848" s="45">
        <f>OrdersRawTable9[[#This Row],[Net_Sales]]-OrdersRawTable9[[#This Row],[Total_Cost]]</f>
        <v>126.67199999999997</v>
      </c>
      <c r="AB848" s="48">
        <f>IF(OrdersRawTable9[[#This Row],[Net_Sales]]=0,0,OrdersRawTable9[[#This Row],[Profit]]/OrdersRawTable9[[#This Row],[Net_Sales]])</f>
        <v>0.44363503915498081</v>
      </c>
      <c r="AC848" s="45" t="str">
        <f>IF(COUNTIF(ReturnsRawTable[Order_Line_ID],OrdersRawTable9[[#This Row],[Order_Line_ID]])&gt;0,"Yes","No")</f>
        <v>No</v>
      </c>
      <c r="AD848" s="45" t="str">
        <f>IFERROR(VLOOKUP(OrdersRawTable9[[#This Row],[Order_Line_ID]],ReturnsRawTable[[#All],[Order_Line_ID]:[Return_Reason_Raw]],3,FALSE),"")</f>
        <v/>
      </c>
      <c r="AE848" s="49" t="str">
        <f>IFERROR(VLOOKUP(OrdersRawTable9[[#This Row],[Order_Line_ID]],ReturnsRawTable[[#All],[Order_Line_ID]:[Return_Date]],2,FALSE),"")</f>
        <v/>
      </c>
      <c r="AF848" s="45" t="str">
        <f>IFERROR(VLOOKUP(OrdersRawTable9[[#This Row],[Order_Line_ID]],ReturnsRawTable[[Order_Line_ID]:[Refund_Status]],4,FALSE),"")</f>
        <v/>
      </c>
      <c r="AG848" s="45" t="str">
        <f>VLOOKUP(OrdersRawTable9[[#This Row],[Order_ID]],ShipmentsTable[],6,FALSE)</f>
        <v>Late</v>
      </c>
      <c r="AH848" s="49">
        <f>VLOOKUP(OrdersRawTable9[[#This Row],[Order_ID]],ShipmentsTable[],3,FALSE)</f>
        <v>45811</v>
      </c>
    </row>
    <row r="849" spans="1:34" ht="15" customHeight="1">
      <c r="A849" s="14" t="s">
        <v>1611</v>
      </c>
      <c r="B849" s="10" t="s">
        <v>1612</v>
      </c>
      <c r="C849" s="20">
        <v>45895</v>
      </c>
      <c r="D849" s="10" t="s">
        <v>927</v>
      </c>
      <c r="E849" s="10" t="s">
        <v>928</v>
      </c>
      <c r="F849" s="10" t="str">
        <f>TRIM(LEFT(OrdersRawTable9[[#This Row],[Customer_Info]],FIND(",",OrdersRawTable9[[#This Row],[Customer_Info]])-1))</f>
        <v>Daniel Wilson</v>
      </c>
      <c r="G84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849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849" s="10">
        <f>LEN(OrdersRawTable9[[#This Row],[Customer_Info]])-LEN(SUBSTITUTE(OrdersRawTable9[[#This Row],[Customer_Info]],",",""))</f>
        <v>2</v>
      </c>
      <c r="J849" s="10" t="s">
        <v>468</v>
      </c>
      <c r="K849" s="23">
        <v>4</v>
      </c>
      <c r="L849" s="26">
        <v>160</v>
      </c>
      <c r="M849" s="29">
        <v>0</v>
      </c>
      <c r="N849" s="10" t="s">
        <v>45</v>
      </c>
      <c r="O849" s="10" t="str">
        <f>IF(TRIM(OrdersRawTable9[[#This Row],[Sales_Channel_Raw]])="Market place","Marketplace",TRIM(OrdersRawTable9[[#This Row],[Sales_Channel_Raw]]))</f>
        <v>Retail Store</v>
      </c>
      <c r="P849" s="10"/>
      <c r="Q849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849" s="15" t="s">
        <v>47</v>
      </c>
      <c r="S849" t="str">
        <f>VLOOKUP(OrdersRawTable9[[#This Row],[Customer_ID_Raw]],CustomersTable11[],4,FALSE)</f>
        <v>British Columbia</v>
      </c>
      <c r="T849" t="str">
        <f>VLOOKUP(OrdersRawTable9[[#This Row],[Customer_ID_Raw]],CustomersTable11[],5,FALSE)</f>
        <v>Consumer</v>
      </c>
      <c r="U849" s="45">
        <f>VLOOKUP(OrdersRawTable9[[#This Row],[Product_ID]],ProductsTable10[],4,FALSE)</f>
        <v>101.58</v>
      </c>
      <c r="V849" t="str">
        <f>VLOOKUP(OrdersRawTable9[[#This Row],[Product_ID]],ProductsTable10[],3,FALSE)</f>
        <v>Fitness</v>
      </c>
      <c r="W849" s="45">
        <f>OrdersRawTable9[[#This Row],[Unit_Price]]*OrdersRawTable9[[#This Row],[Quantity]]</f>
        <v>640</v>
      </c>
      <c r="X849" s="47">
        <f>OrdersRawTable9[[#This Row],[Gross_Sales]]*OrdersRawTable9[[#This Row],[Discount_Pct]]</f>
        <v>0</v>
      </c>
      <c r="Y849" s="45">
        <f>OrdersRawTable9[[#This Row],[Gross_Sales]]-OrdersRawTable9[[#This Row],[Discount_Amount]]</f>
        <v>640</v>
      </c>
      <c r="Z849" s="45">
        <f>OrdersRawTable9[[#This Row],[Unit_Cost]]*OrdersRawTable9[[#This Row],[Quantity]]</f>
        <v>406.32</v>
      </c>
      <c r="AA849" s="45">
        <f>OrdersRawTable9[[#This Row],[Net_Sales]]-OrdersRawTable9[[#This Row],[Total_Cost]]</f>
        <v>233.68</v>
      </c>
      <c r="AB849" s="48">
        <f>IF(OrdersRawTable9[[#This Row],[Net_Sales]]=0,0,OrdersRawTable9[[#This Row],[Profit]]/OrdersRawTable9[[#This Row],[Net_Sales]])</f>
        <v>0.36512500000000003</v>
      </c>
      <c r="AC849" s="45" t="str">
        <f>IF(COUNTIF(ReturnsRawTable[Order_Line_ID],OrdersRawTable9[[#This Row],[Order_Line_ID]])&gt;0,"Yes","No")</f>
        <v>No</v>
      </c>
      <c r="AD849" s="45" t="str">
        <f>IFERROR(VLOOKUP(OrdersRawTable9[[#This Row],[Order_Line_ID]],ReturnsRawTable[[#All],[Order_Line_ID]:[Return_Reason_Raw]],3,FALSE),"")</f>
        <v/>
      </c>
      <c r="AE849" s="49" t="str">
        <f>IFERROR(VLOOKUP(OrdersRawTable9[[#This Row],[Order_Line_ID]],ReturnsRawTable[[#All],[Order_Line_ID]:[Return_Date]],2,FALSE),"")</f>
        <v/>
      </c>
      <c r="AF849" s="45" t="str">
        <f>IFERROR(VLOOKUP(OrdersRawTable9[[#This Row],[Order_Line_ID]],ReturnsRawTable[[Order_Line_ID]:[Refund_Status]],4,FALSE),"")</f>
        <v/>
      </c>
      <c r="AG849" s="45" t="str">
        <f>VLOOKUP(OrdersRawTable9[[#This Row],[Order_ID]],ShipmentsTable[],6,FALSE)</f>
        <v>On time</v>
      </c>
      <c r="AH849" s="49">
        <f>VLOOKUP(OrdersRawTable9[[#This Row],[Order_ID]],ShipmentsTable[],3,FALSE)</f>
        <v>45899</v>
      </c>
    </row>
    <row r="850" spans="1:34" ht="15" customHeight="1">
      <c r="A850" s="14" t="s">
        <v>1613</v>
      </c>
      <c r="B850" s="10" t="s">
        <v>1612</v>
      </c>
      <c r="C850" s="20">
        <v>45895</v>
      </c>
      <c r="D850" s="10" t="s">
        <v>927</v>
      </c>
      <c r="E850" s="10" t="s">
        <v>928</v>
      </c>
      <c r="F850" s="10" t="str">
        <f>TRIM(LEFT(OrdersRawTable9[[#This Row],[Customer_Info]],FIND(",",OrdersRawTable9[[#This Row],[Customer_Info]])-1))</f>
        <v>Daniel Wilson</v>
      </c>
      <c r="G85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850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850" s="10">
        <f>LEN(OrdersRawTable9[[#This Row],[Customer_Info]])-LEN(SUBSTITUTE(OrdersRawTable9[[#This Row],[Customer_Info]],",",""))</f>
        <v>2</v>
      </c>
      <c r="J850" s="10" t="s">
        <v>316</v>
      </c>
      <c r="K850" s="23">
        <v>1</v>
      </c>
      <c r="L850" s="26">
        <v>180.37</v>
      </c>
      <c r="M850" s="29">
        <v>0.15</v>
      </c>
      <c r="N850" s="10" t="s">
        <v>45</v>
      </c>
      <c r="O850" s="10" t="str">
        <f>IF(TRIM(OrdersRawTable9[[#This Row],[Sales_Channel_Raw]])="Market place","Marketplace",TRIM(OrdersRawTable9[[#This Row],[Sales_Channel_Raw]]))</f>
        <v>Retail Store</v>
      </c>
      <c r="P850" s="10" t="s">
        <v>98</v>
      </c>
      <c r="Q850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850" s="15" t="s">
        <v>52</v>
      </c>
      <c r="S850" t="str">
        <f>VLOOKUP(OrdersRawTable9[[#This Row],[Customer_ID_Raw]],CustomersTable11[],4,FALSE)</f>
        <v>British Columbia</v>
      </c>
      <c r="T850" t="str">
        <f>VLOOKUP(OrdersRawTable9[[#This Row],[Customer_ID_Raw]],CustomersTable11[],5,FALSE)</f>
        <v>Consumer</v>
      </c>
      <c r="U850" s="45">
        <f>VLOOKUP(OrdersRawTable9[[#This Row],[Product_ID]],ProductsTable10[],4,FALSE)</f>
        <v>107.55</v>
      </c>
      <c r="V850" t="str">
        <f>VLOOKUP(OrdersRawTable9[[#This Row],[Product_ID]],ProductsTable10[],3,FALSE)</f>
        <v>Accessories</v>
      </c>
      <c r="W850" s="45">
        <f>OrdersRawTable9[[#This Row],[Unit_Price]]*OrdersRawTable9[[#This Row],[Quantity]]</f>
        <v>180.37</v>
      </c>
      <c r="X850" s="47">
        <f>OrdersRawTable9[[#This Row],[Gross_Sales]]*OrdersRawTable9[[#This Row],[Discount_Pct]]</f>
        <v>27.055499999999999</v>
      </c>
      <c r="Y850" s="45">
        <f>OrdersRawTable9[[#This Row],[Gross_Sales]]-OrdersRawTable9[[#This Row],[Discount_Amount]]</f>
        <v>153.31450000000001</v>
      </c>
      <c r="Z850" s="45">
        <f>OrdersRawTable9[[#This Row],[Unit_Cost]]*OrdersRawTable9[[#This Row],[Quantity]]</f>
        <v>107.55</v>
      </c>
      <c r="AA850" s="45">
        <f>OrdersRawTable9[[#This Row],[Net_Sales]]-OrdersRawTable9[[#This Row],[Total_Cost]]</f>
        <v>45.764500000000012</v>
      </c>
      <c r="AB850" s="48">
        <f>IF(OrdersRawTable9[[#This Row],[Net_Sales]]=0,0,OrdersRawTable9[[#This Row],[Profit]]/OrdersRawTable9[[#This Row],[Net_Sales]])</f>
        <v>0.29850079411927777</v>
      </c>
      <c r="AC850" s="45" t="str">
        <f>IF(COUNTIF(ReturnsRawTable[Order_Line_ID],OrdersRawTable9[[#This Row],[Order_Line_ID]])&gt;0,"Yes","No")</f>
        <v>No</v>
      </c>
      <c r="AD850" s="45" t="str">
        <f>IFERROR(VLOOKUP(OrdersRawTable9[[#This Row],[Order_Line_ID]],ReturnsRawTable[[#All],[Order_Line_ID]:[Return_Reason_Raw]],3,FALSE),"")</f>
        <v/>
      </c>
      <c r="AE850" s="49" t="str">
        <f>IFERROR(VLOOKUP(OrdersRawTable9[[#This Row],[Order_Line_ID]],ReturnsRawTable[[#All],[Order_Line_ID]:[Return_Date]],2,FALSE),"")</f>
        <v/>
      </c>
      <c r="AF850" s="45" t="str">
        <f>IFERROR(VLOOKUP(OrdersRawTable9[[#This Row],[Order_Line_ID]],ReturnsRawTable[[Order_Line_ID]:[Refund_Status]],4,FALSE),"")</f>
        <v/>
      </c>
      <c r="AG850" s="45" t="str">
        <f>VLOOKUP(OrdersRawTable9[[#This Row],[Order_ID]],ShipmentsTable[],6,FALSE)</f>
        <v>On time</v>
      </c>
      <c r="AH850" s="49">
        <f>VLOOKUP(OrdersRawTable9[[#This Row],[Order_ID]],ShipmentsTable[],3,FALSE)</f>
        <v>45899</v>
      </c>
    </row>
    <row r="851" spans="1:34" ht="15" customHeight="1">
      <c r="A851" s="14" t="s">
        <v>1614</v>
      </c>
      <c r="B851" s="10" t="s">
        <v>1612</v>
      </c>
      <c r="C851" s="20">
        <v>45895</v>
      </c>
      <c r="D851" s="10" t="s">
        <v>927</v>
      </c>
      <c r="E851" s="10" t="s">
        <v>928</v>
      </c>
      <c r="F851" s="10" t="str">
        <f>TRIM(LEFT(OrdersRawTable9[[#This Row],[Customer_Info]],FIND(",",OrdersRawTable9[[#This Row],[Customer_Info]])-1))</f>
        <v>Daniel Wilson</v>
      </c>
      <c r="G85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851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851" s="10">
        <f>LEN(OrdersRawTable9[[#This Row],[Customer_Info]])-LEN(SUBSTITUTE(OrdersRawTable9[[#This Row],[Customer_Info]],",",""))</f>
        <v>2</v>
      </c>
      <c r="J851" s="10" t="s">
        <v>49</v>
      </c>
      <c r="K851" s="23">
        <v>3</v>
      </c>
      <c r="L851" s="26">
        <v>300.16000000000003</v>
      </c>
      <c r="M851" s="29">
        <v>0.1</v>
      </c>
      <c r="N851" s="10" t="s">
        <v>40</v>
      </c>
      <c r="O851" s="10" t="str">
        <f>IF(TRIM(OrdersRawTable9[[#This Row],[Sales_Channel_Raw]])="Market place","Marketplace",TRIM(OrdersRawTable9[[#This Row],[Sales_Channel_Raw]]))</f>
        <v>Online</v>
      </c>
      <c r="P851" s="10" t="s">
        <v>46</v>
      </c>
      <c r="Q851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851" s="15" t="s">
        <v>67</v>
      </c>
      <c r="S851" t="str">
        <f>VLOOKUP(OrdersRawTable9[[#This Row],[Customer_ID_Raw]],CustomersTable11[],4,FALSE)</f>
        <v>British Columbia</v>
      </c>
      <c r="T851" t="str">
        <f>VLOOKUP(OrdersRawTable9[[#This Row],[Customer_ID_Raw]],CustomersTable11[],5,FALSE)</f>
        <v>Consumer</v>
      </c>
      <c r="U851" s="45">
        <f>VLOOKUP(OrdersRawTable9[[#This Row],[Product_ID]],ProductsTable10[],4,FALSE)</f>
        <v>158.46</v>
      </c>
      <c r="V851" t="str">
        <f>VLOOKUP(OrdersRawTable9[[#This Row],[Product_ID]],ProductsTable10[],3,FALSE)</f>
        <v>Office</v>
      </c>
      <c r="W851" s="45">
        <f>OrdersRawTable9[[#This Row],[Unit_Price]]*OrdersRawTable9[[#This Row],[Quantity]]</f>
        <v>900.48</v>
      </c>
      <c r="X851" s="47">
        <f>OrdersRawTable9[[#This Row],[Gross_Sales]]*OrdersRawTable9[[#This Row],[Discount_Pct]]</f>
        <v>90.048000000000002</v>
      </c>
      <c r="Y851" s="45">
        <f>OrdersRawTable9[[#This Row],[Gross_Sales]]-OrdersRawTable9[[#This Row],[Discount_Amount]]</f>
        <v>810.43200000000002</v>
      </c>
      <c r="Z851" s="45">
        <f>OrdersRawTable9[[#This Row],[Unit_Cost]]*OrdersRawTable9[[#This Row],[Quantity]]</f>
        <v>475.38</v>
      </c>
      <c r="AA851" s="45">
        <f>OrdersRawTable9[[#This Row],[Net_Sales]]-OrdersRawTable9[[#This Row],[Total_Cost]]</f>
        <v>335.05200000000002</v>
      </c>
      <c r="AB851" s="48">
        <f>IF(OrdersRawTable9[[#This Row],[Net_Sales]]=0,0,OrdersRawTable9[[#This Row],[Profit]]/OrdersRawTable9[[#This Row],[Net_Sales]])</f>
        <v>0.41342395167022034</v>
      </c>
      <c r="AC851" s="45" t="str">
        <f>IF(COUNTIF(ReturnsRawTable[Order_Line_ID],OrdersRawTable9[[#This Row],[Order_Line_ID]])&gt;0,"Yes","No")</f>
        <v>No</v>
      </c>
      <c r="AD851" s="45" t="str">
        <f>IFERROR(VLOOKUP(OrdersRawTable9[[#This Row],[Order_Line_ID]],ReturnsRawTable[[#All],[Order_Line_ID]:[Return_Reason_Raw]],3,FALSE),"")</f>
        <v/>
      </c>
      <c r="AE851" s="49" t="str">
        <f>IFERROR(VLOOKUP(OrdersRawTable9[[#This Row],[Order_Line_ID]],ReturnsRawTable[[#All],[Order_Line_ID]:[Return_Date]],2,FALSE),"")</f>
        <v/>
      </c>
      <c r="AF851" s="45" t="str">
        <f>IFERROR(VLOOKUP(OrdersRawTable9[[#This Row],[Order_Line_ID]],ReturnsRawTable[[Order_Line_ID]:[Refund_Status]],4,FALSE),"")</f>
        <v/>
      </c>
      <c r="AG851" s="45" t="str">
        <f>VLOOKUP(OrdersRawTable9[[#This Row],[Order_ID]],ShipmentsTable[],6,FALSE)</f>
        <v>On time</v>
      </c>
      <c r="AH851" s="49">
        <f>VLOOKUP(OrdersRawTable9[[#This Row],[Order_ID]],ShipmentsTable[],3,FALSE)</f>
        <v>45899</v>
      </c>
    </row>
    <row r="852" spans="1:34" ht="15" customHeight="1">
      <c r="A852" s="14" t="s">
        <v>1615</v>
      </c>
      <c r="B852" s="10" t="s">
        <v>1612</v>
      </c>
      <c r="C852" s="20">
        <v>45895</v>
      </c>
      <c r="D852" s="10" t="s">
        <v>927</v>
      </c>
      <c r="E852" s="10" t="s">
        <v>928</v>
      </c>
      <c r="F852" s="10" t="str">
        <f>TRIM(LEFT(OrdersRawTable9[[#This Row],[Customer_Info]],FIND(",",OrdersRawTable9[[#This Row],[Customer_Info]])-1))</f>
        <v>Daniel Wilson</v>
      </c>
      <c r="G85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852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852" s="10">
        <f>LEN(OrdersRawTable9[[#This Row],[Customer_Info]])-LEN(SUBSTITUTE(OrdersRawTable9[[#This Row],[Customer_Info]],",",""))</f>
        <v>2</v>
      </c>
      <c r="J852" s="10" t="s">
        <v>150</v>
      </c>
      <c r="K852" s="23">
        <v>3</v>
      </c>
      <c r="L852" s="26">
        <v>263.04000000000002</v>
      </c>
      <c r="M852" s="29">
        <v>0.15</v>
      </c>
      <c r="N852" s="10" t="s">
        <v>66</v>
      </c>
      <c r="O852" s="10" t="str">
        <f>IF(TRIM(OrdersRawTable9[[#This Row],[Sales_Channel_Raw]])="Market place","Marketplace",TRIM(OrdersRawTable9[[#This Row],[Sales_Channel_Raw]]))</f>
        <v>Marketplace</v>
      </c>
      <c r="P852" s="10" t="s">
        <v>51</v>
      </c>
      <c r="Q852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852" s="15" t="s">
        <v>67</v>
      </c>
      <c r="S852" t="str">
        <f>VLOOKUP(OrdersRawTable9[[#This Row],[Customer_ID_Raw]],CustomersTable11[],4,FALSE)</f>
        <v>British Columbia</v>
      </c>
      <c r="T852" t="str">
        <f>VLOOKUP(OrdersRawTable9[[#This Row],[Customer_ID_Raw]],CustomersTable11[],5,FALSE)</f>
        <v>Consumer</v>
      </c>
      <c r="U852" s="45">
        <f>VLOOKUP(OrdersRawTable9[[#This Row],[Product_ID]],ProductsTable10[],4,FALSE)</f>
        <v>161.84</v>
      </c>
      <c r="V852" t="str">
        <f>VLOOKUP(OrdersRawTable9[[#This Row],[Product_ID]],ProductsTable10[],3,FALSE)</f>
        <v>Office</v>
      </c>
      <c r="W852" s="45">
        <f>OrdersRawTable9[[#This Row],[Unit_Price]]*OrdersRawTable9[[#This Row],[Quantity]]</f>
        <v>789.12000000000012</v>
      </c>
      <c r="X852" s="47">
        <f>OrdersRawTable9[[#This Row],[Gross_Sales]]*OrdersRawTable9[[#This Row],[Discount_Pct]]</f>
        <v>118.36800000000001</v>
      </c>
      <c r="Y852" s="45">
        <f>OrdersRawTable9[[#This Row],[Gross_Sales]]-OrdersRawTable9[[#This Row],[Discount_Amount]]</f>
        <v>670.75200000000007</v>
      </c>
      <c r="Z852" s="45">
        <f>OrdersRawTable9[[#This Row],[Unit_Cost]]*OrdersRawTable9[[#This Row],[Quantity]]</f>
        <v>485.52</v>
      </c>
      <c r="AA852" s="45">
        <f>OrdersRawTable9[[#This Row],[Net_Sales]]-OrdersRawTable9[[#This Row],[Total_Cost]]</f>
        <v>185.23200000000008</v>
      </c>
      <c r="AB852" s="48">
        <f>IF(OrdersRawTable9[[#This Row],[Net_Sales]]=0,0,OrdersRawTable9[[#This Row],[Profit]]/OrdersRawTable9[[#This Row],[Net_Sales]])</f>
        <v>0.27615571776155728</v>
      </c>
      <c r="AC852" s="45" t="str">
        <f>IF(COUNTIF(ReturnsRawTable[Order_Line_ID],OrdersRawTable9[[#This Row],[Order_Line_ID]])&gt;0,"Yes","No")</f>
        <v>No</v>
      </c>
      <c r="AD852" s="45" t="str">
        <f>IFERROR(VLOOKUP(OrdersRawTable9[[#This Row],[Order_Line_ID]],ReturnsRawTable[[#All],[Order_Line_ID]:[Return_Reason_Raw]],3,FALSE),"")</f>
        <v/>
      </c>
      <c r="AE852" s="49" t="str">
        <f>IFERROR(VLOOKUP(OrdersRawTable9[[#This Row],[Order_Line_ID]],ReturnsRawTable[[#All],[Order_Line_ID]:[Return_Date]],2,FALSE),"")</f>
        <v/>
      </c>
      <c r="AF852" s="45" t="str">
        <f>IFERROR(VLOOKUP(OrdersRawTable9[[#This Row],[Order_Line_ID]],ReturnsRawTable[[Order_Line_ID]:[Refund_Status]],4,FALSE),"")</f>
        <v/>
      </c>
      <c r="AG852" s="45" t="str">
        <f>VLOOKUP(OrdersRawTable9[[#This Row],[Order_ID]],ShipmentsTable[],6,FALSE)</f>
        <v>On time</v>
      </c>
      <c r="AH852" s="49">
        <f>VLOOKUP(OrdersRawTable9[[#This Row],[Order_ID]],ShipmentsTable[],3,FALSE)</f>
        <v>45899</v>
      </c>
    </row>
    <row r="853" spans="1:34" ht="15" customHeight="1">
      <c r="A853" s="14" t="s">
        <v>1616</v>
      </c>
      <c r="B853" s="10" t="s">
        <v>1617</v>
      </c>
      <c r="C853" s="20">
        <v>45691</v>
      </c>
      <c r="D853" s="10" t="s">
        <v>645</v>
      </c>
      <c r="E853" s="10" t="s">
        <v>646</v>
      </c>
      <c r="F853" s="10" t="str">
        <f>TRIM(LEFT(OrdersRawTable9[[#This Row],[Customer_Info]],FIND(",",OrdersRawTable9[[#This Row],[Customer_Info]])-1))</f>
        <v>Sara Gagnon</v>
      </c>
      <c r="G85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853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853" s="10">
        <f>LEN(OrdersRawTable9[[#This Row],[Customer_Info]])-LEN(SUBSTITUTE(OrdersRawTable9[[#This Row],[Customer_Info]],",",""))</f>
        <v>2</v>
      </c>
      <c r="J853" s="10" t="s">
        <v>456</v>
      </c>
      <c r="K853" s="23">
        <v>2</v>
      </c>
      <c r="L853" s="26">
        <v>275.76</v>
      </c>
      <c r="M853" s="29">
        <v>0.05</v>
      </c>
      <c r="N853" s="10" t="s">
        <v>64</v>
      </c>
      <c r="O853" s="10" t="str">
        <f>IF(TRIM(OrdersRawTable9[[#This Row],[Sales_Channel_Raw]])="Market place","Marketplace",TRIM(OrdersRawTable9[[#This Row],[Sales_Channel_Raw]]))</f>
        <v>Retail Store</v>
      </c>
      <c r="P853" s="10" t="s">
        <v>46</v>
      </c>
      <c r="Q853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853" s="15" t="s">
        <v>42</v>
      </c>
      <c r="S853" t="str">
        <f>VLOOKUP(OrdersRawTable9[[#This Row],[Customer_ID_Raw]],CustomersTable11[],4,FALSE)</f>
        <v>Nova Scotia</v>
      </c>
      <c r="T853" t="str">
        <f>VLOOKUP(OrdersRawTable9[[#This Row],[Customer_ID_Raw]],CustomersTable11[],5,FALSE)</f>
        <v>Corporate</v>
      </c>
      <c r="U853" s="45">
        <f>VLOOKUP(OrdersRawTable9[[#This Row],[Product_ID]],ProductsTable10[],4,FALSE)</f>
        <v>156.97</v>
      </c>
      <c r="V853" t="str">
        <f>VLOOKUP(OrdersRawTable9[[#This Row],[Product_ID]],ProductsTable10[],3,FALSE)</f>
        <v>Home</v>
      </c>
      <c r="W853" s="45">
        <f>OrdersRawTable9[[#This Row],[Unit_Price]]*OrdersRawTable9[[#This Row],[Quantity]]</f>
        <v>551.52</v>
      </c>
      <c r="X853" s="47">
        <f>OrdersRawTable9[[#This Row],[Gross_Sales]]*OrdersRawTable9[[#This Row],[Discount_Pct]]</f>
        <v>27.576000000000001</v>
      </c>
      <c r="Y853" s="45">
        <f>OrdersRawTable9[[#This Row],[Gross_Sales]]-OrdersRawTable9[[#This Row],[Discount_Amount]]</f>
        <v>523.94399999999996</v>
      </c>
      <c r="Z853" s="45">
        <f>OrdersRawTable9[[#This Row],[Unit_Cost]]*OrdersRawTable9[[#This Row],[Quantity]]</f>
        <v>313.94</v>
      </c>
      <c r="AA853" s="45">
        <f>OrdersRawTable9[[#This Row],[Net_Sales]]-OrdersRawTable9[[#This Row],[Total_Cost]]</f>
        <v>210.00399999999996</v>
      </c>
      <c r="AB853" s="48">
        <f>IF(OrdersRawTable9[[#This Row],[Net_Sales]]=0,0,OrdersRawTable9[[#This Row],[Profit]]/OrdersRawTable9[[#This Row],[Net_Sales]])</f>
        <v>0.40081382743193927</v>
      </c>
      <c r="AC853" s="45" t="str">
        <f>IF(COUNTIF(ReturnsRawTable[Order_Line_ID],OrdersRawTable9[[#This Row],[Order_Line_ID]])&gt;0,"Yes","No")</f>
        <v>No</v>
      </c>
      <c r="AD853" s="45" t="str">
        <f>IFERROR(VLOOKUP(OrdersRawTable9[[#This Row],[Order_Line_ID]],ReturnsRawTable[[#All],[Order_Line_ID]:[Return_Reason_Raw]],3,FALSE),"")</f>
        <v/>
      </c>
      <c r="AE853" s="49" t="str">
        <f>IFERROR(VLOOKUP(OrdersRawTable9[[#This Row],[Order_Line_ID]],ReturnsRawTable[[#All],[Order_Line_ID]:[Return_Date]],2,FALSE),"")</f>
        <v/>
      </c>
      <c r="AF853" s="45" t="str">
        <f>IFERROR(VLOOKUP(OrdersRawTable9[[#This Row],[Order_Line_ID]],ReturnsRawTable[[Order_Line_ID]:[Refund_Status]],4,FALSE),"")</f>
        <v/>
      </c>
      <c r="AG853" s="45" t="str">
        <f>VLOOKUP(OrdersRawTable9[[#This Row],[Order_ID]],ShipmentsTable[],6,FALSE)</f>
        <v>On time</v>
      </c>
      <c r="AH853" s="49">
        <f>VLOOKUP(OrdersRawTable9[[#This Row],[Order_ID]],ShipmentsTable[],3,FALSE)</f>
        <v>45693</v>
      </c>
    </row>
    <row r="854" spans="1:34" ht="15" customHeight="1">
      <c r="A854" s="14" t="s">
        <v>1618</v>
      </c>
      <c r="B854" s="10" t="s">
        <v>1617</v>
      </c>
      <c r="C854" s="20">
        <v>45691</v>
      </c>
      <c r="D854" s="10" t="s">
        <v>645</v>
      </c>
      <c r="E854" s="10" t="s">
        <v>646</v>
      </c>
      <c r="F854" s="10" t="str">
        <f>TRIM(LEFT(OrdersRawTable9[[#This Row],[Customer_Info]],FIND(",",OrdersRawTable9[[#This Row],[Customer_Info]])-1))</f>
        <v>Sara Gagnon</v>
      </c>
      <c r="G85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854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854" s="10">
        <f>LEN(OrdersRawTable9[[#This Row],[Customer_Info]])-LEN(SUBSTITUTE(OrdersRawTable9[[#This Row],[Customer_Info]],",",""))</f>
        <v>2</v>
      </c>
      <c r="J854" s="10" t="s">
        <v>93</v>
      </c>
      <c r="K854" s="23">
        <v>3</v>
      </c>
      <c r="L854" s="26">
        <v>208.89</v>
      </c>
      <c r="M854" s="29">
        <v>0.1</v>
      </c>
      <c r="N854" s="10" t="s">
        <v>40</v>
      </c>
      <c r="O854" s="10" t="str">
        <f>IF(TRIM(OrdersRawTable9[[#This Row],[Sales_Channel_Raw]])="Market place","Marketplace",TRIM(OrdersRawTable9[[#This Row],[Sales_Channel_Raw]]))</f>
        <v>Online</v>
      </c>
      <c r="P854" s="10" t="s">
        <v>58</v>
      </c>
      <c r="Q854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854" s="15" t="s">
        <v>101</v>
      </c>
      <c r="S854" t="str">
        <f>VLOOKUP(OrdersRawTable9[[#This Row],[Customer_ID_Raw]],CustomersTable11[],4,FALSE)</f>
        <v>Nova Scotia</v>
      </c>
      <c r="T854" t="str">
        <f>VLOOKUP(OrdersRawTable9[[#This Row],[Customer_ID_Raw]],CustomersTable11[],5,FALSE)</f>
        <v>Corporate</v>
      </c>
      <c r="U854" s="45">
        <f>VLOOKUP(OrdersRawTable9[[#This Row],[Product_ID]],ProductsTable10[],4,FALSE)</f>
        <v>133.05000000000001</v>
      </c>
      <c r="V854" t="str">
        <f>VLOOKUP(OrdersRawTable9[[#This Row],[Product_ID]],ProductsTable10[],3,FALSE)</f>
        <v>Accessories</v>
      </c>
      <c r="W854" s="45">
        <f>OrdersRawTable9[[#This Row],[Unit_Price]]*OrdersRawTable9[[#This Row],[Quantity]]</f>
        <v>626.66999999999996</v>
      </c>
      <c r="X854" s="47">
        <f>OrdersRawTable9[[#This Row],[Gross_Sales]]*OrdersRawTable9[[#This Row],[Discount_Pct]]</f>
        <v>62.667000000000002</v>
      </c>
      <c r="Y854" s="45">
        <f>OrdersRawTable9[[#This Row],[Gross_Sales]]-OrdersRawTable9[[#This Row],[Discount_Amount]]</f>
        <v>564.00299999999993</v>
      </c>
      <c r="Z854" s="45">
        <f>OrdersRawTable9[[#This Row],[Unit_Cost]]*OrdersRawTable9[[#This Row],[Quantity]]</f>
        <v>399.15000000000003</v>
      </c>
      <c r="AA854" s="45">
        <f>OrdersRawTable9[[#This Row],[Net_Sales]]-OrdersRawTable9[[#This Row],[Total_Cost]]</f>
        <v>164.85299999999989</v>
      </c>
      <c r="AB854" s="48">
        <f>IF(OrdersRawTable9[[#This Row],[Net_Sales]]=0,0,OrdersRawTable9[[#This Row],[Profit]]/OrdersRawTable9[[#This Row],[Net_Sales]])</f>
        <v>0.29229099845213574</v>
      </c>
      <c r="AC854" s="45" t="str">
        <f>IF(COUNTIF(ReturnsRawTable[Order_Line_ID],OrdersRawTable9[[#This Row],[Order_Line_ID]])&gt;0,"Yes","No")</f>
        <v>No</v>
      </c>
      <c r="AD854" s="45" t="str">
        <f>IFERROR(VLOOKUP(OrdersRawTable9[[#This Row],[Order_Line_ID]],ReturnsRawTable[[#All],[Order_Line_ID]:[Return_Reason_Raw]],3,FALSE),"")</f>
        <v/>
      </c>
      <c r="AE854" s="49" t="str">
        <f>IFERROR(VLOOKUP(OrdersRawTable9[[#This Row],[Order_Line_ID]],ReturnsRawTable[[#All],[Order_Line_ID]:[Return_Date]],2,FALSE),"")</f>
        <v/>
      </c>
      <c r="AF854" s="45" t="str">
        <f>IFERROR(VLOOKUP(OrdersRawTable9[[#This Row],[Order_Line_ID]],ReturnsRawTable[[Order_Line_ID]:[Refund_Status]],4,FALSE),"")</f>
        <v/>
      </c>
      <c r="AG854" s="45" t="str">
        <f>VLOOKUP(OrdersRawTable9[[#This Row],[Order_ID]],ShipmentsTable[],6,FALSE)</f>
        <v>On time</v>
      </c>
      <c r="AH854" s="49">
        <f>VLOOKUP(OrdersRawTable9[[#This Row],[Order_ID]],ShipmentsTable[],3,FALSE)</f>
        <v>45693</v>
      </c>
    </row>
    <row r="855" spans="1:34" ht="15" customHeight="1">
      <c r="A855" s="14" t="s">
        <v>1619</v>
      </c>
      <c r="B855" s="10" t="s">
        <v>1617</v>
      </c>
      <c r="C855" s="20">
        <v>45691</v>
      </c>
      <c r="D855" s="10" t="s">
        <v>645</v>
      </c>
      <c r="E855" s="10" t="s">
        <v>646</v>
      </c>
      <c r="F855" s="10" t="str">
        <f>TRIM(LEFT(OrdersRawTable9[[#This Row],[Customer_Info]],FIND(",",OrdersRawTable9[[#This Row],[Customer_Info]])-1))</f>
        <v>Sara Gagnon</v>
      </c>
      <c r="G85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855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855" s="10">
        <f>LEN(OrdersRawTable9[[#This Row],[Customer_Info]])-LEN(SUBSTITUTE(OrdersRawTable9[[#This Row],[Customer_Info]],",",""))</f>
        <v>2</v>
      </c>
      <c r="J855" s="10" t="s">
        <v>276</v>
      </c>
      <c r="K855" s="23">
        <v>1</v>
      </c>
      <c r="L855" s="26">
        <v>182.94</v>
      </c>
      <c r="M855" s="29">
        <v>0.05</v>
      </c>
      <c r="N855" s="10" t="s">
        <v>50</v>
      </c>
      <c r="O855" s="10" t="str">
        <f>IF(TRIM(OrdersRawTable9[[#This Row],[Sales_Channel_Raw]])="Market place","Marketplace",TRIM(OrdersRawTable9[[#This Row],[Sales_Channel_Raw]]))</f>
        <v>Marketplace</v>
      </c>
      <c r="P855" s="10" t="s">
        <v>46</v>
      </c>
      <c r="Q855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855" s="15" t="s">
        <v>101</v>
      </c>
      <c r="S855" t="str">
        <f>VLOOKUP(OrdersRawTable9[[#This Row],[Customer_ID_Raw]],CustomersTable11[],4,FALSE)</f>
        <v>Nova Scotia</v>
      </c>
      <c r="T855" t="str">
        <f>VLOOKUP(OrdersRawTable9[[#This Row],[Customer_ID_Raw]],CustomersTable11[],5,FALSE)</f>
        <v>Corporate</v>
      </c>
      <c r="U855" s="45">
        <f>VLOOKUP(OrdersRawTable9[[#This Row],[Product_ID]],ProductsTable10[],4,FALSE)</f>
        <v>118.95</v>
      </c>
      <c r="V855" t="str">
        <f>VLOOKUP(OrdersRawTable9[[#This Row],[Product_ID]],ProductsTable10[],3,FALSE)</f>
        <v>Fitness</v>
      </c>
      <c r="W855" s="45">
        <f>OrdersRawTable9[[#This Row],[Unit_Price]]*OrdersRawTable9[[#This Row],[Quantity]]</f>
        <v>182.94</v>
      </c>
      <c r="X855" s="47">
        <f>OrdersRawTable9[[#This Row],[Gross_Sales]]*OrdersRawTable9[[#This Row],[Discount_Pct]]</f>
        <v>9.1470000000000002</v>
      </c>
      <c r="Y855" s="45">
        <f>OrdersRawTable9[[#This Row],[Gross_Sales]]-OrdersRawTable9[[#This Row],[Discount_Amount]]</f>
        <v>173.79300000000001</v>
      </c>
      <c r="Z855" s="45">
        <f>OrdersRawTable9[[#This Row],[Unit_Cost]]*OrdersRawTable9[[#This Row],[Quantity]]</f>
        <v>118.95</v>
      </c>
      <c r="AA855" s="45">
        <f>OrdersRawTable9[[#This Row],[Net_Sales]]-OrdersRawTable9[[#This Row],[Total_Cost]]</f>
        <v>54.843000000000004</v>
      </c>
      <c r="AB855" s="48">
        <f>IF(OrdersRawTable9[[#This Row],[Net_Sales]]=0,0,OrdersRawTable9[[#This Row],[Profit]]/OrdersRawTable9[[#This Row],[Net_Sales]])</f>
        <v>0.31556506878873142</v>
      </c>
      <c r="AC855" s="45" t="str">
        <f>IF(COUNTIF(ReturnsRawTable[Order_Line_ID],OrdersRawTable9[[#This Row],[Order_Line_ID]])&gt;0,"Yes","No")</f>
        <v>No</v>
      </c>
      <c r="AD855" s="45" t="str">
        <f>IFERROR(VLOOKUP(OrdersRawTable9[[#This Row],[Order_Line_ID]],ReturnsRawTable[[#All],[Order_Line_ID]:[Return_Reason_Raw]],3,FALSE),"")</f>
        <v/>
      </c>
      <c r="AE855" s="49" t="str">
        <f>IFERROR(VLOOKUP(OrdersRawTable9[[#This Row],[Order_Line_ID]],ReturnsRawTable[[#All],[Order_Line_ID]:[Return_Date]],2,FALSE),"")</f>
        <v/>
      </c>
      <c r="AF855" s="45" t="str">
        <f>IFERROR(VLOOKUP(OrdersRawTable9[[#This Row],[Order_Line_ID]],ReturnsRawTable[[Order_Line_ID]:[Refund_Status]],4,FALSE),"")</f>
        <v/>
      </c>
      <c r="AG855" s="45" t="str">
        <f>VLOOKUP(OrdersRawTable9[[#This Row],[Order_ID]],ShipmentsTable[],6,FALSE)</f>
        <v>On time</v>
      </c>
      <c r="AH855" s="49">
        <f>VLOOKUP(OrdersRawTable9[[#This Row],[Order_ID]],ShipmentsTable[],3,FALSE)</f>
        <v>45693</v>
      </c>
    </row>
    <row r="856" spans="1:34" ht="15" customHeight="1">
      <c r="A856" s="14" t="s">
        <v>1620</v>
      </c>
      <c r="B856" s="10" t="s">
        <v>1617</v>
      </c>
      <c r="C856" s="20">
        <v>45691</v>
      </c>
      <c r="D856" s="10" t="s">
        <v>645</v>
      </c>
      <c r="E856" s="10" t="s">
        <v>646</v>
      </c>
      <c r="F856" s="10" t="str">
        <f>TRIM(LEFT(OrdersRawTable9[[#This Row],[Customer_Info]],FIND(",",OrdersRawTable9[[#This Row],[Customer_Info]])-1))</f>
        <v>Sara Gagnon</v>
      </c>
      <c r="G85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Halifax</v>
      </c>
      <c r="H856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856" s="10">
        <f>LEN(OrdersRawTable9[[#This Row],[Customer_Info]])-LEN(SUBSTITUTE(OrdersRawTable9[[#This Row],[Customer_Info]],",",""))</f>
        <v>2</v>
      </c>
      <c r="J856" s="10" t="s">
        <v>108</v>
      </c>
      <c r="K856" s="23">
        <v>1</v>
      </c>
      <c r="L856" s="26">
        <v>33.369999999999997</v>
      </c>
      <c r="M856" s="29">
        <v>0.05</v>
      </c>
      <c r="N856" s="10" t="s">
        <v>64</v>
      </c>
      <c r="O856" s="10" t="str">
        <f>IF(TRIM(OrdersRawTable9[[#This Row],[Sales_Channel_Raw]])="Market place","Marketplace",TRIM(OrdersRawTable9[[#This Row],[Sales_Channel_Raw]]))</f>
        <v>Retail Store</v>
      </c>
      <c r="P856" s="10" t="s">
        <v>46</v>
      </c>
      <c r="Q856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856" s="15" t="s">
        <v>67</v>
      </c>
      <c r="S856" t="str">
        <f>VLOOKUP(OrdersRawTable9[[#This Row],[Customer_ID_Raw]],CustomersTable11[],4,FALSE)</f>
        <v>Nova Scotia</v>
      </c>
      <c r="T856" t="str">
        <f>VLOOKUP(OrdersRawTable9[[#This Row],[Customer_ID_Raw]],CustomersTable11[],5,FALSE)</f>
        <v>Corporate</v>
      </c>
      <c r="U856" s="45">
        <f>VLOOKUP(OrdersRawTable9[[#This Row],[Product_ID]],ProductsTable10[],4,FALSE)</f>
        <v>18.670000000000002</v>
      </c>
      <c r="V856" t="str">
        <f>VLOOKUP(OrdersRawTable9[[#This Row],[Product_ID]],ProductsTable10[],3,FALSE)</f>
        <v>Fitness</v>
      </c>
      <c r="W856" s="45">
        <f>OrdersRawTable9[[#This Row],[Unit_Price]]*OrdersRawTable9[[#This Row],[Quantity]]</f>
        <v>33.369999999999997</v>
      </c>
      <c r="X856" s="47">
        <f>OrdersRawTable9[[#This Row],[Gross_Sales]]*OrdersRawTable9[[#This Row],[Discount_Pct]]</f>
        <v>1.6684999999999999</v>
      </c>
      <c r="Y856" s="45">
        <f>OrdersRawTable9[[#This Row],[Gross_Sales]]-OrdersRawTable9[[#This Row],[Discount_Amount]]</f>
        <v>31.701499999999996</v>
      </c>
      <c r="Z856" s="45">
        <f>OrdersRawTable9[[#This Row],[Unit_Cost]]*OrdersRawTable9[[#This Row],[Quantity]]</f>
        <v>18.670000000000002</v>
      </c>
      <c r="AA856" s="45">
        <f>OrdersRawTable9[[#This Row],[Net_Sales]]-OrdersRawTable9[[#This Row],[Total_Cost]]</f>
        <v>13.031499999999994</v>
      </c>
      <c r="AB856" s="48">
        <f>IF(OrdersRawTable9[[#This Row],[Net_Sales]]=0,0,OrdersRawTable9[[#This Row],[Profit]]/OrdersRawTable9[[#This Row],[Net_Sales]])</f>
        <v>0.41106887686702509</v>
      </c>
      <c r="AC856" s="45" t="str">
        <f>IF(COUNTIF(ReturnsRawTable[Order_Line_ID],OrdersRawTable9[[#This Row],[Order_Line_ID]])&gt;0,"Yes","No")</f>
        <v>No</v>
      </c>
      <c r="AD856" s="45" t="str">
        <f>IFERROR(VLOOKUP(OrdersRawTable9[[#This Row],[Order_Line_ID]],ReturnsRawTable[[#All],[Order_Line_ID]:[Return_Reason_Raw]],3,FALSE),"")</f>
        <v/>
      </c>
      <c r="AE856" s="49" t="str">
        <f>IFERROR(VLOOKUP(OrdersRawTable9[[#This Row],[Order_Line_ID]],ReturnsRawTable[[#All],[Order_Line_ID]:[Return_Date]],2,FALSE),"")</f>
        <v/>
      </c>
      <c r="AF856" s="45" t="str">
        <f>IFERROR(VLOOKUP(OrdersRawTable9[[#This Row],[Order_Line_ID]],ReturnsRawTable[[Order_Line_ID]:[Refund_Status]],4,FALSE),"")</f>
        <v/>
      </c>
      <c r="AG856" s="45" t="str">
        <f>VLOOKUP(OrdersRawTable9[[#This Row],[Order_ID]],ShipmentsTable[],6,FALSE)</f>
        <v>On time</v>
      </c>
      <c r="AH856" s="49">
        <f>VLOOKUP(OrdersRawTable9[[#This Row],[Order_ID]],ShipmentsTable[],3,FALSE)</f>
        <v>45693</v>
      </c>
    </row>
    <row r="857" spans="1:34" ht="15" customHeight="1">
      <c r="A857" s="14" t="s">
        <v>1621</v>
      </c>
      <c r="B857" s="10" t="s">
        <v>1622</v>
      </c>
      <c r="C857" s="20">
        <v>45816</v>
      </c>
      <c r="D857" s="10" t="s">
        <v>218</v>
      </c>
      <c r="E857" s="10" t="s">
        <v>219</v>
      </c>
      <c r="F857" s="10" t="str">
        <f>TRIM(LEFT(OrdersRawTable9[[#This Row],[Customer_Info]],FIND(",",OrdersRawTable9[[#This Row],[Customer_Info]])-1))</f>
        <v>Maya Johnson</v>
      </c>
      <c r="G85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857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857" s="10">
        <f>LEN(OrdersRawTable9[[#This Row],[Customer_Info]])-LEN(SUBSTITUTE(OrdersRawTable9[[#This Row],[Customer_Info]],",",""))</f>
        <v>2</v>
      </c>
      <c r="J857" s="10" t="s">
        <v>130</v>
      </c>
      <c r="K857" s="23">
        <v>3</v>
      </c>
      <c r="L857" s="26">
        <v>265.73</v>
      </c>
      <c r="M857" s="29">
        <v>0.05</v>
      </c>
      <c r="N857" s="10" t="s">
        <v>40</v>
      </c>
      <c r="O857" s="10" t="str">
        <f>IF(TRIM(OrdersRawTable9[[#This Row],[Sales_Channel_Raw]])="Market place","Marketplace",TRIM(OrdersRawTable9[[#This Row],[Sales_Channel_Raw]]))</f>
        <v>Online</v>
      </c>
      <c r="P857" s="10" t="s">
        <v>46</v>
      </c>
      <c r="Q857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857" s="15" t="s">
        <v>101</v>
      </c>
      <c r="S857" t="str">
        <f>VLOOKUP(OrdersRawTable9[[#This Row],[Customer_ID_Raw]],CustomersTable11[],4,FALSE)</f>
        <v>Alberta</v>
      </c>
      <c r="T857" t="str">
        <f>VLOOKUP(OrdersRawTable9[[#This Row],[Customer_ID_Raw]],CustomersTable11[],5,FALSE)</f>
        <v>Consumer</v>
      </c>
      <c r="U857" s="45">
        <f>VLOOKUP(OrdersRawTable9[[#This Row],[Product_ID]],ProductsTable10[],4,FALSE)</f>
        <v>154.16999999999999</v>
      </c>
      <c r="V857" t="str">
        <f>VLOOKUP(OrdersRawTable9[[#This Row],[Product_ID]],ProductsTable10[],3,FALSE)</f>
        <v>Electronics</v>
      </c>
      <c r="W857" s="45">
        <f>OrdersRawTable9[[#This Row],[Unit_Price]]*OrdersRawTable9[[#This Row],[Quantity]]</f>
        <v>797.19</v>
      </c>
      <c r="X857" s="47">
        <f>OrdersRawTable9[[#This Row],[Gross_Sales]]*OrdersRawTable9[[#This Row],[Discount_Pct]]</f>
        <v>39.859500000000004</v>
      </c>
      <c r="Y857" s="45">
        <f>OrdersRawTable9[[#This Row],[Gross_Sales]]-OrdersRawTable9[[#This Row],[Discount_Amount]]</f>
        <v>757.33050000000003</v>
      </c>
      <c r="Z857" s="45">
        <f>OrdersRawTable9[[#This Row],[Unit_Cost]]*OrdersRawTable9[[#This Row],[Quantity]]</f>
        <v>462.51</v>
      </c>
      <c r="AA857" s="45">
        <f>OrdersRawTable9[[#This Row],[Net_Sales]]-OrdersRawTable9[[#This Row],[Total_Cost]]</f>
        <v>294.82050000000004</v>
      </c>
      <c r="AB857" s="48">
        <f>IF(OrdersRawTable9[[#This Row],[Net_Sales]]=0,0,OrdersRawTable9[[#This Row],[Profit]]/OrdersRawTable9[[#This Row],[Net_Sales]])</f>
        <v>0.38928908844949467</v>
      </c>
      <c r="AC857" s="45" t="str">
        <f>IF(COUNTIF(ReturnsRawTable[Order_Line_ID],OrdersRawTable9[[#This Row],[Order_Line_ID]])&gt;0,"Yes","No")</f>
        <v>No</v>
      </c>
      <c r="AD857" s="45" t="str">
        <f>IFERROR(VLOOKUP(OrdersRawTable9[[#This Row],[Order_Line_ID]],ReturnsRawTable[[#All],[Order_Line_ID]:[Return_Reason_Raw]],3,FALSE),"")</f>
        <v/>
      </c>
      <c r="AE857" s="49" t="str">
        <f>IFERROR(VLOOKUP(OrdersRawTable9[[#This Row],[Order_Line_ID]],ReturnsRawTable[[#All],[Order_Line_ID]:[Return_Date]],2,FALSE),"")</f>
        <v/>
      </c>
      <c r="AF857" s="45" t="str">
        <f>IFERROR(VLOOKUP(OrdersRawTable9[[#This Row],[Order_Line_ID]],ReturnsRawTable[[Order_Line_ID]:[Refund_Status]],4,FALSE),"")</f>
        <v/>
      </c>
      <c r="AG857" s="45" t="str">
        <f>VLOOKUP(OrdersRawTable9[[#This Row],[Order_ID]],ShipmentsTable[],6,FALSE)</f>
        <v>Late</v>
      </c>
      <c r="AH857" s="49">
        <f>VLOOKUP(OrdersRawTable9[[#This Row],[Order_ID]],ShipmentsTable[],3,FALSE)</f>
        <v>45823</v>
      </c>
    </row>
    <row r="858" spans="1:34" ht="15" customHeight="1">
      <c r="A858" s="14" t="s">
        <v>1623</v>
      </c>
      <c r="B858" s="10" t="s">
        <v>1622</v>
      </c>
      <c r="C858" s="20">
        <v>45816</v>
      </c>
      <c r="D858" s="10" t="s">
        <v>218</v>
      </c>
      <c r="E858" s="10" t="s">
        <v>219</v>
      </c>
      <c r="F858" s="10" t="str">
        <f>TRIM(LEFT(OrdersRawTable9[[#This Row],[Customer_Info]],FIND(",",OrdersRawTable9[[#This Row],[Customer_Info]])-1))</f>
        <v>Maya Johnson</v>
      </c>
      <c r="G85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858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858" s="10">
        <f>LEN(OrdersRawTable9[[#This Row],[Customer_Info]])-LEN(SUBSTITUTE(OrdersRawTable9[[#This Row],[Customer_Info]],",",""))</f>
        <v>2</v>
      </c>
      <c r="J858" s="10" t="s">
        <v>238</v>
      </c>
      <c r="K858" s="23">
        <v>2</v>
      </c>
      <c r="L858" s="26">
        <v>82.77</v>
      </c>
      <c r="M858" s="29">
        <v>0.05</v>
      </c>
      <c r="N858" s="10" t="s">
        <v>64</v>
      </c>
      <c r="O858" s="10" t="str">
        <f>IF(TRIM(OrdersRawTable9[[#This Row],[Sales_Channel_Raw]])="Market place","Marketplace",TRIM(OrdersRawTable9[[#This Row],[Sales_Channel_Raw]]))</f>
        <v>Retail Store</v>
      </c>
      <c r="P858" s="10" t="s">
        <v>51</v>
      </c>
      <c r="Q858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858" s="15" t="s">
        <v>47</v>
      </c>
      <c r="S858" t="str">
        <f>VLOOKUP(OrdersRawTable9[[#This Row],[Customer_ID_Raw]],CustomersTable11[],4,FALSE)</f>
        <v>Alberta</v>
      </c>
      <c r="T858" t="str">
        <f>VLOOKUP(OrdersRawTable9[[#This Row],[Customer_ID_Raw]],CustomersTable11[],5,FALSE)</f>
        <v>Consumer</v>
      </c>
      <c r="U858" s="45">
        <f>VLOOKUP(OrdersRawTable9[[#This Row],[Product_ID]],ProductsTable10[],4,FALSE)</f>
        <v>46.51</v>
      </c>
      <c r="V858" t="str">
        <f>VLOOKUP(OrdersRawTable9[[#This Row],[Product_ID]],ProductsTable10[],3,FALSE)</f>
        <v>Office</v>
      </c>
      <c r="W858" s="45">
        <f>OrdersRawTable9[[#This Row],[Unit_Price]]*OrdersRawTable9[[#This Row],[Quantity]]</f>
        <v>165.54</v>
      </c>
      <c r="X858" s="47">
        <f>OrdersRawTable9[[#This Row],[Gross_Sales]]*OrdersRawTable9[[#This Row],[Discount_Pct]]</f>
        <v>8.2769999999999992</v>
      </c>
      <c r="Y858" s="45">
        <f>OrdersRawTable9[[#This Row],[Gross_Sales]]-OrdersRawTable9[[#This Row],[Discount_Amount]]</f>
        <v>157.26300000000001</v>
      </c>
      <c r="Z858" s="45">
        <f>OrdersRawTable9[[#This Row],[Unit_Cost]]*OrdersRawTable9[[#This Row],[Quantity]]</f>
        <v>93.02</v>
      </c>
      <c r="AA858" s="45">
        <f>OrdersRawTable9[[#This Row],[Net_Sales]]-OrdersRawTable9[[#This Row],[Total_Cost]]</f>
        <v>64.243000000000009</v>
      </c>
      <c r="AB858" s="48">
        <f>IF(OrdersRawTable9[[#This Row],[Net_Sales]]=0,0,OrdersRawTable9[[#This Row],[Profit]]/OrdersRawTable9[[#This Row],[Net_Sales]])</f>
        <v>0.40850676891576537</v>
      </c>
      <c r="AC858" s="45" t="str">
        <f>IF(COUNTIF(ReturnsRawTable[Order_Line_ID],OrdersRawTable9[[#This Row],[Order_Line_ID]])&gt;0,"Yes","No")</f>
        <v>No</v>
      </c>
      <c r="AD858" s="45" t="str">
        <f>IFERROR(VLOOKUP(OrdersRawTable9[[#This Row],[Order_Line_ID]],ReturnsRawTable[[#All],[Order_Line_ID]:[Return_Reason_Raw]],3,FALSE),"")</f>
        <v/>
      </c>
      <c r="AE858" s="49" t="str">
        <f>IFERROR(VLOOKUP(OrdersRawTable9[[#This Row],[Order_Line_ID]],ReturnsRawTable[[#All],[Order_Line_ID]:[Return_Date]],2,FALSE),"")</f>
        <v/>
      </c>
      <c r="AF858" s="45" t="str">
        <f>IFERROR(VLOOKUP(OrdersRawTable9[[#This Row],[Order_Line_ID]],ReturnsRawTable[[Order_Line_ID]:[Refund_Status]],4,FALSE),"")</f>
        <v/>
      </c>
      <c r="AG858" s="45" t="str">
        <f>VLOOKUP(OrdersRawTable9[[#This Row],[Order_ID]],ShipmentsTable[],6,FALSE)</f>
        <v>Late</v>
      </c>
      <c r="AH858" s="49">
        <f>VLOOKUP(OrdersRawTable9[[#This Row],[Order_ID]],ShipmentsTable[],3,FALSE)</f>
        <v>45823</v>
      </c>
    </row>
    <row r="859" spans="1:34" ht="15" customHeight="1">
      <c r="A859" s="14" t="s">
        <v>1624</v>
      </c>
      <c r="B859" s="10" t="s">
        <v>1622</v>
      </c>
      <c r="C859" s="20">
        <v>45816</v>
      </c>
      <c r="D859" s="10" t="s">
        <v>218</v>
      </c>
      <c r="E859" s="10" t="s">
        <v>219</v>
      </c>
      <c r="F859" s="10" t="str">
        <f>TRIM(LEFT(OrdersRawTable9[[#This Row],[Customer_Info]],FIND(",",OrdersRawTable9[[#This Row],[Customer_Info]])-1))</f>
        <v>Maya Johnson</v>
      </c>
      <c r="G85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859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859" s="10">
        <f>LEN(OrdersRawTable9[[#This Row],[Customer_Info]])-LEN(SUBSTITUTE(OrdersRawTable9[[#This Row],[Customer_Info]],",",""))</f>
        <v>2</v>
      </c>
      <c r="J859" s="10" t="s">
        <v>521</v>
      </c>
      <c r="K859" s="23">
        <v>3</v>
      </c>
      <c r="L859" s="26">
        <v>37.82</v>
      </c>
      <c r="M859" s="29">
        <v>0.1</v>
      </c>
      <c r="N859" s="10" t="s">
        <v>40</v>
      </c>
      <c r="O859" s="10" t="str">
        <f>IF(TRIM(OrdersRawTable9[[#This Row],[Sales_Channel_Raw]])="Market place","Marketplace",TRIM(OrdersRawTable9[[#This Row],[Sales_Channel_Raw]]))</f>
        <v>Online</v>
      </c>
      <c r="P859" s="10" t="s">
        <v>98</v>
      </c>
      <c r="Q859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859" s="15" t="s">
        <v>67</v>
      </c>
      <c r="S859" t="str">
        <f>VLOOKUP(OrdersRawTable9[[#This Row],[Customer_ID_Raw]],CustomersTable11[],4,FALSE)</f>
        <v>Alberta</v>
      </c>
      <c r="T859" t="str">
        <f>VLOOKUP(OrdersRawTable9[[#This Row],[Customer_ID_Raw]],CustomersTable11[],5,FALSE)</f>
        <v>Consumer</v>
      </c>
      <c r="U859" s="45">
        <f>VLOOKUP(OrdersRawTable9[[#This Row],[Product_ID]],ProductsTable10[],4,FALSE)</f>
        <v>24.76</v>
      </c>
      <c r="V859" t="str">
        <f>VLOOKUP(OrdersRawTable9[[#This Row],[Product_ID]],ProductsTable10[],3,FALSE)</f>
        <v>Electronics</v>
      </c>
      <c r="W859" s="45">
        <f>OrdersRawTable9[[#This Row],[Unit_Price]]*OrdersRawTable9[[#This Row],[Quantity]]</f>
        <v>113.46000000000001</v>
      </c>
      <c r="X859" s="47">
        <f>OrdersRawTable9[[#This Row],[Gross_Sales]]*OrdersRawTable9[[#This Row],[Discount_Pct]]</f>
        <v>11.346000000000002</v>
      </c>
      <c r="Y859" s="45">
        <f>OrdersRawTable9[[#This Row],[Gross_Sales]]-OrdersRawTable9[[#This Row],[Discount_Amount]]</f>
        <v>102.114</v>
      </c>
      <c r="Z859" s="45">
        <f>OrdersRawTable9[[#This Row],[Unit_Cost]]*OrdersRawTable9[[#This Row],[Quantity]]</f>
        <v>74.28</v>
      </c>
      <c r="AA859" s="45">
        <f>OrdersRawTable9[[#This Row],[Net_Sales]]-OrdersRawTable9[[#This Row],[Total_Cost]]</f>
        <v>27.834000000000003</v>
      </c>
      <c r="AB859" s="48">
        <f>IF(OrdersRawTable9[[#This Row],[Net_Sales]]=0,0,OrdersRawTable9[[#This Row],[Profit]]/OrdersRawTable9[[#This Row],[Net_Sales]])</f>
        <v>0.27257770726834718</v>
      </c>
      <c r="AC859" s="45" t="str">
        <f>IF(COUNTIF(ReturnsRawTable[Order_Line_ID],OrdersRawTable9[[#This Row],[Order_Line_ID]])&gt;0,"Yes","No")</f>
        <v>No</v>
      </c>
      <c r="AD859" s="45" t="str">
        <f>IFERROR(VLOOKUP(OrdersRawTable9[[#This Row],[Order_Line_ID]],ReturnsRawTable[[#All],[Order_Line_ID]:[Return_Reason_Raw]],3,FALSE),"")</f>
        <v/>
      </c>
      <c r="AE859" s="49" t="str">
        <f>IFERROR(VLOOKUP(OrdersRawTable9[[#This Row],[Order_Line_ID]],ReturnsRawTable[[#All],[Order_Line_ID]:[Return_Date]],2,FALSE),"")</f>
        <v/>
      </c>
      <c r="AF859" s="45" t="str">
        <f>IFERROR(VLOOKUP(OrdersRawTable9[[#This Row],[Order_Line_ID]],ReturnsRawTable[[Order_Line_ID]:[Refund_Status]],4,FALSE),"")</f>
        <v/>
      </c>
      <c r="AG859" s="45" t="str">
        <f>VLOOKUP(OrdersRawTable9[[#This Row],[Order_ID]],ShipmentsTable[],6,FALSE)</f>
        <v>Late</v>
      </c>
      <c r="AH859" s="49">
        <f>VLOOKUP(OrdersRawTable9[[#This Row],[Order_ID]],ShipmentsTable[],3,FALSE)</f>
        <v>45823</v>
      </c>
    </row>
    <row r="860" spans="1:34" ht="15" customHeight="1">
      <c r="A860" s="14" t="s">
        <v>1625</v>
      </c>
      <c r="B860" s="10" t="s">
        <v>1622</v>
      </c>
      <c r="C860" s="20">
        <v>45816</v>
      </c>
      <c r="D860" s="10" t="s">
        <v>218</v>
      </c>
      <c r="E860" s="10" t="s">
        <v>219</v>
      </c>
      <c r="F860" s="10" t="str">
        <f>TRIM(LEFT(OrdersRawTable9[[#This Row],[Customer_Info]],FIND(",",OrdersRawTable9[[#This Row],[Customer_Info]])-1))</f>
        <v>Maya Johnson</v>
      </c>
      <c r="G86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Calgary</v>
      </c>
      <c r="H860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860" s="10">
        <f>LEN(OrdersRawTable9[[#This Row],[Customer_Info]])-LEN(SUBSTITUTE(OrdersRawTable9[[#This Row],[Customer_Info]],",",""))</f>
        <v>2</v>
      </c>
      <c r="J860" s="10" t="s">
        <v>63</v>
      </c>
      <c r="K860" s="23">
        <v>4</v>
      </c>
      <c r="L860" s="26">
        <v>105.38</v>
      </c>
      <c r="M860" s="29">
        <v>0</v>
      </c>
      <c r="N860" s="10" t="s">
        <v>50</v>
      </c>
      <c r="O860" s="10" t="str">
        <f>IF(TRIM(OrdersRawTable9[[#This Row],[Sales_Channel_Raw]])="Market place","Marketplace",TRIM(OrdersRawTable9[[#This Row],[Sales_Channel_Raw]]))</f>
        <v>Marketplace</v>
      </c>
      <c r="P860" s="10" t="s">
        <v>98</v>
      </c>
      <c r="Q860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860" s="15" t="s">
        <v>67</v>
      </c>
      <c r="S860" t="str">
        <f>VLOOKUP(OrdersRawTable9[[#This Row],[Customer_ID_Raw]],CustomersTable11[],4,FALSE)</f>
        <v>Alberta</v>
      </c>
      <c r="T860" t="str">
        <f>VLOOKUP(OrdersRawTable9[[#This Row],[Customer_ID_Raw]],CustomersTable11[],5,FALSE)</f>
        <v>Consumer</v>
      </c>
      <c r="U860" s="45">
        <f>VLOOKUP(OrdersRawTable9[[#This Row],[Product_ID]],ProductsTable10[],4,FALSE)</f>
        <v>67.290000000000006</v>
      </c>
      <c r="V860" t="str">
        <f>VLOOKUP(OrdersRawTable9[[#This Row],[Product_ID]],ProductsTable10[],3,FALSE)</f>
        <v>Electronics</v>
      </c>
      <c r="W860" s="45">
        <f>OrdersRawTable9[[#This Row],[Unit_Price]]*OrdersRawTable9[[#This Row],[Quantity]]</f>
        <v>421.52</v>
      </c>
      <c r="X860" s="47">
        <f>OrdersRawTable9[[#This Row],[Gross_Sales]]*OrdersRawTable9[[#This Row],[Discount_Pct]]</f>
        <v>0</v>
      </c>
      <c r="Y860" s="45">
        <f>OrdersRawTable9[[#This Row],[Gross_Sales]]-OrdersRawTable9[[#This Row],[Discount_Amount]]</f>
        <v>421.52</v>
      </c>
      <c r="Z860" s="45">
        <f>OrdersRawTable9[[#This Row],[Unit_Cost]]*OrdersRawTable9[[#This Row],[Quantity]]</f>
        <v>269.16000000000003</v>
      </c>
      <c r="AA860" s="45">
        <f>OrdersRawTable9[[#This Row],[Net_Sales]]-OrdersRawTable9[[#This Row],[Total_Cost]]</f>
        <v>152.35999999999996</v>
      </c>
      <c r="AB860" s="48">
        <f>IF(OrdersRawTable9[[#This Row],[Net_Sales]]=0,0,OrdersRawTable9[[#This Row],[Profit]]/OrdersRawTable9[[#This Row],[Net_Sales]])</f>
        <v>0.36145378629721003</v>
      </c>
      <c r="AC860" s="45" t="str">
        <f>IF(COUNTIF(ReturnsRawTable[Order_Line_ID],OrdersRawTable9[[#This Row],[Order_Line_ID]])&gt;0,"Yes","No")</f>
        <v>No</v>
      </c>
      <c r="AD860" s="45" t="str">
        <f>IFERROR(VLOOKUP(OrdersRawTable9[[#This Row],[Order_Line_ID]],ReturnsRawTable[[#All],[Order_Line_ID]:[Return_Reason_Raw]],3,FALSE),"")</f>
        <v/>
      </c>
      <c r="AE860" s="49" t="str">
        <f>IFERROR(VLOOKUP(OrdersRawTable9[[#This Row],[Order_Line_ID]],ReturnsRawTable[[#All],[Order_Line_ID]:[Return_Date]],2,FALSE),"")</f>
        <v/>
      </c>
      <c r="AF860" s="45" t="str">
        <f>IFERROR(VLOOKUP(OrdersRawTable9[[#This Row],[Order_Line_ID]],ReturnsRawTable[[Order_Line_ID]:[Refund_Status]],4,FALSE),"")</f>
        <v/>
      </c>
      <c r="AG860" s="45" t="str">
        <f>VLOOKUP(OrdersRawTable9[[#This Row],[Order_ID]],ShipmentsTable[],6,FALSE)</f>
        <v>Late</v>
      </c>
      <c r="AH860" s="49">
        <f>VLOOKUP(OrdersRawTable9[[#This Row],[Order_ID]],ShipmentsTable[],3,FALSE)</f>
        <v>45823</v>
      </c>
    </row>
    <row r="861" spans="1:34" ht="15" customHeight="1">
      <c r="A861" s="14" t="s">
        <v>1626</v>
      </c>
      <c r="B861" s="10" t="s">
        <v>1627</v>
      </c>
      <c r="C861" s="20">
        <v>45915</v>
      </c>
      <c r="D861" s="10" t="s">
        <v>517</v>
      </c>
      <c r="E861" s="10" t="s">
        <v>518</v>
      </c>
      <c r="F861" s="10" t="str">
        <f>TRIM(LEFT(OrdersRawTable9[[#This Row],[Customer_Info]],FIND(",",OrdersRawTable9[[#This Row],[Customer_Info]])-1))</f>
        <v>Sara Singh</v>
      </c>
      <c r="G86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861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861" s="10">
        <f>LEN(OrdersRawTable9[[#This Row],[Customer_Info]])-LEN(SUBSTITUTE(OrdersRawTable9[[#This Row],[Customer_Info]],",",""))</f>
        <v>2</v>
      </c>
      <c r="J861" s="10" t="s">
        <v>108</v>
      </c>
      <c r="K861" s="23">
        <v>2</v>
      </c>
      <c r="L861" s="26">
        <v>33.369999999999997</v>
      </c>
      <c r="M861" s="29">
        <v>0.15</v>
      </c>
      <c r="N861" s="10" t="s">
        <v>50</v>
      </c>
      <c r="O861" s="10" t="str">
        <f>IF(TRIM(OrdersRawTable9[[#This Row],[Sales_Channel_Raw]])="Market place","Marketplace",TRIM(OrdersRawTable9[[#This Row],[Sales_Channel_Raw]]))</f>
        <v>Marketplace</v>
      </c>
      <c r="P861" s="10" t="s">
        <v>98</v>
      </c>
      <c r="Q861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861" s="15" t="s">
        <v>52</v>
      </c>
      <c r="S861" t="str">
        <f>VLOOKUP(OrdersRawTable9[[#This Row],[Customer_ID_Raw]],CustomersTable11[],4,FALSE)</f>
        <v>British Columbia</v>
      </c>
      <c r="T861" t="str">
        <f>VLOOKUP(OrdersRawTable9[[#This Row],[Customer_ID_Raw]],CustomersTable11[],5,FALSE)</f>
        <v>Small Business</v>
      </c>
      <c r="U861" s="45">
        <f>VLOOKUP(OrdersRawTable9[[#This Row],[Product_ID]],ProductsTable10[],4,FALSE)</f>
        <v>18.670000000000002</v>
      </c>
      <c r="V861" t="str">
        <f>VLOOKUP(OrdersRawTable9[[#This Row],[Product_ID]],ProductsTable10[],3,FALSE)</f>
        <v>Fitness</v>
      </c>
      <c r="W861" s="45">
        <f>OrdersRawTable9[[#This Row],[Unit_Price]]*OrdersRawTable9[[#This Row],[Quantity]]</f>
        <v>66.739999999999995</v>
      </c>
      <c r="X861" s="47">
        <f>OrdersRawTable9[[#This Row],[Gross_Sales]]*OrdersRawTable9[[#This Row],[Discount_Pct]]</f>
        <v>10.010999999999999</v>
      </c>
      <c r="Y861" s="45">
        <f>OrdersRawTable9[[#This Row],[Gross_Sales]]-OrdersRawTable9[[#This Row],[Discount_Amount]]</f>
        <v>56.728999999999999</v>
      </c>
      <c r="Z861" s="45">
        <f>OrdersRawTable9[[#This Row],[Unit_Cost]]*OrdersRawTable9[[#This Row],[Quantity]]</f>
        <v>37.340000000000003</v>
      </c>
      <c r="AA861" s="45">
        <f>OrdersRawTable9[[#This Row],[Net_Sales]]-OrdersRawTable9[[#This Row],[Total_Cost]]</f>
        <v>19.388999999999996</v>
      </c>
      <c r="AB861" s="48">
        <f>IF(OrdersRawTable9[[#This Row],[Net_Sales]]=0,0,OrdersRawTable9[[#This Row],[Profit]]/OrdersRawTable9[[#This Row],[Net_Sales]])</f>
        <v>0.34178286238079281</v>
      </c>
      <c r="AC861" s="45" t="str">
        <f>IF(COUNTIF(ReturnsRawTable[Order_Line_ID],OrdersRawTable9[[#This Row],[Order_Line_ID]])&gt;0,"Yes","No")</f>
        <v>No</v>
      </c>
      <c r="AD861" s="45" t="str">
        <f>IFERROR(VLOOKUP(OrdersRawTable9[[#This Row],[Order_Line_ID]],ReturnsRawTable[[#All],[Order_Line_ID]:[Return_Reason_Raw]],3,FALSE),"")</f>
        <v/>
      </c>
      <c r="AE861" s="49" t="str">
        <f>IFERROR(VLOOKUP(OrdersRawTable9[[#This Row],[Order_Line_ID]],ReturnsRawTable[[#All],[Order_Line_ID]:[Return_Date]],2,FALSE),"")</f>
        <v/>
      </c>
      <c r="AF861" s="45" t="str">
        <f>IFERROR(VLOOKUP(OrdersRawTable9[[#This Row],[Order_Line_ID]],ReturnsRawTable[[Order_Line_ID]:[Refund_Status]],4,FALSE),"")</f>
        <v/>
      </c>
      <c r="AG861" s="45" t="str">
        <f>VLOOKUP(OrdersRawTable9[[#This Row],[Order_ID]],ShipmentsTable[],6,FALSE)</f>
        <v>On time</v>
      </c>
      <c r="AH861" s="49">
        <f>VLOOKUP(OrdersRawTable9[[#This Row],[Order_ID]],ShipmentsTable[],3,FALSE)</f>
        <v>45918</v>
      </c>
    </row>
    <row r="862" spans="1:34" ht="15" customHeight="1">
      <c r="A862" s="14" t="s">
        <v>1628</v>
      </c>
      <c r="B862" s="10" t="s">
        <v>1629</v>
      </c>
      <c r="C862" s="20">
        <v>45713.041666666664</v>
      </c>
      <c r="D862" s="10" t="s">
        <v>684</v>
      </c>
      <c r="E862" s="10" t="s">
        <v>685</v>
      </c>
      <c r="F862" s="10" t="str">
        <f>TRIM(LEFT(OrdersRawTable9[[#This Row],[Customer_Info]],FIND(",",OrdersRawTable9[[#This Row],[Customer_Info]])-1))</f>
        <v>Emma Martin</v>
      </c>
      <c r="G86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862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862" s="10">
        <f>LEN(OrdersRawTable9[[#This Row],[Customer_Info]])-LEN(SUBSTITUTE(OrdersRawTable9[[#This Row],[Customer_Info]],",",""))</f>
        <v>2</v>
      </c>
      <c r="J862" s="10" t="s">
        <v>108</v>
      </c>
      <c r="K862" s="23">
        <v>4</v>
      </c>
      <c r="L862" s="26">
        <v>33.369999999999997</v>
      </c>
      <c r="M862" s="29">
        <v>0.05</v>
      </c>
      <c r="N862" s="10" t="s">
        <v>40</v>
      </c>
      <c r="O862" s="10" t="str">
        <f>IF(TRIM(OrdersRawTable9[[#This Row],[Sales_Channel_Raw]])="Market place","Marketplace",TRIM(OrdersRawTable9[[#This Row],[Sales_Channel_Raw]]))</f>
        <v>Online</v>
      </c>
      <c r="P862" s="10"/>
      <c r="Q862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862" s="15" t="s">
        <v>52</v>
      </c>
      <c r="S862" t="str">
        <f>VLOOKUP(OrdersRawTable9[[#This Row],[Customer_ID_Raw]],CustomersTable11[],4,FALSE)</f>
        <v>British Columbia</v>
      </c>
      <c r="T862" t="str">
        <f>VLOOKUP(OrdersRawTable9[[#This Row],[Customer_ID_Raw]],CustomersTable11[],5,FALSE)</f>
        <v>Consumer</v>
      </c>
      <c r="U862" s="45">
        <f>VLOOKUP(OrdersRawTable9[[#This Row],[Product_ID]],ProductsTable10[],4,FALSE)</f>
        <v>18.670000000000002</v>
      </c>
      <c r="V862" t="str">
        <f>VLOOKUP(OrdersRawTable9[[#This Row],[Product_ID]],ProductsTable10[],3,FALSE)</f>
        <v>Fitness</v>
      </c>
      <c r="W862" s="45">
        <f>OrdersRawTable9[[#This Row],[Unit_Price]]*OrdersRawTable9[[#This Row],[Quantity]]</f>
        <v>133.47999999999999</v>
      </c>
      <c r="X862" s="47">
        <f>OrdersRawTable9[[#This Row],[Gross_Sales]]*OrdersRawTable9[[#This Row],[Discount_Pct]]</f>
        <v>6.6739999999999995</v>
      </c>
      <c r="Y862" s="45">
        <f>OrdersRawTable9[[#This Row],[Gross_Sales]]-OrdersRawTable9[[#This Row],[Discount_Amount]]</f>
        <v>126.80599999999998</v>
      </c>
      <c r="Z862" s="45">
        <f>OrdersRawTable9[[#This Row],[Unit_Cost]]*OrdersRawTable9[[#This Row],[Quantity]]</f>
        <v>74.680000000000007</v>
      </c>
      <c r="AA862" s="45">
        <f>OrdersRawTable9[[#This Row],[Net_Sales]]-OrdersRawTable9[[#This Row],[Total_Cost]]</f>
        <v>52.125999999999976</v>
      </c>
      <c r="AB862" s="48">
        <f>IF(OrdersRawTable9[[#This Row],[Net_Sales]]=0,0,OrdersRawTable9[[#This Row],[Profit]]/OrdersRawTable9[[#This Row],[Net_Sales]])</f>
        <v>0.41106887686702509</v>
      </c>
      <c r="AC862" s="45" t="str">
        <f>IF(COUNTIF(ReturnsRawTable[Order_Line_ID],OrdersRawTable9[[#This Row],[Order_Line_ID]])&gt;0,"Yes","No")</f>
        <v>No</v>
      </c>
      <c r="AD862" s="45" t="str">
        <f>IFERROR(VLOOKUP(OrdersRawTable9[[#This Row],[Order_Line_ID]],ReturnsRawTable[[#All],[Order_Line_ID]:[Return_Reason_Raw]],3,FALSE),"")</f>
        <v/>
      </c>
      <c r="AE862" s="49" t="str">
        <f>IFERROR(VLOOKUP(OrdersRawTable9[[#This Row],[Order_Line_ID]],ReturnsRawTable[[#All],[Order_Line_ID]:[Return_Date]],2,FALSE),"")</f>
        <v/>
      </c>
      <c r="AF862" s="45" t="str">
        <f>IFERROR(VLOOKUP(OrdersRawTable9[[#This Row],[Order_Line_ID]],ReturnsRawTable[[Order_Line_ID]:[Refund_Status]],4,FALSE),"")</f>
        <v/>
      </c>
      <c r="AG862" s="45" t="str">
        <f>VLOOKUP(OrdersRawTable9[[#This Row],[Order_ID]],ShipmentsTable[],6,FALSE)</f>
        <v>On time</v>
      </c>
      <c r="AH862" s="49">
        <f>VLOOKUP(OrdersRawTable9[[#This Row],[Order_ID]],ShipmentsTable[],3,FALSE)</f>
        <v>45714.041666666664</v>
      </c>
    </row>
    <row r="863" spans="1:34" ht="15" customHeight="1">
      <c r="A863" s="14" t="s">
        <v>1630</v>
      </c>
      <c r="B863" s="10" t="s">
        <v>1631</v>
      </c>
      <c r="C863" s="20">
        <v>45826</v>
      </c>
      <c r="D863" s="10" t="s">
        <v>568</v>
      </c>
      <c r="E863" s="10" t="s">
        <v>569</v>
      </c>
      <c r="F863" s="10" t="str">
        <f>TRIM(LEFT(OrdersRawTable9[[#This Row],[Customer_Info]],FIND(",",OrdersRawTable9[[#This Row],[Customer_Info]])-1))</f>
        <v>Sofia Dubois</v>
      </c>
      <c r="G86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863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863" s="10">
        <f>LEN(OrdersRawTable9[[#This Row],[Customer_Info]])-LEN(SUBSTITUTE(OrdersRawTable9[[#This Row],[Customer_Info]],",",""))</f>
        <v>2</v>
      </c>
      <c r="J863" s="10" t="s">
        <v>251</v>
      </c>
      <c r="K863" s="23">
        <v>3</v>
      </c>
      <c r="L863" s="26">
        <v>228.91</v>
      </c>
      <c r="M863" s="29">
        <v>0</v>
      </c>
      <c r="N863" s="10" t="s">
        <v>66</v>
      </c>
      <c r="O863" s="10" t="str">
        <f>IF(TRIM(OrdersRawTable9[[#This Row],[Sales_Channel_Raw]])="Market place","Marketplace",TRIM(OrdersRawTable9[[#This Row],[Sales_Channel_Raw]]))</f>
        <v>Marketplace</v>
      </c>
      <c r="P863" s="10" t="s">
        <v>51</v>
      </c>
      <c r="Q863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863" s="15" t="s">
        <v>67</v>
      </c>
      <c r="S863" t="str">
        <f>VLOOKUP(OrdersRawTable9[[#This Row],[Customer_ID_Raw]],CustomersTable11[],4,FALSE)</f>
        <v>Quebec</v>
      </c>
      <c r="T863" t="str">
        <f>VLOOKUP(OrdersRawTable9[[#This Row],[Customer_ID_Raw]],CustomersTable11[],5,FALSE)</f>
        <v>Corporate</v>
      </c>
      <c r="U863" s="45">
        <f>VLOOKUP(OrdersRawTable9[[#This Row],[Product_ID]],ProductsTable10[],4,FALSE)</f>
        <v>149.4</v>
      </c>
      <c r="V863" t="str">
        <f>VLOOKUP(OrdersRawTable9[[#This Row],[Product_ID]],ProductsTable10[],3,FALSE)</f>
        <v>Office</v>
      </c>
      <c r="W863" s="45">
        <f>OrdersRawTable9[[#This Row],[Unit_Price]]*OrdersRawTable9[[#This Row],[Quantity]]</f>
        <v>686.73</v>
      </c>
      <c r="X863" s="47">
        <f>OrdersRawTable9[[#This Row],[Gross_Sales]]*OrdersRawTable9[[#This Row],[Discount_Pct]]</f>
        <v>0</v>
      </c>
      <c r="Y863" s="45">
        <f>OrdersRawTable9[[#This Row],[Gross_Sales]]-OrdersRawTable9[[#This Row],[Discount_Amount]]</f>
        <v>686.73</v>
      </c>
      <c r="Z863" s="45">
        <f>OrdersRawTable9[[#This Row],[Unit_Cost]]*OrdersRawTable9[[#This Row],[Quantity]]</f>
        <v>448.20000000000005</v>
      </c>
      <c r="AA863" s="45">
        <f>OrdersRawTable9[[#This Row],[Net_Sales]]-OrdersRawTable9[[#This Row],[Total_Cost]]</f>
        <v>238.52999999999997</v>
      </c>
      <c r="AB863" s="48">
        <f>IF(OrdersRawTable9[[#This Row],[Net_Sales]]=0,0,OrdersRawTable9[[#This Row],[Profit]]/OrdersRawTable9[[#This Row],[Net_Sales]])</f>
        <v>0.34734175003276391</v>
      </c>
      <c r="AC863" s="45" t="str">
        <f>IF(COUNTIF(ReturnsRawTable[Order_Line_ID],OrdersRawTable9[[#This Row],[Order_Line_ID]])&gt;0,"Yes","No")</f>
        <v>No</v>
      </c>
      <c r="AD863" s="45" t="str">
        <f>IFERROR(VLOOKUP(OrdersRawTable9[[#This Row],[Order_Line_ID]],ReturnsRawTable[[#All],[Order_Line_ID]:[Return_Reason_Raw]],3,FALSE),"")</f>
        <v/>
      </c>
      <c r="AE863" s="49" t="str">
        <f>IFERROR(VLOOKUP(OrdersRawTable9[[#This Row],[Order_Line_ID]],ReturnsRawTable[[#All],[Order_Line_ID]:[Return_Date]],2,FALSE),"")</f>
        <v/>
      </c>
      <c r="AF863" s="45" t="str">
        <f>IFERROR(VLOOKUP(OrdersRawTable9[[#This Row],[Order_Line_ID]],ReturnsRawTable[[Order_Line_ID]:[Refund_Status]],4,FALSE),"")</f>
        <v/>
      </c>
      <c r="AG863" s="45" t="str">
        <f>VLOOKUP(OrdersRawTable9[[#This Row],[Order_ID]],ShipmentsTable[],6,FALSE)</f>
        <v>Late</v>
      </c>
      <c r="AH863" s="49">
        <f>VLOOKUP(OrdersRawTable9[[#This Row],[Order_ID]],ShipmentsTable[],3,FALSE)</f>
        <v>45834</v>
      </c>
    </row>
    <row r="864" spans="1:34" ht="15" customHeight="1">
      <c r="A864" s="14" t="s">
        <v>1632</v>
      </c>
      <c r="B864" s="10" t="s">
        <v>1631</v>
      </c>
      <c r="C864" s="20">
        <v>45826</v>
      </c>
      <c r="D864" s="10" t="s">
        <v>568</v>
      </c>
      <c r="E864" s="10" t="s">
        <v>569</v>
      </c>
      <c r="F864" s="10" t="str">
        <f>TRIM(LEFT(OrdersRawTable9[[#This Row],[Customer_Info]],FIND(",",OrdersRawTable9[[#This Row],[Customer_Info]])-1))</f>
        <v>Sofia Dubois</v>
      </c>
      <c r="G86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864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864" s="10">
        <f>LEN(OrdersRawTable9[[#This Row],[Customer_Info]])-LEN(SUBSTITUTE(OrdersRawTable9[[#This Row],[Customer_Info]],",",""))</f>
        <v>2</v>
      </c>
      <c r="J864" s="10" t="s">
        <v>108</v>
      </c>
      <c r="K864" s="23">
        <v>4</v>
      </c>
      <c r="L864" s="26">
        <v>33.369999999999997</v>
      </c>
      <c r="M864" s="29">
        <v>0</v>
      </c>
      <c r="N864" s="10" t="s">
        <v>66</v>
      </c>
      <c r="O864" s="10" t="str">
        <f>IF(TRIM(OrdersRawTable9[[#This Row],[Sales_Channel_Raw]])="Market place","Marketplace",TRIM(OrdersRawTable9[[#This Row],[Sales_Channel_Raw]]))</f>
        <v>Marketplace</v>
      </c>
      <c r="P864" s="10"/>
      <c r="Q864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864" s="15" t="s">
        <v>52</v>
      </c>
      <c r="S864" t="str">
        <f>VLOOKUP(OrdersRawTable9[[#This Row],[Customer_ID_Raw]],CustomersTable11[],4,FALSE)</f>
        <v>Quebec</v>
      </c>
      <c r="T864" t="str">
        <f>VLOOKUP(OrdersRawTable9[[#This Row],[Customer_ID_Raw]],CustomersTable11[],5,FALSE)</f>
        <v>Corporate</v>
      </c>
      <c r="U864" s="45">
        <f>VLOOKUP(OrdersRawTable9[[#This Row],[Product_ID]],ProductsTable10[],4,FALSE)</f>
        <v>18.670000000000002</v>
      </c>
      <c r="V864" t="str">
        <f>VLOOKUP(OrdersRawTable9[[#This Row],[Product_ID]],ProductsTable10[],3,FALSE)</f>
        <v>Fitness</v>
      </c>
      <c r="W864" s="45">
        <f>OrdersRawTable9[[#This Row],[Unit_Price]]*OrdersRawTable9[[#This Row],[Quantity]]</f>
        <v>133.47999999999999</v>
      </c>
      <c r="X864" s="47">
        <f>OrdersRawTable9[[#This Row],[Gross_Sales]]*OrdersRawTable9[[#This Row],[Discount_Pct]]</f>
        <v>0</v>
      </c>
      <c r="Y864" s="45">
        <f>OrdersRawTable9[[#This Row],[Gross_Sales]]-OrdersRawTable9[[#This Row],[Discount_Amount]]</f>
        <v>133.47999999999999</v>
      </c>
      <c r="Z864" s="45">
        <f>OrdersRawTable9[[#This Row],[Unit_Cost]]*OrdersRawTable9[[#This Row],[Quantity]]</f>
        <v>74.680000000000007</v>
      </c>
      <c r="AA864" s="45">
        <f>OrdersRawTable9[[#This Row],[Net_Sales]]-OrdersRawTable9[[#This Row],[Total_Cost]]</f>
        <v>58.799999999999983</v>
      </c>
      <c r="AB864" s="48">
        <f>IF(OrdersRawTable9[[#This Row],[Net_Sales]]=0,0,OrdersRawTable9[[#This Row],[Profit]]/OrdersRawTable9[[#This Row],[Net_Sales]])</f>
        <v>0.44051543302367385</v>
      </c>
      <c r="AC864" s="45" t="str">
        <f>IF(COUNTIF(ReturnsRawTable[Order_Line_ID],OrdersRawTable9[[#This Row],[Order_Line_ID]])&gt;0,"Yes","No")</f>
        <v>Yes</v>
      </c>
      <c r="AD864" s="45" t="str">
        <f>IFERROR(VLOOKUP(OrdersRawTable9[[#This Row],[Order_Line_ID]],ReturnsRawTable[[#All],[Order_Line_ID]:[Return_Reason_Raw]],3,FALSE),"")</f>
        <v>Wrong Item</v>
      </c>
      <c r="AE864" s="49">
        <f>IFERROR(VLOOKUP(OrdersRawTable9[[#This Row],[Order_Line_ID]],ReturnsRawTable[[#All],[Order_Line_ID]:[Return_Date]],2,FALSE),"")</f>
        <v>45848</v>
      </c>
      <c r="AF864" s="45" t="str">
        <f>IFERROR(VLOOKUP(OrdersRawTable9[[#This Row],[Order_Line_ID]],ReturnsRawTable[[Order_Line_ID]:[Refund_Status]],4,FALSE),"")</f>
        <v>Pending</v>
      </c>
      <c r="AG864" s="45" t="str">
        <f>VLOOKUP(OrdersRawTable9[[#This Row],[Order_ID]],ShipmentsTable[],6,FALSE)</f>
        <v>Late</v>
      </c>
      <c r="AH864" s="49">
        <f>VLOOKUP(OrdersRawTable9[[#This Row],[Order_ID]],ShipmentsTable[],3,FALSE)</f>
        <v>45834</v>
      </c>
    </row>
    <row r="865" spans="1:34" ht="15" customHeight="1">
      <c r="A865" s="14" t="s">
        <v>1633</v>
      </c>
      <c r="B865" s="10" t="s">
        <v>1631</v>
      </c>
      <c r="C865" s="20">
        <v>45826</v>
      </c>
      <c r="D865" s="10" t="s">
        <v>568</v>
      </c>
      <c r="E865" s="10" t="s">
        <v>569</v>
      </c>
      <c r="F865" s="10" t="str">
        <f>TRIM(LEFT(OrdersRawTable9[[#This Row],[Customer_Info]],FIND(",",OrdersRawTable9[[#This Row],[Customer_Info]])-1))</f>
        <v>Sofia Dubois</v>
      </c>
      <c r="G86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865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865" s="10">
        <f>LEN(OrdersRawTable9[[#This Row],[Customer_Info]])-LEN(SUBSTITUTE(OrdersRawTable9[[#This Row],[Customer_Info]],",",""))</f>
        <v>2</v>
      </c>
      <c r="J865" s="10" t="s">
        <v>196</v>
      </c>
      <c r="K865" s="23">
        <v>2</v>
      </c>
      <c r="L865" s="26">
        <v>183.73</v>
      </c>
      <c r="M865" s="29">
        <v>0</v>
      </c>
      <c r="N865" s="10" t="s">
        <v>45</v>
      </c>
      <c r="O865" s="10" t="str">
        <f>IF(TRIM(OrdersRawTable9[[#This Row],[Sales_Channel_Raw]])="Market place","Marketplace",TRIM(OrdersRawTable9[[#This Row],[Sales_Channel_Raw]]))</f>
        <v>Retail Store</v>
      </c>
      <c r="P865" s="10" t="s">
        <v>46</v>
      </c>
      <c r="Q865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865" s="15" t="s">
        <v>52</v>
      </c>
      <c r="S865" t="str">
        <f>VLOOKUP(OrdersRawTable9[[#This Row],[Customer_ID_Raw]],CustomersTable11[],4,FALSE)</f>
        <v>Quebec</v>
      </c>
      <c r="T865" t="str">
        <f>VLOOKUP(OrdersRawTable9[[#This Row],[Customer_ID_Raw]],CustomersTable11[],5,FALSE)</f>
        <v>Corporate</v>
      </c>
      <c r="U865" s="45">
        <f>VLOOKUP(OrdersRawTable9[[#This Row],[Product_ID]],ProductsTable10[],4,FALSE)</f>
        <v>98.11</v>
      </c>
      <c r="V865" t="str">
        <f>VLOOKUP(OrdersRawTable9[[#This Row],[Product_ID]],ProductsTable10[],3,FALSE)</f>
        <v>Home</v>
      </c>
      <c r="W865" s="45">
        <f>OrdersRawTable9[[#This Row],[Unit_Price]]*OrdersRawTable9[[#This Row],[Quantity]]</f>
        <v>367.46</v>
      </c>
      <c r="X865" s="47">
        <f>OrdersRawTable9[[#This Row],[Gross_Sales]]*OrdersRawTable9[[#This Row],[Discount_Pct]]</f>
        <v>0</v>
      </c>
      <c r="Y865" s="45">
        <f>OrdersRawTable9[[#This Row],[Gross_Sales]]-OrdersRawTable9[[#This Row],[Discount_Amount]]</f>
        <v>367.46</v>
      </c>
      <c r="Z865" s="45">
        <f>OrdersRawTable9[[#This Row],[Unit_Cost]]*OrdersRawTable9[[#This Row],[Quantity]]</f>
        <v>196.22</v>
      </c>
      <c r="AA865" s="45">
        <f>OrdersRawTable9[[#This Row],[Net_Sales]]-OrdersRawTable9[[#This Row],[Total_Cost]]</f>
        <v>171.23999999999998</v>
      </c>
      <c r="AB865" s="48">
        <f>IF(OrdersRawTable9[[#This Row],[Net_Sales]]=0,0,OrdersRawTable9[[#This Row],[Profit]]/OrdersRawTable9[[#This Row],[Net_Sales]])</f>
        <v>0.46600990584009139</v>
      </c>
      <c r="AC865" s="45" t="str">
        <f>IF(COUNTIF(ReturnsRawTable[Order_Line_ID],OrdersRawTable9[[#This Row],[Order_Line_ID]])&gt;0,"Yes","No")</f>
        <v>No</v>
      </c>
      <c r="AD865" s="45" t="str">
        <f>IFERROR(VLOOKUP(OrdersRawTable9[[#This Row],[Order_Line_ID]],ReturnsRawTable[[#All],[Order_Line_ID]:[Return_Reason_Raw]],3,FALSE),"")</f>
        <v/>
      </c>
      <c r="AE865" s="49" t="str">
        <f>IFERROR(VLOOKUP(OrdersRawTable9[[#This Row],[Order_Line_ID]],ReturnsRawTable[[#All],[Order_Line_ID]:[Return_Date]],2,FALSE),"")</f>
        <v/>
      </c>
      <c r="AF865" s="45" t="str">
        <f>IFERROR(VLOOKUP(OrdersRawTable9[[#This Row],[Order_Line_ID]],ReturnsRawTable[[Order_Line_ID]:[Refund_Status]],4,FALSE),"")</f>
        <v/>
      </c>
      <c r="AG865" s="45" t="str">
        <f>VLOOKUP(OrdersRawTable9[[#This Row],[Order_ID]],ShipmentsTable[],6,FALSE)</f>
        <v>Late</v>
      </c>
      <c r="AH865" s="49">
        <f>VLOOKUP(OrdersRawTable9[[#This Row],[Order_ID]],ShipmentsTable[],3,FALSE)</f>
        <v>45834</v>
      </c>
    </row>
    <row r="866" spans="1:34" ht="15" customHeight="1">
      <c r="A866" s="14" t="s">
        <v>1634</v>
      </c>
      <c r="B866" s="10" t="s">
        <v>1631</v>
      </c>
      <c r="C866" s="20">
        <v>45826</v>
      </c>
      <c r="D866" s="10" t="s">
        <v>1635</v>
      </c>
      <c r="E866" s="10" t="s">
        <v>569</v>
      </c>
      <c r="F866" s="10" t="str">
        <f>TRIM(LEFT(OrdersRawTable9[[#This Row],[Customer_Info]],FIND(",",OrdersRawTable9[[#This Row],[Customer_Info]])-1))</f>
        <v>Sofia Dubois</v>
      </c>
      <c r="G86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866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866" s="10">
        <f>LEN(OrdersRawTable9[[#This Row],[Customer_Info]])-LEN(SUBSTITUTE(OrdersRawTable9[[#This Row],[Customer_Info]],",",""))</f>
        <v>2</v>
      </c>
      <c r="J866" s="10" t="s">
        <v>180</v>
      </c>
      <c r="K866" s="23">
        <v>3</v>
      </c>
      <c r="L866" s="26">
        <v>91.75</v>
      </c>
      <c r="M866" s="29">
        <v>0</v>
      </c>
      <c r="N866" s="10" t="s">
        <v>50</v>
      </c>
      <c r="O866" s="10" t="str">
        <f>IF(TRIM(OrdersRawTable9[[#This Row],[Sales_Channel_Raw]])="Market place","Marketplace",TRIM(OrdersRawTable9[[#This Row],[Sales_Channel_Raw]]))</f>
        <v>Marketplace</v>
      </c>
      <c r="P866" s="10" t="s">
        <v>46</v>
      </c>
      <c r="Q866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866" s="15" t="s">
        <v>47</v>
      </c>
      <c r="S866" t="str">
        <f>VLOOKUP(OrdersRawTable9[[#This Row],[Customer_ID_Raw]],CustomersTable11[],4,FALSE)</f>
        <v>Quebec</v>
      </c>
      <c r="T866" t="str">
        <f>VLOOKUP(OrdersRawTable9[[#This Row],[Customer_ID_Raw]],CustomersTable11[],5,FALSE)</f>
        <v>Corporate</v>
      </c>
      <c r="U866" s="45">
        <f>VLOOKUP(OrdersRawTable9[[#This Row],[Product_ID]],ProductsTable10[],4,FALSE)</f>
        <v>58.27</v>
      </c>
      <c r="V866" t="str">
        <f>VLOOKUP(OrdersRawTable9[[#This Row],[Product_ID]],ProductsTable10[],3,FALSE)</f>
        <v>Home</v>
      </c>
      <c r="W866" s="45">
        <f>OrdersRawTable9[[#This Row],[Unit_Price]]*OrdersRawTable9[[#This Row],[Quantity]]</f>
        <v>275.25</v>
      </c>
      <c r="X866" s="47">
        <f>OrdersRawTable9[[#This Row],[Gross_Sales]]*OrdersRawTable9[[#This Row],[Discount_Pct]]</f>
        <v>0</v>
      </c>
      <c r="Y866" s="45">
        <f>OrdersRawTable9[[#This Row],[Gross_Sales]]-OrdersRawTable9[[#This Row],[Discount_Amount]]</f>
        <v>275.25</v>
      </c>
      <c r="Z866" s="45">
        <f>OrdersRawTable9[[#This Row],[Unit_Cost]]*OrdersRawTable9[[#This Row],[Quantity]]</f>
        <v>174.81</v>
      </c>
      <c r="AA866" s="45">
        <f>OrdersRawTable9[[#This Row],[Net_Sales]]-OrdersRawTable9[[#This Row],[Total_Cost]]</f>
        <v>100.44</v>
      </c>
      <c r="AB866" s="48">
        <f>IF(OrdersRawTable9[[#This Row],[Net_Sales]]=0,0,OrdersRawTable9[[#This Row],[Profit]]/OrdersRawTable9[[#This Row],[Net_Sales]])</f>
        <v>0.36490463215258856</v>
      </c>
      <c r="AC866" s="45" t="str">
        <f>IF(COUNTIF(ReturnsRawTable[Order_Line_ID],OrdersRawTable9[[#This Row],[Order_Line_ID]])&gt;0,"Yes","No")</f>
        <v>No</v>
      </c>
      <c r="AD866" s="45" t="str">
        <f>IFERROR(VLOOKUP(OrdersRawTable9[[#This Row],[Order_Line_ID]],ReturnsRawTable[[#All],[Order_Line_ID]:[Return_Reason_Raw]],3,FALSE),"")</f>
        <v/>
      </c>
      <c r="AE866" s="49" t="str">
        <f>IFERROR(VLOOKUP(OrdersRawTable9[[#This Row],[Order_Line_ID]],ReturnsRawTable[[#All],[Order_Line_ID]:[Return_Date]],2,FALSE),"")</f>
        <v/>
      </c>
      <c r="AF866" s="45" t="str">
        <f>IFERROR(VLOOKUP(OrdersRawTable9[[#This Row],[Order_Line_ID]],ReturnsRawTable[[Order_Line_ID]:[Refund_Status]],4,FALSE),"")</f>
        <v/>
      </c>
      <c r="AG866" s="45" t="str">
        <f>VLOOKUP(OrdersRawTable9[[#This Row],[Order_ID]],ShipmentsTable[],6,FALSE)</f>
        <v>Late</v>
      </c>
      <c r="AH866" s="49">
        <f>VLOOKUP(OrdersRawTable9[[#This Row],[Order_ID]],ShipmentsTable[],3,FALSE)</f>
        <v>45834</v>
      </c>
    </row>
    <row r="867" spans="1:34" ht="15" customHeight="1">
      <c r="A867" s="14" t="s">
        <v>1636</v>
      </c>
      <c r="B867" s="10" t="s">
        <v>1637</v>
      </c>
      <c r="C867" s="20">
        <v>45925</v>
      </c>
      <c r="D867" s="10" t="s">
        <v>609</v>
      </c>
      <c r="E867" s="10" t="s">
        <v>610</v>
      </c>
      <c r="F867" s="10" t="str">
        <f>TRIM(LEFT(OrdersRawTable9[[#This Row],[Customer_Info]],FIND(",",OrdersRawTable9[[#This Row],[Customer_Info]])-1))</f>
        <v>Adam Johnson</v>
      </c>
      <c r="G86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867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867" s="10">
        <f>LEN(OrdersRawTable9[[#This Row],[Customer_Info]])-LEN(SUBSTITUTE(OrdersRawTable9[[#This Row],[Customer_Info]],",",""))</f>
        <v>2</v>
      </c>
      <c r="J867" s="10" t="s">
        <v>196</v>
      </c>
      <c r="K867" s="23">
        <v>1</v>
      </c>
      <c r="L867" s="26">
        <v>183.73</v>
      </c>
      <c r="M867" s="29">
        <v>0.05</v>
      </c>
      <c r="N867" s="10" t="s">
        <v>40</v>
      </c>
      <c r="O867" s="10" t="str">
        <f>IF(TRIM(OrdersRawTable9[[#This Row],[Sales_Channel_Raw]])="Market place","Marketplace",TRIM(OrdersRawTable9[[#This Row],[Sales_Channel_Raw]]))</f>
        <v>Online</v>
      </c>
      <c r="P867" s="10" t="s">
        <v>41</v>
      </c>
      <c r="Q867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867" s="15" t="s">
        <v>67</v>
      </c>
      <c r="S867" t="str">
        <f>VLOOKUP(OrdersRawTable9[[#This Row],[Customer_ID_Raw]],CustomersTable11[],4,FALSE)</f>
        <v>British Columbia</v>
      </c>
      <c r="T867" t="str">
        <f>VLOOKUP(OrdersRawTable9[[#This Row],[Customer_ID_Raw]],CustomersTable11[],5,FALSE)</f>
        <v>Small Business</v>
      </c>
      <c r="U867" s="45">
        <f>VLOOKUP(OrdersRawTable9[[#This Row],[Product_ID]],ProductsTable10[],4,FALSE)</f>
        <v>98.11</v>
      </c>
      <c r="V867" t="str">
        <f>VLOOKUP(OrdersRawTable9[[#This Row],[Product_ID]],ProductsTable10[],3,FALSE)</f>
        <v>Home</v>
      </c>
      <c r="W867" s="45">
        <f>OrdersRawTable9[[#This Row],[Unit_Price]]*OrdersRawTable9[[#This Row],[Quantity]]</f>
        <v>183.73</v>
      </c>
      <c r="X867" s="47">
        <f>OrdersRawTable9[[#This Row],[Gross_Sales]]*OrdersRawTable9[[#This Row],[Discount_Pct]]</f>
        <v>9.1865000000000006</v>
      </c>
      <c r="Y867" s="45">
        <f>OrdersRawTable9[[#This Row],[Gross_Sales]]-OrdersRawTable9[[#This Row],[Discount_Amount]]</f>
        <v>174.54349999999999</v>
      </c>
      <c r="Z867" s="45">
        <f>OrdersRawTable9[[#This Row],[Unit_Cost]]*OrdersRawTable9[[#This Row],[Quantity]]</f>
        <v>98.11</v>
      </c>
      <c r="AA867" s="45">
        <f>OrdersRawTable9[[#This Row],[Net_Sales]]-OrdersRawTable9[[#This Row],[Total_Cost]]</f>
        <v>76.433499999999995</v>
      </c>
      <c r="AB867" s="48">
        <f>IF(OrdersRawTable9[[#This Row],[Net_Sales]]=0,0,OrdersRawTable9[[#This Row],[Profit]]/OrdersRawTable9[[#This Row],[Net_Sales]])</f>
        <v>0.43790516404220148</v>
      </c>
      <c r="AC867" s="45" t="str">
        <f>IF(COUNTIF(ReturnsRawTable[Order_Line_ID],OrdersRawTable9[[#This Row],[Order_Line_ID]])&gt;0,"Yes","No")</f>
        <v>No</v>
      </c>
      <c r="AD867" s="45" t="str">
        <f>IFERROR(VLOOKUP(OrdersRawTable9[[#This Row],[Order_Line_ID]],ReturnsRawTable[[#All],[Order_Line_ID]:[Return_Reason_Raw]],3,FALSE),"")</f>
        <v/>
      </c>
      <c r="AE867" s="49" t="str">
        <f>IFERROR(VLOOKUP(OrdersRawTable9[[#This Row],[Order_Line_ID]],ReturnsRawTable[[#All],[Order_Line_ID]:[Return_Date]],2,FALSE),"")</f>
        <v/>
      </c>
      <c r="AF867" s="45" t="str">
        <f>IFERROR(VLOOKUP(OrdersRawTable9[[#This Row],[Order_Line_ID]],ReturnsRawTable[[Order_Line_ID]:[Refund_Status]],4,FALSE),"")</f>
        <v/>
      </c>
      <c r="AG867" s="45" t="str">
        <f>VLOOKUP(OrdersRawTable9[[#This Row],[Order_ID]],ShipmentsTable[],6,FALSE)</f>
        <v>Late</v>
      </c>
      <c r="AH867" s="49">
        <f>VLOOKUP(OrdersRawTable9[[#This Row],[Order_ID]],ShipmentsTable[],3,FALSE)</f>
        <v>45934</v>
      </c>
    </row>
    <row r="868" spans="1:34" ht="15" customHeight="1">
      <c r="A868" s="14" t="s">
        <v>1638</v>
      </c>
      <c r="B868" s="10" t="s">
        <v>1637</v>
      </c>
      <c r="C868" s="20">
        <v>45925</v>
      </c>
      <c r="D868" s="10" t="s">
        <v>609</v>
      </c>
      <c r="E868" s="10" t="s">
        <v>610</v>
      </c>
      <c r="F868" s="10" t="str">
        <f>TRIM(LEFT(OrdersRawTable9[[#This Row],[Customer_Info]],FIND(",",OrdersRawTable9[[#This Row],[Customer_Info]])-1))</f>
        <v>Adam Johnson</v>
      </c>
      <c r="G86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Vancouver</v>
      </c>
      <c r="H868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868" s="10">
        <f>LEN(OrdersRawTable9[[#This Row],[Customer_Info]])-LEN(SUBSTITUTE(OrdersRawTable9[[#This Row],[Customer_Info]],",",""))</f>
        <v>2</v>
      </c>
      <c r="J868" s="10" t="s">
        <v>196</v>
      </c>
      <c r="K868" s="23">
        <v>1</v>
      </c>
      <c r="L868" s="26">
        <v>183.73</v>
      </c>
      <c r="M868" s="29">
        <v>0.15</v>
      </c>
      <c r="N868" s="10" t="s">
        <v>66</v>
      </c>
      <c r="O868" s="10" t="str">
        <f>IF(TRIM(OrdersRawTable9[[#This Row],[Sales_Channel_Raw]])="Market place","Marketplace",TRIM(OrdersRawTable9[[#This Row],[Sales_Channel_Raw]]))</f>
        <v>Marketplace</v>
      </c>
      <c r="P868" s="10" t="s">
        <v>98</v>
      </c>
      <c r="Q868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868" s="15" t="s">
        <v>101</v>
      </c>
      <c r="S868" t="str">
        <f>VLOOKUP(OrdersRawTable9[[#This Row],[Customer_ID_Raw]],CustomersTable11[],4,FALSE)</f>
        <v>British Columbia</v>
      </c>
      <c r="T868" t="str">
        <f>VLOOKUP(OrdersRawTable9[[#This Row],[Customer_ID_Raw]],CustomersTable11[],5,FALSE)</f>
        <v>Small Business</v>
      </c>
      <c r="U868" s="45">
        <f>VLOOKUP(OrdersRawTable9[[#This Row],[Product_ID]],ProductsTable10[],4,FALSE)</f>
        <v>98.11</v>
      </c>
      <c r="V868" t="str">
        <f>VLOOKUP(OrdersRawTable9[[#This Row],[Product_ID]],ProductsTable10[],3,FALSE)</f>
        <v>Home</v>
      </c>
      <c r="W868" s="45">
        <f>OrdersRawTable9[[#This Row],[Unit_Price]]*OrdersRawTable9[[#This Row],[Quantity]]</f>
        <v>183.73</v>
      </c>
      <c r="X868" s="47">
        <f>OrdersRawTable9[[#This Row],[Gross_Sales]]*OrdersRawTable9[[#This Row],[Discount_Pct]]</f>
        <v>27.559499999999996</v>
      </c>
      <c r="Y868" s="45">
        <f>OrdersRawTable9[[#This Row],[Gross_Sales]]-OrdersRawTable9[[#This Row],[Discount_Amount]]</f>
        <v>156.1705</v>
      </c>
      <c r="Z868" s="45">
        <f>OrdersRawTable9[[#This Row],[Unit_Cost]]*OrdersRawTable9[[#This Row],[Quantity]]</f>
        <v>98.11</v>
      </c>
      <c r="AA868" s="45">
        <f>OrdersRawTable9[[#This Row],[Net_Sales]]-OrdersRawTable9[[#This Row],[Total_Cost]]</f>
        <v>58.060500000000005</v>
      </c>
      <c r="AB868" s="48">
        <f>IF(OrdersRawTable9[[#This Row],[Net_Sales]]=0,0,OrdersRawTable9[[#This Row],[Profit]]/OrdersRawTable9[[#This Row],[Net_Sales]])</f>
        <v>0.37177635981187229</v>
      </c>
      <c r="AC868" s="45" t="str">
        <f>IF(COUNTIF(ReturnsRawTable[Order_Line_ID],OrdersRawTable9[[#This Row],[Order_Line_ID]])&gt;0,"Yes","No")</f>
        <v>Yes</v>
      </c>
      <c r="AD868" s="45" t="str">
        <f>IFERROR(VLOOKUP(OrdersRawTable9[[#This Row],[Order_Line_ID]],ReturnsRawTable[[#All],[Order_Line_ID]:[Return_Reason_Raw]],3,FALSE),"")</f>
        <v>Wrong Item</v>
      </c>
      <c r="AE868" s="49">
        <f>IFERROR(VLOOKUP(OrdersRawTable9[[#This Row],[Order_Line_ID]],ReturnsRawTable[[#All],[Order_Line_ID]:[Return_Date]],2,FALSE),"")</f>
        <v>45951</v>
      </c>
      <c r="AF868" s="45" t="str">
        <f>IFERROR(VLOOKUP(OrdersRawTable9[[#This Row],[Order_Line_ID]],ReturnsRawTable[[Order_Line_ID]:[Refund_Status]],4,FALSE),"")</f>
        <v>Pending</v>
      </c>
      <c r="AG868" s="45" t="str">
        <f>VLOOKUP(OrdersRawTable9[[#This Row],[Order_ID]],ShipmentsTable[],6,FALSE)</f>
        <v>Late</v>
      </c>
      <c r="AH868" s="49">
        <f>VLOOKUP(OrdersRawTable9[[#This Row],[Order_ID]],ShipmentsTable[],3,FALSE)</f>
        <v>45934</v>
      </c>
    </row>
    <row r="869" spans="1:34" ht="15" customHeight="1">
      <c r="A869" s="14" t="s">
        <v>1639</v>
      </c>
      <c r="B869" s="10" t="s">
        <v>1640</v>
      </c>
      <c r="C869" s="20">
        <v>45660</v>
      </c>
      <c r="D869" s="10" t="s">
        <v>307</v>
      </c>
      <c r="E869" s="10" t="s">
        <v>308</v>
      </c>
      <c r="F869" s="10" t="str">
        <f>TRIM(LEFT(OrdersRawTable9[[#This Row],[Customer_Info]],FIND(",",OrdersRawTable9[[#This Row],[Customer_Info]])-1))</f>
        <v>Yara Johnson</v>
      </c>
      <c r="G86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Quebec City</v>
      </c>
      <c r="H869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869" s="10">
        <f>LEN(OrdersRawTable9[[#This Row],[Customer_Info]])-LEN(SUBSTITUTE(OrdersRawTable9[[#This Row],[Customer_Info]],",",""))</f>
        <v>2</v>
      </c>
      <c r="J869" s="10" t="s">
        <v>251</v>
      </c>
      <c r="K869" s="23">
        <v>2</v>
      </c>
      <c r="L869" s="26">
        <v>228.91</v>
      </c>
      <c r="M869" s="29">
        <v>0.05</v>
      </c>
      <c r="N869" s="10" t="s">
        <v>40</v>
      </c>
      <c r="O869" s="10" t="str">
        <f>IF(TRIM(OrdersRawTable9[[#This Row],[Sales_Channel_Raw]])="Market place","Marketplace",TRIM(OrdersRawTable9[[#This Row],[Sales_Channel_Raw]]))</f>
        <v>Online</v>
      </c>
      <c r="P869" s="10" t="s">
        <v>41</v>
      </c>
      <c r="Q869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869" s="15" t="s">
        <v>42</v>
      </c>
      <c r="S869" t="str">
        <f>VLOOKUP(OrdersRawTable9[[#This Row],[Customer_ID_Raw]],CustomersTable11[],4,FALSE)</f>
        <v>Quebec</v>
      </c>
      <c r="T869" t="str">
        <f>VLOOKUP(OrdersRawTable9[[#This Row],[Customer_ID_Raw]],CustomersTable11[],5,FALSE)</f>
        <v>Consumer</v>
      </c>
      <c r="U869" s="45">
        <f>VLOOKUP(OrdersRawTable9[[#This Row],[Product_ID]],ProductsTable10[],4,FALSE)</f>
        <v>149.4</v>
      </c>
      <c r="V869" t="str">
        <f>VLOOKUP(OrdersRawTable9[[#This Row],[Product_ID]],ProductsTable10[],3,FALSE)</f>
        <v>Office</v>
      </c>
      <c r="W869" s="45">
        <f>OrdersRawTable9[[#This Row],[Unit_Price]]*OrdersRawTable9[[#This Row],[Quantity]]</f>
        <v>457.82</v>
      </c>
      <c r="X869" s="47">
        <f>OrdersRawTable9[[#This Row],[Gross_Sales]]*OrdersRawTable9[[#This Row],[Discount_Pct]]</f>
        <v>22.891000000000002</v>
      </c>
      <c r="Y869" s="45">
        <f>OrdersRawTable9[[#This Row],[Gross_Sales]]-OrdersRawTable9[[#This Row],[Discount_Amount]]</f>
        <v>434.92899999999997</v>
      </c>
      <c r="Z869" s="45">
        <f>OrdersRawTable9[[#This Row],[Unit_Cost]]*OrdersRawTable9[[#This Row],[Quantity]]</f>
        <v>298.8</v>
      </c>
      <c r="AA869" s="45">
        <f>OrdersRawTable9[[#This Row],[Net_Sales]]-OrdersRawTable9[[#This Row],[Total_Cost]]</f>
        <v>136.12899999999996</v>
      </c>
      <c r="AB869" s="48">
        <f>IF(OrdersRawTable9[[#This Row],[Net_Sales]]=0,0,OrdersRawTable9[[#This Row],[Profit]]/OrdersRawTable9[[#This Row],[Net_Sales]])</f>
        <v>0.312991315823962</v>
      </c>
      <c r="AC869" s="45" t="str">
        <f>IF(COUNTIF(ReturnsRawTable[Order_Line_ID],OrdersRawTable9[[#This Row],[Order_Line_ID]])&gt;0,"Yes","No")</f>
        <v>No</v>
      </c>
      <c r="AD869" s="45" t="str">
        <f>IFERROR(VLOOKUP(OrdersRawTable9[[#This Row],[Order_Line_ID]],ReturnsRawTable[[#All],[Order_Line_ID]:[Return_Reason_Raw]],3,FALSE),"")</f>
        <v/>
      </c>
      <c r="AE869" s="49" t="str">
        <f>IFERROR(VLOOKUP(OrdersRawTable9[[#This Row],[Order_Line_ID]],ReturnsRawTable[[#All],[Order_Line_ID]:[Return_Date]],2,FALSE),"")</f>
        <v/>
      </c>
      <c r="AF869" s="45" t="str">
        <f>IFERROR(VLOOKUP(OrdersRawTable9[[#This Row],[Order_Line_ID]],ReturnsRawTable[[Order_Line_ID]:[Refund_Status]],4,FALSE),"")</f>
        <v/>
      </c>
      <c r="AG869" s="45" t="str">
        <f>VLOOKUP(OrdersRawTable9[[#This Row],[Order_ID]],ShipmentsTable[],6,FALSE)</f>
        <v>Late</v>
      </c>
      <c r="AH869" s="49">
        <f>VLOOKUP(OrdersRawTable9[[#This Row],[Order_ID]],ShipmentsTable[],3,FALSE)</f>
        <v>45670</v>
      </c>
    </row>
    <row r="870" spans="1:34" ht="15" customHeight="1">
      <c r="A870" s="14" t="s">
        <v>1641</v>
      </c>
      <c r="B870" s="10" t="s">
        <v>1642</v>
      </c>
      <c r="C870" s="20">
        <v>45775</v>
      </c>
      <c r="D870" s="10" t="s">
        <v>432</v>
      </c>
      <c r="E870" s="10" t="s">
        <v>433</v>
      </c>
      <c r="F870" s="10" t="str">
        <f>TRIM(LEFT(OrdersRawTable9[[#This Row],[Customer_Info]],FIND(",",OrdersRawTable9[[#This Row],[Customer_Info]])-1))</f>
        <v>Yara Gagnon</v>
      </c>
      <c r="G87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870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870" s="10">
        <f>LEN(OrdersRawTable9[[#This Row],[Customer_Info]])-LEN(SUBSTITUTE(OrdersRawTable9[[#This Row],[Customer_Info]],",",""))</f>
        <v>2</v>
      </c>
      <c r="J870" s="10" t="s">
        <v>279</v>
      </c>
      <c r="K870" s="23">
        <v>1</v>
      </c>
      <c r="L870" s="26">
        <v>52.79</v>
      </c>
      <c r="M870" s="29">
        <v>0</v>
      </c>
      <c r="N870" s="10" t="s">
        <v>50</v>
      </c>
      <c r="O870" s="10" t="str">
        <f>IF(TRIM(OrdersRawTable9[[#This Row],[Sales_Channel_Raw]])="Market place","Marketplace",TRIM(OrdersRawTable9[[#This Row],[Sales_Channel_Raw]]))</f>
        <v>Marketplace</v>
      </c>
      <c r="P870" s="10" t="s">
        <v>51</v>
      </c>
      <c r="Q870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870" s="15" t="s">
        <v>52</v>
      </c>
      <c r="S870" t="str">
        <f>VLOOKUP(OrdersRawTable9[[#This Row],[Customer_ID_Raw]],CustomersTable11[],4,FALSE)</f>
        <v>Manitoba</v>
      </c>
      <c r="T870" t="str">
        <f>VLOOKUP(OrdersRawTable9[[#This Row],[Customer_ID_Raw]],CustomersTable11[],5,FALSE)</f>
        <v>Corporate</v>
      </c>
      <c r="U870" s="45">
        <f>VLOOKUP(OrdersRawTable9[[#This Row],[Product_ID]],ProductsTable10[],4,FALSE)</f>
        <v>28.17</v>
      </c>
      <c r="V870" t="str">
        <f>VLOOKUP(OrdersRawTable9[[#This Row],[Product_ID]],ProductsTable10[],3,FALSE)</f>
        <v>Office</v>
      </c>
      <c r="W870" s="45">
        <f>OrdersRawTable9[[#This Row],[Unit_Price]]*OrdersRawTable9[[#This Row],[Quantity]]</f>
        <v>52.79</v>
      </c>
      <c r="X870" s="47">
        <f>OrdersRawTable9[[#This Row],[Gross_Sales]]*OrdersRawTable9[[#This Row],[Discount_Pct]]</f>
        <v>0</v>
      </c>
      <c r="Y870" s="45">
        <f>OrdersRawTable9[[#This Row],[Gross_Sales]]-OrdersRawTable9[[#This Row],[Discount_Amount]]</f>
        <v>52.79</v>
      </c>
      <c r="Z870" s="45">
        <f>OrdersRawTable9[[#This Row],[Unit_Cost]]*OrdersRawTable9[[#This Row],[Quantity]]</f>
        <v>28.17</v>
      </c>
      <c r="AA870" s="45">
        <f>OrdersRawTable9[[#This Row],[Net_Sales]]-OrdersRawTable9[[#This Row],[Total_Cost]]</f>
        <v>24.619999999999997</v>
      </c>
      <c r="AB870" s="48">
        <f>IF(OrdersRawTable9[[#This Row],[Net_Sales]]=0,0,OrdersRawTable9[[#This Row],[Profit]]/OrdersRawTable9[[#This Row],[Net_Sales]])</f>
        <v>0.46637620761507859</v>
      </c>
      <c r="AC870" s="45" t="str">
        <f>IF(COUNTIF(ReturnsRawTable[Order_Line_ID],OrdersRawTable9[[#This Row],[Order_Line_ID]])&gt;0,"Yes","No")</f>
        <v>No</v>
      </c>
      <c r="AD870" s="45" t="str">
        <f>IFERROR(VLOOKUP(OrdersRawTable9[[#This Row],[Order_Line_ID]],ReturnsRawTable[[#All],[Order_Line_ID]:[Return_Reason_Raw]],3,FALSE),"")</f>
        <v/>
      </c>
      <c r="AE870" s="49" t="str">
        <f>IFERROR(VLOOKUP(OrdersRawTable9[[#This Row],[Order_Line_ID]],ReturnsRawTable[[#All],[Order_Line_ID]:[Return_Date]],2,FALSE),"")</f>
        <v/>
      </c>
      <c r="AF870" s="45" t="str">
        <f>IFERROR(VLOOKUP(OrdersRawTable9[[#This Row],[Order_Line_ID]],ReturnsRawTable[[Order_Line_ID]:[Refund_Status]],4,FALSE),"")</f>
        <v/>
      </c>
      <c r="AG870" s="45" t="str">
        <f>VLOOKUP(OrdersRawTable9[[#This Row],[Order_ID]],ShipmentsTable[],6,FALSE)</f>
        <v>Late</v>
      </c>
      <c r="AH870" s="49">
        <f>VLOOKUP(OrdersRawTable9[[#This Row],[Order_ID]],ShipmentsTable[],3,FALSE)</f>
        <v>45782</v>
      </c>
    </row>
    <row r="871" spans="1:34" ht="15" customHeight="1">
      <c r="A871" s="14" t="s">
        <v>1643</v>
      </c>
      <c r="B871" s="10" t="s">
        <v>1642</v>
      </c>
      <c r="C871" s="20">
        <v>45775</v>
      </c>
      <c r="D871" s="10" t="s">
        <v>432</v>
      </c>
      <c r="E871" s="10" t="s">
        <v>433</v>
      </c>
      <c r="F871" s="10" t="str">
        <f>TRIM(LEFT(OrdersRawTable9[[#This Row],[Customer_Info]],FIND(",",OrdersRawTable9[[#This Row],[Customer_Info]])-1))</f>
        <v>Yara Gagnon</v>
      </c>
      <c r="G87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871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871" s="10">
        <f>LEN(OrdersRawTable9[[#This Row],[Customer_Info]])-LEN(SUBSTITUTE(OrdersRawTable9[[#This Row],[Customer_Info]],",",""))</f>
        <v>2</v>
      </c>
      <c r="J871" s="10" t="s">
        <v>106</v>
      </c>
      <c r="K871" s="23">
        <v>1</v>
      </c>
      <c r="L871" s="26">
        <v>195.38</v>
      </c>
      <c r="M871" s="29">
        <v>0.15</v>
      </c>
      <c r="N871" s="10" t="s">
        <v>45</v>
      </c>
      <c r="O871" s="10" t="str">
        <f>IF(TRIM(OrdersRawTable9[[#This Row],[Sales_Channel_Raw]])="Market place","Marketplace",TRIM(OrdersRawTable9[[#This Row],[Sales_Channel_Raw]]))</f>
        <v>Retail Store</v>
      </c>
      <c r="P871" s="10" t="s">
        <v>98</v>
      </c>
      <c r="Q871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871" s="15" t="s">
        <v>42</v>
      </c>
      <c r="S871" t="str">
        <f>VLOOKUP(OrdersRawTable9[[#This Row],[Customer_ID_Raw]],CustomersTable11[],4,FALSE)</f>
        <v>Manitoba</v>
      </c>
      <c r="T871" t="str">
        <f>VLOOKUP(OrdersRawTable9[[#This Row],[Customer_ID_Raw]],CustomersTable11[],5,FALSE)</f>
        <v>Corporate</v>
      </c>
      <c r="U871" s="45">
        <f>VLOOKUP(OrdersRawTable9[[#This Row],[Product_ID]],ProductsTable10[],4,FALSE)</f>
        <v>114.29</v>
      </c>
      <c r="V871" t="str">
        <f>VLOOKUP(OrdersRawTable9[[#This Row],[Product_ID]],ProductsTable10[],3,FALSE)</f>
        <v>Electronics</v>
      </c>
      <c r="W871" s="45">
        <f>OrdersRawTable9[[#This Row],[Unit_Price]]*OrdersRawTable9[[#This Row],[Quantity]]</f>
        <v>195.38</v>
      </c>
      <c r="X871" s="47">
        <f>OrdersRawTable9[[#This Row],[Gross_Sales]]*OrdersRawTable9[[#This Row],[Discount_Pct]]</f>
        <v>29.306999999999999</v>
      </c>
      <c r="Y871" s="45">
        <f>OrdersRawTable9[[#This Row],[Gross_Sales]]-OrdersRawTable9[[#This Row],[Discount_Amount]]</f>
        <v>166.07300000000001</v>
      </c>
      <c r="Z871" s="45">
        <f>OrdersRawTable9[[#This Row],[Unit_Cost]]*OrdersRawTable9[[#This Row],[Quantity]]</f>
        <v>114.29</v>
      </c>
      <c r="AA871" s="45">
        <f>OrdersRawTable9[[#This Row],[Net_Sales]]-OrdersRawTable9[[#This Row],[Total_Cost]]</f>
        <v>51.783000000000001</v>
      </c>
      <c r="AB871" s="48">
        <f>IF(OrdersRawTable9[[#This Row],[Net_Sales]]=0,0,OrdersRawTable9[[#This Row],[Profit]]/OrdersRawTable9[[#This Row],[Net_Sales]])</f>
        <v>0.31180866245566707</v>
      </c>
      <c r="AC871" s="45" t="str">
        <f>IF(COUNTIF(ReturnsRawTable[Order_Line_ID],OrdersRawTable9[[#This Row],[Order_Line_ID]])&gt;0,"Yes","No")</f>
        <v>No</v>
      </c>
      <c r="AD871" s="45" t="str">
        <f>IFERROR(VLOOKUP(OrdersRawTable9[[#This Row],[Order_Line_ID]],ReturnsRawTable[[#All],[Order_Line_ID]:[Return_Reason_Raw]],3,FALSE),"")</f>
        <v/>
      </c>
      <c r="AE871" s="49" t="str">
        <f>IFERROR(VLOOKUP(OrdersRawTable9[[#This Row],[Order_Line_ID]],ReturnsRawTable[[#All],[Order_Line_ID]:[Return_Date]],2,FALSE),"")</f>
        <v/>
      </c>
      <c r="AF871" s="45" t="str">
        <f>IFERROR(VLOOKUP(OrdersRawTable9[[#This Row],[Order_Line_ID]],ReturnsRawTable[[Order_Line_ID]:[Refund_Status]],4,FALSE),"")</f>
        <v/>
      </c>
      <c r="AG871" s="45" t="str">
        <f>VLOOKUP(OrdersRawTable9[[#This Row],[Order_ID]],ShipmentsTable[],6,FALSE)</f>
        <v>Late</v>
      </c>
      <c r="AH871" s="49">
        <f>VLOOKUP(OrdersRawTable9[[#This Row],[Order_ID]],ShipmentsTable[],3,FALSE)</f>
        <v>45782</v>
      </c>
    </row>
    <row r="872" spans="1:34" ht="15" customHeight="1">
      <c r="A872" s="14" t="s">
        <v>1644</v>
      </c>
      <c r="B872" s="10" t="s">
        <v>1642</v>
      </c>
      <c r="C872" s="20">
        <v>45775</v>
      </c>
      <c r="D872" s="10" t="s">
        <v>432</v>
      </c>
      <c r="E872" s="10" t="s">
        <v>433</v>
      </c>
      <c r="F872" s="10" t="str">
        <f>TRIM(LEFT(OrdersRawTable9[[#This Row],[Customer_Info]],FIND(",",OrdersRawTable9[[#This Row],[Customer_Info]])-1))</f>
        <v>Yara Gagnon</v>
      </c>
      <c r="G87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872" s="10" t="str">
        <f>TRIM(RIGHT(OrdersRawTable9[[#This Row],[Customer_Info]],LEN(OrdersRawTable9[[#This Row],[Customer_Info]])-FIND(",",OrdersRawTable9[[#This Row],[Customer_Info]],FIND(",",OrdersRawTable9[[#This Row],[Customer_Info]])+1)))</f>
        <v>Corporate</v>
      </c>
      <c r="I872" s="10">
        <f>LEN(OrdersRawTable9[[#This Row],[Customer_Info]])-LEN(SUBSTITUTE(OrdersRawTable9[[#This Row],[Customer_Info]],",",""))</f>
        <v>2</v>
      </c>
      <c r="J872" s="10" t="s">
        <v>220</v>
      </c>
      <c r="K872" s="23">
        <v>3</v>
      </c>
      <c r="L872" s="26">
        <v>25.01</v>
      </c>
      <c r="M872" s="29">
        <v>0</v>
      </c>
      <c r="N872" s="10" t="s">
        <v>70</v>
      </c>
      <c r="O872" s="10" t="str">
        <f>IF(TRIM(OrdersRawTable9[[#This Row],[Sales_Channel_Raw]])="Market place","Marketplace",TRIM(OrdersRawTable9[[#This Row],[Sales_Channel_Raw]]))</f>
        <v>online</v>
      </c>
      <c r="P872" s="10" t="s">
        <v>41</v>
      </c>
      <c r="Q872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872" s="15" t="s">
        <v>47</v>
      </c>
      <c r="S872" t="str">
        <f>VLOOKUP(OrdersRawTable9[[#This Row],[Customer_ID_Raw]],CustomersTable11[],4,FALSE)</f>
        <v>Manitoba</v>
      </c>
      <c r="T872" t="str">
        <f>VLOOKUP(OrdersRawTable9[[#This Row],[Customer_ID_Raw]],CustomersTable11[],5,FALSE)</f>
        <v>Corporate</v>
      </c>
      <c r="U872" s="45">
        <f>VLOOKUP(OrdersRawTable9[[#This Row],[Product_ID]],ProductsTable10[],4,FALSE)</f>
        <v>16.86</v>
      </c>
      <c r="V872" t="str">
        <f>VLOOKUP(OrdersRawTable9[[#This Row],[Product_ID]],ProductsTable10[],3,FALSE)</f>
        <v>Office</v>
      </c>
      <c r="W872" s="45">
        <f>OrdersRawTable9[[#This Row],[Unit_Price]]*OrdersRawTable9[[#This Row],[Quantity]]</f>
        <v>75.03</v>
      </c>
      <c r="X872" s="47">
        <f>OrdersRawTable9[[#This Row],[Gross_Sales]]*OrdersRawTable9[[#This Row],[Discount_Pct]]</f>
        <v>0</v>
      </c>
      <c r="Y872" s="45">
        <f>OrdersRawTable9[[#This Row],[Gross_Sales]]-OrdersRawTable9[[#This Row],[Discount_Amount]]</f>
        <v>75.03</v>
      </c>
      <c r="Z872" s="45">
        <f>OrdersRawTable9[[#This Row],[Unit_Cost]]*OrdersRawTable9[[#This Row],[Quantity]]</f>
        <v>50.58</v>
      </c>
      <c r="AA872" s="45">
        <f>OrdersRawTable9[[#This Row],[Net_Sales]]-OrdersRawTable9[[#This Row],[Total_Cost]]</f>
        <v>24.450000000000003</v>
      </c>
      <c r="AB872" s="48">
        <f>IF(OrdersRawTable9[[#This Row],[Net_Sales]]=0,0,OrdersRawTable9[[#This Row],[Profit]]/OrdersRawTable9[[#This Row],[Net_Sales]])</f>
        <v>0.32586965213914437</v>
      </c>
      <c r="AC872" s="45" t="str">
        <f>IF(COUNTIF(ReturnsRawTable[Order_Line_ID],OrdersRawTable9[[#This Row],[Order_Line_ID]])&gt;0,"Yes","No")</f>
        <v>No</v>
      </c>
      <c r="AD872" s="45" t="str">
        <f>IFERROR(VLOOKUP(OrdersRawTable9[[#This Row],[Order_Line_ID]],ReturnsRawTable[[#All],[Order_Line_ID]:[Return_Reason_Raw]],3,FALSE),"")</f>
        <v/>
      </c>
      <c r="AE872" s="49" t="str">
        <f>IFERROR(VLOOKUP(OrdersRawTable9[[#This Row],[Order_Line_ID]],ReturnsRawTable[[#All],[Order_Line_ID]:[Return_Date]],2,FALSE),"")</f>
        <v/>
      </c>
      <c r="AF872" s="45" t="str">
        <f>IFERROR(VLOOKUP(OrdersRawTable9[[#This Row],[Order_Line_ID]],ReturnsRawTable[[Order_Line_ID]:[Refund_Status]],4,FALSE),"")</f>
        <v/>
      </c>
      <c r="AG872" s="45" t="str">
        <f>VLOOKUP(OrdersRawTable9[[#This Row],[Order_ID]],ShipmentsTable[],6,FALSE)</f>
        <v>Late</v>
      </c>
      <c r="AH872" s="49">
        <f>VLOOKUP(OrdersRawTable9[[#This Row],[Order_ID]],ShipmentsTable[],3,FALSE)</f>
        <v>45782</v>
      </c>
    </row>
    <row r="873" spans="1:34" ht="15" customHeight="1">
      <c r="A873" s="14" t="s">
        <v>1645</v>
      </c>
      <c r="B873" s="10" t="s">
        <v>1646</v>
      </c>
      <c r="C873" s="20">
        <v>45866</v>
      </c>
      <c r="D873" s="10" t="s">
        <v>880</v>
      </c>
      <c r="E873" s="10" t="s">
        <v>881</v>
      </c>
      <c r="F873" s="10" t="str">
        <f>TRIM(LEFT(OrdersRawTable9[[#This Row],[Customer_Info]],FIND(",",OrdersRawTable9[[#This Row],[Customer_Info]])-1))</f>
        <v>Sofia Dubois</v>
      </c>
      <c r="G87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873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873" s="10">
        <f>LEN(OrdersRawTable9[[#This Row],[Customer_Info]])-LEN(SUBSTITUTE(OrdersRawTable9[[#This Row],[Customer_Info]],",",""))</f>
        <v>2</v>
      </c>
      <c r="J873" s="10" t="s">
        <v>100</v>
      </c>
      <c r="K873" s="23">
        <v>4</v>
      </c>
      <c r="L873" s="26">
        <v>42.72</v>
      </c>
      <c r="M873" s="29">
        <v>0.15</v>
      </c>
      <c r="N873" s="10" t="s">
        <v>64</v>
      </c>
      <c r="O873" s="10" t="str">
        <f>IF(TRIM(OrdersRawTable9[[#This Row],[Sales_Channel_Raw]])="Market place","Marketplace",TRIM(OrdersRawTable9[[#This Row],[Sales_Channel_Raw]]))</f>
        <v>Retail Store</v>
      </c>
      <c r="P873" s="10" t="s">
        <v>51</v>
      </c>
      <c r="Q873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873" s="15" t="s">
        <v>47</v>
      </c>
      <c r="S873" t="str">
        <f>VLOOKUP(OrdersRawTable9[[#This Row],[Customer_ID_Raw]],CustomersTable11[],4,FALSE)</f>
        <v>Manitoba</v>
      </c>
      <c r="T873" t="str">
        <f>VLOOKUP(OrdersRawTable9[[#This Row],[Customer_ID_Raw]],CustomersTable11[],5,FALSE)</f>
        <v>Consumer</v>
      </c>
      <c r="U873" s="45">
        <f>VLOOKUP(OrdersRawTable9[[#This Row],[Product_ID]],ProductsTable10[],4,FALSE)</f>
        <v>24.46</v>
      </c>
      <c r="V873" t="str">
        <f>VLOOKUP(OrdersRawTable9[[#This Row],[Product_ID]],ProductsTable10[],3,FALSE)</f>
        <v>Electronics</v>
      </c>
      <c r="W873" s="45">
        <f>OrdersRawTable9[[#This Row],[Unit_Price]]*OrdersRawTable9[[#This Row],[Quantity]]</f>
        <v>170.88</v>
      </c>
      <c r="X873" s="47">
        <f>OrdersRawTable9[[#This Row],[Gross_Sales]]*OrdersRawTable9[[#This Row],[Discount_Pct]]</f>
        <v>25.631999999999998</v>
      </c>
      <c r="Y873" s="45">
        <f>OrdersRawTable9[[#This Row],[Gross_Sales]]-OrdersRawTable9[[#This Row],[Discount_Amount]]</f>
        <v>145.24799999999999</v>
      </c>
      <c r="Z873" s="45">
        <f>OrdersRawTable9[[#This Row],[Unit_Cost]]*OrdersRawTable9[[#This Row],[Quantity]]</f>
        <v>97.84</v>
      </c>
      <c r="AA873" s="45">
        <f>OrdersRawTable9[[#This Row],[Net_Sales]]-OrdersRawTable9[[#This Row],[Total_Cost]]</f>
        <v>47.407999999999987</v>
      </c>
      <c r="AB873" s="48">
        <f>IF(OrdersRawTable9[[#This Row],[Net_Sales]]=0,0,OrdersRawTable9[[#This Row],[Profit]]/OrdersRawTable9[[#This Row],[Net_Sales]])</f>
        <v>0.32639347873981045</v>
      </c>
      <c r="AC873" s="45" t="str">
        <f>IF(COUNTIF(ReturnsRawTable[Order_Line_ID],OrdersRawTable9[[#This Row],[Order_Line_ID]])&gt;0,"Yes","No")</f>
        <v>No</v>
      </c>
      <c r="AD873" s="45" t="str">
        <f>IFERROR(VLOOKUP(OrdersRawTable9[[#This Row],[Order_Line_ID]],ReturnsRawTable[[#All],[Order_Line_ID]:[Return_Reason_Raw]],3,FALSE),"")</f>
        <v/>
      </c>
      <c r="AE873" s="49" t="str">
        <f>IFERROR(VLOOKUP(OrdersRawTable9[[#This Row],[Order_Line_ID]],ReturnsRawTable[[#All],[Order_Line_ID]:[Return_Date]],2,FALSE),"")</f>
        <v/>
      </c>
      <c r="AF873" s="45" t="str">
        <f>IFERROR(VLOOKUP(OrdersRawTable9[[#This Row],[Order_Line_ID]],ReturnsRawTable[[Order_Line_ID]:[Refund_Status]],4,FALSE),"")</f>
        <v/>
      </c>
      <c r="AG873" s="45" t="str">
        <f>VLOOKUP(OrdersRawTable9[[#This Row],[Order_ID]],ShipmentsTable[],6,FALSE)</f>
        <v>Late</v>
      </c>
      <c r="AH873" s="49">
        <f>VLOOKUP(OrdersRawTable9[[#This Row],[Order_ID]],ShipmentsTable[],3,FALSE)</f>
        <v>45875</v>
      </c>
    </row>
    <row r="874" spans="1:34" ht="15" customHeight="1">
      <c r="A874" s="14" t="s">
        <v>1647</v>
      </c>
      <c r="B874" s="10" t="s">
        <v>1646</v>
      </c>
      <c r="C874" s="20">
        <v>45866</v>
      </c>
      <c r="D874" s="10" t="s">
        <v>880</v>
      </c>
      <c r="E874" s="10" t="s">
        <v>881</v>
      </c>
      <c r="F874" s="10" t="str">
        <f>TRIM(LEFT(OrdersRawTable9[[#This Row],[Customer_Info]],FIND(",",OrdersRawTable9[[#This Row],[Customer_Info]])-1))</f>
        <v>Sofia Dubois</v>
      </c>
      <c r="G87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874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874" s="10">
        <f>LEN(OrdersRawTable9[[#This Row],[Customer_Info]])-LEN(SUBSTITUTE(OrdersRawTable9[[#This Row],[Customer_Info]],",",""))</f>
        <v>2</v>
      </c>
      <c r="J874" s="10" t="s">
        <v>316</v>
      </c>
      <c r="K874" s="23">
        <v>4</v>
      </c>
      <c r="L874" s="26">
        <v>180.37</v>
      </c>
      <c r="M874" s="29">
        <v>0.05</v>
      </c>
      <c r="N874" s="10" t="s">
        <v>70</v>
      </c>
      <c r="O874" s="10" t="str">
        <f>IF(TRIM(OrdersRawTable9[[#This Row],[Sales_Channel_Raw]])="Market place","Marketplace",TRIM(OrdersRawTable9[[#This Row],[Sales_Channel_Raw]]))</f>
        <v>online</v>
      </c>
      <c r="P874" s="10"/>
      <c r="Q874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874" s="15" t="s">
        <v>47</v>
      </c>
      <c r="S874" t="str">
        <f>VLOOKUP(OrdersRawTable9[[#This Row],[Customer_ID_Raw]],CustomersTable11[],4,FALSE)</f>
        <v>Manitoba</v>
      </c>
      <c r="T874" t="str">
        <f>VLOOKUP(OrdersRawTable9[[#This Row],[Customer_ID_Raw]],CustomersTable11[],5,FALSE)</f>
        <v>Consumer</v>
      </c>
      <c r="U874" s="45">
        <f>VLOOKUP(OrdersRawTable9[[#This Row],[Product_ID]],ProductsTable10[],4,FALSE)</f>
        <v>107.55</v>
      </c>
      <c r="V874" t="str">
        <f>VLOOKUP(OrdersRawTable9[[#This Row],[Product_ID]],ProductsTable10[],3,FALSE)</f>
        <v>Accessories</v>
      </c>
      <c r="W874" s="45">
        <f>OrdersRawTable9[[#This Row],[Unit_Price]]*OrdersRawTable9[[#This Row],[Quantity]]</f>
        <v>721.48</v>
      </c>
      <c r="X874" s="47">
        <f>OrdersRawTable9[[#This Row],[Gross_Sales]]*OrdersRawTable9[[#This Row],[Discount_Pct]]</f>
        <v>36.074000000000005</v>
      </c>
      <c r="Y874" s="45">
        <f>OrdersRawTable9[[#This Row],[Gross_Sales]]-OrdersRawTable9[[#This Row],[Discount_Amount]]</f>
        <v>685.40600000000006</v>
      </c>
      <c r="Z874" s="45">
        <f>OrdersRawTable9[[#This Row],[Unit_Cost]]*OrdersRawTable9[[#This Row],[Quantity]]</f>
        <v>430.2</v>
      </c>
      <c r="AA874" s="45">
        <f>OrdersRawTable9[[#This Row],[Net_Sales]]-OrdersRawTable9[[#This Row],[Total_Cost]]</f>
        <v>255.20600000000007</v>
      </c>
      <c r="AB874" s="48">
        <f>IF(OrdersRawTable9[[#This Row],[Net_Sales]]=0,0,OrdersRawTable9[[#This Row],[Profit]]/OrdersRawTable9[[#This Row],[Net_Sales]])</f>
        <v>0.37234281579093276</v>
      </c>
      <c r="AC874" s="45" t="str">
        <f>IF(COUNTIF(ReturnsRawTable[Order_Line_ID],OrdersRawTable9[[#This Row],[Order_Line_ID]])&gt;0,"Yes","No")</f>
        <v>Yes</v>
      </c>
      <c r="AD874" s="45" t="str">
        <f>IFERROR(VLOOKUP(OrdersRawTable9[[#This Row],[Order_Line_ID]],ReturnsRawTable[[#All],[Order_Line_ID]:[Return_Reason_Raw]],3,FALSE),"")</f>
        <v>Damaged</v>
      </c>
      <c r="AE874" s="49">
        <f>IFERROR(VLOOKUP(OrdersRawTable9[[#This Row],[Order_Line_ID]],ReturnsRawTable[[#All],[Order_Line_ID]:[Return_Date]],2,FALSE),"")</f>
        <v>45876</v>
      </c>
      <c r="AF874" s="45" t="str">
        <f>IFERROR(VLOOKUP(OrdersRawTable9[[#This Row],[Order_Line_ID]],ReturnsRawTable[[Order_Line_ID]:[Refund_Status]],4,FALSE),"")</f>
        <v>Refunded</v>
      </c>
      <c r="AG874" s="45" t="str">
        <f>VLOOKUP(OrdersRawTable9[[#This Row],[Order_ID]],ShipmentsTable[],6,FALSE)</f>
        <v>Late</v>
      </c>
      <c r="AH874" s="49">
        <f>VLOOKUP(OrdersRawTable9[[#This Row],[Order_ID]],ShipmentsTable[],3,FALSE)</f>
        <v>45875</v>
      </c>
    </row>
    <row r="875" spans="1:34" ht="15" customHeight="1">
      <c r="A875" s="14" t="s">
        <v>1648</v>
      </c>
      <c r="B875" s="10" t="s">
        <v>1646</v>
      </c>
      <c r="C875" s="20">
        <v>45866</v>
      </c>
      <c r="D875" s="10" t="s">
        <v>880</v>
      </c>
      <c r="E875" s="10" t="s">
        <v>881</v>
      </c>
      <c r="F875" s="10" t="str">
        <f>TRIM(LEFT(OrdersRawTable9[[#This Row],[Customer_Info]],FIND(",",OrdersRawTable9[[#This Row],[Customer_Info]])-1))</f>
        <v>Sofia Dubois</v>
      </c>
      <c r="G87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875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875" s="10">
        <f>LEN(OrdersRawTable9[[#This Row],[Customer_Info]])-LEN(SUBSTITUTE(OrdersRawTable9[[#This Row],[Customer_Info]],",",""))</f>
        <v>2</v>
      </c>
      <c r="J875" s="10" t="s">
        <v>495</v>
      </c>
      <c r="K875" s="23">
        <v>2</v>
      </c>
      <c r="L875" s="26">
        <v>207.71</v>
      </c>
      <c r="M875" s="29">
        <v>0.1</v>
      </c>
      <c r="N875" s="10" t="s">
        <v>40</v>
      </c>
      <c r="O875" s="10" t="str">
        <f>IF(TRIM(OrdersRawTable9[[#This Row],[Sales_Channel_Raw]])="Market place","Marketplace",TRIM(OrdersRawTable9[[#This Row],[Sales_Channel_Raw]]))</f>
        <v>Online</v>
      </c>
      <c r="P875" s="10" t="s">
        <v>51</v>
      </c>
      <c r="Q875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875" s="15" t="s">
        <v>101</v>
      </c>
      <c r="S875" t="str">
        <f>VLOOKUP(OrdersRawTable9[[#This Row],[Customer_ID_Raw]],CustomersTable11[],4,FALSE)</f>
        <v>Manitoba</v>
      </c>
      <c r="T875" t="str">
        <f>VLOOKUP(OrdersRawTable9[[#This Row],[Customer_ID_Raw]],CustomersTable11[],5,FALSE)</f>
        <v>Consumer</v>
      </c>
      <c r="U875" s="45">
        <f>VLOOKUP(OrdersRawTable9[[#This Row],[Product_ID]],ProductsTable10[],4,FALSE)</f>
        <v>132.97</v>
      </c>
      <c r="V875" t="str">
        <f>VLOOKUP(OrdersRawTable9[[#This Row],[Product_ID]],ProductsTable10[],3,FALSE)</f>
        <v>Home</v>
      </c>
      <c r="W875" s="45">
        <f>OrdersRawTable9[[#This Row],[Unit_Price]]*OrdersRawTable9[[#This Row],[Quantity]]</f>
        <v>415.42</v>
      </c>
      <c r="X875" s="47">
        <f>OrdersRawTable9[[#This Row],[Gross_Sales]]*OrdersRawTable9[[#This Row],[Discount_Pct]]</f>
        <v>41.542000000000002</v>
      </c>
      <c r="Y875" s="45">
        <f>OrdersRawTable9[[#This Row],[Gross_Sales]]-OrdersRawTable9[[#This Row],[Discount_Amount]]</f>
        <v>373.87800000000004</v>
      </c>
      <c r="Z875" s="45">
        <f>OrdersRawTable9[[#This Row],[Unit_Cost]]*OrdersRawTable9[[#This Row],[Quantity]]</f>
        <v>265.94</v>
      </c>
      <c r="AA875" s="45">
        <f>OrdersRawTable9[[#This Row],[Net_Sales]]-OrdersRawTable9[[#This Row],[Total_Cost]]</f>
        <v>107.93800000000005</v>
      </c>
      <c r="AB875" s="48">
        <f>IF(OrdersRawTable9[[#This Row],[Net_Sales]]=0,0,OrdersRawTable9[[#This Row],[Profit]]/OrdersRawTable9[[#This Row],[Net_Sales]])</f>
        <v>0.28869845243635633</v>
      </c>
      <c r="AC875" s="45" t="str">
        <f>IF(COUNTIF(ReturnsRawTable[Order_Line_ID],OrdersRawTable9[[#This Row],[Order_Line_ID]])&gt;0,"Yes","No")</f>
        <v>No</v>
      </c>
      <c r="AD875" s="45" t="str">
        <f>IFERROR(VLOOKUP(OrdersRawTable9[[#This Row],[Order_Line_ID]],ReturnsRawTable[[#All],[Order_Line_ID]:[Return_Reason_Raw]],3,FALSE),"")</f>
        <v/>
      </c>
      <c r="AE875" s="49" t="str">
        <f>IFERROR(VLOOKUP(OrdersRawTable9[[#This Row],[Order_Line_ID]],ReturnsRawTable[[#All],[Order_Line_ID]:[Return_Date]],2,FALSE),"")</f>
        <v/>
      </c>
      <c r="AF875" s="45" t="str">
        <f>IFERROR(VLOOKUP(OrdersRawTable9[[#This Row],[Order_Line_ID]],ReturnsRawTable[[Order_Line_ID]:[Refund_Status]],4,FALSE),"")</f>
        <v/>
      </c>
      <c r="AG875" s="45" t="str">
        <f>VLOOKUP(OrdersRawTable9[[#This Row],[Order_ID]],ShipmentsTable[],6,FALSE)</f>
        <v>Late</v>
      </c>
      <c r="AH875" s="49">
        <f>VLOOKUP(OrdersRawTable9[[#This Row],[Order_ID]],ShipmentsTable[],3,FALSE)</f>
        <v>45875</v>
      </c>
    </row>
    <row r="876" spans="1:34" ht="15" customHeight="1">
      <c r="A876" s="14" t="s">
        <v>1649</v>
      </c>
      <c r="B876" s="10" t="s">
        <v>1646</v>
      </c>
      <c r="C876" s="20">
        <v>45866</v>
      </c>
      <c r="D876" s="10" t="s">
        <v>1650</v>
      </c>
      <c r="E876" s="10" t="s">
        <v>881</v>
      </c>
      <c r="F876" s="10" t="str">
        <f>TRIM(LEFT(OrdersRawTable9[[#This Row],[Customer_Info]],FIND(",",OrdersRawTable9[[#This Row],[Customer_Info]])-1))</f>
        <v>Sofia Dubois</v>
      </c>
      <c r="G87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876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876" s="10">
        <f>LEN(OrdersRawTable9[[#This Row],[Customer_Info]])-LEN(SUBSTITUTE(OrdersRawTable9[[#This Row],[Customer_Info]],",",""))</f>
        <v>2</v>
      </c>
      <c r="J876" s="10" t="s">
        <v>110</v>
      </c>
      <c r="K876" s="23">
        <v>1</v>
      </c>
      <c r="L876" s="26">
        <v>133.24</v>
      </c>
      <c r="M876" s="29">
        <v>0</v>
      </c>
      <c r="N876" s="10" t="s">
        <v>45</v>
      </c>
      <c r="O876" s="10" t="str">
        <f>IF(TRIM(OrdersRawTable9[[#This Row],[Sales_Channel_Raw]])="Market place","Marketplace",TRIM(OrdersRawTable9[[#This Row],[Sales_Channel_Raw]]))</f>
        <v>Retail Store</v>
      </c>
      <c r="P876" s="10"/>
      <c r="Q876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876" s="15" t="s">
        <v>52</v>
      </c>
      <c r="S876" t="str">
        <f>VLOOKUP(OrdersRawTable9[[#This Row],[Customer_ID_Raw]],CustomersTable11[],4,FALSE)</f>
        <v>Manitoba</v>
      </c>
      <c r="T876" t="str">
        <f>VLOOKUP(OrdersRawTable9[[#This Row],[Customer_ID_Raw]],CustomersTable11[],5,FALSE)</f>
        <v>Consumer</v>
      </c>
      <c r="U876" s="45">
        <f>VLOOKUP(OrdersRawTable9[[#This Row],[Product_ID]],ProductsTable10[],4,FALSE)</f>
        <v>77.540000000000006</v>
      </c>
      <c r="V876" t="str">
        <f>VLOOKUP(OrdersRawTable9[[#This Row],[Product_ID]],ProductsTable10[],3,FALSE)</f>
        <v>Electronics</v>
      </c>
      <c r="W876" s="45">
        <f>OrdersRawTable9[[#This Row],[Unit_Price]]*OrdersRawTable9[[#This Row],[Quantity]]</f>
        <v>133.24</v>
      </c>
      <c r="X876" s="47">
        <f>OrdersRawTable9[[#This Row],[Gross_Sales]]*OrdersRawTable9[[#This Row],[Discount_Pct]]</f>
        <v>0</v>
      </c>
      <c r="Y876" s="45">
        <f>OrdersRawTable9[[#This Row],[Gross_Sales]]-OrdersRawTable9[[#This Row],[Discount_Amount]]</f>
        <v>133.24</v>
      </c>
      <c r="Z876" s="45">
        <f>OrdersRawTable9[[#This Row],[Unit_Cost]]*OrdersRawTable9[[#This Row],[Quantity]]</f>
        <v>77.540000000000006</v>
      </c>
      <c r="AA876" s="45">
        <f>OrdersRawTable9[[#This Row],[Net_Sales]]-OrdersRawTable9[[#This Row],[Total_Cost]]</f>
        <v>55.7</v>
      </c>
      <c r="AB876" s="48">
        <f>IF(OrdersRawTable9[[#This Row],[Net_Sales]]=0,0,OrdersRawTable9[[#This Row],[Profit]]/OrdersRawTable9[[#This Row],[Net_Sales]])</f>
        <v>0.41804262984088864</v>
      </c>
      <c r="AC876" s="45" t="str">
        <f>IF(COUNTIF(ReturnsRawTable[Order_Line_ID],OrdersRawTable9[[#This Row],[Order_Line_ID]])&gt;0,"Yes","No")</f>
        <v>No</v>
      </c>
      <c r="AD876" s="45" t="str">
        <f>IFERROR(VLOOKUP(OrdersRawTable9[[#This Row],[Order_Line_ID]],ReturnsRawTable[[#All],[Order_Line_ID]:[Return_Reason_Raw]],3,FALSE),"")</f>
        <v/>
      </c>
      <c r="AE876" s="49" t="str">
        <f>IFERROR(VLOOKUP(OrdersRawTable9[[#This Row],[Order_Line_ID]],ReturnsRawTable[[#All],[Order_Line_ID]:[Return_Date]],2,FALSE),"")</f>
        <v/>
      </c>
      <c r="AF876" s="45" t="str">
        <f>IFERROR(VLOOKUP(OrdersRawTable9[[#This Row],[Order_Line_ID]],ReturnsRawTable[[Order_Line_ID]:[Refund_Status]],4,FALSE),"")</f>
        <v/>
      </c>
      <c r="AG876" s="45" t="str">
        <f>VLOOKUP(OrdersRawTable9[[#This Row],[Order_ID]],ShipmentsTable[],6,FALSE)</f>
        <v>Late</v>
      </c>
      <c r="AH876" s="49">
        <f>VLOOKUP(OrdersRawTable9[[#This Row],[Order_ID]],ShipmentsTable[],3,FALSE)</f>
        <v>45875</v>
      </c>
    </row>
    <row r="877" spans="1:34" ht="15" customHeight="1">
      <c r="A877" s="14" t="s">
        <v>1651</v>
      </c>
      <c r="B877" s="10" t="s">
        <v>1652</v>
      </c>
      <c r="C877" s="20">
        <v>45826</v>
      </c>
      <c r="D877" s="10" t="s">
        <v>1653</v>
      </c>
      <c r="E877" s="10" t="s">
        <v>1654</v>
      </c>
      <c r="F877" s="10" t="str">
        <f>TRIM(LEFT(OrdersRawTable9[[#This Row],[Customer_Info]],FIND(",",OrdersRawTable9[[#This Row],[Customer_Info]])-1))</f>
        <v>Liam Tremblay</v>
      </c>
      <c r="G87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877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877" s="10">
        <f>LEN(OrdersRawTable9[[#This Row],[Customer_Info]])-LEN(SUBSTITUTE(OrdersRawTable9[[#This Row],[Customer_Info]],",",""))</f>
        <v>2</v>
      </c>
      <c r="J877" s="10" t="s">
        <v>93</v>
      </c>
      <c r="K877" s="23">
        <v>3</v>
      </c>
      <c r="L877" s="26">
        <v>208.89</v>
      </c>
      <c r="M877" s="29">
        <v>0.15</v>
      </c>
      <c r="N877" s="10" t="s">
        <v>64</v>
      </c>
      <c r="O877" s="10" t="str">
        <f>IF(TRIM(OrdersRawTable9[[#This Row],[Sales_Channel_Raw]])="Market place","Marketplace",TRIM(OrdersRawTable9[[#This Row],[Sales_Channel_Raw]]))</f>
        <v>Retail Store</v>
      </c>
      <c r="P877" s="10" t="s">
        <v>51</v>
      </c>
      <c r="Q877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877" s="15" t="s">
        <v>47</v>
      </c>
      <c r="S877" t="str">
        <f>VLOOKUP(OrdersRawTable9[[#This Row],[Customer_ID_Raw]],CustomersTable11[],4,FALSE)</f>
        <v>Ontario</v>
      </c>
      <c r="T877" t="str">
        <f>VLOOKUP(OrdersRawTable9[[#This Row],[Customer_ID_Raw]],CustomersTable11[],5,FALSE)</f>
        <v>Consumer</v>
      </c>
      <c r="U877" s="45">
        <f>VLOOKUP(OrdersRawTable9[[#This Row],[Product_ID]],ProductsTable10[],4,FALSE)</f>
        <v>133.05000000000001</v>
      </c>
      <c r="V877" t="str">
        <f>VLOOKUP(OrdersRawTable9[[#This Row],[Product_ID]],ProductsTable10[],3,FALSE)</f>
        <v>Accessories</v>
      </c>
      <c r="W877" s="45">
        <f>OrdersRawTable9[[#This Row],[Unit_Price]]*OrdersRawTable9[[#This Row],[Quantity]]</f>
        <v>626.66999999999996</v>
      </c>
      <c r="X877" s="47">
        <f>OrdersRawTable9[[#This Row],[Gross_Sales]]*OrdersRawTable9[[#This Row],[Discount_Pct]]</f>
        <v>94.000499999999988</v>
      </c>
      <c r="Y877" s="45">
        <f>OrdersRawTable9[[#This Row],[Gross_Sales]]-OrdersRawTable9[[#This Row],[Discount_Amount]]</f>
        <v>532.66949999999997</v>
      </c>
      <c r="Z877" s="45">
        <f>OrdersRawTable9[[#This Row],[Unit_Cost]]*OrdersRawTable9[[#This Row],[Quantity]]</f>
        <v>399.15000000000003</v>
      </c>
      <c r="AA877" s="45">
        <f>OrdersRawTable9[[#This Row],[Net_Sales]]-OrdersRawTable9[[#This Row],[Total_Cost]]</f>
        <v>133.51949999999994</v>
      </c>
      <c r="AB877" s="48">
        <f>IF(OrdersRawTable9[[#This Row],[Net_Sales]]=0,0,OrdersRawTable9[[#This Row],[Profit]]/OrdersRawTable9[[#This Row],[Net_Sales]])</f>
        <v>0.25066105718461434</v>
      </c>
      <c r="AC877" s="45" t="str">
        <f>IF(COUNTIF(ReturnsRawTable[Order_Line_ID],OrdersRawTable9[[#This Row],[Order_Line_ID]])&gt;0,"Yes","No")</f>
        <v>No</v>
      </c>
      <c r="AD877" s="45" t="str">
        <f>IFERROR(VLOOKUP(OrdersRawTable9[[#This Row],[Order_Line_ID]],ReturnsRawTable[[#All],[Order_Line_ID]:[Return_Reason_Raw]],3,FALSE),"")</f>
        <v/>
      </c>
      <c r="AE877" s="49" t="str">
        <f>IFERROR(VLOOKUP(OrdersRawTable9[[#This Row],[Order_Line_ID]],ReturnsRawTable[[#All],[Order_Line_ID]:[Return_Date]],2,FALSE),"")</f>
        <v/>
      </c>
      <c r="AF877" s="45" t="str">
        <f>IFERROR(VLOOKUP(OrdersRawTable9[[#This Row],[Order_Line_ID]],ReturnsRawTable[[Order_Line_ID]:[Refund_Status]],4,FALSE),"")</f>
        <v/>
      </c>
      <c r="AG877" s="45" t="str">
        <f>VLOOKUP(OrdersRawTable9[[#This Row],[Order_ID]],ShipmentsTable[],6,FALSE)</f>
        <v>On time</v>
      </c>
      <c r="AH877" s="49">
        <f>VLOOKUP(OrdersRawTable9[[#This Row],[Order_ID]],ShipmentsTable[],3,FALSE)</f>
        <v>45827</v>
      </c>
    </row>
    <row r="878" spans="1:34" ht="15" customHeight="1">
      <c r="A878" s="14" t="s">
        <v>1655</v>
      </c>
      <c r="B878" s="10" t="s">
        <v>1652</v>
      </c>
      <c r="C878" s="20">
        <v>45826</v>
      </c>
      <c r="D878" s="10" t="s">
        <v>1653</v>
      </c>
      <c r="E878" s="10" t="s">
        <v>1654</v>
      </c>
      <c r="F878" s="10" t="str">
        <f>TRIM(LEFT(OrdersRawTable9[[#This Row],[Customer_Info]],FIND(",",OrdersRawTable9[[#This Row],[Customer_Info]])-1))</f>
        <v>Liam Tremblay</v>
      </c>
      <c r="G87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878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878" s="10">
        <f>LEN(OrdersRawTable9[[#This Row],[Customer_Info]])-LEN(SUBSTITUTE(OrdersRawTable9[[#This Row],[Customer_Info]],",",""))</f>
        <v>2</v>
      </c>
      <c r="J878" s="10" t="s">
        <v>119</v>
      </c>
      <c r="K878" s="23">
        <v>4</v>
      </c>
      <c r="L878" s="26">
        <v>103.3</v>
      </c>
      <c r="M878" s="29">
        <v>0.1</v>
      </c>
      <c r="N878" s="10" t="s">
        <v>50</v>
      </c>
      <c r="O878" s="10" t="str">
        <f>IF(TRIM(OrdersRawTable9[[#This Row],[Sales_Channel_Raw]])="Market place","Marketplace",TRIM(OrdersRawTable9[[#This Row],[Sales_Channel_Raw]]))</f>
        <v>Marketplace</v>
      </c>
      <c r="P878" s="10" t="s">
        <v>98</v>
      </c>
      <c r="Q878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878" s="15" t="s">
        <v>67</v>
      </c>
      <c r="S878" t="str">
        <f>VLOOKUP(OrdersRawTable9[[#This Row],[Customer_ID_Raw]],CustomersTable11[],4,FALSE)</f>
        <v>Ontario</v>
      </c>
      <c r="T878" t="str">
        <f>VLOOKUP(OrdersRawTable9[[#This Row],[Customer_ID_Raw]],CustomersTable11[],5,FALSE)</f>
        <v>Consumer</v>
      </c>
      <c r="U878" s="45">
        <f>VLOOKUP(OrdersRawTable9[[#This Row],[Product_ID]],ProductsTable10[],4,FALSE)</f>
        <v>70.180000000000007</v>
      </c>
      <c r="V878" t="str">
        <f>VLOOKUP(OrdersRawTable9[[#This Row],[Product_ID]],ProductsTable10[],3,FALSE)</f>
        <v>Home</v>
      </c>
      <c r="W878" s="45">
        <f>OrdersRawTable9[[#This Row],[Unit_Price]]*OrdersRawTable9[[#This Row],[Quantity]]</f>
        <v>413.2</v>
      </c>
      <c r="X878" s="47">
        <f>OrdersRawTable9[[#This Row],[Gross_Sales]]*OrdersRawTable9[[#This Row],[Discount_Pct]]</f>
        <v>41.32</v>
      </c>
      <c r="Y878" s="45">
        <f>OrdersRawTable9[[#This Row],[Gross_Sales]]-OrdersRawTable9[[#This Row],[Discount_Amount]]</f>
        <v>371.88</v>
      </c>
      <c r="Z878" s="45">
        <f>OrdersRawTable9[[#This Row],[Unit_Cost]]*OrdersRawTable9[[#This Row],[Quantity]]</f>
        <v>280.72000000000003</v>
      </c>
      <c r="AA878" s="45">
        <f>OrdersRawTable9[[#This Row],[Net_Sales]]-OrdersRawTable9[[#This Row],[Total_Cost]]</f>
        <v>91.159999999999968</v>
      </c>
      <c r="AB878" s="48">
        <f>IF(OrdersRawTable9[[#This Row],[Net_Sales]]=0,0,OrdersRawTable9[[#This Row],[Profit]]/OrdersRawTable9[[#This Row],[Net_Sales]])</f>
        <v>0.24513283855006984</v>
      </c>
      <c r="AC878" s="45" t="str">
        <f>IF(COUNTIF(ReturnsRawTable[Order_Line_ID],OrdersRawTable9[[#This Row],[Order_Line_ID]])&gt;0,"Yes","No")</f>
        <v>No</v>
      </c>
      <c r="AD878" s="45" t="str">
        <f>IFERROR(VLOOKUP(OrdersRawTable9[[#This Row],[Order_Line_ID]],ReturnsRawTable[[#All],[Order_Line_ID]:[Return_Reason_Raw]],3,FALSE),"")</f>
        <v/>
      </c>
      <c r="AE878" s="49" t="str">
        <f>IFERROR(VLOOKUP(OrdersRawTable9[[#This Row],[Order_Line_ID]],ReturnsRawTable[[#All],[Order_Line_ID]:[Return_Date]],2,FALSE),"")</f>
        <v/>
      </c>
      <c r="AF878" s="45" t="str">
        <f>IFERROR(VLOOKUP(OrdersRawTable9[[#This Row],[Order_Line_ID]],ReturnsRawTable[[Order_Line_ID]:[Refund_Status]],4,FALSE),"")</f>
        <v/>
      </c>
      <c r="AG878" s="45" t="str">
        <f>VLOOKUP(OrdersRawTable9[[#This Row],[Order_ID]],ShipmentsTable[],6,FALSE)</f>
        <v>On time</v>
      </c>
      <c r="AH878" s="49">
        <f>VLOOKUP(OrdersRawTable9[[#This Row],[Order_ID]],ShipmentsTable[],3,FALSE)</f>
        <v>45827</v>
      </c>
    </row>
    <row r="879" spans="1:34" ht="15" customHeight="1">
      <c r="A879" s="14" t="s">
        <v>1656</v>
      </c>
      <c r="B879" s="10" t="s">
        <v>1652</v>
      </c>
      <c r="C879" s="20">
        <v>45826</v>
      </c>
      <c r="D879" s="10" t="s">
        <v>1653</v>
      </c>
      <c r="E879" s="10" t="s">
        <v>1654</v>
      </c>
      <c r="F879" s="10" t="str">
        <f>TRIM(LEFT(OrdersRawTable9[[#This Row],[Customer_Info]],FIND(",",OrdersRawTable9[[#This Row],[Customer_Info]])-1))</f>
        <v>Liam Tremblay</v>
      </c>
      <c r="G879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Toronto</v>
      </c>
      <c r="H879" s="10" t="str">
        <f>TRIM(RIGHT(OrdersRawTable9[[#This Row],[Customer_Info]],LEN(OrdersRawTable9[[#This Row],[Customer_Info]])-FIND(",",OrdersRawTable9[[#This Row],[Customer_Info]],FIND(",",OrdersRawTable9[[#This Row],[Customer_Info]])+1)))</f>
        <v>Consumer</v>
      </c>
      <c r="I879" s="10">
        <f>LEN(OrdersRawTable9[[#This Row],[Customer_Info]])-LEN(SUBSTITUTE(OrdersRawTable9[[#This Row],[Customer_Info]],",",""))</f>
        <v>2</v>
      </c>
      <c r="J879" s="10" t="s">
        <v>332</v>
      </c>
      <c r="K879" s="23">
        <v>2</v>
      </c>
      <c r="L879" s="26">
        <v>273.89</v>
      </c>
      <c r="M879" s="29">
        <v>0.15</v>
      </c>
      <c r="N879" s="10" t="s">
        <v>64</v>
      </c>
      <c r="O879" s="10" t="str">
        <f>IF(TRIM(OrdersRawTable9[[#This Row],[Sales_Channel_Raw]])="Market place","Marketplace",TRIM(OrdersRawTable9[[#This Row],[Sales_Channel_Raw]]))</f>
        <v>Retail Store</v>
      </c>
      <c r="P879" s="10" t="s">
        <v>46</v>
      </c>
      <c r="Q879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879" s="15" t="s">
        <v>52</v>
      </c>
      <c r="S879" t="str">
        <f>VLOOKUP(OrdersRawTable9[[#This Row],[Customer_ID_Raw]],CustomersTable11[],4,FALSE)</f>
        <v>Ontario</v>
      </c>
      <c r="T879" t="str">
        <f>VLOOKUP(OrdersRawTable9[[#This Row],[Customer_ID_Raw]],CustomersTable11[],5,FALSE)</f>
        <v>Consumer</v>
      </c>
      <c r="U879" s="45">
        <f>VLOOKUP(OrdersRawTable9[[#This Row],[Product_ID]],ProductsTable10[],4,FALSE)</f>
        <v>140.66999999999999</v>
      </c>
      <c r="V879" t="str">
        <f>VLOOKUP(OrdersRawTable9[[#This Row],[Product_ID]],ProductsTable10[],3,FALSE)</f>
        <v>Home</v>
      </c>
      <c r="W879" s="45">
        <f>OrdersRawTable9[[#This Row],[Unit_Price]]*OrdersRawTable9[[#This Row],[Quantity]]</f>
        <v>547.78</v>
      </c>
      <c r="X879" s="47">
        <f>OrdersRawTable9[[#This Row],[Gross_Sales]]*OrdersRawTable9[[#This Row],[Discount_Pct]]</f>
        <v>82.166999999999987</v>
      </c>
      <c r="Y879" s="45">
        <f>OrdersRawTable9[[#This Row],[Gross_Sales]]-OrdersRawTable9[[#This Row],[Discount_Amount]]</f>
        <v>465.613</v>
      </c>
      <c r="Z879" s="45">
        <f>OrdersRawTable9[[#This Row],[Unit_Cost]]*OrdersRawTable9[[#This Row],[Quantity]]</f>
        <v>281.33999999999997</v>
      </c>
      <c r="AA879" s="45">
        <f>OrdersRawTable9[[#This Row],[Net_Sales]]-OrdersRawTable9[[#This Row],[Total_Cost]]</f>
        <v>184.27300000000002</v>
      </c>
      <c r="AB879" s="48">
        <f>IF(OrdersRawTable9[[#This Row],[Net_Sales]]=0,0,OrdersRawTable9[[#This Row],[Profit]]/OrdersRawTable9[[#This Row],[Net_Sales]])</f>
        <v>0.39576429352273246</v>
      </c>
      <c r="AC879" s="45" t="str">
        <f>IF(COUNTIF(ReturnsRawTable[Order_Line_ID],OrdersRawTable9[[#This Row],[Order_Line_ID]])&gt;0,"Yes","No")</f>
        <v>No</v>
      </c>
      <c r="AD879" s="45" t="str">
        <f>IFERROR(VLOOKUP(OrdersRawTable9[[#This Row],[Order_Line_ID]],ReturnsRawTable[[#All],[Order_Line_ID]:[Return_Reason_Raw]],3,FALSE),"")</f>
        <v/>
      </c>
      <c r="AE879" s="49" t="str">
        <f>IFERROR(VLOOKUP(OrdersRawTable9[[#This Row],[Order_Line_ID]],ReturnsRawTable[[#All],[Order_Line_ID]:[Return_Date]],2,FALSE),"")</f>
        <v/>
      </c>
      <c r="AF879" s="45" t="str">
        <f>IFERROR(VLOOKUP(OrdersRawTable9[[#This Row],[Order_Line_ID]],ReturnsRawTable[[Order_Line_ID]:[Refund_Status]],4,FALSE),"")</f>
        <v/>
      </c>
      <c r="AG879" s="45" t="str">
        <f>VLOOKUP(OrdersRawTable9[[#This Row],[Order_ID]],ShipmentsTable[],6,FALSE)</f>
        <v>On time</v>
      </c>
      <c r="AH879" s="49">
        <f>VLOOKUP(OrdersRawTable9[[#This Row],[Order_ID]],ShipmentsTable[],3,FALSE)</f>
        <v>45827</v>
      </c>
    </row>
    <row r="880" spans="1:34" ht="15" customHeight="1">
      <c r="A880" s="14" t="s">
        <v>1657</v>
      </c>
      <c r="B880" s="10" t="s">
        <v>1658</v>
      </c>
      <c r="C880" s="20">
        <v>45742.041666666664</v>
      </c>
      <c r="D880" s="10" t="s">
        <v>1490</v>
      </c>
      <c r="E880" s="10" t="s">
        <v>1491</v>
      </c>
      <c r="F880" s="10" t="str">
        <f>TRIM(LEFT(OrdersRawTable9[[#This Row],[Customer_Info]],FIND(",",OrdersRawTable9[[#This Row],[Customer_Info]])-1))</f>
        <v>Ethan Johnson</v>
      </c>
      <c r="G880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880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880" s="10">
        <f>LEN(OrdersRawTable9[[#This Row],[Customer_Info]])-LEN(SUBSTITUTE(OrdersRawTable9[[#This Row],[Customer_Info]],",",""))</f>
        <v>2</v>
      </c>
      <c r="J880" s="10" t="s">
        <v>428</v>
      </c>
      <c r="K880" s="23">
        <v>1</v>
      </c>
      <c r="L880" s="26">
        <v>110.88</v>
      </c>
      <c r="M880" s="29">
        <v>0</v>
      </c>
      <c r="N880" s="10" t="s">
        <v>50</v>
      </c>
      <c r="O880" s="10" t="str">
        <f>IF(TRIM(OrdersRawTable9[[#This Row],[Sales_Channel_Raw]])="Market place","Marketplace",TRIM(OrdersRawTable9[[#This Row],[Sales_Channel_Raw]]))</f>
        <v>Marketplace</v>
      </c>
      <c r="P880" s="10" t="s">
        <v>58</v>
      </c>
      <c r="Q880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880" s="15" t="s">
        <v>47</v>
      </c>
      <c r="S880" t="str">
        <f>VLOOKUP(OrdersRawTable9[[#This Row],[Customer_ID_Raw]],CustomersTable11[],4,FALSE)</f>
        <v>Manitoba</v>
      </c>
      <c r="T880" t="str">
        <f>VLOOKUP(OrdersRawTable9[[#This Row],[Customer_ID_Raw]],CustomersTable11[],5,FALSE)</f>
        <v>Small Business</v>
      </c>
      <c r="U880" s="45">
        <f>VLOOKUP(OrdersRawTable9[[#This Row],[Product_ID]],ProductsTable10[],4,FALSE)</f>
        <v>57.09</v>
      </c>
      <c r="V880" t="str">
        <f>VLOOKUP(OrdersRawTable9[[#This Row],[Product_ID]],ProductsTable10[],3,FALSE)</f>
        <v>Electronics</v>
      </c>
      <c r="W880" s="45">
        <f>OrdersRawTable9[[#This Row],[Unit_Price]]*OrdersRawTable9[[#This Row],[Quantity]]</f>
        <v>110.88</v>
      </c>
      <c r="X880" s="47">
        <f>OrdersRawTable9[[#This Row],[Gross_Sales]]*OrdersRawTable9[[#This Row],[Discount_Pct]]</f>
        <v>0</v>
      </c>
      <c r="Y880" s="45">
        <f>OrdersRawTable9[[#This Row],[Gross_Sales]]-OrdersRawTable9[[#This Row],[Discount_Amount]]</f>
        <v>110.88</v>
      </c>
      <c r="Z880" s="45">
        <f>OrdersRawTable9[[#This Row],[Unit_Cost]]*OrdersRawTable9[[#This Row],[Quantity]]</f>
        <v>57.09</v>
      </c>
      <c r="AA880" s="45">
        <f>OrdersRawTable9[[#This Row],[Net_Sales]]-OrdersRawTable9[[#This Row],[Total_Cost]]</f>
        <v>53.789999999999992</v>
      </c>
      <c r="AB880" s="48">
        <f>IF(OrdersRawTable9[[#This Row],[Net_Sales]]=0,0,OrdersRawTable9[[#This Row],[Profit]]/OrdersRawTable9[[#This Row],[Net_Sales]])</f>
        <v>0.48511904761904756</v>
      </c>
      <c r="AC880" s="45" t="str">
        <f>IF(COUNTIF(ReturnsRawTable[Order_Line_ID],OrdersRawTable9[[#This Row],[Order_Line_ID]])&gt;0,"Yes","No")</f>
        <v>No</v>
      </c>
      <c r="AD880" s="45" t="str">
        <f>IFERROR(VLOOKUP(OrdersRawTable9[[#This Row],[Order_Line_ID]],ReturnsRawTable[[#All],[Order_Line_ID]:[Return_Reason_Raw]],3,FALSE),"")</f>
        <v/>
      </c>
      <c r="AE880" s="49" t="str">
        <f>IFERROR(VLOOKUP(OrdersRawTable9[[#This Row],[Order_Line_ID]],ReturnsRawTable[[#All],[Order_Line_ID]:[Return_Date]],2,FALSE),"")</f>
        <v/>
      </c>
      <c r="AF880" s="45" t="str">
        <f>IFERROR(VLOOKUP(OrdersRawTable9[[#This Row],[Order_Line_ID]],ReturnsRawTable[[Order_Line_ID]:[Refund_Status]],4,FALSE),"")</f>
        <v/>
      </c>
      <c r="AG880" s="45" t="str">
        <f>VLOOKUP(OrdersRawTable9[[#This Row],[Order_ID]],ShipmentsTable[],6,FALSE)</f>
        <v>Late</v>
      </c>
      <c r="AH880" s="49">
        <f>VLOOKUP(OrdersRawTable9[[#This Row],[Order_ID]],ShipmentsTable[],3,FALSE)</f>
        <v>45748.041666666664</v>
      </c>
    </row>
    <row r="881" spans="1:34" ht="15" customHeight="1">
      <c r="A881" s="14" t="s">
        <v>1659</v>
      </c>
      <c r="B881" s="10" t="s">
        <v>1658</v>
      </c>
      <c r="C881" s="20">
        <v>45742.041666666664</v>
      </c>
      <c r="D881" s="10" t="s">
        <v>1490</v>
      </c>
      <c r="E881" s="10" t="s">
        <v>1491</v>
      </c>
      <c r="F881" s="10" t="str">
        <f>TRIM(LEFT(OrdersRawTable9[[#This Row],[Customer_Info]],FIND(",",OrdersRawTable9[[#This Row],[Customer_Info]])-1))</f>
        <v>Ethan Johnson</v>
      </c>
      <c r="G881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Winnipeg</v>
      </c>
      <c r="H881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881" s="10">
        <f>LEN(OrdersRawTable9[[#This Row],[Customer_Info]])-LEN(SUBSTITUTE(OrdersRawTable9[[#This Row],[Customer_Info]],",",""))</f>
        <v>2</v>
      </c>
      <c r="J881" s="10" t="s">
        <v>784</v>
      </c>
      <c r="K881" s="23">
        <v>2</v>
      </c>
      <c r="L881" s="26">
        <v>96.33</v>
      </c>
      <c r="M881" s="29">
        <v>0</v>
      </c>
      <c r="N881" s="10" t="s">
        <v>45</v>
      </c>
      <c r="O881" s="10" t="str">
        <f>IF(TRIM(OrdersRawTable9[[#This Row],[Sales_Channel_Raw]])="Market place","Marketplace",TRIM(OrdersRawTable9[[#This Row],[Sales_Channel_Raw]]))</f>
        <v>Retail Store</v>
      </c>
      <c r="P881" s="10" t="s">
        <v>98</v>
      </c>
      <c r="Q881" s="10" t="str">
        <f>IF(TRIM(OrdersRawTable9[[#This Row],[Payment_Method_Raw]])="","Unknown",IF(TRIM(OrdersRawTable9[[#This Row],[Payment_Method_Raw]])="CC","Credit Card",TRIM(OrdersRawTable9[[#This Row],[Payment_Method_Raw]])))</f>
        <v>Gift Card</v>
      </c>
      <c r="R881" s="15" t="s">
        <v>47</v>
      </c>
      <c r="S881" t="str">
        <f>VLOOKUP(OrdersRawTable9[[#This Row],[Customer_ID_Raw]],CustomersTable11[],4,FALSE)</f>
        <v>Manitoba</v>
      </c>
      <c r="T881" t="str">
        <f>VLOOKUP(OrdersRawTable9[[#This Row],[Customer_ID_Raw]],CustomersTable11[],5,FALSE)</f>
        <v>Small Business</v>
      </c>
      <c r="U881" s="45">
        <f>VLOOKUP(OrdersRawTable9[[#This Row],[Product_ID]],ProductsTable10[],4,FALSE)</f>
        <v>57.85</v>
      </c>
      <c r="V881" t="str">
        <f>VLOOKUP(OrdersRawTable9[[#This Row],[Product_ID]],ProductsTable10[],3,FALSE)</f>
        <v>Accessories</v>
      </c>
      <c r="W881" s="45">
        <f>OrdersRawTable9[[#This Row],[Unit_Price]]*OrdersRawTable9[[#This Row],[Quantity]]</f>
        <v>192.66</v>
      </c>
      <c r="X881" s="47">
        <f>OrdersRawTable9[[#This Row],[Gross_Sales]]*OrdersRawTable9[[#This Row],[Discount_Pct]]</f>
        <v>0</v>
      </c>
      <c r="Y881" s="45">
        <f>OrdersRawTable9[[#This Row],[Gross_Sales]]-OrdersRawTable9[[#This Row],[Discount_Amount]]</f>
        <v>192.66</v>
      </c>
      <c r="Z881" s="45">
        <f>OrdersRawTable9[[#This Row],[Unit_Cost]]*OrdersRawTable9[[#This Row],[Quantity]]</f>
        <v>115.7</v>
      </c>
      <c r="AA881" s="45">
        <f>OrdersRawTable9[[#This Row],[Net_Sales]]-OrdersRawTable9[[#This Row],[Total_Cost]]</f>
        <v>76.959999999999994</v>
      </c>
      <c r="AB881" s="48">
        <f>IF(OrdersRawTable9[[#This Row],[Net_Sales]]=0,0,OrdersRawTable9[[#This Row],[Profit]]/OrdersRawTable9[[#This Row],[Net_Sales]])</f>
        <v>0.39946018893387314</v>
      </c>
      <c r="AC881" s="45" t="str">
        <f>IF(COUNTIF(ReturnsRawTable[Order_Line_ID],OrdersRawTable9[[#This Row],[Order_Line_ID]])&gt;0,"Yes","No")</f>
        <v>No</v>
      </c>
      <c r="AD881" s="45" t="str">
        <f>IFERROR(VLOOKUP(OrdersRawTable9[[#This Row],[Order_Line_ID]],ReturnsRawTable[[#All],[Order_Line_ID]:[Return_Reason_Raw]],3,FALSE),"")</f>
        <v/>
      </c>
      <c r="AE881" s="49" t="str">
        <f>IFERROR(VLOOKUP(OrdersRawTable9[[#This Row],[Order_Line_ID]],ReturnsRawTable[[#All],[Order_Line_ID]:[Return_Date]],2,FALSE),"")</f>
        <v/>
      </c>
      <c r="AF881" s="45" t="str">
        <f>IFERROR(VLOOKUP(OrdersRawTable9[[#This Row],[Order_Line_ID]],ReturnsRawTable[[Order_Line_ID]:[Refund_Status]],4,FALSE),"")</f>
        <v/>
      </c>
      <c r="AG881" s="45" t="str">
        <f>VLOOKUP(OrdersRawTable9[[#This Row],[Order_ID]],ShipmentsTable[],6,FALSE)</f>
        <v>Late</v>
      </c>
      <c r="AH881" s="49">
        <f>VLOOKUP(OrdersRawTable9[[#This Row],[Order_ID]],ShipmentsTable[],3,FALSE)</f>
        <v>45748.041666666664</v>
      </c>
    </row>
    <row r="882" spans="1:34" ht="15" customHeight="1">
      <c r="A882" s="14" t="s">
        <v>1660</v>
      </c>
      <c r="B882" s="10" t="s">
        <v>1661</v>
      </c>
      <c r="C882" s="20">
        <v>45885</v>
      </c>
      <c r="D882" s="10" t="s">
        <v>168</v>
      </c>
      <c r="E882" s="10" t="s">
        <v>169</v>
      </c>
      <c r="F882" s="10" t="str">
        <f>TRIM(LEFT(OrdersRawTable9[[#This Row],[Customer_Info]],FIND(",",OrdersRawTable9[[#This Row],[Customer_Info]])-1))</f>
        <v>Adam Brown</v>
      </c>
      <c r="G882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882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882" s="10">
        <f>LEN(OrdersRawTable9[[#This Row],[Customer_Info]])-LEN(SUBSTITUTE(OrdersRawTable9[[#This Row],[Customer_Info]],",",""))</f>
        <v>2</v>
      </c>
      <c r="J882" s="10" t="s">
        <v>214</v>
      </c>
      <c r="K882" s="23">
        <v>2</v>
      </c>
      <c r="L882" s="26">
        <v>186.92</v>
      </c>
      <c r="M882" s="29">
        <v>0</v>
      </c>
      <c r="N882" s="10" t="s">
        <v>45</v>
      </c>
      <c r="O882" s="10" t="str">
        <f>IF(TRIM(OrdersRawTable9[[#This Row],[Sales_Channel_Raw]])="Market place","Marketplace",TRIM(OrdersRawTable9[[#This Row],[Sales_Channel_Raw]]))</f>
        <v>Retail Store</v>
      </c>
      <c r="P882" s="10" t="s">
        <v>51</v>
      </c>
      <c r="Q882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882" s="15" t="s">
        <v>101</v>
      </c>
      <c r="S882" t="str">
        <f>VLOOKUP(OrdersRawTable9[[#This Row],[Customer_ID_Raw]],CustomersTable11[],4,FALSE)</f>
        <v>Alberta</v>
      </c>
      <c r="T882" t="str">
        <f>VLOOKUP(OrdersRawTable9[[#This Row],[Customer_ID_Raw]],CustomersTable11[],5,FALSE)</f>
        <v>Small Business</v>
      </c>
      <c r="U882" s="45">
        <f>VLOOKUP(OrdersRawTable9[[#This Row],[Product_ID]],ProductsTable10[],4,FALSE)</f>
        <v>114.11</v>
      </c>
      <c r="V882" t="str">
        <f>VLOOKUP(OrdersRawTable9[[#This Row],[Product_ID]],ProductsTable10[],3,FALSE)</f>
        <v>Home</v>
      </c>
      <c r="W882" s="45">
        <f>OrdersRawTable9[[#This Row],[Unit_Price]]*OrdersRawTable9[[#This Row],[Quantity]]</f>
        <v>373.84</v>
      </c>
      <c r="X882" s="47">
        <f>OrdersRawTable9[[#This Row],[Gross_Sales]]*OrdersRawTable9[[#This Row],[Discount_Pct]]</f>
        <v>0</v>
      </c>
      <c r="Y882" s="45">
        <f>OrdersRawTable9[[#This Row],[Gross_Sales]]-OrdersRawTable9[[#This Row],[Discount_Amount]]</f>
        <v>373.84</v>
      </c>
      <c r="Z882" s="45">
        <f>OrdersRawTable9[[#This Row],[Unit_Cost]]*OrdersRawTable9[[#This Row],[Quantity]]</f>
        <v>228.22</v>
      </c>
      <c r="AA882" s="45">
        <f>OrdersRawTable9[[#This Row],[Net_Sales]]-OrdersRawTable9[[#This Row],[Total_Cost]]</f>
        <v>145.61999999999998</v>
      </c>
      <c r="AB882" s="48">
        <f>IF(OrdersRawTable9[[#This Row],[Net_Sales]]=0,0,OrdersRawTable9[[#This Row],[Profit]]/OrdersRawTable9[[#This Row],[Net_Sales]])</f>
        <v>0.38952493045153003</v>
      </c>
      <c r="AC882" s="45" t="str">
        <f>IF(COUNTIF(ReturnsRawTable[Order_Line_ID],OrdersRawTable9[[#This Row],[Order_Line_ID]])&gt;0,"Yes","No")</f>
        <v>Yes</v>
      </c>
      <c r="AD882" s="45" t="str">
        <f>IFERROR(VLOOKUP(OrdersRawTable9[[#This Row],[Order_Line_ID]],ReturnsRawTable[[#All],[Order_Line_ID]:[Return_Reason_Raw]],3,FALSE),"")</f>
        <v>Late Delivery</v>
      </c>
      <c r="AE882" s="49">
        <f>IFERROR(VLOOKUP(OrdersRawTable9[[#This Row],[Order_Line_ID]],ReturnsRawTable[[#All],[Order_Line_ID]:[Return_Date]],2,FALSE),"")</f>
        <v>45903</v>
      </c>
      <c r="AF882" s="45" t="str">
        <f>IFERROR(VLOOKUP(OrdersRawTable9[[#This Row],[Order_Line_ID]],ReturnsRawTable[[Order_Line_ID]:[Refund_Status]],4,FALSE),"")</f>
        <v>Refunded</v>
      </c>
      <c r="AG882" s="45" t="str">
        <f>VLOOKUP(OrdersRawTable9[[#This Row],[Order_ID]],ShipmentsTable[],6,FALSE)</f>
        <v>Late</v>
      </c>
      <c r="AH882" s="49">
        <f>VLOOKUP(OrdersRawTable9[[#This Row],[Order_ID]],ShipmentsTable[],3,FALSE)</f>
        <v>45895</v>
      </c>
    </row>
    <row r="883" spans="1:34" ht="15" customHeight="1">
      <c r="A883" s="14" t="s">
        <v>1662</v>
      </c>
      <c r="B883" s="10" t="s">
        <v>1661</v>
      </c>
      <c r="C883" s="20">
        <v>45885</v>
      </c>
      <c r="D883" s="10" t="s">
        <v>168</v>
      </c>
      <c r="E883" s="10" t="s">
        <v>169</v>
      </c>
      <c r="F883" s="10" t="str">
        <f>TRIM(LEFT(OrdersRawTable9[[#This Row],[Customer_Info]],FIND(",",OrdersRawTable9[[#This Row],[Customer_Info]])-1))</f>
        <v>Adam Brown</v>
      </c>
      <c r="G883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883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883" s="10">
        <f>LEN(OrdersRawTable9[[#This Row],[Customer_Info]])-LEN(SUBSTITUTE(OrdersRawTable9[[#This Row],[Customer_Info]],",",""))</f>
        <v>2</v>
      </c>
      <c r="J883" s="10" t="s">
        <v>220</v>
      </c>
      <c r="K883" s="23">
        <v>1</v>
      </c>
      <c r="L883" s="26">
        <v>25.01</v>
      </c>
      <c r="M883" s="29">
        <v>0.15</v>
      </c>
      <c r="N883" s="10" t="s">
        <v>50</v>
      </c>
      <c r="O883" s="10" t="str">
        <f>IF(TRIM(OrdersRawTable9[[#This Row],[Sales_Channel_Raw]])="Market place","Marketplace",TRIM(OrdersRawTable9[[#This Row],[Sales_Channel_Raw]]))</f>
        <v>Marketplace</v>
      </c>
      <c r="P883" s="10" t="s">
        <v>51</v>
      </c>
      <c r="Q883" s="10" t="str">
        <f>IF(TRIM(OrdersRawTable9[[#This Row],[Payment_Method_Raw]])="","Unknown",IF(TRIM(OrdersRawTable9[[#This Row],[Payment_Method_Raw]])="CC","Credit Card",TRIM(OrdersRawTable9[[#This Row],[Payment_Method_Raw]])))</f>
        <v>PayPal</v>
      </c>
      <c r="R883" s="15" t="s">
        <v>42</v>
      </c>
      <c r="S883" t="str">
        <f>VLOOKUP(OrdersRawTable9[[#This Row],[Customer_ID_Raw]],CustomersTable11[],4,FALSE)</f>
        <v>Alberta</v>
      </c>
      <c r="T883" t="str">
        <f>VLOOKUP(OrdersRawTable9[[#This Row],[Customer_ID_Raw]],CustomersTable11[],5,FALSE)</f>
        <v>Small Business</v>
      </c>
      <c r="U883" s="45">
        <f>VLOOKUP(OrdersRawTable9[[#This Row],[Product_ID]],ProductsTable10[],4,FALSE)</f>
        <v>16.86</v>
      </c>
      <c r="V883" t="str">
        <f>VLOOKUP(OrdersRawTable9[[#This Row],[Product_ID]],ProductsTable10[],3,FALSE)</f>
        <v>Office</v>
      </c>
      <c r="W883" s="45">
        <f>OrdersRawTable9[[#This Row],[Unit_Price]]*OrdersRawTable9[[#This Row],[Quantity]]</f>
        <v>25.01</v>
      </c>
      <c r="X883" s="47">
        <f>OrdersRawTable9[[#This Row],[Gross_Sales]]*OrdersRawTable9[[#This Row],[Discount_Pct]]</f>
        <v>3.7515000000000001</v>
      </c>
      <c r="Y883" s="45">
        <f>OrdersRawTable9[[#This Row],[Gross_Sales]]-OrdersRawTable9[[#This Row],[Discount_Amount]]</f>
        <v>21.258500000000002</v>
      </c>
      <c r="Z883" s="45">
        <f>OrdersRawTable9[[#This Row],[Unit_Cost]]*OrdersRawTable9[[#This Row],[Quantity]]</f>
        <v>16.86</v>
      </c>
      <c r="AA883" s="45">
        <f>OrdersRawTable9[[#This Row],[Net_Sales]]-OrdersRawTable9[[#This Row],[Total_Cost]]</f>
        <v>4.3985000000000021</v>
      </c>
      <c r="AB883" s="48">
        <f>IF(OrdersRawTable9[[#This Row],[Net_Sales]]=0,0,OrdersRawTable9[[#This Row],[Profit]]/OrdersRawTable9[[#This Row],[Net_Sales]])</f>
        <v>0.20690547310487578</v>
      </c>
      <c r="AC883" s="45" t="str">
        <f>IF(COUNTIF(ReturnsRawTable[Order_Line_ID],OrdersRawTable9[[#This Row],[Order_Line_ID]])&gt;0,"Yes","No")</f>
        <v>No</v>
      </c>
      <c r="AD883" s="45" t="str">
        <f>IFERROR(VLOOKUP(OrdersRawTable9[[#This Row],[Order_Line_ID]],ReturnsRawTable[[#All],[Order_Line_ID]:[Return_Reason_Raw]],3,FALSE),"")</f>
        <v/>
      </c>
      <c r="AE883" s="49" t="str">
        <f>IFERROR(VLOOKUP(OrdersRawTable9[[#This Row],[Order_Line_ID]],ReturnsRawTable[[#All],[Order_Line_ID]:[Return_Date]],2,FALSE),"")</f>
        <v/>
      </c>
      <c r="AF883" s="45" t="str">
        <f>IFERROR(VLOOKUP(OrdersRawTable9[[#This Row],[Order_Line_ID]],ReturnsRawTable[[Order_Line_ID]:[Refund_Status]],4,FALSE),"")</f>
        <v/>
      </c>
      <c r="AG883" s="45" t="str">
        <f>VLOOKUP(OrdersRawTable9[[#This Row],[Order_ID]],ShipmentsTable[],6,FALSE)</f>
        <v>Late</v>
      </c>
      <c r="AH883" s="49">
        <f>VLOOKUP(OrdersRawTable9[[#This Row],[Order_ID]],ShipmentsTable[],3,FALSE)</f>
        <v>45895</v>
      </c>
    </row>
    <row r="884" spans="1:34" ht="15" customHeight="1">
      <c r="A884" s="14" t="s">
        <v>1663</v>
      </c>
      <c r="B884" s="10" t="s">
        <v>1661</v>
      </c>
      <c r="C884" s="20">
        <v>45885</v>
      </c>
      <c r="D884" s="10" t="s">
        <v>168</v>
      </c>
      <c r="E884" s="10" t="s">
        <v>169</v>
      </c>
      <c r="F884" s="10" t="str">
        <f>TRIM(LEFT(OrdersRawTable9[[#This Row],[Customer_Info]],FIND(",",OrdersRawTable9[[#This Row],[Customer_Info]])-1))</f>
        <v>Adam Brown</v>
      </c>
      <c r="G884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Edmonton</v>
      </c>
      <c r="H884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884" s="10">
        <f>LEN(OrdersRawTable9[[#This Row],[Customer_Info]])-LEN(SUBSTITUTE(OrdersRawTable9[[#This Row],[Customer_Info]],",",""))</f>
        <v>2</v>
      </c>
      <c r="J884" s="10" t="s">
        <v>49</v>
      </c>
      <c r="K884" s="23">
        <v>4</v>
      </c>
      <c r="L884" s="26">
        <v>300.16000000000003</v>
      </c>
      <c r="M884" s="29">
        <v>0</v>
      </c>
      <c r="N884" s="10" t="s">
        <v>64</v>
      </c>
      <c r="O884" s="10" t="str">
        <f>IF(TRIM(OrdersRawTable9[[#This Row],[Sales_Channel_Raw]])="Market place","Marketplace",TRIM(OrdersRawTable9[[#This Row],[Sales_Channel_Raw]]))</f>
        <v>Retail Store</v>
      </c>
      <c r="P884" s="10" t="s">
        <v>41</v>
      </c>
      <c r="Q884" s="10" t="str">
        <f>IF(TRIM(OrdersRawTable9[[#This Row],[Payment_Method_Raw]])="","Unknown",IF(TRIM(OrdersRawTable9[[#This Row],[Payment_Method_Raw]])="CC","Credit Card",TRIM(OrdersRawTable9[[#This Row],[Payment_Method_Raw]])))</f>
        <v>Credit Card</v>
      </c>
      <c r="R884" s="15" t="s">
        <v>47</v>
      </c>
      <c r="S884" t="str">
        <f>VLOOKUP(OrdersRawTable9[[#This Row],[Customer_ID_Raw]],CustomersTable11[],4,FALSE)</f>
        <v>Alberta</v>
      </c>
      <c r="T884" t="str">
        <f>VLOOKUP(OrdersRawTable9[[#This Row],[Customer_ID_Raw]],CustomersTable11[],5,FALSE)</f>
        <v>Small Business</v>
      </c>
      <c r="U884" s="45">
        <f>VLOOKUP(OrdersRawTable9[[#This Row],[Product_ID]],ProductsTable10[],4,FALSE)</f>
        <v>158.46</v>
      </c>
      <c r="V884" t="str">
        <f>VLOOKUP(OrdersRawTable9[[#This Row],[Product_ID]],ProductsTable10[],3,FALSE)</f>
        <v>Office</v>
      </c>
      <c r="W884" s="45">
        <f>OrdersRawTable9[[#This Row],[Unit_Price]]*OrdersRawTable9[[#This Row],[Quantity]]</f>
        <v>1200.6400000000001</v>
      </c>
      <c r="X884" s="47">
        <f>OrdersRawTable9[[#This Row],[Gross_Sales]]*OrdersRawTable9[[#This Row],[Discount_Pct]]</f>
        <v>0</v>
      </c>
      <c r="Y884" s="45">
        <f>OrdersRawTable9[[#This Row],[Gross_Sales]]-OrdersRawTable9[[#This Row],[Discount_Amount]]</f>
        <v>1200.6400000000001</v>
      </c>
      <c r="Z884" s="45">
        <f>OrdersRawTable9[[#This Row],[Unit_Cost]]*OrdersRawTable9[[#This Row],[Quantity]]</f>
        <v>633.84</v>
      </c>
      <c r="AA884" s="45">
        <f>OrdersRawTable9[[#This Row],[Net_Sales]]-OrdersRawTable9[[#This Row],[Total_Cost]]</f>
        <v>566.80000000000007</v>
      </c>
      <c r="AB884" s="48">
        <f>IF(OrdersRawTable9[[#This Row],[Net_Sales]]=0,0,OrdersRawTable9[[#This Row],[Profit]]/OrdersRawTable9[[#This Row],[Net_Sales]])</f>
        <v>0.47208155650319833</v>
      </c>
      <c r="AC884" s="45" t="str">
        <f>IF(COUNTIF(ReturnsRawTable[Order_Line_ID],OrdersRawTable9[[#This Row],[Order_Line_ID]])&gt;0,"Yes","No")</f>
        <v>No</v>
      </c>
      <c r="AD884" s="45" t="str">
        <f>IFERROR(VLOOKUP(OrdersRawTable9[[#This Row],[Order_Line_ID]],ReturnsRawTable[[#All],[Order_Line_ID]:[Return_Reason_Raw]],3,FALSE),"")</f>
        <v/>
      </c>
      <c r="AE884" s="49" t="str">
        <f>IFERROR(VLOOKUP(OrdersRawTable9[[#This Row],[Order_Line_ID]],ReturnsRawTable[[#All],[Order_Line_ID]:[Return_Date]],2,FALSE),"")</f>
        <v/>
      </c>
      <c r="AF884" s="45" t="str">
        <f>IFERROR(VLOOKUP(OrdersRawTable9[[#This Row],[Order_Line_ID]],ReturnsRawTable[[Order_Line_ID]:[Refund_Status]],4,FALSE),"")</f>
        <v/>
      </c>
      <c r="AG884" s="45" t="str">
        <f>VLOOKUP(OrdersRawTable9[[#This Row],[Order_ID]],ShipmentsTable[],6,FALSE)</f>
        <v>Late</v>
      </c>
      <c r="AH884" s="49">
        <f>VLOOKUP(OrdersRawTable9[[#This Row],[Order_ID]],ShipmentsTable[],3,FALSE)</f>
        <v>45895</v>
      </c>
    </row>
    <row r="885" spans="1:34" ht="15" customHeight="1">
      <c r="A885" s="14" t="s">
        <v>1664</v>
      </c>
      <c r="B885" s="10" t="s">
        <v>1665</v>
      </c>
      <c r="C885" s="20">
        <v>45719.041666666664</v>
      </c>
      <c r="D885" s="10" t="s">
        <v>859</v>
      </c>
      <c r="E885" s="10" t="s">
        <v>860</v>
      </c>
      <c r="F885" s="10" t="str">
        <f>TRIM(LEFT(OrdersRawTable9[[#This Row],[Customer_Info]],FIND(",",OrdersRawTable9[[#This Row],[Customer_Info]])-1))</f>
        <v>Sofia Martin</v>
      </c>
      <c r="G885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885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885" s="10">
        <f>LEN(OrdersRawTable9[[#This Row],[Customer_Info]])-LEN(SUBSTITUTE(OrdersRawTable9[[#This Row],[Customer_Info]],",",""))</f>
        <v>2</v>
      </c>
      <c r="J885" s="10" t="s">
        <v>44</v>
      </c>
      <c r="K885" s="23">
        <v>1</v>
      </c>
      <c r="L885" s="26">
        <v>238.47</v>
      </c>
      <c r="M885" s="29">
        <v>0.1</v>
      </c>
      <c r="N885" s="10" t="s">
        <v>45</v>
      </c>
      <c r="O885" s="10" t="str">
        <f>IF(TRIM(OrdersRawTable9[[#This Row],[Sales_Channel_Raw]])="Market place","Marketplace",TRIM(OrdersRawTable9[[#This Row],[Sales_Channel_Raw]]))</f>
        <v>Retail Store</v>
      </c>
      <c r="P885" s="10"/>
      <c r="Q885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885" s="15" t="s">
        <v>42</v>
      </c>
      <c r="S885" t="str">
        <f>VLOOKUP(OrdersRawTable9[[#This Row],[Customer_ID_Raw]],CustomersTable11[],4,FALSE)</f>
        <v>British Columbia</v>
      </c>
      <c r="T885" t="str">
        <f>VLOOKUP(OrdersRawTable9[[#This Row],[Customer_ID_Raw]],CustomersTable11[],5,FALSE)</f>
        <v>Small Business</v>
      </c>
      <c r="U885" s="45">
        <f>VLOOKUP(OrdersRawTable9[[#This Row],[Product_ID]],ProductsTable10[],4,FALSE)</f>
        <v>127.65</v>
      </c>
      <c r="V885" t="str">
        <f>VLOOKUP(OrdersRawTable9[[#This Row],[Product_ID]],ProductsTable10[],3,FALSE)</f>
        <v>Accessories</v>
      </c>
      <c r="W885" s="45">
        <f>OrdersRawTable9[[#This Row],[Unit_Price]]*OrdersRawTable9[[#This Row],[Quantity]]</f>
        <v>238.47</v>
      </c>
      <c r="X885" s="47">
        <f>OrdersRawTable9[[#This Row],[Gross_Sales]]*OrdersRawTable9[[#This Row],[Discount_Pct]]</f>
        <v>23.847000000000001</v>
      </c>
      <c r="Y885" s="45">
        <f>OrdersRawTable9[[#This Row],[Gross_Sales]]-OrdersRawTable9[[#This Row],[Discount_Amount]]</f>
        <v>214.62299999999999</v>
      </c>
      <c r="Z885" s="45">
        <f>OrdersRawTable9[[#This Row],[Unit_Cost]]*OrdersRawTable9[[#This Row],[Quantity]]</f>
        <v>127.65</v>
      </c>
      <c r="AA885" s="45">
        <f>OrdersRawTable9[[#This Row],[Net_Sales]]-OrdersRawTable9[[#This Row],[Total_Cost]]</f>
        <v>86.972999999999985</v>
      </c>
      <c r="AB885" s="48">
        <f>IF(OrdersRawTable9[[#This Row],[Net_Sales]]=0,0,OrdersRawTable9[[#This Row],[Profit]]/OrdersRawTable9[[#This Row],[Net_Sales]])</f>
        <v>0.40523615828685644</v>
      </c>
      <c r="AC885" s="45" t="str">
        <f>IF(COUNTIF(ReturnsRawTable[Order_Line_ID],OrdersRawTable9[[#This Row],[Order_Line_ID]])&gt;0,"Yes","No")</f>
        <v>No</v>
      </c>
      <c r="AD885" s="45" t="str">
        <f>IFERROR(VLOOKUP(OrdersRawTable9[[#This Row],[Order_Line_ID]],ReturnsRawTable[[#All],[Order_Line_ID]:[Return_Reason_Raw]],3,FALSE),"")</f>
        <v/>
      </c>
      <c r="AE885" s="49" t="str">
        <f>IFERROR(VLOOKUP(OrdersRawTable9[[#This Row],[Order_Line_ID]],ReturnsRawTable[[#All],[Order_Line_ID]:[Return_Date]],2,FALSE),"")</f>
        <v/>
      </c>
      <c r="AF885" s="45" t="str">
        <f>IFERROR(VLOOKUP(OrdersRawTable9[[#This Row],[Order_Line_ID]],ReturnsRawTable[[Order_Line_ID]:[Refund_Status]],4,FALSE),"")</f>
        <v/>
      </c>
      <c r="AG885" s="45" t="str">
        <f>VLOOKUP(OrdersRawTable9[[#This Row],[Order_ID]],ShipmentsTable[],6,FALSE)</f>
        <v>Late</v>
      </c>
      <c r="AH885" s="49">
        <f>VLOOKUP(OrdersRawTable9[[#This Row],[Order_ID]],ShipmentsTable[],3,FALSE)</f>
        <v>45723.041666666664</v>
      </c>
    </row>
    <row r="886" spans="1:34" ht="15" customHeight="1">
      <c r="A886" s="14" t="s">
        <v>1666</v>
      </c>
      <c r="B886" s="10" t="s">
        <v>1665</v>
      </c>
      <c r="C886" s="20">
        <v>45719.041666666664</v>
      </c>
      <c r="D886" s="10" t="s">
        <v>859</v>
      </c>
      <c r="E886" s="10" t="s">
        <v>860</v>
      </c>
      <c r="F886" s="10" t="str">
        <f>TRIM(LEFT(OrdersRawTable9[[#This Row],[Customer_Info]],FIND(",",OrdersRawTable9[[#This Row],[Customer_Info]])-1))</f>
        <v>Sofia Martin</v>
      </c>
      <c r="G886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886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886" s="10">
        <f>LEN(OrdersRawTable9[[#This Row],[Customer_Info]])-LEN(SUBSTITUTE(OrdersRawTable9[[#This Row],[Customer_Info]],",",""))</f>
        <v>2</v>
      </c>
      <c r="J886" s="10" t="s">
        <v>214</v>
      </c>
      <c r="K886" s="23">
        <v>3</v>
      </c>
      <c r="L886" s="26">
        <v>186.92</v>
      </c>
      <c r="M886" s="29">
        <v>0</v>
      </c>
      <c r="N886" s="10" t="s">
        <v>50</v>
      </c>
      <c r="O886" s="10" t="str">
        <f>IF(TRIM(OrdersRawTable9[[#This Row],[Sales_Channel_Raw]])="Market place","Marketplace",TRIM(OrdersRawTable9[[#This Row],[Sales_Channel_Raw]]))</f>
        <v>Marketplace</v>
      </c>
      <c r="P886" s="10" t="s">
        <v>58</v>
      </c>
      <c r="Q886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886" s="15" t="s">
        <v>67</v>
      </c>
      <c r="S886" t="str">
        <f>VLOOKUP(OrdersRawTable9[[#This Row],[Customer_ID_Raw]],CustomersTable11[],4,FALSE)</f>
        <v>British Columbia</v>
      </c>
      <c r="T886" t="str">
        <f>VLOOKUP(OrdersRawTable9[[#This Row],[Customer_ID_Raw]],CustomersTable11[],5,FALSE)</f>
        <v>Small Business</v>
      </c>
      <c r="U886" s="45">
        <f>VLOOKUP(OrdersRawTable9[[#This Row],[Product_ID]],ProductsTable10[],4,FALSE)</f>
        <v>114.11</v>
      </c>
      <c r="V886" t="str">
        <f>VLOOKUP(OrdersRawTable9[[#This Row],[Product_ID]],ProductsTable10[],3,FALSE)</f>
        <v>Home</v>
      </c>
      <c r="W886" s="45">
        <f>OrdersRawTable9[[#This Row],[Unit_Price]]*OrdersRawTable9[[#This Row],[Quantity]]</f>
        <v>560.76</v>
      </c>
      <c r="X886" s="47">
        <f>OrdersRawTable9[[#This Row],[Gross_Sales]]*OrdersRawTable9[[#This Row],[Discount_Pct]]</f>
        <v>0</v>
      </c>
      <c r="Y886" s="45">
        <f>OrdersRawTable9[[#This Row],[Gross_Sales]]-OrdersRawTable9[[#This Row],[Discount_Amount]]</f>
        <v>560.76</v>
      </c>
      <c r="Z886" s="45">
        <f>OrdersRawTable9[[#This Row],[Unit_Cost]]*OrdersRawTable9[[#This Row],[Quantity]]</f>
        <v>342.33</v>
      </c>
      <c r="AA886" s="45">
        <f>OrdersRawTable9[[#This Row],[Net_Sales]]-OrdersRawTable9[[#This Row],[Total_Cost]]</f>
        <v>218.43</v>
      </c>
      <c r="AB886" s="48">
        <f>IF(OrdersRawTable9[[#This Row],[Net_Sales]]=0,0,OrdersRawTable9[[#This Row],[Profit]]/OrdersRawTable9[[#This Row],[Net_Sales]])</f>
        <v>0.38952493045153008</v>
      </c>
      <c r="AC886" s="45" t="str">
        <f>IF(COUNTIF(ReturnsRawTable[Order_Line_ID],OrdersRawTable9[[#This Row],[Order_Line_ID]])&gt;0,"Yes","No")</f>
        <v>No</v>
      </c>
      <c r="AD886" s="45" t="str">
        <f>IFERROR(VLOOKUP(OrdersRawTable9[[#This Row],[Order_Line_ID]],ReturnsRawTable[[#All],[Order_Line_ID]:[Return_Reason_Raw]],3,FALSE),"")</f>
        <v/>
      </c>
      <c r="AE886" s="49" t="str">
        <f>IFERROR(VLOOKUP(OrdersRawTable9[[#This Row],[Order_Line_ID]],ReturnsRawTable[[#All],[Order_Line_ID]:[Return_Date]],2,FALSE),"")</f>
        <v/>
      </c>
      <c r="AF886" s="45" t="str">
        <f>IFERROR(VLOOKUP(OrdersRawTable9[[#This Row],[Order_Line_ID]],ReturnsRawTable[[Order_Line_ID]:[Refund_Status]],4,FALSE),"")</f>
        <v/>
      </c>
      <c r="AG886" s="45" t="str">
        <f>VLOOKUP(OrdersRawTable9[[#This Row],[Order_ID]],ShipmentsTable[],6,FALSE)</f>
        <v>Late</v>
      </c>
      <c r="AH886" s="49">
        <f>VLOOKUP(OrdersRawTable9[[#This Row],[Order_ID]],ShipmentsTable[],3,FALSE)</f>
        <v>45723.041666666664</v>
      </c>
    </row>
    <row r="887" spans="1:34" ht="15" customHeight="1">
      <c r="A887" s="14" t="s">
        <v>1667</v>
      </c>
      <c r="B887" s="10" t="s">
        <v>1665</v>
      </c>
      <c r="C887" s="20">
        <v>45719.041666666664</v>
      </c>
      <c r="D887" s="10" t="s">
        <v>859</v>
      </c>
      <c r="E887" s="10" t="s">
        <v>860</v>
      </c>
      <c r="F887" s="10" t="str">
        <f>TRIM(LEFT(OrdersRawTable9[[#This Row],[Customer_Info]],FIND(",",OrdersRawTable9[[#This Row],[Customer_Info]])-1))</f>
        <v>Sofia Martin</v>
      </c>
      <c r="G887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887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887" s="10">
        <f>LEN(OrdersRawTable9[[#This Row],[Customer_Info]])-LEN(SUBSTITUTE(OrdersRawTable9[[#This Row],[Customer_Info]],",",""))</f>
        <v>2</v>
      </c>
      <c r="J887" s="10" t="s">
        <v>136</v>
      </c>
      <c r="K887" s="23">
        <v>4</v>
      </c>
      <c r="L887" s="26">
        <v>141.46</v>
      </c>
      <c r="M887" s="29">
        <v>0.1</v>
      </c>
      <c r="N887" s="10" t="s">
        <v>50</v>
      </c>
      <c r="O887" s="10" t="str">
        <f>IF(TRIM(OrdersRawTable9[[#This Row],[Sales_Channel_Raw]])="Market place","Marketplace",TRIM(OrdersRawTable9[[#This Row],[Sales_Channel_Raw]]))</f>
        <v>Marketplace</v>
      </c>
      <c r="P887" s="10" t="s">
        <v>58</v>
      </c>
      <c r="Q887" s="10" t="str">
        <f>IF(TRIM(OrdersRawTable9[[#This Row],[Payment_Method_Raw]])="","Unknown",IF(TRIM(OrdersRawTable9[[#This Row],[Payment_Method_Raw]])="CC","Credit Card",TRIM(OrdersRawTable9[[#This Row],[Payment_Method_Raw]])))</f>
        <v>Debit Card</v>
      </c>
      <c r="R887" s="15" t="s">
        <v>42</v>
      </c>
      <c r="S887" t="str">
        <f>VLOOKUP(OrdersRawTable9[[#This Row],[Customer_ID_Raw]],CustomersTable11[],4,FALSE)</f>
        <v>British Columbia</v>
      </c>
      <c r="T887" t="str">
        <f>VLOOKUP(OrdersRawTable9[[#This Row],[Customer_ID_Raw]],CustomersTable11[],5,FALSE)</f>
        <v>Small Business</v>
      </c>
      <c r="U887" s="45">
        <f>VLOOKUP(OrdersRawTable9[[#This Row],[Product_ID]],ProductsTable10[],4,FALSE)</f>
        <v>78.650000000000006</v>
      </c>
      <c r="V887" t="str">
        <f>VLOOKUP(OrdersRawTable9[[#This Row],[Product_ID]],ProductsTable10[],3,FALSE)</f>
        <v>Fitness</v>
      </c>
      <c r="W887" s="45">
        <f>OrdersRawTable9[[#This Row],[Unit_Price]]*OrdersRawTable9[[#This Row],[Quantity]]</f>
        <v>565.84</v>
      </c>
      <c r="X887" s="47">
        <f>OrdersRawTable9[[#This Row],[Gross_Sales]]*OrdersRawTable9[[#This Row],[Discount_Pct]]</f>
        <v>56.584000000000003</v>
      </c>
      <c r="Y887" s="45">
        <f>OrdersRawTable9[[#This Row],[Gross_Sales]]-OrdersRawTable9[[#This Row],[Discount_Amount]]</f>
        <v>509.25600000000003</v>
      </c>
      <c r="Z887" s="45">
        <f>OrdersRawTable9[[#This Row],[Unit_Cost]]*OrdersRawTable9[[#This Row],[Quantity]]</f>
        <v>314.60000000000002</v>
      </c>
      <c r="AA887" s="45">
        <f>OrdersRawTable9[[#This Row],[Net_Sales]]-OrdersRawTable9[[#This Row],[Total_Cost]]</f>
        <v>194.65600000000001</v>
      </c>
      <c r="AB887" s="48">
        <f>IF(OrdersRawTable9[[#This Row],[Net_Sales]]=0,0,OrdersRawTable9[[#This Row],[Profit]]/OrdersRawTable9[[#This Row],[Net_Sales]])</f>
        <v>0.38223604631069635</v>
      </c>
      <c r="AC887" s="45" t="str">
        <f>IF(COUNTIF(ReturnsRawTable[Order_Line_ID],OrdersRawTable9[[#This Row],[Order_Line_ID]])&gt;0,"Yes","No")</f>
        <v>No</v>
      </c>
      <c r="AD887" s="45" t="str">
        <f>IFERROR(VLOOKUP(OrdersRawTable9[[#This Row],[Order_Line_ID]],ReturnsRawTable[[#All],[Order_Line_ID]:[Return_Reason_Raw]],3,FALSE),"")</f>
        <v/>
      </c>
      <c r="AE887" s="49" t="str">
        <f>IFERROR(VLOOKUP(OrdersRawTable9[[#This Row],[Order_Line_ID]],ReturnsRawTable[[#All],[Order_Line_ID]:[Return_Date]],2,FALSE),"")</f>
        <v/>
      </c>
      <c r="AF887" s="45" t="str">
        <f>IFERROR(VLOOKUP(OrdersRawTable9[[#This Row],[Order_Line_ID]],ReturnsRawTable[[Order_Line_ID]:[Refund_Status]],4,FALSE),"")</f>
        <v/>
      </c>
      <c r="AG887" s="45" t="str">
        <f>VLOOKUP(OrdersRawTable9[[#This Row],[Order_ID]],ShipmentsTable[],6,FALSE)</f>
        <v>Late</v>
      </c>
      <c r="AH887" s="49">
        <f>VLOOKUP(OrdersRawTable9[[#This Row],[Order_ID]],ShipmentsTable[],3,FALSE)</f>
        <v>45723.041666666664</v>
      </c>
    </row>
    <row r="888" spans="1:34" ht="15" customHeight="1">
      <c r="A888" s="14" t="s">
        <v>1668</v>
      </c>
      <c r="B888" s="10" t="s">
        <v>1665</v>
      </c>
      <c r="C888" s="20">
        <v>45719.041666666664</v>
      </c>
      <c r="D888" s="10" t="s">
        <v>859</v>
      </c>
      <c r="E888" s="10" t="s">
        <v>860</v>
      </c>
      <c r="F888" s="10" t="str">
        <f>TRIM(LEFT(OrdersRawTable9[[#This Row],[Customer_Info]],FIND(",",OrdersRawTable9[[#This Row],[Customer_Info]])-1))</f>
        <v>Sofia Martin</v>
      </c>
      <c r="G888" s="10" t="str">
        <f>TRIM(MID(OrdersRawTable9[[#This Row],[Customer_Info]],FIND(",",OrdersRawTable9[[#This Row],[Customer_Info]])+1,FIND(",",OrdersRawTable9[[#This Row],[Customer_Info]],FIND(",",OrdersRawTable9[[#This Row],[Customer_Info]])+1)-FIND(",",OrdersRawTable9[[#This Row],[Customer_Info]])-1))</f>
        <v>Victoria</v>
      </c>
      <c r="H888" s="10" t="str">
        <f>TRIM(RIGHT(OrdersRawTable9[[#This Row],[Customer_Info]],LEN(OrdersRawTable9[[#This Row],[Customer_Info]])-FIND(",",OrdersRawTable9[[#This Row],[Customer_Info]],FIND(",",OrdersRawTable9[[#This Row],[Customer_Info]])+1)))</f>
        <v>Small Business</v>
      </c>
      <c r="I888" s="10">
        <f>LEN(OrdersRawTable9[[#This Row],[Customer_Info]])-LEN(SUBSTITUTE(OrdersRawTable9[[#This Row],[Customer_Info]],",",""))</f>
        <v>2</v>
      </c>
      <c r="J888" s="10" t="s">
        <v>119</v>
      </c>
      <c r="K888" s="23">
        <v>3</v>
      </c>
      <c r="L888" s="26">
        <v>103.3</v>
      </c>
      <c r="M888" s="29">
        <v>0</v>
      </c>
      <c r="N888" s="10" t="s">
        <v>66</v>
      </c>
      <c r="O888" s="10" t="str">
        <f>IF(TRIM(OrdersRawTable9[[#This Row],[Sales_Channel_Raw]])="Market place","Marketplace",TRIM(OrdersRawTable9[[#This Row],[Sales_Channel_Raw]]))</f>
        <v>Marketplace</v>
      </c>
      <c r="P888" s="10"/>
      <c r="Q888" s="10" t="str">
        <f>IF(TRIM(OrdersRawTable9[[#This Row],[Payment_Method_Raw]])="","Unknown",IF(TRIM(OrdersRawTable9[[#This Row],[Payment_Method_Raw]])="CC","Credit Card",TRIM(OrdersRawTable9[[#This Row],[Payment_Method_Raw]])))</f>
        <v>Unknown</v>
      </c>
      <c r="R888" s="15" t="s">
        <v>52</v>
      </c>
      <c r="S888" t="str">
        <f>VLOOKUP(OrdersRawTable9[[#This Row],[Customer_ID_Raw]],CustomersTable11[],4,FALSE)</f>
        <v>British Columbia</v>
      </c>
      <c r="T888" t="str">
        <f>VLOOKUP(OrdersRawTable9[[#This Row],[Customer_ID_Raw]],CustomersTable11[],5,FALSE)</f>
        <v>Small Business</v>
      </c>
      <c r="U888" s="45">
        <f>VLOOKUP(OrdersRawTable9[[#This Row],[Product_ID]],ProductsTable10[],4,FALSE)</f>
        <v>70.180000000000007</v>
      </c>
      <c r="V888" t="str">
        <f>VLOOKUP(OrdersRawTable9[[#This Row],[Product_ID]],ProductsTable10[],3,FALSE)</f>
        <v>Home</v>
      </c>
      <c r="W888" s="45">
        <f>OrdersRawTable9[[#This Row],[Unit_Price]]*OrdersRawTable9[[#This Row],[Quantity]]</f>
        <v>309.89999999999998</v>
      </c>
      <c r="X888" s="47">
        <f>OrdersRawTable9[[#This Row],[Gross_Sales]]*OrdersRawTable9[[#This Row],[Discount_Pct]]</f>
        <v>0</v>
      </c>
      <c r="Y888" s="45">
        <f>OrdersRawTable9[[#This Row],[Gross_Sales]]-OrdersRawTable9[[#This Row],[Discount_Amount]]</f>
        <v>309.89999999999998</v>
      </c>
      <c r="Z888" s="45">
        <f>OrdersRawTable9[[#This Row],[Unit_Cost]]*OrdersRawTable9[[#This Row],[Quantity]]</f>
        <v>210.54000000000002</v>
      </c>
      <c r="AA888" s="45">
        <f>OrdersRawTable9[[#This Row],[Net_Sales]]-OrdersRawTable9[[#This Row],[Total_Cost]]</f>
        <v>99.359999999999957</v>
      </c>
      <c r="AB888" s="48">
        <f>IF(OrdersRawTable9[[#This Row],[Net_Sales]]=0,0,OrdersRawTable9[[#This Row],[Profit]]/OrdersRawTable9[[#This Row],[Net_Sales]])</f>
        <v>0.32061955469506281</v>
      </c>
      <c r="AC888" s="45" t="str">
        <f>IF(COUNTIF(ReturnsRawTable[Order_Line_ID],OrdersRawTable9[[#This Row],[Order_Line_ID]])&gt;0,"Yes","No")</f>
        <v>Yes</v>
      </c>
      <c r="AD888" s="45" t="str">
        <f>IFERROR(VLOOKUP(OrdersRawTable9[[#This Row],[Order_Line_ID]],ReturnsRawTable[[#All],[Order_Line_ID]:[Return_Reason_Raw]],3,FALSE),"")</f>
        <v>damaged</v>
      </c>
      <c r="AE888" s="49">
        <f>IFERROR(VLOOKUP(OrdersRawTable9[[#This Row],[Order_Line_ID]],ReturnsRawTable[[#All],[Order_Line_ID]:[Return_Date]],2,FALSE),"")</f>
        <v>45735.041666666664</v>
      </c>
      <c r="AF888" s="45" t="str">
        <f>IFERROR(VLOOKUP(OrdersRawTable9[[#This Row],[Order_Line_ID]],ReturnsRawTable[[Order_Line_ID]:[Refund_Status]],4,FALSE),"")</f>
        <v>Refunded</v>
      </c>
      <c r="AG888" s="45" t="str">
        <f>VLOOKUP(OrdersRawTable9[[#This Row],[Order_ID]],ShipmentsTable[],6,FALSE)</f>
        <v>Late</v>
      </c>
      <c r="AH888" s="49">
        <f>VLOOKUP(OrdersRawTable9[[#This Row],[Order_ID]],ShipmentsTable[],3,FALSE)</f>
        <v>45723.041666666664</v>
      </c>
    </row>
    <row r="889" spans="1:34" ht="15" customHeight="1"/>
    <row r="890" spans="1:34" ht="15" customHeight="1"/>
    <row r="891" spans="1:34" ht="15" customHeight="1"/>
    <row r="892" spans="1:34" ht="15" customHeight="1"/>
    <row r="893" spans="1:34" ht="15" customHeight="1"/>
    <row r="894" spans="1:34" ht="15" customHeight="1"/>
    <row r="895" spans="1:34" ht="15" customHeight="1"/>
    <row r="896" spans="1:34" ht="15" customHeight="1"/>
  </sheetData>
  <conditionalFormatting sqref="A5:A888">
    <cfRule type="duplicateValues" dxfId="3" priority="2"/>
    <cfRule type="duplicateValues" dxfId="2" priority="3"/>
    <cfRule type="duplicateValues" dxfId="1" priority="4"/>
  </conditionalFormatting>
  <conditionalFormatting sqref="B5:B888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F2F8"/>
  </sheetPr>
  <dimension ref="A1:K55"/>
  <sheetViews>
    <sheetView showGridLines="0" workbookViewId="0">
      <pane ySplit="5" topLeftCell="A6" activePane="bottomLeft" state="frozen"/>
      <selection pane="bottomLeft" sqref="A1:XFD1048576"/>
    </sheetView>
  </sheetViews>
  <sheetFormatPr baseColWidth="10" defaultColWidth="8.796875" defaultRowHeight="13.8"/>
  <cols>
    <col min="1" max="1" width="26" customWidth="1"/>
    <col min="2" max="2" width="18.5" bestFit="1" customWidth="1"/>
    <col min="3" max="3" width="9.8984375" bestFit="1" customWidth="1"/>
    <col min="4" max="4" width="9.69921875" customWidth="1"/>
    <col min="5" max="5" width="8.69921875" bestFit="1" customWidth="1"/>
    <col min="6" max="6" width="11.8984375" customWidth="1"/>
  </cols>
  <sheetData>
    <row r="1" spans="1:11" ht="18" customHeight="1">
      <c r="A1" s="6" t="s">
        <v>1669</v>
      </c>
    </row>
    <row r="2" spans="1:11" ht="15" customHeight="1">
      <c r="A2" s="7" t="s">
        <v>1670</v>
      </c>
    </row>
    <row r="3" spans="1:11" ht="1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</row>
    <row r="5" spans="1:11" ht="15" customHeight="1">
      <c r="A5" s="9" t="s">
        <v>28</v>
      </c>
      <c r="B5" s="9" t="s">
        <v>1671</v>
      </c>
      <c r="C5" s="9" t="s">
        <v>1672</v>
      </c>
      <c r="D5" s="9" t="s">
        <v>1673</v>
      </c>
      <c r="E5" s="9" t="s">
        <v>1674</v>
      </c>
      <c r="F5" s="9" t="s">
        <v>1675</v>
      </c>
    </row>
    <row r="6" spans="1:11" ht="15" customHeight="1">
      <c r="A6" s="11" t="s">
        <v>110</v>
      </c>
      <c r="B6" s="12" t="s">
        <v>1676</v>
      </c>
      <c r="C6" s="12" t="s">
        <v>1677</v>
      </c>
      <c r="D6" s="25">
        <v>77.540000000000006</v>
      </c>
      <c r="E6" s="25">
        <v>133.24</v>
      </c>
      <c r="F6" s="13" t="s">
        <v>1678</v>
      </c>
    </row>
    <row r="7" spans="1:11" ht="15" customHeight="1">
      <c r="A7" s="14" t="s">
        <v>63</v>
      </c>
      <c r="B7" s="10" t="s">
        <v>1679</v>
      </c>
      <c r="C7" s="10" t="s">
        <v>1677</v>
      </c>
      <c r="D7" s="26">
        <v>67.290000000000006</v>
      </c>
      <c r="E7" s="26">
        <v>105.38</v>
      </c>
      <c r="F7" s="15" t="s">
        <v>1680</v>
      </c>
    </row>
    <row r="8" spans="1:11" ht="15" customHeight="1">
      <c r="A8" s="14" t="s">
        <v>130</v>
      </c>
      <c r="B8" s="10" t="s">
        <v>1681</v>
      </c>
      <c r="C8" s="10" t="s">
        <v>1677</v>
      </c>
      <c r="D8" s="26">
        <v>154.16999999999999</v>
      </c>
      <c r="E8" s="26">
        <v>265.73</v>
      </c>
      <c r="F8" s="15" t="s">
        <v>1682</v>
      </c>
    </row>
    <row r="9" spans="1:11" ht="15" customHeight="1">
      <c r="A9" s="14" t="s">
        <v>106</v>
      </c>
      <c r="B9" s="10" t="s">
        <v>1683</v>
      </c>
      <c r="C9" s="10" t="s">
        <v>1677</v>
      </c>
      <c r="D9" s="26">
        <v>114.29</v>
      </c>
      <c r="E9" s="26">
        <v>195.38</v>
      </c>
      <c r="F9" s="15" t="s">
        <v>1678</v>
      </c>
    </row>
    <row r="10" spans="1:11" ht="15" customHeight="1">
      <c r="A10" s="14" t="s">
        <v>100</v>
      </c>
      <c r="B10" s="10" t="s">
        <v>1684</v>
      </c>
      <c r="C10" s="10" t="s">
        <v>1677</v>
      </c>
      <c r="D10" s="26">
        <v>24.46</v>
      </c>
      <c r="E10" s="26">
        <v>42.72</v>
      </c>
      <c r="F10" s="15" t="s">
        <v>1682</v>
      </c>
    </row>
    <row r="11" spans="1:11" ht="15" customHeight="1">
      <c r="A11" s="14" t="s">
        <v>112</v>
      </c>
      <c r="B11" s="10" t="s">
        <v>1685</v>
      </c>
      <c r="C11" s="10" t="s">
        <v>1677</v>
      </c>
      <c r="D11" s="26">
        <v>49.75</v>
      </c>
      <c r="E11" s="26">
        <v>88.61</v>
      </c>
      <c r="F11" s="15" t="s">
        <v>1680</v>
      </c>
    </row>
    <row r="12" spans="1:11" ht="15" customHeight="1">
      <c r="A12" s="14" t="s">
        <v>128</v>
      </c>
      <c r="B12" s="10" t="s">
        <v>1686</v>
      </c>
      <c r="C12" s="10" t="s">
        <v>1677</v>
      </c>
      <c r="D12" s="26">
        <v>14.24</v>
      </c>
      <c r="E12" s="26">
        <v>25.15</v>
      </c>
      <c r="F12" s="15" t="s">
        <v>1680</v>
      </c>
    </row>
    <row r="13" spans="1:11" ht="15" customHeight="1">
      <c r="A13" s="14" t="s">
        <v>428</v>
      </c>
      <c r="B13" s="10" t="s">
        <v>1687</v>
      </c>
      <c r="C13" s="10" t="s">
        <v>1677</v>
      </c>
      <c r="D13" s="26">
        <v>57.09</v>
      </c>
      <c r="E13" s="26">
        <v>110.88</v>
      </c>
      <c r="F13" s="15" t="s">
        <v>1680</v>
      </c>
    </row>
    <row r="14" spans="1:11" ht="15" customHeight="1">
      <c r="A14" s="14" t="s">
        <v>88</v>
      </c>
      <c r="B14" s="10" t="s">
        <v>1688</v>
      </c>
      <c r="C14" s="10" t="s">
        <v>1677</v>
      </c>
      <c r="D14" s="26">
        <v>100.95</v>
      </c>
      <c r="E14" s="26">
        <v>147.46</v>
      </c>
      <c r="F14" s="15" t="s">
        <v>1678</v>
      </c>
    </row>
    <row r="15" spans="1:11" ht="15" customHeight="1">
      <c r="A15" s="14" t="s">
        <v>521</v>
      </c>
      <c r="B15" s="10" t="s">
        <v>1689</v>
      </c>
      <c r="C15" s="10" t="s">
        <v>1677</v>
      </c>
      <c r="D15" s="26">
        <v>24.76</v>
      </c>
      <c r="E15" s="26">
        <v>37.82</v>
      </c>
      <c r="F15" s="15" t="s">
        <v>1682</v>
      </c>
    </row>
    <row r="16" spans="1:11" ht="15" customHeight="1">
      <c r="A16" s="14" t="s">
        <v>456</v>
      </c>
      <c r="B16" s="10" t="s">
        <v>1690</v>
      </c>
      <c r="C16" s="10" t="s">
        <v>1691</v>
      </c>
      <c r="D16" s="26">
        <v>156.97</v>
      </c>
      <c r="E16" s="26">
        <v>275.76</v>
      </c>
      <c r="F16" s="15" t="s">
        <v>1678</v>
      </c>
    </row>
    <row r="17" spans="1:6" ht="15" customHeight="1">
      <c r="A17" s="14" t="s">
        <v>214</v>
      </c>
      <c r="B17" s="10" t="s">
        <v>1692</v>
      </c>
      <c r="C17" s="10" t="s">
        <v>1691</v>
      </c>
      <c r="D17" s="26">
        <v>114.11</v>
      </c>
      <c r="E17" s="26">
        <v>186.92</v>
      </c>
      <c r="F17" s="15" t="s">
        <v>1680</v>
      </c>
    </row>
    <row r="18" spans="1:6" ht="15" customHeight="1">
      <c r="A18" s="14" t="s">
        <v>495</v>
      </c>
      <c r="B18" s="10" t="s">
        <v>1693</v>
      </c>
      <c r="C18" s="10" t="s">
        <v>1691</v>
      </c>
      <c r="D18" s="26">
        <v>132.97</v>
      </c>
      <c r="E18" s="26">
        <v>207.71</v>
      </c>
      <c r="F18" s="15" t="s">
        <v>1678</v>
      </c>
    </row>
    <row r="19" spans="1:6" ht="15" customHeight="1">
      <c r="A19" s="14" t="s">
        <v>180</v>
      </c>
      <c r="B19" s="10" t="s">
        <v>1694</v>
      </c>
      <c r="C19" s="10" t="s">
        <v>1691</v>
      </c>
      <c r="D19" s="26">
        <v>58.27</v>
      </c>
      <c r="E19" s="26">
        <v>91.75</v>
      </c>
      <c r="F19" s="15" t="s">
        <v>1680</v>
      </c>
    </row>
    <row r="20" spans="1:6" ht="15" customHeight="1">
      <c r="A20" s="14" t="s">
        <v>332</v>
      </c>
      <c r="B20" s="10" t="s">
        <v>1695</v>
      </c>
      <c r="C20" s="10" t="s">
        <v>1691</v>
      </c>
      <c r="D20" s="26">
        <v>140.66999999999999</v>
      </c>
      <c r="E20" s="26">
        <v>273.89</v>
      </c>
      <c r="F20" s="15" t="s">
        <v>1678</v>
      </c>
    </row>
    <row r="21" spans="1:6" ht="15" customHeight="1">
      <c r="A21" s="14" t="s">
        <v>119</v>
      </c>
      <c r="B21" s="10" t="s">
        <v>1696</v>
      </c>
      <c r="C21" s="10" t="s">
        <v>1691</v>
      </c>
      <c r="D21" s="26">
        <v>70.180000000000007</v>
      </c>
      <c r="E21" s="26">
        <v>103.3</v>
      </c>
      <c r="F21" s="15" t="s">
        <v>1682</v>
      </c>
    </row>
    <row r="22" spans="1:6" ht="15" customHeight="1">
      <c r="A22" s="14" t="s">
        <v>152</v>
      </c>
      <c r="B22" s="10" t="s">
        <v>1697</v>
      </c>
      <c r="C22" s="10" t="s">
        <v>1691</v>
      </c>
      <c r="D22" s="26">
        <v>129.41999999999999</v>
      </c>
      <c r="E22" s="26">
        <v>234.37</v>
      </c>
      <c r="F22" s="15" t="s">
        <v>1678</v>
      </c>
    </row>
    <row r="23" spans="1:6" ht="15" customHeight="1">
      <c r="A23" s="14" t="s">
        <v>80</v>
      </c>
      <c r="B23" s="10" t="s">
        <v>1698</v>
      </c>
      <c r="C23" s="10" t="s">
        <v>1691</v>
      </c>
      <c r="D23" s="26">
        <v>85.34</v>
      </c>
      <c r="E23" s="26">
        <v>142.16</v>
      </c>
      <c r="F23" s="15" t="s">
        <v>1680</v>
      </c>
    </row>
    <row r="24" spans="1:6" ht="15" customHeight="1">
      <c r="A24" s="14" t="s">
        <v>196</v>
      </c>
      <c r="B24" s="10" t="s">
        <v>1699</v>
      </c>
      <c r="C24" s="10" t="s">
        <v>1691</v>
      </c>
      <c r="D24" s="26">
        <v>98.11</v>
      </c>
      <c r="E24" s="26">
        <v>183.73</v>
      </c>
      <c r="F24" s="15" t="s">
        <v>1680</v>
      </c>
    </row>
    <row r="25" spans="1:6" ht="15" customHeight="1">
      <c r="A25" s="14" t="s">
        <v>309</v>
      </c>
      <c r="B25" s="10" t="s">
        <v>1700</v>
      </c>
      <c r="C25" s="10" t="s">
        <v>1691</v>
      </c>
      <c r="D25" s="26">
        <v>33.65</v>
      </c>
      <c r="E25" s="26">
        <v>56.99</v>
      </c>
      <c r="F25" s="15" t="s">
        <v>1680</v>
      </c>
    </row>
    <row r="26" spans="1:6" ht="15" customHeight="1">
      <c r="A26" s="14" t="s">
        <v>220</v>
      </c>
      <c r="B26" s="10" t="s">
        <v>1701</v>
      </c>
      <c r="C26" s="10" t="s">
        <v>1702</v>
      </c>
      <c r="D26" s="26">
        <v>16.86</v>
      </c>
      <c r="E26" s="26">
        <v>25.01</v>
      </c>
      <c r="F26" s="15" t="s">
        <v>1682</v>
      </c>
    </row>
    <row r="27" spans="1:6" ht="15" customHeight="1">
      <c r="A27" s="14" t="s">
        <v>178</v>
      </c>
      <c r="B27" s="10" t="s">
        <v>1703</v>
      </c>
      <c r="C27" s="10" t="s">
        <v>1702</v>
      </c>
      <c r="D27" s="26">
        <v>33.19</v>
      </c>
      <c r="E27" s="26">
        <v>61.81</v>
      </c>
      <c r="F27" s="15" t="s">
        <v>1680</v>
      </c>
    </row>
    <row r="28" spans="1:6" ht="15" customHeight="1">
      <c r="A28" s="14" t="s">
        <v>238</v>
      </c>
      <c r="B28" s="10" t="s">
        <v>1704</v>
      </c>
      <c r="C28" s="10" t="s">
        <v>1702</v>
      </c>
      <c r="D28" s="26">
        <v>46.51</v>
      </c>
      <c r="E28" s="26">
        <v>82.77</v>
      </c>
      <c r="F28" s="15" t="s">
        <v>1682</v>
      </c>
    </row>
    <row r="29" spans="1:6" ht="15" customHeight="1">
      <c r="A29" s="14" t="s">
        <v>150</v>
      </c>
      <c r="B29" s="10" t="s">
        <v>1705</v>
      </c>
      <c r="C29" s="10" t="s">
        <v>1702</v>
      </c>
      <c r="D29" s="26">
        <v>161.84</v>
      </c>
      <c r="E29" s="26">
        <v>263.04000000000002</v>
      </c>
      <c r="F29" s="15" t="s">
        <v>1680</v>
      </c>
    </row>
    <row r="30" spans="1:6" ht="15" customHeight="1">
      <c r="A30" s="14" t="s">
        <v>83</v>
      </c>
      <c r="B30" s="10" t="s">
        <v>1706</v>
      </c>
      <c r="C30" s="10" t="s">
        <v>1702</v>
      </c>
      <c r="D30" s="26">
        <v>61.65</v>
      </c>
      <c r="E30" s="26">
        <v>115.28</v>
      </c>
      <c r="F30" s="15" t="s">
        <v>1680</v>
      </c>
    </row>
    <row r="31" spans="1:6" ht="15" customHeight="1">
      <c r="A31" s="14" t="s">
        <v>251</v>
      </c>
      <c r="B31" s="10" t="s">
        <v>1707</v>
      </c>
      <c r="C31" s="10" t="s">
        <v>1702</v>
      </c>
      <c r="D31" s="26">
        <v>149.4</v>
      </c>
      <c r="E31" s="26">
        <v>228.91</v>
      </c>
      <c r="F31" s="15" t="s">
        <v>1680</v>
      </c>
    </row>
    <row r="32" spans="1:6" ht="15" customHeight="1">
      <c r="A32" s="14" t="s">
        <v>204</v>
      </c>
      <c r="B32" s="10" t="s">
        <v>1708</v>
      </c>
      <c r="C32" s="10" t="s">
        <v>1702</v>
      </c>
      <c r="D32" s="26">
        <v>150.96</v>
      </c>
      <c r="E32" s="26">
        <v>244.25</v>
      </c>
      <c r="F32" s="15" t="s">
        <v>1678</v>
      </c>
    </row>
    <row r="33" spans="1:6" ht="15" customHeight="1">
      <c r="A33" s="14" t="s">
        <v>279</v>
      </c>
      <c r="B33" s="10" t="s">
        <v>1709</v>
      </c>
      <c r="C33" s="10" t="s">
        <v>1702</v>
      </c>
      <c r="D33" s="26">
        <v>28.17</v>
      </c>
      <c r="E33" s="26">
        <v>52.79</v>
      </c>
      <c r="F33" s="15" t="s">
        <v>1680</v>
      </c>
    </row>
    <row r="34" spans="1:6" ht="15" customHeight="1">
      <c r="A34" s="14" t="s">
        <v>49</v>
      </c>
      <c r="B34" s="10" t="s">
        <v>1710</v>
      </c>
      <c r="C34" s="10" t="s">
        <v>1702</v>
      </c>
      <c r="D34" s="26">
        <v>158.46</v>
      </c>
      <c r="E34" s="26">
        <v>300.16000000000003</v>
      </c>
      <c r="F34" s="15" t="s">
        <v>1682</v>
      </c>
    </row>
    <row r="35" spans="1:6" ht="15" customHeight="1">
      <c r="A35" s="14" t="s">
        <v>69</v>
      </c>
      <c r="B35" s="10" t="s">
        <v>1711</v>
      </c>
      <c r="C35" s="10" t="s">
        <v>1702</v>
      </c>
      <c r="D35" s="26">
        <v>42.37</v>
      </c>
      <c r="E35" s="26">
        <v>75.75</v>
      </c>
      <c r="F35" s="15" t="s">
        <v>1680</v>
      </c>
    </row>
    <row r="36" spans="1:6" ht="15" customHeight="1">
      <c r="A36" s="14" t="s">
        <v>57</v>
      </c>
      <c r="B36" s="10" t="s">
        <v>1712</v>
      </c>
      <c r="C36" s="10" t="s">
        <v>1713</v>
      </c>
      <c r="D36" s="26">
        <v>139.04</v>
      </c>
      <c r="E36" s="26">
        <v>208.81</v>
      </c>
      <c r="F36" s="15" t="s">
        <v>1682</v>
      </c>
    </row>
    <row r="37" spans="1:6" ht="15" customHeight="1">
      <c r="A37" s="14" t="s">
        <v>270</v>
      </c>
      <c r="B37" s="10" t="s">
        <v>1714</v>
      </c>
      <c r="C37" s="10" t="s">
        <v>1713</v>
      </c>
      <c r="D37" s="26">
        <v>131.51</v>
      </c>
      <c r="E37" s="26">
        <v>214.38</v>
      </c>
      <c r="F37" s="15" t="s">
        <v>1680</v>
      </c>
    </row>
    <row r="38" spans="1:6" ht="15" customHeight="1">
      <c r="A38" s="14" t="s">
        <v>468</v>
      </c>
      <c r="B38" s="10" t="s">
        <v>1715</v>
      </c>
      <c r="C38" s="10" t="s">
        <v>1713</v>
      </c>
      <c r="D38" s="26">
        <v>101.58</v>
      </c>
      <c r="E38" s="26">
        <v>160</v>
      </c>
      <c r="F38" s="15" t="s">
        <v>1680</v>
      </c>
    </row>
    <row r="39" spans="1:6" ht="15" customHeight="1">
      <c r="A39" s="14" t="s">
        <v>136</v>
      </c>
      <c r="B39" s="10" t="s">
        <v>1716</v>
      </c>
      <c r="C39" s="10" t="s">
        <v>1713</v>
      </c>
      <c r="D39" s="26">
        <v>78.650000000000006</v>
      </c>
      <c r="E39" s="26">
        <v>141.46</v>
      </c>
      <c r="F39" s="15" t="s">
        <v>1682</v>
      </c>
    </row>
    <row r="40" spans="1:6" ht="15" customHeight="1">
      <c r="A40" s="14" t="s">
        <v>117</v>
      </c>
      <c r="B40" s="10" t="s">
        <v>1717</v>
      </c>
      <c r="C40" s="10" t="s">
        <v>1713</v>
      </c>
      <c r="D40" s="26">
        <v>151.59</v>
      </c>
      <c r="E40" s="26">
        <v>251.17</v>
      </c>
      <c r="F40" s="15" t="s">
        <v>1680</v>
      </c>
    </row>
    <row r="41" spans="1:6" ht="15" customHeight="1">
      <c r="A41" s="14" t="s">
        <v>72</v>
      </c>
      <c r="B41" s="10" t="s">
        <v>1718</v>
      </c>
      <c r="C41" s="10" t="s">
        <v>1713</v>
      </c>
      <c r="D41" s="26">
        <v>136.25</v>
      </c>
      <c r="E41" s="26">
        <v>210.2</v>
      </c>
      <c r="F41" s="15" t="s">
        <v>1680</v>
      </c>
    </row>
    <row r="42" spans="1:6" ht="15" customHeight="1">
      <c r="A42" s="14" t="s">
        <v>39</v>
      </c>
      <c r="B42" s="10" t="s">
        <v>1719</v>
      </c>
      <c r="C42" s="10" t="s">
        <v>1713</v>
      </c>
      <c r="D42" s="26">
        <v>142.84</v>
      </c>
      <c r="E42" s="26">
        <v>236.51</v>
      </c>
      <c r="F42" s="15" t="s">
        <v>1678</v>
      </c>
    </row>
    <row r="43" spans="1:6" ht="15" customHeight="1">
      <c r="A43" s="14" t="s">
        <v>276</v>
      </c>
      <c r="B43" s="10" t="s">
        <v>1720</v>
      </c>
      <c r="C43" s="10" t="s">
        <v>1713</v>
      </c>
      <c r="D43" s="26">
        <v>118.95</v>
      </c>
      <c r="E43" s="26">
        <v>182.94</v>
      </c>
      <c r="F43" s="15" t="s">
        <v>1682</v>
      </c>
    </row>
    <row r="44" spans="1:6" ht="15" customHeight="1">
      <c r="A44" s="14" t="s">
        <v>201</v>
      </c>
      <c r="B44" s="10" t="s">
        <v>1721</v>
      </c>
      <c r="C44" s="10" t="s">
        <v>1713</v>
      </c>
      <c r="D44" s="26">
        <v>102.57</v>
      </c>
      <c r="E44" s="26">
        <v>154.47</v>
      </c>
      <c r="F44" s="15" t="s">
        <v>1682</v>
      </c>
    </row>
    <row r="45" spans="1:6" ht="15" customHeight="1">
      <c r="A45" s="14" t="s">
        <v>108</v>
      </c>
      <c r="B45" s="10" t="s">
        <v>1722</v>
      </c>
      <c r="C45" s="10" t="s">
        <v>1713</v>
      </c>
      <c r="D45" s="26">
        <v>18.670000000000002</v>
      </c>
      <c r="E45" s="26">
        <v>33.369999999999997</v>
      </c>
      <c r="F45" s="15" t="s">
        <v>1680</v>
      </c>
    </row>
    <row r="46" spans="1:6" ht="15" customHeight="1">
      <c r="A46" s="14" t="s">
        <v>44</v>
      </c>
      <c r="B46" s="10" t="s">
        <v>1723</v>
      </c>
      <c r="C46" s="10" t="s">
        <v>1724</v>
      </c>
      <c r="D46" s="26">
        <v>127.65</v>
      </c>
      <c r="E46" s="26">
        <v>238.47</v>
      </c>
      <c r="F46" s="15" t="s">
        <v>1678</v>
      </c>
    </row>
    <row r="47" spans="1:6" ht="15" customHeight="1">
      <c r="A47" s="14" t="s">
        <v>147</v>
      </c>
      <c r="B47" s="10" t="s">
        <v>1725</v>
      </c>
      <c r="C47" s="10" t="s">
        <v>1724</v>
      </c>
      <c r="D47" s="26">
        <v>62.65</v>
      </c>
      <c r="E47" s="26">
        <v>102.78</v>
      </c>
      <c r="F47" s="15" t="s">
        <v>1678</v>
      </c>
    </row>
    <row r="48" spans="1:6" ht="15" customHeight="1">
      <c r="A48" s="14" t="s">
        <v>784</v>
      </c>
      <c r="B48" s="10" t="s">
        <v>1726</v>
      </c>
      <c r="C48" s="10" t="s">
        <v>1724</v>
      </c>
      <c r="D48" s="26">
        <v>57.85</v>
      </c>
      <c r="E48" s="26">
        <v>96.33</v>
      </c>
      <c r="F48" s="15" t="s">
        <v>1682</v>
      </c>
    </row>
    <row r="49" spans="1:6" ht="15" customHeight="1">
      <c r="A49" s="14" t="s">
        <v>93</v>
      </c>
      <c r="B49" s="10" t="s">
        <v>1727</v>
      </c>
      <c r="C49" s="10" t="s">
        <v>1724</v>
      </c>
      <c r="D49" s="26">
        <v>133.05000000000001</v>
      </c>
      <c r="E49" s="26">
        <v>208.89</v>
      </c>
      <c r="F49" s="15" t="s">
        <v>1682</v>
      </c>
    </row>
    <row r="50" spans="1:6" ht="15" customHeight="1">
      <c r="A50" s="14" t="s">
        <v>303</v>
      </c>
      <c r="B50" s="10" t="s">
        <v>1728</v>
      </c>
      <c r="C50" s="10" t="s">
        <v>1724</v>
      </c>
      <c r="D50" s="26">
        <v>37.99</v>
      </c>
      <c r="E50" s="26">
        <v>72.81</v>
      </c>
      <c r="F50" s="15" t="s">
        <v>1678</v>
      </c>
    </row>
    <row r="51" spans="1:6" ht="15" customHeight="1">
      <c r="A51" s="14" t="s">
        <v>316</v>
      </c>
      <c r="B51" s="10" t="s">
        <v>1729</v>
      </c>
      <c r="C51" s="10" t="s">
        <v>1724</v>
      </c>
      <c r="D51" s="26">
        <v>107.55</v>
      </c>
      <c r="E51" s="26">
        <v>180.37</v>
      </c>
      <c r="F51" s="15" t="s">
        <v>1680</v>
      </c>
    </row>
    <row r="52" spans="1:6" ht="15" customHeight="1">
      <c r="A52" s="14" t="s">
        <v>171</v>
      </c>
      <c r="B52" s="10" t="s">
        <v>1730</v>
      </c>
      <c r="C52" s="10" t="s">
        <v>1724</v>
      </c>
      <c r="D52" s="26">
        <v>130.9</v>
      </c>
      <c r="E52" s="26">
        <v>228.81</v>
      </c>
      <c r="F52" s="15" t="s">
        <v>1680</v>
      </c>
    </row>
    <row r="53" spans="1:6" ht="15" customHeight="1">
      <c r="A53" s="14" t="s">
        <v>121</v>
      </c>
      <c r="B53" s="10" t="s">
        <v>1731</v>
      </c>
      <c r="C53" s="10" t="s">
        <v>1724</v>
      </c>
      <c r="D53" s="26">
        <v>148.21</v>
      </c>
      <c r="E53" s="26">
        <v>287.16000000000003</v>
      </c>
      <c r="F53" s="15" t="s">
        <v>1680</v>
      </c>
    </row>
    <row r="54" spans="1:6" ht="15" customHeight="1">
      <c r="A54" s="14" t="s">
        <v>241</v>
      </c>
      <c r="B54" s="10" t="s">
        <v>1732</v>
      </c>
      <c r="C54" s="10" t="s">
        <v>1724</v>
      </c>
      <c r="D54" s="26">
        <v>158.86000000000001</v>
      </c>
      <c r="E54" s="26">
        <v>300.56</v>
      </c>
      <c r="F54" s="15" t="s">
        <v>1678</v>
      </c>
    </row>
    <row r="55" spans="1:6" ht="15" customHeight="1">
      <c r="A55" s="16" t="s">
        <v>77</v>
      </c>
      <c r="B55" s="17" t="s">
        <v>1733</v>
      </c>
      <c r="C55" s="17" t="s">
        <v>1724</v>
      </c>
      <c r="D55" s="27">
        <v>19.670000000000002</v>
      </c>
      <c r="E55" s="27">
        <v>34.909999999999997</v>
      </c>
      <c r="F55" s="18" t="s">
        <v>1680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F2F8"/>
  </sheetPr>
  <dimension ref="A1:K55"/>
  <sheetViews>
    <sheetView topLeftCell="A25" workbookViewId="0">
      <selection activeCell="C5" sqref="C5"/>
    </sheetView>
  </sheetViews>
  <sheetFormatPr baseColWidth="10" defaultColWidth="8.796875" defaultRowHeight="13.8"/>
  <cols>
    <col min="1" max="1" width="26" customWidth="1"/>
    <col min="2" max="2" width="18.5" bestFit="1" customWidth="1"/>
    <col min="3" max="3" width="9.8984375" bestFit="1" customWidth="1"/>
    <col min="4" max="4" width="12.69921875" bestFit="1" customWidth="1"/>
    <col min="5" max="5" width="8.69921875" bestFit="1" customWidth="1"/>
    <col min="6" max="6" width="11.8984375" customWidth="1"/>
  </cols>
  <sheetData>
    <row r="1" spans="1:11" ht="18" customHeight="1">
      <c r="A1" s="6" t="s">
        <v>1669</v>
      </c>
    </row>
    <row r="2" spans="1:11" ht="15" customHeight="1">
      <c r="A2" s="7" t="s">
        <v>1670</v>
      </c>
    </row>
    <row r="3" spans="1:11" ht="1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</row>
    <row r="5" spans="1:11" ht="15" customHeight="1">
      <c r="A5" s="9" t="s">
        <v>28</v>
      </c>
      <c r="B5" s="9" t="s">
        <v>1671</v>
      </c>
      <c r="C5" s="44" t="s">
        <v>1672</v>
      </c>
      <c r="D5" s="44" t="s">
        <v>1673</v>
      </c>
      <c r="E5" s="9" t="s">
        <v>1674</v>
      </c>
      <c r="F5" s="9" t="s">
        <v>1675</v>
      </c>
    </row>
    <row r="6" spans="1:11" ht="15" customHeight="1">
      <c r="A6" s="11" t="s">
        <v>110</v>
      </c>
      <c r="B6" s="12" t="s">
        <v>1676</v>
      </c>
      <c r="C6" s="12" t="s">
        <v>1677</v>
      </c>
      <c r="D6" s="25">
        <v>77.540000000000006</v>
      </c>
      <c r="E6" s="25">
        <v>133.24</v>
      </c>
      <c r="F6" s="13" t="s">
        <v>1678</v>
      </c>
    </row>
    <row r="7" spans="1:11" ht="15" customHeight="1">
      <c r="A7" s="14" t="s">
        <v>63</v>
      </c>
      <c r="B7" s="10" t="s">
        <v>1679</v>
      </c>
      <c r="C7" s="10" t="s">
        <v>1677</v>
      </c>
      <c r="D7" s="26">
        <v>67.290000000000006</v>
      </c>
      <c r="E7" s="26">
        <v>105.38</v>
      </c>
      <c r="F7" s="15" t="s">
        <v>1680</v>
      </c>
    </row>
    <row r="8" spans="1:11" ht="15" customHeight="1">
      <c r="A8" s="14" t="s">
        <v>130</v>
      </c>
      <c r="B8" s="10" t="s">
        <v>1681</v>
      </c>
      <c r="C8" s="10" t="s">
        <v>1677</v>
      </c>
      <c r="D8" s="26">
        <v>154.16999999999999</v>
      </c>
      <c r="E8" s="26">
        <v>265.73</v>
      </c>
      <c r="F8" s="15" t="s">
        <v>1682</v>
      </c>
    </row>
    <row r="9" spans="1:11" ht="15" customHeight="1">
      <c r="A9" s="14" t="s">
        <v>106</v>
      </c>
      <c r="B9" s="10" t="s">
        <v>1683</v>
      </c>
      <c r="C9" s="10" t="s">
        <v>1677</v>
      </c>
      <c r="D9" s="26">
        <v>114.29</v>
      </c>
      <c r="E9" s="26">
        <v>195.38</v>
      </c>
      <c r="F9" s="15" t="s">
        <v>1678</v>
      </c>
    </row>
    <row r="10" spans="1:11" ht="15" customHeight="1">
      <c r="A10" s="14" t="s">
        <v>100</v>
      </c>
      <c r="B10" s="10" t="s">
        <v>1684</v>
      </c>
      <c r="C10" s="10" t="s">
        <v>1677</v>
      </c>
      <c r="D10" s="26">
        <v>24.46</v>
      </c>
      <c r="E10" s="26">
        <v>42.72</v>
      </c>
      <c r="F10" s="15" t="s">
        <v>1682</v>
      </c>
    </row>
    <row r="11" spans="1:11" ht="15" customHeight="1">
      <c r="A11" s="14" t="s">
        <v>112</v>
      </c>
      <c r="B11" s="10" t="s">
        <v>1685</v>
      </c>
      <c r="C11" s="10" t="s">
        <v>1677</v>
      </c>
      <c r="D11" s="26">
        <v>49.75</v>
      </c>
      <c r="E11" s="26">
        <v>88.61</v>
      </c>
      <c r="F11" s="15" t="s">
        <v>1680</v>
      </c>
    </row>
    <row r="12" spans="1:11" ht="15" customHeight="1">
      <c r="A12" s="14" t="s">
        <v>128</v>
      </c>
      <c r="B12" s="10" t="s">
        <v>1686</v>
      </c>
      <c r="C12" s="10" t="s">
        <v>1677</v>
      </c>
      <c r="D12" s="26">
        <v>14.24</v>
      </c>
      <c r="E12" s="26">
        <v>25.15</v>
      </c>
      <c r="F12" s="15" t="s">
        <v>1680</v>
      </c>
    </row>
    <row r="13" spans="1:11" ht="15" customHeight="1">
      <c r="A13" s="14" t="s">
        <v>428</v>
      </c>
      <c r="B13" s="10" t="s">
        <v>1687</v>
      </c>
      <c r="C13" s="10" t="s">
        <v>1677</v>
      </c>
      <c r="D13" s="26">
        <v>57.09</v>
      </c>
      <c r="E13" s="26">
        <v>110.88</v>
      </c>
      <c r="F13" s="15" t="s">
        <v>1680</v>
      </c>
    </row>
    <row r="14" spans="1:11" ht="15" customHeight="1">
      <c r="A14" s="14" t="s">
        <v>88</v>
      </c>
      <c r="B14" s="10" t="s">
        <v>1688</v>
      </c>
      <c r="C14" s="10" t="s">
        <v>1677</v>
      </c>
      <c r="D14" s="26">
        <v>100.95</v>
      </c>
      <c r="E14" s="26">
        <v>147.46</v>
      </c>
      <c r="F14" s="15" t="s">
        <v>1678</v>
      </c>
    </row>
    <row r="15" spans="1:11" ht="15" customHeight="1">
      <c r="A15" s="14" t="s">
        <v>521</v>
      </c>
      <c r="B15" s="10" t="s">
        <v>1689</v>
      </c>
      <c r="C15" s="10" t="s">
        <v>1677</v>
      </c>
      <c r="D15" s="26">
        <v>24.76</v>
      </c>
      <c r="E15" s="26">
        <v>37.82</v>
      </c>
      <c r="F15" s="15" t="s">
        <v>1682</v>
      </c>
    </row>
    <row r="16" spans="1:11" ht="15" customHeight="1">
      <c r="A16" s="14" t="s">
        <v>456</v>
      </c>
      <c r="B16" s="10" t="s">
        <v>1690</v>
      </c>
      <c r="C16" s="10" t="s">
        <v>1691</v>
      </c>
      <c r="D16" s="26">
        <v>156.97</v>
      </c>
      <c r="E16" s="26">
        <v>275.76</v>
      </c>
      <c r="F16" s="15" t="s">
        <v>1678</v>
      </c>
    </row>
    <row r="17" spans="1:6" ht="15" customHeight="1">
      <c r="A17" s="14" t="s">
        <v>214</v>
      </c>
      <c r="B17" s="10" t="s">
        <v>1692</v>
      </c>
      <c r="C17" s="10" t="s">
        <v>1691</v>
      </c>
      <c r="D17" s="26">
        <v>114.11</v>
      </c>
      <c r="E17" s="26">
        <v>186.92</v>
      </c>
      <c r="F17" s="15" t="s">
        <v>1680</v>
      </c>
    </row>
    <row r="18" spans="1:6" ht="15" customHeight="1">
      <c r="A18" s="14" t="s">
        <v>495</v>
      </c>
      <c r="B18" s="10" t="s">
        <v>1693</v>
      </c>
      <c r="C18" s="10" t="s">
        <v>1691</v>
      </c>
      <c r="D18" s="26">
        <v>132.97</v>
      </c>
      <c r="E18" s="26">
        <v>207.71</v>
      </c>
      <c r="F18" s="15" t="s">
        <v>1678</v>
      </c>
    </row>
    <row r="19" spans="1:6" ht="15" customHeight="1">
      <c r="A19" s="14" t="s">
        <v>180</v>
      </c>
      <c r="B19" s="10" t="s">
        <v>1694</v>
      </c>
      <c r="C19" s="10" t="s">
        <v>1691</v>
      </c>
      <c r="D19" s="26">
        <v>58.27</v>
      </c>
      <c r="E19" s="26">
        <v>91.75</v>
      </c>
      <c r="F19" s="15" t="s">
        <v>1680</v>
      </c>
    </row>
    <row r="20" spans="1:6" ht="15" customHeight="1">
      <c r="A20" s="14" t="s">
        <v>332</v>
      </c>
      <c r="B20" s="10" t="s">
        <v>1695</v>
      </c>
      <c r="C20" s="10" t="s">
        <v>1691</v>
      </c>
      <c r="D20" s="26">
        <v>140.66999999999999</v>
      </c>
      <c r="E20" s="26">
        <v>273.89</v>
      </c>
      <c r="F20" s="15" t="s">
        <v>1678</v>
      </c>
    </row>
    <row r="21" spans="1:6" ht="15" customHeight="1">
      <c r="A21" s="14" t="s">
        <v>119</v>
      </c>
      <c r="B21" s="10" t="s">
        <v>1696</v>
      </c>
      <c r="C21" s="10" t="s">
        <v>1691</v>
      </c>
      <c r="D21" s="26">
        <v>70.180000000000007</v>
      </c>
      <c r="E21" s="26">
        <v>103.3</v>
      </c>
      <c r="F21" s="15" t="s">
        <v>1682</v>
      </c>
    </row>
    <row r="22" spans="1:6" ht="15" customHeight="1">
      <c r="A22" s="14" t="s">
        <v>152</v>
      </c>
      <c r="B22" s="10" t="s">
        <v>1697</v>
      </c>
      <c r="C22" s="10" t="s">
        <v>1691</v>
      </c>
      <c r="D22" s="26">
        <v>129.41999999999999</v>
      </c>
      <c r="E22" s="26">
        <v>234.37</v>
      </c>
      <c r="F22" s="15" t="s">
        <v>1678</v>
      </c>
    </row>
    <row r="23" spans="1:6" ht="15" customHeight="1">
      <c r="A23" s="14" t="s">
        <v>80</v>
      </c>
      <c r="B23" s="10" t="s">
        <v>1698</v>
      </c>
      <c r="C23" s="10" t="s">
        <v>1691</v>
      </c>
      <c r="D23" s="26">
        <v>85.34</v>
      </c>
      <c r="E23" s="26">
        <v>142.16</v>
      </c>
      <c r="F23" s="15" t="s">
        <v>1680</v>
      </c>
    </row>
    <row r="24" spans="1:6" ht="15" customHeight="1">
      <c r="A24" s="14" t="s">
        <v>196</v>
      </c>
      <c r="B24" s="10" t="s">
        <v>1699</v>
      </c>
      <c r="C24" s="10" t="s">
        <v>1691</v>
      </c>
      <c r="D24" s="26">
        <v>98.11</v>
      </c>
      <c r="E24" s="26">
        <v>183.73</v>
      </c>
      <c r="F24" s="15" t="s">
        <v>1680</v>
      </c>
    </row>
    <row r="25" spans="1:6" ht="15" customHeight="1">
      <c r="A25" s="14" t="s">
        <v>309</v>
      </c>
      <c r="B25" s="10" t="s">
        <v>1700</v>
      </c>
      <c r="C25" s="10" t="s">
        <v>1691</v>
      </c>
      <c r="D25" s="26">
        <v>33.65</v>
      </c>
      <c r="E25" s="26">
        <v>56.99</v>
      </c>
      <c r="F25" s="15" t="s">
        <v>1680</v>
      </c>
    </row>
    <row r="26" spans="1:6" ht="15" customHeight="1">
      <c r="A26" s="14" t="s">
        <v>220</v>
      </c>
      <c r="B26" s="10" t="s">
        <v>1701</v>
      </c>
      <c r="C26" s="10" t="s">
        <v>1702</v>
      </c>
      <c r="D26" s="26">
        <v>16.86</v>
      </c>
      <c r="E26" s="26">
        <v>25.01</v>
      </c>
      <c r="F26" s="15" t="s">
        <v>1682</v>
      </c>
    </row>
    <row r="27" spans="1:6" ht="15" customHeight="1">
      <c r="A27" s="14" t="s">
        <v>178</v>
      </c>
      <c r="B27" s="10" t="s">
        <v>1703</v>
      </c>
      <c r="C27" s="10" t="s">
        <v>1702</v>
      </c>
      <c r="D27" s="26">
        <v>33.19</v>
      </c>
      <c r="E27" s="26">
        <v>61.81</v>
      </c>
      <c r="F27" s="15" t="s">
        <v>1680</v>
      </c>
    </row>
    <row r="28" spans="1:6" ht="15" customHeight="1">
      <c r="A28" s="14" t="s">
        <v>238</v>
      </c>
      <c r="B28" s="10" t="s">
        <v>1704</v>
      </c>
      <c r="C28" s="10" t="s">
        <v>1702</v>
      </c>
      <c r="D28" s="26">
        <v>46.51</v>
      </c>
      <c r="E28" s="26">
        <v>82.77</v>
      </c>
      <c r="F28" s="15" t="s">
        <v>1682</v>
      </c>
    </row>
    <row r="29" spans="1:6" ht="15" customHeight="1">
      <c r="A29" s="14" t="s">
        <v>150</v>
      </c>
      <c r="B29" s="10" t="s">
        <v>1705</v>
      </c>
      <c r="C29" s="10" t="s">
        <v>1702</v>
      </c>
      <c r="D29" s="26">
        <v>161.84</v>
      </c>
      <c r="E29" s="26">
        <v>263.04000000000002</v>
      </c>
      <c r="F29" s="15" t="s">
        <v>1680</v>
      </c>
    </row>
    <row r="30" spans="1:6" ht="15" customHeight="1">
      <c r="A30" s="14" t="s">
        <v>83</v>
      </c>
      <c r="B30" s="10" t="s">
        <v>1706</v>
      </c>
      <c r="C30" s="10" t="s">
        <v>1702</v>
      </c>
      <c r="D30" s="26">
        <v>61.65</v>
      </c>
      <c r="E30" s="26">
        <v>115.28</v>
      </c>
      <c r="F30" s="15" t="s">
        <v>1680</v>
      </c>
    </row>
    <row r="31" spans="1:6" ht="15" customHeight="1">
      <c r="A31" s="14" t="s">
        <v>251</v>
      </c>
      <c r="B31" s="10" t="s">
        <v>1707</v>
      </c>
      <c r="C31" s="10" t="s">
        <v>1702</v>
      </c>
      <c r="D31" s="26">
        <v>149.4</v>
      </c>
      <c r="E31" s="26">
        <v>228.91</v>
      </c>
      <c r="F31" s="15" t="s">
        <v>1680</v>
      </c>
    </row>
    <row r="32" spans="1:6" ht="15" customHeight="1">
      <c r="A32" s="14" t="s">
        <v>204</v>
      </c>
      <c r="B32" s="10" t="s">
        <v>1708</v>
      </c>
      <c r="C32" s="10" t="s">
        <v>1702</v>
      </c>
      <c r="D32" s="26">
        <v>150.96</v>
      </c>
      <c r="E32" s="26">
        <v>244.25</v>
      </c>
      <c r="F32" s="15" t="s">
        <v>1678</v>
      </c>
    </row>
    <row r="33" spans="1:6" ht="15" customHeight="1">
      <c r="A33" s="14" t="s">
        <v>279</v>
      </c>
      <c r="B33" s="10" t="s">
        <v>1709</v>
      </c>
      <c r="C33" s="10" t="s">
        <v>1702</v>
      </c>
      <c r="D33" s="26">
        <v>28.17</v>
      </c>
      <c r="E33" s="26">
        <v>52.79</v>
      </c>
      <c r="F33" s="15" t="s">
        <v>1680</v>
      </c>
    </row>
    <row r="34" spans="1:6" ht="15" customHeight="1">
      <c r="A34" s="14" t="s">
        <v>49</v>
      </c>
      <c r="B34" s="10" t="s">
        <v>1710</v>
      </c>
      <c r="C34" s="10" t="s">
        <v>1702</v>
      </c>
      <c r="D34" s="26">
        <v>158.46</v>
      </c>
      <c r="E34" s="26">
        <v>300.16000000000003</v>
      </c>
      <c r="F34" s="15" t="s">
        <v>1682</v>
      </c>
    </row>
    <row r="35" spans="1:6" ht="15" customHeight="1">
      <c r="A35" s="14" t="s">
        <v>69</v>
      </c>
      <c r="B35" s="10" t="s">
        <v>1711</v>
      </c>
      <c r="C35" s="10" t="s">
        <v>1702</v>
      </c>
      <c r="D35" s="26">
        <v>42.37</v>
      </c>
      <c r="E35" s="26">
        <v>75.75</v>
      </c>
      <c r="F35" s="15" t="s">
        <v>1680</v>
      </c>
    </row>
    <row r="36" spans="1:6" ht="15" customHeight="1">
      <c r="A36" s="14" t="s">
        <v>57</v>
      </c>
      <c r="B36" s="10" t="s">
        <v>1712</v>
      </c>
      <c r="C36" s="10" t="s">
        <v>1713</v>
      </c>
      <c r="D36" s="26">
        <v>139.04</v>
      </c>
      <c r="E36" s="26">
        <v>208.81</v>
      </c>
      <c r="F36" s="15" t="s">
        <v>1682</v>
      </c>
    </row>
    <row r="37" spans="1:6" ht="15" customHeight="1">
      <c r="A37" s="14" t="s">
        <v>270</v>
      </c>
      <c r="B37" s="10" t="s">
        <v>1714</v>
      </c>
      <c r="C37" s="10" t="s">
        <v>1713</v>
      </c>
      <c r="D37" s="26">
        <v>131.51</v>
      </c>
      <c r="E37" s="26">
        <v>214.38</v>
      </c>
      <c r="F37" s="15" t="s">
        <v>1680</v>
      </c>
    </row>
    <row r="38" spans="1:6" ht="15" customHeight="1">
      <c r="A38" s="14" t="s">
        <v>468</v>
      </c>
      <c r="B38" s="10" t="s">
        <v>1715</v>
      </c>
      <c r="C38" s="10" t="s">
        <v>1713</v>
      </c>
      <c r="D38" s="26">
        <v>101.58</v>
      </c>
      <c r="E38" s="26">
        <v>160</v>
      </c>
      <c r="F38" s="15" t="s">
        <v>1680</v>
      </c>
    </row>
    <row r="39" spans="1:6" ht="15" customHeight="1">
      <c r="A39" s="14" t="s">
        <v>136</v>
      </c>
      <c r="B39" s="10" t="s">
        <v>1716</v>
      </c>
      <c r="C39" s="10" t="s">
        <v>1713</v>
      </c>
      <c r="D39" s="26">
        <v>78.650000000000006</v>
      </c>
      <c r="E39" s="26">
        <v>141.46</v>
      </c>
      <c r="F39" s="15" t="s">
        <v>1682</v>
      </c>
    </row>
    <row r="40" spans="1:6" ht="15" customHeight="1">
      <c r="A40" s="14" t="s">
        <v>117</v>
      </c>
      <c r="B40" s="10" t="s">
        <v>1717</v>
      </c>
      <c r="C40" s="10" t="s">
        <v>1713</v>
      </c>
      <c r="D40" s="26">
        <v>151.59</v>
      </c>
      <c r="E40" s="26">
        <v>251.17</v>
      </c>
      <c r="F40" s="15" t="s">
        <v>1680</v>
      </c>
    </row>
    <row r="41" spans="1:6" ht="15" customHeight="1">
      <c r="A41" s="14" t="s">
        <v>72</v>
      </c>
      <c r="B41" s="10" t="s">
        <v>1718</v>
      </c>
      <c r="C41" s="10" t="s">
        <v>1713</v>
      </c>
      <c r="D41" s="26">
        <v>136.25</v>
      </c>
      <c r="E41" s="26">
        <v>210.2</v>
      </c>
      <c r="F41" s="15" t="s">
        <v>1680</v>
      </c>
    </row>
    <row r="42" spans="1:6" ht="15" customHeight="1">
      <c r="A42" s="14" t="s">
        <v>39</v>
      </c>
      <c r="B42" s="10" t="s">
        <v>1719</v>
      </c>
      <c r="C42" s="10" t="s">
        <v>1713</v>
      </c>
      <c r="D42" s="26">
        <v>142.84</v>
      </c>
      <c r="E42" s="26">
        <v>236.51</v>
      </c>
      <c r="F42" s="15" t="s">
        <v>1678</v>
      </c>
    </row>
    <row r="43" spans="1:6" ht="15" customHeight="1">
      <c r="A43" s="14" t="s">
        <v>276</v>
      </c>
      <c r="B43" s="10" t="s">
        <v>1720</v>
      </c>
      <c r="C43" s="10" t="s">
        <v>1713</v>
      </c>
      <c r="D43" s="26">
        <v>118.95</v>
      </c>
      <c r="E43" s="26">
        <v>182.94</v>
      </c>
      <c r="F43" s="15" t="s">
        <v>1682</v>
      </c>
    </row>
    <row r="44" spans="1:6" ht="15" customHeight="1">
      <c r="A44" s="14" t="s">
        <v>201</v>
      </c>
      <c r="B44" s="10" t="s">
        <v>1721</v>
      </c>
      <c r="C44" s="10" t="s">
        <v>1713</v>
      </c>
      <c r="D44" s="26">
        <v>102.57</v>
      </c>
      <c r="E44" s="26">
        <v>154.47</v>
      </c>
      <c r="F44" s="15" t="s">
        <v>1682</v>
      </c>
    </row>
    <row r="45" spans="1:6" ht="15" customHeight="1">
      <c r="A45" s="14" t="s">
        <v>108</v>
      </c>
      <c r="B45" s="10" t="s">
        <v>1722</v>
      </c>
      <c r="C45" s="10" t="s">
        <v>1713</v>
      </c>
      <c r="D45" s="26">
        <v>18.670000000000002</v>
      </c>
      <c r="E45" s="26">
        <v>33.369999999999997</v>
      </c>
      <c r="F45" s="15" t="s">
        <v>1680</v>
      </c>
    </row>
    <row r="46" spans="1:6" ht="15" customHeight="1">
      <c r="A46" s="14" t="s">
        <v>44</v>
      </c>
      <c r="B46" s="10" t="s">
        <v>1723</v>
      </c>
      <c r="C46" s="10" t="s">
        <v>1724</v>
      </c>
      <c r="D46" s="26">
        <v>127.65</v>
      </c>
      <c r="E46" s="26">
        <v>238.47</v>
      </c>
      <c r="F46" s="15" t="s">
        <v>1678</v>
      </c>
    </row>
    <row r="47" spans="1:6" ht="15" customHeight="1">
      <c r="A47" s="14" t="s">
        <v>147</v>
      </c>
      <c r="B47" s="10" t="s">
        <v>1725</v>
      </c>
      <c r="C47" s="10" t="s">
        <v>1724</v>
      </c>
      <c r="D47" s="26">
        <v>62.65</v>
      </c>
      <c r="E47" s="26">
        <v>102.78</v>
      </c>
      <c r="F47" s="15" t="s">
        <v>1678</v>
      </c>
    </row>
    <row r="48" spans="1:6" ht="15" customHeight="1">
      <c r="A48" s="14" t="s">
        <v>784</v>
      </c>
      <c r="B48" s="10" t="s">
        <v>1726</v>
      </c>
      <c r="C48" s="10" t="s">
        <v>1724</v>
      </c>
      <c r="D48" s="26">
        <v>57.85</v>
      </c>
      <c r="E48" s="26">
        <v>96.33</v>
      </c>
      <c r="F48" s="15" t="s">
        <v>1682</v>
      </c>
    </row>
    <row r="49" spans="1:6" ht="15" customHeight="1">
      <c r="A49" s="14" t="s">
        <v>93</v>
      </c>
      <c r="B49" s="10" t="s">
        <v>1727</v>
      </c>
      <c r="C49" s="10" t="s">
        <v>1724</v>
      </c>
      <c r="D49" s="26">
        <v>133.05000000000001</v>
      </c>
      <c r="E49" s="26">
        <v>208.89</v>
      </c>
      <c r="F49" s="15" t="s">
        <v>1682</v>
      </c>
    </row>
    <row r="50" spans="1:6" ht="15" customHeight="1">
      <c r="A50" s="14" t="s">
        <v>303</v>
      </c>
      <c r="B50" s="10" t="s">
        <v>1728</v>
      </c>
      <c r="C50" s="10" t="s">
        <v>1724</v>
      </c>
      <c r="D50" s="26">
        <v>37.99</v>
      </c>
      <c r="E50" s="26">
        <v>72.81</v>
      </c>
      <c r="F50" s="15" t="s">
        <v>1678</v>
      </c>
    </row>
    <row r="51" spans="1:6" ht="15" customHeight="1">
      <c r="A51" s="14" t="s">
        <v>316</v>
      </c>
      <c r="B51" s="10" t="s">
        <v>1729</v>
      </c>
      <c r="C51" s="10" t="s">
        <v>1724</v>
      </c>
      <c r="D51" s="26">
        <v>107.55</v>
      </c>
      <c r="E51" s="26">
        <v>180.37</v>
      </c>
      <c r="F51" s="15" t="s">
        <v>1680</v>
      </c>
    </row>
    <row r="52" spans="1:6" ht="15" customHeight="1">
      <c r="A52" s="14" t="s">
        <v>171</v>
      </c>
      <c r="B52" s="10" t="s">
        <v>1730</v>
      </c>
      <c r="C52" s="10" t="s">
        <v>1724</v>
      </c>
      <c r="D52" s="26">
        <v>130.9</v>
      </c>
      <c r="E52" s="26">
        <v>228.81</v>
      </c>
      <c r="F52" s="15" t="s">
        <v>1680</v>
      </c>
    </row>
    <row r="53" spans="1:6" ht="15" customHeight="1">
      <c r="A53" s="14" t="s">
        <v>121</v>
      </c>
      <c r="B53" s="10" t="s">
        <v>1731</v>
      </c>
      <c r="C53" s="10" t="s">
        <v>1724</v>
      </c>
      <c r="D53" s="26">
        <v>148.21</v>
      </c>
      <c r="E53" s="26">
        <v>287.16000000000003</v>
      </c>
      <c r="F53" s="15" t="s">
        <v>1680</v>
      </c>
    </row>
    <row r="54" spans="1:6" ht="15" customHeight="1">
      <c r="A54" s="14" t="s">
        <v>241</v>
      </c>
      <c r="B54" s="10" t="s">
        <v>1732</v>
      </c>
      <c r="C54" s="10" t="s">
        <v>1724</v>
      </c>
      <c r="D54" s="26">
        <v>158.86000000000001</v>
      </c>
      <c r="E54" s="26">
        <v>300.56</v>
      </c>
      <c r="F54" s="15" t="s">
        <v>1678</v>
      </c>
    </row>
    <row r="55" spans="1:6" ht="15" customHeight="1">
      <c r="A55" s="16" t="s">
        <v>77</v>
      </c>
      <c r="B55" s="17" t="s">
        <v>1733</v>
      </c>
      <c r="C55" s="17" t="s">
        <v>1724</v>
      </c>
      <c r="D55" s="27">
        <v>19.670000000000002</v>
      </c>
      <c r="E55" s="27">
        <v>34.909999999999997</v>
      </c>
      <c r="F55" s="18" t="s">
        <v>1680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F2F8"/>
  </sheetPr>
  <dimension ref="A1:K185"/>
  <sheetViews>
    <sheetView showGridLines="0" workbookViewId="0">
      <pane ySplit="5" topLeftCell="A162" activePane="bottomLeft" state="frozen"/>
      <selection pane="bottomLeft" activeCell="A5" sqref="A5:A185"/>
    </sheetView>
  </sheetViews>
  <sheetFormatPr baseColWidth="10" defaultColWidth="8.796875" defaultRowHeight="13.8"/>
  <cols>
    <col min="1" max="1" width="26" customWidth="1"/>
    <col min="2" max="2" width="14.3984375" customWidth="1"/>
    <col min="3" max="3" width="13.19921875" customWidth="1"/>
    <col min="4" max="4" width="11.19921875" customWidth="1"/>
    <col min="5" max="5" width="16.69921875" customWidth="1"/>
    <col min="6" max="6" width="15.19921875" customWidth="1"/>
  </cols>
  <sheetData>
    <row r="1" spans="1:11" ht="18" customHeight="1">
      <c r="A1" s="6" t="s">
        <v>1734</v>
      </c>
    </row>
    <row r="2" spans="1:11" ht="15" customHeight="1">
      <c r="A2" s="7" t="s">
        <v>1735</v>
      </c>
    </row>
    <row r="3" spans="1:11" ht="1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</row>
    <row r="5" spans="1:11" ht="15" customHeight="1">
      <c r="A5" s="9" t="s">
        <v>1736</v>
      </c>
      <c r="B5" s="9" t="s">
        <v>1737</v>
      </c>
      <c r="C5" s="9" t="s">
        <v>1738</v>
      </c>
      <c r="D5" s="9" t="s">
        <v>1739</v>
      </c>
      <c r="E5" s="9" t="s">
        <v>1740</v>
      </c>
      <c r="F5" s="9" t="s">
        <v>1741</v>
      </c>
    </row>
    <row r="6" spans="1:11" ht="15" customHeight="1">
      <c r="A6" s="11" t="s">
        <v>61</v>
      </c>
      <c r="B6" s="12" t="s">
        <v>1742</v>
      </c>
      <c r="C6" s="12" t="s">
        <v>1743</v>
      </c>
      <c r="D6" s="12" t="s">
        <v>1744</v>
      </c>
      <c r="E6" s="12" t="s">
        <v>1745</v>
      </c>
      <c r="F6" s="13" t="s">
        <v>1746</v>
      </c>
    </row>
    <row r="7" spans="1:11" ht="15" customHeight="1">
      <c r="A7" s="14" t="s">
        <v>733</v>
      </c>
      <c r="B7" s="10" t="s">
        <v>1747</v>
      </c>
      <c r="C7" s="10" t="s">
        <v>1748</v>
      </c>
      <c r="D7" s="10" t="s">
        <v>1749</v>
      </c>
      <c r="E7" s="10" t="s">
        <v>1750</v>
      </c>
      <c r="F7" s="15" t="s">
        <v>1751</v>
      </c>
    </row>
    <row r="8" spans="1:11" ht="15" customHeight="1">
      <c r="A8" s="14" t="s">
        <v>425</v>
      </c>
      <c r="B8" s="10" t="s">
        <v>1752</v>
      </c>
      <c r="C8" s="10" t="s">
        <v>1753</v>
      </c>
      <c r="D8" s="10" t="s">
        <v>1744</v>
      </c>
      <c r="E8" s="10" t="s">
        <v>1745</v>
      </c>
      <c r="F8" s="15" t="s">
        <v>1754</v>
      </c>
    </row>
    <row r="9" spans="1:11" ht="15" customHeight="1">
      <c r="A9" s="14" t="s">
        <v>839</v>
      </c>
      <c r="B9" s="10" t="s">
        <v>1755</v>
      </c>
      <c r="C9" s="10" t="s">
        <v>1756</v>
      </c>
      <c r="D9" s="10" t="s">
        <v>1757</v>
      </c>
      <c r="E9" s="10" t="s">
        <v>1745</v>
      </c>
      <c r="F9" s="42" t="s">
        <v>1754</v>
      </c>
    </row>
    <row r="10" spans="1:11" ht="15" customHeight="1">
      <c r="A10" s="14" t="s">
        <v>1247</v>
      </c>
      <c r="B10" s="10" t="s">
        <v>1758</v>
      </c>
      <c r="C10" s="10" t="s">
        <v>1759</v>
      </c>
      <c r="D10" s="10" t="s">
        <v>1760</v>
      </c>
      <c r="E10" s="10" t="s">
        <v>1750</v>
      </c>
      <c r="F10" s="15" t="s">
        <v>1751</v>
      </c>
    </row>
    <row r="11" spans="1:11" ht="15" customHeight="1">
      <c r="A11" s="14" t="s">
        <v>813</v>
      </c>
      <c r="B11" s="10" t="s">
        <v>1761</v>
      </c>
      <c r="C11" s="10" t="s">
        <v>1743</v>
      </c>
      <c r="D11" s="10" t="s">
        <v>1744</v>
      </c>
      <c r="E11" s="10" t="s">
        <v>1745</v>
      </c>
      <c r="F11" s="15" t="s">
        <v>1754</v>
      </c>
    </row>
    <row r="12" spans="1:11" ht="15" customHeight="1">
      <c r="A12" s="43" t="s">
        <v>724</v>
      </c>
      <c r="B12" s="10" t="s">
        <v>1762</v>
      </c>
      <c r="C12" s="10" t="s">
        <v>1759</v>
      </c>
      <c r="D12" s="10" t="s">
        <v>1760</v>
      </c>
      <c r="E12" s="10" t="s">
        <v>1763</v>
      </c>
      <c r="F12" s="15" t="s">
        <v>1746</v>
      </c>
    </row>
    <row r="13" spans="1:11" ht="15" customHeight="1">
      <c r="A13" s="14" t="s">
        <v>485</v>
      </c>
      <c r="B13" s="10" t="s">
        <v>1764</v>
      </c>
      <c r="C13" s="10" t="s">
        <v>1765</v>
      </c>
      <c r="D13" s="10" t="s">
        <v>1766</v>
      </c>
      <c r="E13" s="10" t="s">
        <v>1745</v>
      </c>
      <c r="F13" s="15" t="s">
        <v>1746</v>
      </c>
    </row>
    <row r="14" spans="1:11" ht="15" customHeight="1">
      <c r="A14" s="14" t="s">
        <v>548</v>
      </c>
      <c r="B14" s="10" t="s">
        <v>1767</v>
      </c>
      <c r="C14" s="10" t="s">
        <v>1768</v>
      </c>
      <c r="D14" s="10" t="s">
        <v>1769</v>
      </c>
      <c r="E14" s="10" t="s">
        <v>1750</v>
      </c>
      <c r="F14" s="15" t="s">
        <v>1751</v>
      </c>
    </row>
    <row r="15" spans="1:11" ht="15" customHeight="1">
      <c r="A15" s="14" t="s">
        <v>895</v>
      </c>
      <c r="B15" s="10" t="s">
        <v>1770</v>
      </c>
      <c r="C15" s="10" t="s">
        <v>1771</v>
      </c>
      <c r="D15" s="10" t="s">
        <v>1749</v>
      </c>
      <c r="E15" s="10" t="s">
        <v>1763</v>
      </c>
      <c r="F15" s="15" t="s">
        <v>1751</v>
      </c>
    </row>
    <row r="16" spans="1:11" ht="15" customHeight="1">
      <c r="A16" s="14" t="s">
        <v>652</v>
      </c>
      <c r="B16" s="10" t="s">
        <v>1772</v>
      </c>
      <c r="C16" s="10" t="s">
        <v>1748</v>
      </c>
      <c r="D16" s="10" t="s">
        <v>1749</v>
      </c>
      <c r="E16" s="10" t="s">
        <v>1745</v>
      </c>
      <c r="F16" s="15" t="s">
        <v>1751</v>
      </c>
    </row>
    <row r="17" spans="1:6" ht="15" customHeight="1">
      <c r="A17" s="14" t="s">
        <v>572</v>
      </c>
      <c r="B17" s="10" t="s">
        <v>1773</v>
      </c>
      <c r="C17" s="10" t="s">
        <v>1771</v>
      </c>
      <c r="D17" s="10" t="s">
        <v>1749</v>
      </c>
      <c r="E17" s="10" t="s">
        <v>1750</v>
      </c>
      <c r="F17" s="15" t="s">
        <v>1754</v>
      </c>
    </row>
    <row r="18" spans="1:6" ht="15" customHeight="1">
      <c r="A18" s="14" t="s">
        <v>1774</v>
      </c>
      <c r="B18" s="10" t="s">
        <v>1775</v>
      </c>
      <c r="C18" s="10" t="s">
        <v>1776</v>
      </c>
      <c r="D18" s="10" t="s">
        <v>1777</v>
      </c>
      <c r="E18" s="10" t="s">
        <v>1750</v>
      </c>
      <c r="F18" s="15" t="s">
        <v>1751</v>
      </c>
    </row>
    <row r="19" spans="1:6" ht="15" customHeight="1">
      <c r="A19" s="14" t="s">
        <v>748</v>
      </c>
      <c r="B19" s="10" t="s">
        <v>1762</v>
      </c>
      <c r="C19" s="10" t="s">
        <v>1753</v>
      </c>
      <c r="D19" s="10" t="s">
        <v>1744</v>
      </c>
      <c r="E19" s="10" t="s">
        <v>1750</v>
      </c>
      <c r="F19" s="15" t="s">
        <v>1754</v>
      </c>
    </row>
    <row r="20" spans="1:6" ht="15" customHeight="1">
      <c r="A20" s="14" t="s">
        <v>461</v>
      </c>
      <c r="B20" s="10" t="s">
        <v>1778</v>
      </c>
      <c r="C20" s="10" t="s">
        <v>1756</v>
      </c>
      <c r="D20" s="10" t="s">
        <v>1757</v>
      </c>
      <c r="E20" s="10" t="s">
        <v>1763</v>
      </c>
      <c r="F20" s="15" t="s">
        <v>1751</v>
      </c>
    </row>
    <row r="21" spans="1:6" ht="15" customHeight="1">
      <c r="A21" s="14" t="s">
        <v>859</v>
      </c>
      <c r="B21" s="10" t="s">
        <v>1779</v>
      </c>
      <c r="C21" s="10" t="s">
        <v>1759</v>
      </c>
      <c r="D21" s="10" t="s">
        <v>1760</v>
      </c>
      <c r="E21" s="10" t="s">
        <v>1745</v>
      </c>
      <c r="F21" s="15" t="s">
        <v>1746</v>
      </c>
    </row>
    <row r="22" spans="1:6" ht="15" customHeight="1">
      <c r="A22" s="14" t="s">
        <v>503</v>
      </c>
      <c r="B22" s="10" t="s">
        <v>1764</v>
      </c>
      <c r="C22" s="10" t="s">
        <v>1771</v>
      </c>
      <c r="D22" s="10" t="s">
        <v>1749</v>
      </c>
      <c r="E22" s="10" t="s">
        <v>1750</v>
      </c>
      <c r="F22" s="15" t="s">
        <v>1746</v>
      </c>
    </row>
    <row r="23" spans="1:6" ht="15" customHeight="1">
      <c r="A23" s="14" t="s">
        <v>1653</v>
      </c>
      <c r="B23" s="10" t="s">
        <v>1780</v>
      </c>
      <c r="C23" s="10" t="s">
        <v>1781</v>
      </c>
      <c r="D23" s="10" t="s">
        <v>1777</v>
      </c>
      <c r="E23" s="10" t="s">
        <v>1763</v>
      </c>
      <c r="F23" s="15" t="s">
        <v>1746</v>
      </c>
    </row>
    <row r="24" spans="1:6" ht="15" customHeight="1">
      <c r="A24" s="14" t="s">
        <v>1405</v>
      </c>
      <c r="B24" s="10" t="s">
        <v>1782</v>
      </c>
      <c r="C24" s="10" t="s">
        <v>1765</v>
      </c>
      <c r="D24" s="10" t="s">
        <v>1766</v>
      </c>
      <c r="E24" s="10" t="s">
        <v>1750</v>
      </c>
      <c r="F24" s="15" t="s">
        <v>1754</v>
      </c>
    </row>
    <row r="25" spans="1:6" ht="15" customHeight="1">
      <c r="A25" s="14" t="s">
        <v>1322</v>
      </c>
      <c r="B25" s="10" t="s">
        <v>1783</v>
      </c>
      <c r="C25" s="10" t="s">
        <v>1771</v>
      </c>
      <c r="D25" s="10" t="s">
        <v>1749</v>
      </c>
      <c r="E25" s="10" t="s">
        <v>1763</v>
      </c>
      <c r="F25" s="15" t="s">
        <v>1746</v>
      </c>
    </row>
    <row r="26" spans="1:6" ht="15" customHeight="1">
      <c r="A26" s="14" t="s">
        <v>1784</v>
      </c>
      <c r="B26" s="10" t="s">
        <v>1785</v>
      </c>
      <c r="C26" s="10" t="s">
        <v>1756</v>
      </c>
      <c r="D26" s="10" t="s">
        <v>1757</v>
      </c>
      <c r="E26" s="10" t="s">
        <v>1750</v>
      </c>
      <c r="F26" s="15" t="s">
        <v>1754</v>
      </c>
    </row>
    <row r="27" spans="1:6" ht="15" customHeight="1">
      <c r="A27" s="14" t="s">
        <v>115</v>
      </c>
      <c r="B27" s="10" t="s">
        <v>1786</v>
      </c>
      <c r="C27" s="10" t="s">
        <v>1776</v>
      </c>
      <c r="D27" s="10" t="s">
        <v>1777</v>
      </c>
      <c r="E27" s="10" t="s">
        <v>1763</v>
      </c>
      <c r="F27" s="15" t="s">
        <v>1751</v>
      </c>
    </row>
    <row r="28" spans="1:6" ht="15" customHeight="1">
      <c r="A28" s="14" t="s">
        <v>1787</v>
      </c>
      <c r="B28" s="10" t="s">
        <v>1788</v>
      </c>
      <c r="C28" s="10" t="s">
        <v>1748</v>
      </c>
      <c r="D28" s="10" t="s">
        <v>1749</v>
      </c>
      <c r="E28" s="10" t="s">
        <v>1750</v>
      </c>
      <c r="F28" s="15" t="s">
        <v>1746</v>
      </c>
    </row>
    <row r="29" spans="1:6" ht="15" customHeight="1">
      <c r="A29" s="14" t="s">
        <v>139</v>
      </c>
      <c r="B29" s="10" t="s">
        <v>1789</v>
      </c>
      <c r="C29" s="10" t="s">
        <v>1753</v>
      </c>
      <c r="D29" s="10" t="s">
        <v>1744</v>
      </c>
      <c r="E29" s="10" t="s">
        <v>1745</v>
      </c>
      <c r="F29" s="15" t="s">
        <v>1746</v>
      </c>
    </row>
    <row r="30" spans="1:6" ht="15" customHeight="1">
      <c r="A30" s="14" t="s">
        <v>1563</v>
      </c>
      <c r="B30" s="10" t="s">
        <v>1767</v>
      </c>
      <c r="C30" s="10" t="s">
        <v>1743</v>
      </c>
      <c r="D30" s="10" t="s">
        <v>1744</v>
      </c>
      <c r="E30" s="10" t="s">
        <v>1763</v>
      </c>
      <c r="F30" s="15" t="s">
        <v>1754</v>
      </c>
    </row>
    <row r="31" spans="1:6" ht="15" customHeight="1">
      <c r="A31" s="14" t="s">
        <v>954</v>
      </c>
      <c r="B31" s="10" t="s">
        <v>1790</v>
      </c>
      <c r="C31" s="10" t="s">
        <v>1753</v>
      </c>
      <c r="D31" s="10" t="s">
        <v>1744</v>
      </c>
      <c r="E31" s="10" t="s">
        <v>1745</v>
      </c>
      <c r="F31" s="15" t="s">
        <v>1746</v>
      </c>
    </row>
    <row r="32" spans="1:6" ht="15" customHeight="1">
      <c r="A32" s="14" t="s">
        <v>1791</v>
      </c>
      <c r="B32" s="10" t="s">
        <v>1792</v>
      </c>
      <c r="C32" s="10" t="s">
        <v>1781</v>
      </c>
      <c r="D32" s="10" t="s">
        <v>1777</v>
      </c>
      <c r="E32" s="10" t="s">
        <v>1750</v>
      </c>
      <c r="F32" s="15" t="s">
        <v>1746</v>
      </c>
    </row>
    <row r="33" spans="1:6" ht="15" customHeight="1">
      <c r="A33" s="14" t="s">
        <v>335</v>
      </c>
      <c r="B33" s="10" t="s">
        <v>1762</v>
      </c>
      <c r="C33" s="10" t="s">
        <v>1793</v>
      </c>
      <c r="D33" s="10" t="s">
        <v>1760</v>
      </c>
      <c r="E33" s="10" t="s">
        <v>1750</v>
      </c>
      <c r="F33" s="15" t="s">
        <v>1754</v>
      </c>
    </row>
    <row r="34" spans="1:6" ht="15" customHeight="1">
      <c r="A34" s="14" t="s">
        <v>437</v>
      </c>
      <c r="B34" s="10" t="s">
        <v>1794</v>
      </c>
      <c r="C34" s="10" t="s">
        <v>1743</v>
      </c>
      <c r="D34" s="10" t="s">
        <v>1744</v>
      </c>
      <c r="E34" s="10" t="s">
        <v>1763</v>
      </c>
      <c r="F34" s="15" t="s">
        <v>1746</v>
      </c>
    </row>
    <row r="35" spans="1:6" ht="15" customHeight="1">
      <c r="A35" s="14" t="s">
        <v>738</v>
      </c>
      <c r="B35" s="10" t="s">
        <v>1795</v>
      </c>
      <c r="C35" s="10" t="s">
        <v>1753</v>
      </c>
      <c r="D35" s="10" t="s">
        <v>1744</v>
      </c>
      <c r="E35" s="10" t="s">
        <v>1763</v>
      </c>
      <c r="F35" s="15" t="s">
        <v>1754</v>
      </c>
    </row>
    <row r="36" spans="1:6" ht="15" customHeight="1">
      <c r="A36" s="14" t="s">
        <v>168</v>
      </c>
      <c r="B36" s="10" t="s">
        <v>1796</v>
      </c>
      <c r="C36" s="10" t="s">
        <v>1743</v>
      </c>
      <c r="D36" s="10" t="s">
        <v>1744</v>
      </c>
      <c r="E36" s="10" t="s">
        <v>1745</v>
      </c>
      <c r="F36" s="15" t="s">
        <v>1746</v>
      </c>
    </row>
    <row r="37" spans="1:6" ht="15" customHeight="1">
      <c r="A37" s="14" t="s">
        <v>382</v>
      </c>
      <c r="B37" s="10" t="s">
        <v>1792</v>
      </c>
      <c r="C37" s="10" t="s">
        <v>1768</v>
      </c>
      <c r="D37" s="10" t="s">
        <v>1769</v>
      </c>
      <c r="E37" s="10" t="s">
        <v>1750</v>
      </c>
      <c r="F37" s="15" t="s">
        <v>1754</v>
      </c>
    </row>
    <row r="38" spans="1:6" ht="15" customHeight="1">
      <c r="A38" s="14" t="s">
        <v>1279</v>
      </c>
      <c r="B38" s="10" t="s">
        <v>1797</v>
      </c>
      <c r="C38" s="10" t="s">
        <v>1776</v>
      </c>
      <c r="D38" s="10" t="s">
        <v>1777</v>
      </c>
      <c r="E38" s="10" t="s">
        <v>1745</v>
      </c>
      <c r="F38" s="15" t="s">
        <v>1751</v>
      </c>
    </row>
    <row r="39" spans="1:6" ht="15" customHeight="1">
      <c r="A39" s="14" t="s">
        <v>159</v>
      </c>
      <c r="B39" s="10" t="s">
        <v>1798</v>
      </c>
      <c r="C39" s="10" t="s">
        <v>1756</v>
      </c>
      <c r="D39" s="10" t="s">
        <v>1757</v>
      </c>
      <c r="E39" s="10" t="s">
        <v>1763</v>
      </c>
      <c r="F39" s="15" t="s">
        <v>1754</v>
      </c>
    </row>
    <row r="40" spans="1:6" ht="15" customHeight="1">
      <c r="A40" s="14" t="s">
        <v>398</v>
      </c>
      <c r="B40" s="10" t="s">
        <v>1799</v>
      </c>
      <c r="C40" s="10" t="s">
        <v>1793</v>
      </c>
      <c r="D40" s="10" t="s">
        <v>1760</v>
      </c>
      <c r="E40" s="10" t="s">
        <v>1763</v>
      </c>
      <c r="F40" s="15" t="s">
        <v>1754</v>
      </c>
    </row>
    <row r="41" spans="1:6" ht="15" customHeight="1">
      <c r="A41" s="14" t="s">
        <v>1438</v>
      </c>
      <c r="B41" s="10" t="s">
        <v>1800</v>
      </c>
      <c r="C41" s="10" t="s">
        <v>1793</v>
      </c>
      <c r="D41" s="10" t="s">
        <v>1760</v>
      </c>
      <c r="E41" s="10" t="s">
        <v>1750</v>
      </c>
      <c r="F41" s="15" t="s">
        <v>1754</v>
      </c>
    </row>
    <row r="42" spans="1:6" ht="15" customHeight="1">
      <c r="A42" s="14" t="s">
        <v>249</v>
      </c>
      <c r="B42" s="10" t="s">
        <v>1801</v>
      </c>
      <c r="C42" s="10" t="s">
        <v>1765</v>
      </c>
      <c r="D42" s="10" t="s">
        <v>1766</v>
      </c>
      <c r="E42" s="10" t="s">
        <v>1745</v>
      </c>
      <c r="F42" s="15" t="s">
        <v>1746</v>
      </c>
    </row>
    <row r="43" spans="1:6" ht="15" customHeight="1">
      <c r="A43" s="14" t="s">
        <v>568</v>
      </c>
      <c r="B43" s="10" t="s">
        <v>1773</v>
      </c>
      <c r="C43" s="10" t="s">
        <v>1771</v>
      </c>
      <c r="D43" s="10" t="s">
        <v>1749</v>
      </c>
      <c r="E43" s="10" t="s">
        <v>1750</v>
      </c>
      <c r="F43" s="15" t="s">
        <v>1746</v>
      </c>
    </row>
    <row r="44" spans="1:6" ht="15" customHeight="1">
      <c r="A44" s="14" t="s">
        <v>849</v>
      </c>
      <c r="B44" s="10" t="s">
        <v>1802</v>
      </c>
      <c r="C44" s="10" t="s">
        <v>1765</v>
      </c>
      <c r="D44" s="10" t="s">
        <v>1766</v>
      </c>
      <c r="E44" s="10" t="s">
        <v>1763</v>
      </c>
      <c r="F44" s="15" t="s">
        <v>1751</v>
      </c>
    </row>
    <row r="45" spans="1:6" ht="15" customHeight="1">
      <c r="A45" s="14" t="s">
        <v>1114</v>
      </c>
      <c r="B45" s="10" t="s">
        <v>1803</v>
      </c>
      <c r="C45" s="10" t="s">
        <v>1756</v>
      </c>
      <c r="D45" s="10" t="s">
        <v>1757</v>
      </c>
      <c r="E45" s="10" t="s">
        <v>1745</v>
      </c>
      <c r="F45" s="15" t="s">
        <v>1754</v>
      </c>
    </row>
    <row r="46" spans="1:6" ht="15" customHeight="1">
      <c r="A46" s="14" t="s">
        <v>992</v>
      </c>
      <c r="B46" s="10" t="s">
        <v>1782</v>
      </c>
      <c r="C46" s="10" t="s">
        <v>1768</v>
      </c>
      <c r="D46" s="10" t="s">
        <v>1769</v>
      </c>
      <c r="E46" s="10" t="s">
        <v>1763</v>
      </c>
      <c r="F46" s="15" t="s">
        <v>1754</v>
      </c>
    </row>
    <row r="47" spans="1:6" ht="15" customHeight="1">
      <c r="A47" s="14" t="s">
        <v>104</v>
      </c>
      <c r="B47" s="10" t="s">
        <v>1800</v>
      </c>
      <c r="C47" s="10" t="s">
        <v>1781</v>
      </c>
      <c r="D47" s="10" t="s">
        <v>1777</v>
      </c>
      <c r="E47" s="10" t="s">
        <v>1745</v>
      </c>
      <c r="F47" s="15" t="s">
        <v>1754</v>
      </c>
    </row>
    <row r="48" spans="1:6" ht="15" customHeight="1">
      <c r="A48" s="14" t="s">
        <v>1804</v>
      </c>
      <c r="B48" s="10" t="s">
        <v>1805</v>
      </c>
      <c r="C48" s="10" t="s">
        <v>1768</v>
      </c>
      <c r="D48" s="10" t="s">
        <v>1769</v>
      </c>
      <c r="E48" s="10" t="s">
        <v>1745</v>
      </c>
      <c r="F48" s="15" t="s">
        <v>1754</v>
      </c>
    </row>
    <row r="49" spans="1:6" ht="15" customHeight="1">
      <c r="A49" s="14" t="s">
        <v>75</v>
      </c>
      <c r="B49" s="10" t="s">
        <v>1806</v>
      </c>
      <c r="C49" s="10" t="s">
        <v>1743</v>
      </c>
      <c r="D49" s="10" t="s">
        <v>1744</v>
      </c>
      <c r="E49" s="10" t="s">
        <v>1750</v>
      </c>
      <c r="F49" s="15" t="s">
        <v>1751</v>
      </c>
    </row>
    <row r="50" spans="1:6" ht="15" customHeight="1">
      <c r="A50" s="14" t="s">
        <v>540</v>
      </c>
      <c r="B50" s="10" t="s">
        <v>1807</v>
      </c>
      <c r="C50" s="10" t="s">
        <v>1759</v>
      </c>
      <c r="D50" s="10" t="s">
        <v>1760</v>
      </c>
      <c r="E50" s="10" t="s">
        <v>1750</v>
      </c>
      <c r="F50" s="15" t="s">
        <v>1746</v>
      </c>
    </row>
    <row r="51" spans="1:6" ht="15" customHeight="1">
      <c r="A51" s="14" t="s">
        <v>910</v>
      </c>
      <c r="B51" s="10" t="s">
        <v>1786</v>
      </c>
      <c r="C51" s="10" t="s">
        <v>1748</v>
      </c>
      <c r="D51" s="10" t="s">
        <v>1749</v>
      </c>
      <c r="E51" s="10" t="s">
        <v>1763</v>
      </c>
      <c r="F51" s="15" t="s">
        <v>1754</v>
      </c>
    </row>
    <row r="52" spans="1:6" ht="15" customHeight="1">
      <c r="A52" s="14" t="s">
        <v>260</v>
      </c>
      <c r="B52" s="10" t="s">
        <v>1789</v>
      </c>
      <c r="C52" s="10" t="s">
        <v>1771</v>
      </c>
      <c r="D52" s="10" t="s">
        <v>1749</v>
      </c>
      <c r="E52" s="10" t="s">
        <v>1763</v>
      </c>
      <c r="F52" s="15" t="s">
        <v>1751</v>
      </c>
    </row>
    <row r="53" spans="1:6" ht="15" customHeight="1">
      <c r="A53" s="14" t="s">
        <v>125</v>
      </c>
      <c r="B53" s="10" t="s">
        <v>1808</v>
      </c>
      <c r="C53" s="10" t="s">
        <v>1776</v>
      </c>
      <c r="D53" s="10" t="s">
        <v>1777</v>
      </c>
      <c r="E53" s="10" t="s">
        <v>1745</v>
      </c>
      <c r="F53" s="15" t="s">
        <v>1754</v>
      </c>
    </row>
    <row r="54" spans="1:6" ht="15" customHeight="1">
      <c r="A54" s="14" t="s">
        <v>1054</v>
      </c>
      <c r="B54" s="10" t="s">
        <v>1809</v>
      </c>
      <c r="C54" s="10" t="s">
        <v>1743</v>
      </c>
      <c r="D54" s="10" t="s">
        <v>1744</v>
      </c>
      <c r="E54" s="10" t="s">
        <v>1745</v>
      </c>
      <c r="F54" s="15" t="s">
        <v>1751</v>
      </c>
    </row>
    <row r="55" spans="1:6" ht="15" customHeight="1">
      <c r="A55" s="14" t="s">
        <v>86</v>
      </c>
      <c r="B55" s="10" t="s">
        <v>1801</v>
      </c>
      <c r="C55" s="10" t="s">
        <v>1768</v>
      </c>
      <c r="D55" s="10" t="s">
        <v>1769</v>
      </c>
      <c r="E55" s="10" t="s">
        <v>1750</v>
      </c>
      <c r="F55" s="15" t="s">
        <v>1751</v>
      </c>
    </row>
    <row r="56" spans="1:6" ht="15" customHeight="1">
      <c r="A56" s="14" t="s">
        <v>378</v>
      </c>
      <c r="B56" s="10" t="s">
        <v>1810</v>
      </c>
      <c r="C56" s="10" t="s">
        <v>1753</v>
      </c>
      <c r="D56" s="10" t="s">
        <v>1744</v>
      </c>
      <c r="E56" s="10" t="s">
        <v>1763</v>
      </c>
      <c r="F56" s="15" t="s">
        <v>1754</v>
      </c>
    </row>
    <row r="57" spans="1:6" ht="15" customHeight="1">
      <c r="A57" s="14" t="s">
        <v>1811</v>
      </c>
      <c r="B57" s="10" t="s">
        <v>1812</v>
      </c>
      <c r="C57" s="10" t="s">
        <v>1768</v>
      </c>
      <c r="D57" s="10" t="s">
        <v>1769</v>
      </c>
      <c r="E57" s="10" t="s">
        <v>1763</v>
      </c>
      <c r="F57" s="15" t="s">
        <v>1751</v>
      </c>
    </row>
    <row r="58" spans="1:6" ht="15" customHeight="1">
      <c r="A58" s="14" t="s">
        <v>1605</v>
      </c>
      <c r="B58" s="10" t="s">
        <v>1792</v>
      </c>
      <c r="C58" s="10" t="s">
        <v>1756</v>
      </c>
      <c r="D58" s="10" t="s">
        <v>1757</v>
      </c>
      <c r="E58" s="10" t="s">
        <v>1763</v>
      </c>
      <c r="F58" s="15" t="s">
        <v>1754</v>
      </c>
    </row>
    <row r="59" spans="1:6" ht="15" customHeight="1">
      <c r="A59" s="14" t="s">
        <v>268</v>
      </c>
      <c r="B59" s="10" t="s">
        <v>1813</v>
      </c>
      <c r="C59" s="10" t="s">
        <v>1781</v>
      </c>
      <c r="D59" s="10" t="s">
        <v>1777</v>
      </c>
      <c r="E59" s="10" t="s">
        <v>1763</v>
      </c>
      <c r="F59" s="15" t="s">
        <v>1754</v>
      </c>
    </row>
    <row r="60" spans="1:6" ht="15" customHeight="1">
      <c r="A60" s="14" t="s">
        <v>557</v>
      </c>
      <c r="B60" s="10" t="s">
        <v>1814</v>
      </c>
      <c r="C60" s="10" t="s">
        <v>1759</v>
      </c>
      <c r="D60" s="10" t="s">
        <v>1760</v>
      </c>
      <c r="E60" s="10" t="s">
        <v>1763</v>
      </c>
      <c r="F60" s="15" t="s">
        <v>1754</v>
      </c>
    </row>
    <row r="61" spans="1:6" ht="15" customHeight="1">
      <c r="A61" s="14" t="s">
        <v>199</v>
      </c>
      <c r="B61" s="10" t="s">
        <v>1815</v>
      </c>
      <c r="C61" s="10" t="s">
        <v>1776</v>
      </c>
      <c r="D61" s="10" t="s">
        <v>1777</v>
      </c>
      <c r="E61" s="10" t="s">
        <v>1745</v>
      </c>
      <c r="F61" s="15" t="s">
        <v>1751</v>
      </c>
    </row>
    <row r="62" spans="1:6" ht="15" customHeight="1">
      <c r="A62" s="14" t="s">
        <v>947</v>
      </c>
      <c r="B62" s="10" t="s">
        <v>1758</v>
      </c>
      <c r="C62" s="10" t="s">
        <v>1781</v>
      </c>
      <c r="D62" s="10" t="s">
        <v>1777</v>
      </c>
      <c r="E62" s="10" t="s">
        <v>1750</v>
      </c>
      <c r="F62" s="15" t="s">
        <v>1754</v>
      </c>
    </row>
    <row r="63" spans="1:6" ht="15" customHeight="1">
      <c r="A63" s="14" t="s">
        <v>1816</v>
      </c>
      <c r="B63" s="10" t="s">
        <v>1764</v>
      </c>
      <c r="C63" s="10" t="s">
        <v>1771</v>
      </c>
      <c r="D63" s="10" t="s">
        <v>1749</v>
      </c>
      <c r="E63" s="10" t="s">
        <v>1750</v>
      </c>
      <c r="F63" s="15" t="s">
        <v>1746</v>
      </c>
    </row>
    <row r="64" spans="1:6" ht="15" customHeight="1">
      <c r="A64" s="14" t="s">
        <v>155</v>
      </c>
      <c r="B64" s="10" t="s">
        <v>1779</v>
      </c>
      <c r="C64" s="10" t="s">
        <v>1776</v>
      </c>
      <c r="D64" s="10" t="s">
        <v>1777</v>
      </c>
      <c r="E64" s="10" t="s">
        <v>1763</v>
      </c>
      <c r="F64" s="15" t="s">
        <v>1746</v>
      </c>
    </row>
    <row r="65" spans="1:6" ht="15" customHeight="1">
      <c r="A65" s="14" t="s">
        <v>1505</v>
      </c>
      <c r="B65" s="10" t="s">
        <v>1817</v>
      </c>
      <c r="C65" s="10" t="s">
        <v>1753</v>
      </c>
      <c r="D65" s="10" t="s">
        <v>1744</v>
      </c>
      <c r="E65" s="10" t="s">
        <v>1750</v>
      </c>
      <c r="F65" s="15" t="s">
        <v>1751</v>
      </c>
    </row>
    <row r="66" spans="1:6" ht="15" customHeight="1">
      <c r="A66" s="14" t="s">
        <v>1544</v>
      </c>
      <c r="B66" s="10" t="s">
        <v>1818</v>
      </c>
      <c r="C66" s="10" t="s">
        <v>1753</v>
      </c>
      <c r="D66" s="10" t="s">
        <v>1744</v>
      </c>
      <c r="E66" s="10" t="s">
        <v>1750</v>
      </c>
      <c r="F66" s="15" t="s">
        <v>1746</v>
      </c>
    </row>
    <row r="67" spans="1:6" ht="15" customHeight="1">
      <c r="A67" s="14" t="s">
        <v>134</v>
      </c>
      <c r="B67" s="10" t="s">
        <v>1810</v>
      </c>
      <c r="C67" s="10" t="s">
        <v>1753</v>
      </c>
      <c r="D67" s="10" t="s">
        <v>1744</v>
      </c>
      <c r="E67" s="10" t="s">
        <v>1763</v>
      </c>
      <c r="F67" s="15" t="s">
        <v>1751</v>
      </c>
    </row>
    <row r="68" spans="1:6" ht="15" customHeight="1">
      <c r="A68" s="14" t="s">
        <v>805</v>
      </c>
      <c r="B68" s="10" t="s">
        <v>1783</v>
      </c>
      <c r="C68" s="10" t="s">
        <v>1781</v>
      </c>
      <c r="D68" s="10" t="s">
        <v>1777</v>
      </c>
      <c r="E68" s="10" t="s">
        <v>1763</v>
      </c>
      <c r="F68" s="15" t="s">
        <v>1751</v>
      </c>
    </row>
    <row r="69" spans="1:6" ht="15" customHeight="1">
      <c r="A69" s="14" t="s">
        <v>1513</v>
      </c>
      <c r="B69" s="10" t="s">
        <v>1819</v>
      </c>
      <c r="C69" s="10" t="s">
        <v>1781</v>
      </c>
      <c r="D69" s="10" t="s">
        <v>1777</v>
      </c>
      <c r="E69" s="10" t="s">
        <v>1745</v>
      </c>
      <c r="F69" s="15" t="s">
        <v>1754</v>
      </c>
    </row>
    <row r="70" spans="1:6" ht="15" customHeight="1">
      <c r="A70" s="14" t="s">
        <v>1820</v>
      </c>
      <c r="B70" s="10" t="s">
        <v>1792</v>
      </c>
      <c r="C70" s="10" t="s">
        <v>1771</v>
      </c>
      <c r="D70" s="10" t="s">
        <v>1749</v>
      </c>
      <c r="E70" s="10" t="s">
        <v>1763</v>
      </c>
      <c r="F70" s="15" t="s">
        <v>1751</v>
      </c>
    </row>
    <row r="71" spans="1:6" ht="15" customHeight="1">
      <c r="A71" s="14" t="s">
        <v>55</v>
      </c>
      <c r="B71" s="10" t="s">
        <v>1764</v>
      </c>
      <c r="C71" s="10" t="s">
        <v>1743</v>
      </c>
      <c r="D71" s="10" t="s">
        <v>1744</v>
      </c>
      <c r="E71" s="10" t="s">
        <v>1763</v>
      </c>
      <c r="F71" s="15" t="s">
        <v>1746</v>
      </c>
    </row>
    <row r="72" spans="1:6" ht="15" customHeight="1">
      <c r="A72" s="14" t="s">
        <v>1821</v>
      </c>
      <c r="B72" s="10" t="s">
        <v>1822</v>
      </c>
      <c r="C72" s="10" t="s">
        <v>1743</v>
      </c>
      <c r="D72" s="10" t="s">
        <v>1744</v>
      </c>
      <c r="E72" s="10" t="s">
        <v>1745</v>
      </c>
      <c r="F72" s="15" t="s">
        <v>1751</v>
      </c>
    </row>
    <row r="73" spans="1:6" ht="15" customHeight="1">
      <c r="A73" s="14" t="s">
        <v>37</v>
      </c>
      <c r="B73" s="10" t="s">
        <v>1747</v>
      </c>
      <c r="C73" s="10" t="s">
        <v>1771</v>
      </c>
      <c r="D73" s="10" t="s">
        <v>1749</v>
      </c>
      <c r="E73" s="10" t="s">
        <v>1763</v>
      </c>
      <c r="F73" s="15" t="s">
        <v>1751</v>
      </c>
    </row>
    <row r="74" spans="1:6" ht="15" customHeight="1">
      <c r="A74" s="14" t="s">
        <v>1823</v>
      </c>
      <c r="B74" s="10" t="s">
        <v>1824</v>
      </c>
      <c r="C74" s="10" t="s">
        <v>1793</v>
      </c>
      <c r="D74" s="10" t="s">
        <v>1760</v>
      </c>
      <c r="E74" s="10" t="s">
        <v>1750</v>
      </c>
      <c r="F74" s="15" t="s">
        <v>1746</v>
      </c>
    </row>
    <row r="75" spans="1:6" ht="15" customHeight="1">
      <c r="A75" s="14" t="s">
        <v>394</v>
      </c>
      <c r="B75" s="10" t="s">
        <v>1825</v>
      </c>
      <c r="C75" s="10" t="s">
        <v>1793</v>
      </c>
      <c r="D75" s="10" t="s">
        <v>1760</v>
      </c>
      <c r="E75" s="10" t="s">
        <v>1745</v>
      </c>
      <c r="F75" s="15" t="s">
        <v>1746</v>
      </c>
    </row>
    <row r="76" spans="1:6" ht="15" customHeight="1">
      <c r="A76" s="14" t="s">
        <v>1181</v>
      </c>
      <c r="B76" s="10" t="s">
        <v>1752</v>
      </c>
      <c r="C76" s="10" t="s">
        <v>1781</v>
      </c>
      <c r="D76" s="10" t="s">
        <v>1777</v>
      </c>
      <c r="E76" s="10" t="s">
        <v>1745</v>
      </c>
      <c r="F76" s="15" t="s">
        <v>1751</v>
      </c>
    </row>
    <row r="77" spans="1:6" ht="15" customHeight="1">
      <c r="A77" s="14" t="s">
        <v>1014</v>
      </c>
      <c r="B77" s="10" t="s">
        <v>1786</v>
      </c>
      <c r="C77" s="10" t="s">
        <v>1743</v>
      </c>
      <c r="D77" s="10" t="s">
        <v>1744</v>
      </c>
      <c r="E77" s="10" t="s">
        <v>1750</v>
      </c>
      <c r="F77" s="15" t="s">
        <v>1754</v>
      </c>
    </row>
    <row r="78" spans="1:6" ht="15" customHeight="1">
      <c r="A78" s="14" t="s">
        <v>680</v>
      </c>
      <c r="B78" s="10" t="s">
        <v>1826</v>
      </c>
      <c r="C78" s="10" t="s">
        <v>1793</v>
      </c>
      <c r="D78" s="10" t="s">
        <v>1760</v>
      </c>
      <c r="E78" s="10" t="s">
        <v>1750</v>
      </c>
      <c r="F78" s="15" t="s">
        <v>1746</v>
      </c>
    </row>
    <row r="79" spans="1:6" ht="15" customHeight="1">
      <c r="A79" s="14" t="s">
        <v>91</v>
      </c>
      <c r="B79" s="10" t="s">
        <v>1827</v>
      </c>
      <c r="C79" s="10" t="s">
        <v>1776</v>
      </c>
      <c r="D79" s="10" t="s">
        <v>1777</v>
      </c>
      <c r="E79" s="10" t="s">
        <v>1745</v>
      </c>
      <c r="F79" s="15" t="s">
        <v>1746</v>
      </c>
    </row>
    <row r="80" spans="1:6" ht="15" customHeight="1">
      <c r="A80" s="14" t="s">
        <v>443</v>
      </c>
      <c r="B80" s="10" t="s">
        <v>1822</v>
      </c>
      <c r="C80" s="10" t="s">
        <v>1765</v>
      </c>
      <c r="D80" s="10" t="s">
        <v>1766</v>
      </c>
      <c r="E80" s="10" t="s">
        <v>1750</v>
      </c>
      <c r="F80" s="15" t="s">
        <v>1746</v>
      </c>
    </row>
    <row r="81" spans="1:6" ht="15" customHeight="1">
      <c r="A81" s="14" t="s">
        <v>676</v>
      </c>
      <c r="B81" s="10" t="s">
        <v>1828</v>
      </c>
      <c r="C81" s="10" t="s">
        <v>1771</v>
      </c>
      <c r="D81" s="10" t="s">
        <v>1749</v>
      </c>
      <c r="E81" s="10" t="s">
        <v>1750</v>
      </c>
      <c r="F81" s="15" t="s">
        <v>1751</v>
      </c>
    </row>
    <row r="82" spans="1:6" ht="15" customHeight="1">
      <c r="A82" s="14" t="s">
        <v>421</v>
      </c>
      <c r="B82" s="10" t="s">
        <v>1795</v>
      </c>
      <c r="C82" s="10" t="s">
        <v>1776</v>
      </c>
      <c r="D82" s="10" t="s">
        <v>1777</v>
      </c>
      <c r="E82" s="10" t="s">
        <v>1763</v>
      </c>
      <c r="F82" s="15" t="s">
        <v>1754</v>
      </c>
    </row>
    <row r="83" spans="1:6" ht="15" customHeight="1">
      <c r="A83" s="14" t="s">
        <v>351</v>
      </c>
      <c r="B83" s="10" t="s">
        <v>1829</v>
      </c>
      <c r="C83" s="10" t="s">
        <v>1753</v>
      </c>
      <c r="D83" s="10" t="s">
        <v>1744</v>
      </c>
      <c r="E83" s="10" t="s">
        <v>1750</v>
      </c>
      <c r="F83" s="15" t="s">
        <v>1751</v>
      </c>
    </row>
    <row r="84" spans="1:6" ht="15" customHeight="1">
      <c r="A84" s="14" t="s">
        <v>187</v>
      </c>
      <c r="B84" s="10" t="s">
        <v>1762</v>
      </c>
      <c r="C84" s="10" t="s">
        <v>1743</v>
      </c>
      <c r="D84" s="10" t="s">
        <v>1744</v>
      </c>
      <c r="E84" s="10" t="s">
        <v>1745</v>
      </c>
      <c r="F84" s="15" t="s">
        <v>1751</v>
      </c>
    </row>
    <row r="85" spans="1:6" ht="15" customHeight="1">
      <c r="A85" s="14" t="s">
        <v>314</v>
      </c>
      <c r="B85" s="10" t="s">
        <v>1801</v>
      </c>
      <c r="C85" s="10" t="s">
        <v>1765</v>
      </c>
      <c r="D85" s="10" t="s">
        <v>1766</v>
      </c>
      <c r="E85" s="10" t="s">
        <v>1745</v>
      </c>
      <c r="F85" s="15" t="s">
        <v>1746</v>
      </c>
    </row>
    <row r="86" spans="1:6" ht="15" customHeight="1">
      <c r="A86" s="14" t="s">
        <v>582</v>
      </c>
      <c r="B86" s="10" t="s">
        <v>1830</v>
      </c>
      <c r="C86" s="10" t="s">
        <v>1759</v>
      </c>
      <c r="D86" s="10" t="s">
        <v>1760</v>
      </c>
      <c r="E86" s="10" t="s">
        <v>1763</v>
      </c>
      <c r="F86" s="15" t="s">
        <v>1751</v>
      </c>
    </row>
    <row r="87" spans="1:6" ht="15" customHeight="1">
      <c r="A87" s="14" t="s">
        <v>389</v>
      </c>
      <c r="B87" s="10" t="s">
        <v>1831</v>
      </c>
      <c r="C87" s="10" t="s">
        <v>1753</v>
      </c>
      <c r="D87" s="10" t="s">
        <v>1744</v>
      </c>
      <c r="E87" s="10" t="s">
        <v>1745</v>
      </c>
      <c r="F87" s="15" t="s">
        <v>1746</v>
      </c>
    </row>
    <row r="88" spans="1:6" ht="15" customHeight="1">
      <c r="A88" s="14" t="s">
        <v>347</v>
      </c>
      <c r="B88" s="10" t="s">
        <v>1815</v>
      </c>
      <c r="C88" s="10" t="s">
        <v>1748</v>
      </c>
      <c r="D88" s="10" t="s">
        <v>1749</v>
      </c>
      <c r="E88" s="10" t="s">
        <v>1745</v>
      </c>
      <c r="F88" s="15" t="s">
        <v>1751</v>
      </c>
    </row>
    <row r="89" spans="1:6" ht="15" customHeight="1">
      <c r="A89" s="14" t="s">
        <v>512</v>
      </c>
      <c r="B89" s="10" t="s">
        <v>1808</v>
      </c>
      <c r="C89" s="10" t="s">
        <v>1753</v>
      </c>
      <c r="D89" s="10" t="s">
        <v>1744</v>
      </c>
      <c r="E89" s="10" t="s">
        <v>1745</v>
      </c>
      <c r="F89" s="15" t="s">
        <v>1746</v>
      </c>
    </row>
    <row r="90" spans="1:6" ht="15" customHeight="1">
      <c r="A90" s="14" t="s">
        <v>218</v>
      </c>
      <c r="B90" s="10" t="s">
        <v>1832</v>
      </c>
      <c r="C90" s="10" t="s">
        <v>1753</v>
      </c>
      <c r="D90" s="10" t="s">
        <v>1744</v>
      </c>
      <c r="E90" s="10" t="s">
        <v>1763</v>
      </c>
      <c r="F90" s="15" t="s">
        <v>1754</v>
      </c>
    </row>
    <row r="91" spans="1:6" ht="15" customHeight="1">
      <c r="A91" s="14" t="s">
        <v>672</v>
      </c>
      <c r="B91" s="10" t="s">
        <v>1833</v>
      </c>
      <c r="C91" s="10" t="s">
        <v>1743</v>
      </c>
      <c r="D91" s="10" t="s">
        <v>1744</v>
      </c>
      <c r="E91" s="10" t="s">
        <v>1745</v>
      </c>
      <c r="F91" s="15" t="s">
        <v>1746</v>
      </c>
    </row>
    <row r="92" spans="1:6" ht="15" customHeight="1">
      <c r="A92" s="14" t="s">
        <v>755</v>
      </c>
      <c r="B92" s="10" t="s">
        <v>1834</v>
      </c>
      <c r="C92" s="10" t="s">
        <v>1753</v>
      </c>
      <c r="D92" s="10" t="s">
        <v>1744</v>
      </c>
      <c r="E92" s="10" t="s">
        <v>1750</v>
      </c>
      <c r="F92" s="15" t="s">
        <v>1754</v>
      </c>
    </row>
    <row r="93" spans="1:6" ht="15" customHeight="1">
      <c r="A93" s="14" t="s">
        <v>307</v>
      </c>
      <c r="B93" s="10" t="s">
        <v>1835</v>
      </c>
      <c r="C93" s="10" t="s">
        <v>1771</v>
      </c>
      <c r="D93" s="10" t="s">
        <v>1749</v>
      </c>
      <c r="E93" s="10" t="s">
        <v>1763</v>
      </c>
      <c r="F93" s="15" t="s">
        <v>1754</v>
      </c>
    </row>
    <row r="94" spans="1:6" ht="15" customHeight="1">
      <c r="A94" s="14" t="s">
        <v>233</v>
      </c>
      <c r="B94" s="10" t="s">
        <v>1764</v>
      </c>
      <c r="C94" s="10" t="s">
        <v>1765</v>
      </c>
      <c r="D94" s="10" t="s">
        <v>1766</v>
      </c>
      <c r="E94" s="10" t="s">
        <v>1745</v>
      </c>
      <c r="F94" s="15" t="s">
        <v>1746</v>
      </c>
    </row>
    <row r="95" spans="1:6" ht="15" customHeight="1">
      <c r="A95" s="14" t="s">
        <v>365</v>
      </c>
      <c r="B95" s="10" t="s">
        <v>1836</v>
      </c>
      <c r="C95" s="10" t="s">
        <v>1765</v>
      </c>
      <c r="D95" s="10" t="s">
        <v>1766</v>
      </c>
      <c r="E95" s="10" t="s">
        <v>1745</v>
      </c>
      <c r="F95" s="15" t="s">
        <v>1746</v>
      </c>
    </row>
    <row r="96" spans="1:6" ht="15" customHeight="1">
      <c r="A96" s="14" t="s">
        <v>340</v>
      </c>
      <c r="B96" s="10" t="s">
        <v>1837</v>
      </c>
      <c r="C96" s="10" t="s">
        <v>1743</v>
      </c>
      <c r="D96" s="10" t="s">
        <v>1744</v>
      </c>
      <c r="E96" s="10" t="s">
        <v>1745</v>
      </c>
      <c r="F96" s="15" t="s">
        <v>1746</v>
      </c>
    </row>
    <row r="97" spans="1:6" ht="15" customHeight="1">
      <c r="A97" s="14" t="s">
        <v>490</v>
      </c>
      <c r="B97" s="10" t="s">
        <v>1838</v>
      </c>
      <c r="C97" s="10" t="s">
        <v>1743</v>
      </c>
      <c r="D97" s="10" t="s">
        <v>1744</v>
      </c>
      <c r="E97" s="10" t="s">
        <v>1763</v>
      </c>
      <c r="F97" s="15" t="s">
        <v>1751</v>
      </c>
    </row>
    <row r="98" spans="1:6" ht="15" customHeight="1">
      <c r="A98" s="14" t="s">
        <v>1363</v>
      </c>
      <c r="B98" s="10" t="s">
        <v>1801</v>
      </c>
      <c r="C98" s="10" t="s">
        <v>1756</v>
      </c>
      <c r="D98" s="10" t="s">
        <v>1757</v>
      </c>
      <c r="E98" s="10" t="s">
        <v>1745</v>
      </c>
      <c r="F98" s="15" t="s">
        <v>1746</v>
      </c>
    </row>
    <row r="99" spans="1:6" ht="15" customHeight="1">
      <c r="A99" s="14" t="s">
        <v>1575</v>
      </c>
      <c r="B99" s="10" t="s">
        <v>1839</v>
      </c>
      <c r="C99" s="10" t="s">
        <v>1748</v>
      </c>
      <c r="D99" s="10" t="s">
        <v>1749</v>
      </c>
      <c r="E99" s="10" t="s">
        <v>1763</v>
      </c>
      <c r="F99" s="15" t="s">
        <v>1746</v>
      </c>
    </row>
    <row r="100" spans="1:6" ht="15" customHeight="1">
      <c r="A100" s="14" t="s">
        <v>475</v>
      </c>
      <c r="B100" s="10" t="s">
        <v>1840</v>
      </c>
      <c r="C100" s="10" t="s">
        <v>1748</v>
      </c>
      <c r="D100" s="10" t="s">
        <v>1749</v>
      </c>
      <c r="E100" s="10" t="s">
        <v>1763</v>
      </c>
      <c r="F100" s="15" t="s">
        <v>1751</v>
      </c>
    </row>
    <row r="101" spans="1:6" ht="15" customHeight="1">
      <c r="A101" s="14" t="s">
        <v>1093</v>
      </c>
      <c r="B101" s="10" t="s">
        <v>1762</v>
      </c>
      <c r="C101" s="10" t="s">
        <v>1776</v>
      </c>
      <c r="D101" s="10" t="s">
        <v>1777</v>
      </c>
      <c r="E101" s="10" t="s">
        <v>1750</v>
      </c>
      <c r="F101" s="15" t="s">
        <v>1746</v>
      </c>
    </row>
    <row r="102" spans="1:6" ht="15" customHeight="1">
      <c r="A102" s="14" t="s">
        <v>1841</v>
      </c>
      <c r="B102" s="10" t="s">
        <v>1837</v>
      </c>
      <c r="C102" s="10" t="s">
        <v>1759</v>
      </c>
      <c r="D102" s="10" t="s">
        <v>1760</v>
      </c>
      <c r="E102" s="10" t="s">
        <v>1745</v>
      </c>
      <c r="F102" s="15" t="s">
        <v>1751</v>
      </c>
    </row>
    <row r="103" spans="1:6" ht="15" customHeight="1">
      <c r="A103" s="14" t="s">
        <v>1490</v>
      </c>
      <c r="B103" s="10" t="s">
        <v>1767</v>
      </c>
      <c r="C103" s="10" t="s">
        <v>1765</v>
      </c>
      <c r="D103" s="10" t="s">
        <v>1766</v>
      </c>
      <c r="E103" s="10" t="s">
        <v>1745</v>
      </c>
      <c r="F103" s="15" t="s">
        <v>1746</v>
      </c>
    </row>
    <row r="104" spans="1:6" ht="15" customHeight="1">
      <c r="A104" s="14" t="s">
        <v>1842</v>
      </c>
      <c r="B104" s="10" t="s">
        <v>1758</v>
      </c>
      <c r="C104" s="10" t="s">
        <v>1765</v>
      </c>
      <c r="D104" s="10" t="s">
        <v>1766</v>
      </c>
      <c r="E104" s="10" t="s">
        <v>1750</v>
      </c>
      <c r="F104" s="15" t="s">
        <v>1751</v>
      </c>
    </row>
    <row r="105" spans="1:6" ht="15" customHeight="1">
      <c r="A105" s="14" t="s">
        <v>1843</v>
      </c>
      <c r="B105" s="10" t="s">
        <v>1832</v>
      </c>
      <c r="C105" s="10" t="s">
        <v>1776</v>
      </c>
      <c r="D105" s="10" t="s">
        <v>1777</v>
      </c>
      <c r="E105" s="10" t="s">
        <v>1763</v>
      </c>
      <c r="F105" s="15" t="s">
        <v>1751</v>
      </c>
    </row>
    <row r="106" spans="1:6" ht="15" customHeight="1">
      <c r="A106" s="14" t="s">
        <v>977</v>
      </c>
      <c r="B106" s="10" t="s">
        <v>1796</v>
      </c>
      <c r="C106" s="10" t="s">
        <v>1756</v>
      </c>
      <c r="D106" s="10" t="s">
        <v>1757</v>
      </c>
      <c r="E106" s="10" t="s">
        <v>1745</v>
      </c>
      <c r="F106" s="15" t="s">
        <v>1751</v>
      </c>
    </row>
    <row r="107" spans="1:6" ht="15" customHeight="1">
      <c r="A107" s="14" t="s">
        <v>697</v>
      </c>
      <c r="B107" s="10" t="s">
        <v>1796</v>
      </c>
      <c r="C107" s="10" t="s">
        <v>1748</v>
      </c>
      <c r="D107" s="10" t="s">
        <v>1749</v>
      </c>
      <c r="E107" s="10" t="s">
        <v>1745</v>
      </c>
      <c r="F107" s="15" t="s">
        <v>1751</v>
      </c>
    </row>
    <row r="108" spans="1:6" ht="15" customHeight="1">
      <c r="A108" s="14" t="s">
        <v>927</v>
      </c>
      <c r="B108" s="10" t="s">
        <v>1844</v>
      </c>
      <c r="C108" s="10" t="s">
        <v>1759</v>
      </c>
      <c r="D108" s="10" t="s">
        <v>1760</v>
      </c>
      <c r="E108" s="10" t="s">
        <v>1763</v>
      </c>
      <c r="F108" s="15" t="s">
        <v>1751</v>
      </c>
    </row>
    <row r="109" spans="1:6" ht="15" customHeight="1">
      <c r="A109" s="14" t="s">
        <v>163</v>
      </c>
      <c r="B109" s="10" t="s">
        <v>1845</v>
      </c>
      <c r="C109" s="10" t="s">
        <v>1776</v>
      </c>
      <c r="D109" s="10" t="s">
        <v>1777</v>
      </c>
      <c r="E109" s="10" t="s">
        <v>1745</v>
      </c>
      <c r="F109" s="15" t="s">
        <v>1746</v>
      </c>
    </row>
    <row r="110" spans="1:6" ht="15" customHeight="1">
      <c r="A110" s="14" t="s">
        <v>1846</v>
      </c>
      <c r="B110" s="10" t="s">
        <v>1808</v>
      </c>
      <c r="C110" s="10" t="s">
        <v>1771</v>
      </c>
      <c r="D110" s="10" t="s">
        <v>1749</v>
      </c>
      <c r="E110" s="10" t="s">
        <v>1745</v>
      </c>
      <c r="F110" s="15" t="s">
        <v>1746</v>
      </c>
    </row>
    <row r="111" spans="1:6" ht="15" customHeight="1">
      <c r="A111" s="14" t="s">
        <v>507</v>
      </c>
      <c r="B111" s="10" t="s">
        <v>1799</v>
      </c>
      <c r="C111" s="10" t="s">
        <v>1748</v>
      </c>
      <c r="D111" s="10" t="s">
        <v>1749</v>
      </c>
      <c r="E111" s="10" t="s">
        <v>1745</v>
      </c>
      <c r="F111" s="15" t="s">
        <v>1746</v>
      </c>
    </row>
    <row r="112" spans="1:6" ht="15" customHeight="1">
      <c r="A112" s="14" t="s">
        <v>1097</v>
      </c>
      <c r="B112" s="10" t="s">
        <v>1847</v>
      </c>
      <c r="C112" s="10" t="s">
        <v>1793</v>
      </c>
      <c r="D112" s="10" t="s">
        <v>1760</v>
      </c>
      <c r="E112" s="10" t="s">
        <v>1745</v>
      </c>
      <c r="F112" s="15" t="s">
        <v>1754</v>
      </c>
    </row>
    <row r="113" spans="1:6" ht="15" customHeight="1">
      <c r="A113" s="14" t="s">
        <v>536</v>
      </c>
      <c r="B113" s="10" t="s">
        <v>1779</v>
      </c>
      <c r="C113" s="10" t="s">
        <v>1771</v>
      </c>
      <c r="D113" s="10" t="s">
        <v>1749</v>
      </c>
      <c r="E113" s="10" t="s">
        <v>1763</v>
      </c>
      <c r="F113" s="15" t="s">
        <v>1751</v>
      </c>
    </row>
    <row r="114" spans="1:6" ht="15" customHeight="1">
      <c r="A114" s="14" t="s">
        <v>410</v>
      </c>
      <c r="B114" s="10" t="s">
        <v>1848</v>
      </c>
      <c r="C114" s="10" t="s">
        <v>1743</v>
      </c>
      <c r="D114" s="10" t="s">
        <v>1744</v>
      </c>
      <c r="E114" s="10" t="s">
        <v>1745</v>
      </c>
      <c r="F114" s="15" t="s">
        <v>1746</v>
      </c>
    </row>
    <row r="115" spans="1:6" ht="15" customHeight="1">
      <c r="A115" s="14" t="s">
        <v>667</v>
      </c>
      <c r="B115" s="10" t="s">
        <v>1849</v>
      </c>
      <c r="C115" s="10" t="s">
        <v>1753</v>
      </c>
      <c r="D115" s="10" t="s">
        <v>1744</v>
      </c>
      <c r="E115" s="10" t="s">
        <v>1745</v>
      </c>
      <c r="F115" s="15" t="s">
        <v>1754</v>
      </c>
    </row>
    <row r="116" spans="1:6" ht="15" customHeight="1">
      <c r="A116" s="14" t="s">
        <v>294</v>
      </c>
      <c r="B116" s="10" t="s">
        <v>1850</v>
      </c>
      <c r="C116" s="10" t="s">
        <v>1743</v>
      </c>
      <c r="D116" s="10" t="s">
        <v>1744</v>
      </c>
      <c r="E116" s="10" t="s">
        <v>1750</v>
      </c>
      <c r="F116" s="15" t="s">
        <v>1754</v>
      </c>
    </row>
    <row r="117" spans="1:6" ht="15" customHeight="1">
      <c r="A117" s="14" t="s">
        <v>1851</v>
      </c>
      <c r="B117" s="10" t="s">
        <v>1852</v>
      </c>
      <c r="C117" s="10" t="s">
        <v>1748</v>
      </c>
      <c r="D117" s="10" t="s">
        <v>1749</v>
      </c>
      <c r="E117" s="10" t="s">
        <v>1750</v>
      </c>
      <c r="F117" s="15" t="s">
        <v>1754</v>
      </c>
    </row>
    <row r="118" spans="1:6" ht="15" customHeight="1">
      <c r="A118" s="14" t="s">
        <v>499</v>
      </c>
      <c r="B118" s="10" t="s">
        <v>1853</v>
      </c>
      <c r="C118" s="10" t="s">
        <v>1743</v>
      </c>
      <c r="D118" s="10" t="s">
        <v>1744</v>
      </c>
      <c r="E118" s="10" t="s">
        <v>1763</v>
      </c>
      <c r="F118" s="15" t="s">
        <v>1754</v>
      </c>
    </row>
    <row r="119" spans="1:6" ht="15" customHeight="1">
      <c r="A119" s="14" t="s">
        <v>1485</v>
      </c>
      <c r="B119" s="10" t="s">
        <v>1854</v>
      </c>
      <c r="C119" s="10" t="s">
        <v>1781</v>
      </c>
      <c r="D119" s="10" t="s">
        <v>1777</v>
      </c>
      <c r="E119" s="10" t="s">
        <v>1750</v>
      </c>
      <c r="F119" s="15" t="s">
        <v>1754</v>
      </c>
    </row>
    <row r="120" spans="1:6" ht="15" customHeight="1">
      <c r="A120" s="14" t="s">
        <v>1855</v>
      </c>
      <c r="B120" s="10" t="s">
        <v>1822</v>
      </c>
      <c r="C120" s="10" t="s">
        <v>1776</v>
      </c>
      <c r="D120" s="10" t="s">
        <v>1777</v>
      </c>
      <c r="E120" s="10" t="s">
        <v>1750</v>
      </c>
      <c r="F120" s="15" t="s">
        <v>1754</v>
      </c>
    </row>
    <row r="121" spans="1:6" ht="15" customHeight="1">
      <c r="A121" s="14" t="s">
        <v>880</v>
      </c>
      <c r="B121" s="10" t="s">
        <v>1773</v>
      </c>
      <c r="C121" s="10" t="s">
        <v>1765</v>
      </c>
      <c r="D121" s="10" t="s">
        <v>1766</v>
      </c>
      <c r="E121" s="10" t="s">
        <v>1763</v>
      </c>
      <c r="F121" s="15" t="s">
        <v>1746</v>
      </c>
    </row>
    <row r="122" spans="1:6" ht="15" customHeight="1">
      <c r="A122" s="14" t="s">
        <v>1463</v>
      </c>
      <c r="B122" s="10" t="s">
        <v>1856</v>
      </c>
      <c r="C122" s="10" t="s">
        <v>1776</v>
      </c>
      <c r="D122" s="10" t="s">
        <v>1777</v>
      </c>
      <c r="E122" s="10" t="s">
        <v>1745</v>
      </c>
      <c r="F122" s="15" t="s">
        <v>1754</v>
      </c>
    </row>
    <row r="123" spans="1:6" ht="15" customHeight="1">
      <c r="A123" s="14" t="s">
        <v>1447</v>
      </c>
      <c r="B123" s="10" t="s">
        <v>1838</v>
      </c>
      <c r="C123" s="10" t="s">
        <v>1781</v>
      </c>
      <c r="D123" s="10" t="s">
        <v>1777</v>
      </c>
      <c r="E123" s="10" t="s">
        <v>1750</v>
      </c>
      <c r="F123" s="15" t="s">
        <v>1746</v>
      </c>
    </row>
    <row r="124" spans="1:6" ht="15" customHeight="1">
      <c r="A124" s="14" t="s">
        <v>371</v>
      </c>
      <c r="B124" s="10" t="s">
        <v>1805</v>
      </c>
      <c r="C124" s="10" t="s">
        <v>1793</v>
      </c>
      <c r="D124" s="10" t="s">
        <v>1760</v>
      </c>
      <c r="E124" s="10" t="s">
        <v>1763</v>
      </c>
      <c r="F124" s="15" t="s">
        <v>1754</v>
      </c>
    </row>
    <row r="125" spans="1:6" ht="15" customHeight="1">
      <c r="A125" s="14" t="s">
        <v>1344</v>
      </c>
      <c r="B125" s="10" t="s">
        <v>1796</v>
      </c>
      <c r="C125" s="10" t="s">
        <v>1765</v>
      </c>
      <c r="D125" s="10" t="s">
        <v>1766</v>
      </c>
      <c r="E125" s="10" t="s">
        <v>1763</v>
      </c>
      <c r="F125" s="15" t="s">
        <v>1746</v>
      </c>
    </row>
    <row r="126" spans="1:6" ht="15" customHeight="1">
      <c r="A126" s="14" t="s">
        <v>645</v>
      </c>
      <c r="B126" s="10" t="s">
        <v>1852</v>
      </c>
      <c r="C126" s="10" t="s">
        <v>1756</v>
      </c>
      <c r="D126" s="10" t="s">
        <v>1757</v>
      </c>
      <c r="E126" s="10" t="s">
        <v>1750</v>
      </c>
      <c r="F126" s="15" t="s">
        <v>1746</v>
      </c>
    </row>
    <row r="127" spans="1:6" ht="15" customHeight="1">
      <c r="A127" s="14" t="s">
        <v>1384</v>
      </c>
      <c r="B127" s="10" t="s">
        <v>1848</v>
      </c>
      <c r="C127" s="10" t="s">
        <v>1756</v>
      </c>
      <c r="D127" s="10" t="s">
        <v>1757</v>
      </c>
      <c r="E127" s="10" t="s">
        <v>1763</v>
      </c>
      <c r="F127" s="15" t="s">
        <v>1754</v>
      </c>
    </row>
    <row r="128" spans="1:6" ht="15" customHeight="1">
      <c r="A128" s="14" t="s">
        <v>760</v>
      </c>
      <c r="B128" s="10" t="s">
        <v>1755</v>
      </c>
      <c r="C128" s="10" t="s">
        <v>1748</v>
      </c>
      <c r="D128" s="10" t="s">
        <v>1749</v>
      </c>
      <c r="E128" s="10" t="s">
        <v>1763</v>
      </c>
      <c r="F128" s="15" t="s">
        <v>1751</v>
      </c>
    </row>
    <row r="129" spans="1:6" ht="15" customHeight="1">
      <c r="A129" s="14" t="s">
        <v>1857</v>
      </c>
      <c r="B129" s="10" t="s">
        <v>1802</v>
      </c>
      <c r="C129" s="10" t="s">
        <v>1781</v>
      </c>
      <c r="D129" s="10" t="s">
        <v>1777</v>
      </c>
      <c r="E129" s="10" t="s">
        <v>1763</v>
      </c>
      <c r="F129" s="15" t="s">
        <v>1746</v>
      </c>
    </row>
    <row r="130" spans="1:6" ht="15" customHeight="1">
      <c r="A130" s="14" t="s">
        <v>1858</v>
      </c>
      <c r="B130" s="10" t="s">
        <v>1859</v>
      </c>
      <c r="C130" s="10" t="s">
        <v>1793</v>
      </c>
      <c r="D130" s="10" t="s">
        <v>1760</v>
      </c>
      <c r="E130" s="10" t="s">
        <v>1750</v>
      </c>
      <c r="F130" s="15" t="s">
        <v>1754</v>
      </c>
    </row>
    <row r="131" spans="1:6" ht="15" customHeight="1">
      <c r="A131" s="14" t="s">
        <v>224</v>
      </c>
      <c r="B131" s="10" t="s">
        <v>1810</v>
      </c>
      <c r="C131" s="10" t="s">
        <v>1771</v>
      </c>
      <c r="D131" s="10" t="s">
        <v>1749</v>
      </c>
      <c r="E131" s="10" t="s">
        <v>1750</v>
      </c>
      <c r="F131" s="15" t="s">
        <v>1751</v>
      </c>
    </row>
    <row r="132" spans="1:6" ht="15" customHeight="1">
      <c r="A132" s="14" t="s">
        <v>1860</v>
      </c>
      <c r="B132" s="10" t="s">
        <v>1779</v>
      </c>
      <c r="C132" s="10" t="s">
        <v>1756</v>
      </c>
      <c r="D132" s="10" t="s">
        <v>1757</v>
      </c>
      <c r="E132" s="10" t="s">
        <v>1745</v>
      </c>
      <c r="F132" s="15" t="s">
        <v>1751</v>
      </c>
    </row>
    <row r="133" spans="1:6" ht="15" customHeight="1">
      <c r="A133" s="14" t="s">
        <v>207</v>
      </c>
      <c r="B133" s="10" t="s">
        <v>1861</v>
      </c>
      <c r="C133" s="10" t="s">
        <v>1748</v>
      </c>
      <c r="D133" s="10" t="s">
        <v>1749</v>
      </c>
      <c r="E133" s="10" t="s">
        <v>1750</v>
      </c>
      <c r="F133" s="15" t="s">
        <v>1754</v>
      </c>
    </row>
    <row r="134" spans="1:6" ht="15" customHeight="1">
      <c r="A134" s="14" t="s">
        <v>321</v>
      </c>
      <c r="B134" s="10" t="s">
        <v>1862</v>
      </c>
      <c r="C134" s="10" t="s">
        <v>1781</v>
      </c>
      <c r="D134" s="10" t="s">
        <v>1777</v>
      </c>
      <c r="E134" s="10" t="s">
        <v>1750</v>
      </c>
      <c r="F134" s="15" t="s">
        <v>1751</v>
      </c>
    </row>
    <row r="135" spans="1:6" ht="15" customHeight="1">
      <c r="A135" s="14" t="s">
        <v>1083</v>
      </c>
      <c r="B135" s="10" t="s">
        <v>1755</v>
      </c>
      <c r="C135" s="10" t="s">
        <v>1793</v>
      </c>
      <c r="D135" s="10" t="s">
        <v>1760</v>
      </c>
      <c r="E135" s="10" t="s">
        <v>1763</v>
      </c>
      <c r="F135" s="15" t="s">
        <v>1754</v>
      </c>
    </row>
    <row r="136" spans="1:6" ht="15" customHeight="1">
      <c r="A136" s="14" t="s">
        <v>1254</v>
      </c>
      <c r="B136" s="10" t="s">
        <v>1809</v>
      </c>
      <c r="C136" s="10" t="s">
        <v>1748</v>
      </c>
      <c r="D136" s="10" t="s">
        <v>1749</v>
      </c>
      <c r="E136" s="10" t="s">
        <v>1745</v>
      </c>
      <c r="F136" s="15" t="s">
        <v>1746</v>
      </c>
    </row>
    <row r="137" spans="1:6" ht="15" customHeight="1">
      <c r="A137" s="14" t="s">
        <v>1316</v>
      </c>
      <c r="B137" s="10" t="s">
        <v>1798</v>
      </c>
      <c r="C137" s="10" t="s">
        <v>1771</v>
      </c>
      <c r="D137" s="10" t="s">
        <v>1749</v>
      </c>
      <c r="E137" s="10" t="s">
        <v>1745</v>
      </c>
      <c r="F137" s="15" t="s">
        <v>1751</v>
      </c>
    </row>
    <row r="138" spans="1:6" ht="15" customHeight="1">
      <c r="A138" s="14" t="s">
        <v>935</v>
      </c>
      <c r="B138" s="10" t="s">
        <v>1836</v>
      </c>
      <c r="C138" s="10" t="s">
        <v>1781</v>
      </c>
      <c r="D138" s="10" t="s">
        <v>1777</v>
      </c>
      <c r="E138" s="10" t="s">
        <v>1763</v>
      </c>
      <c r="F138" s="15" t="s">
        <v>1754</v>
      </c>
    </row>
    <row r="139" spans="1:6" ht="15" customHeight="1">
      <c r="A139" s="14" t="s">
        <v>660</v>
      </c>
      <c r="B139" s="10" t="s">
        <v>1807</v>
      </c>
      <c r="C139" s="10" t="s">
        <v>1748</v>
      </c>
      <c r="D139" s="10" t="s">
        <v>1749</v>
      </c>
      <c r="E139" s="10" t="s">
        <v>1745</v>
      </c>
      <c r="F139" s="15" t="s">
        <v>1754</v>
      </c>
    </row>
    <row r="140" spans="1:6" ht="15" customHeight="1">
      <c r="A140" s="14" t="s">
        <v>414</v>
      </c>
      <c r="B140" s="10" t="s">
        <v>1863</v>
      </c>
      <c r="C140" s="10" t="s">
        <v>1743</v>
      </c>
      <c r="D140" s="10" t="s">
        <v>1744</v>
      </c>
      <c r="E140" s="10" t="s">
        <v>1750</v>
      </c>
      <c r="F140" s="15" t="s">
        <v>1746</v>
      </c>
    </row>
    <row r="141" spans="1:6" ht="15" customHeight="1">
      <c r="A141" s="14" t="s">
        <v>621</v>
      </c>
      <c r="B141" s="10" t="s">
        <v>1861</v>
      </c>
      <c r="C141" s="10" t="s">
        <v>1771</v>
      </c>
      <c r="D141" s="10" t="s">
        <v>1749</v>
      </c>
      <c r="E141" s="10" t="s">
        <v>1750</v>
      </c>
      <c r="F141" s="15" t="s">
        <v>1751</v>
      </c>
    </row>
    <row r="142" spans="1:6" ht="15" customHeight="1">
      <c r="A142" s="14" t="s">
        <v>144</v>
      </c>
      <c r="B142" s="10" t="s">
        <v>1786</v>
      </c>
      <c r="C142" s="10" t="s">
        <v>1776</v>
      </c>
      <c r="D142" s="10" t="s">
        <v>1777</v>
      </c>
      <c r="E142" s="10" t="s">
        <v>1763</v>
      </c>
      <c r="F142" s="15" t="s">
        <v>1746</v>
      </c>
    </row>
    <row r="143" spans="1:6" ht="15" customHeight="1">
      <c r="A143" s="14" t="s">
        <v>1864</v>
      </c>
      <c r="B143" s="10" t="s">
        <v>1828</v>
      </c>
      <c r="C143" s="10" t="s">
        <v>1756</v>
      </c>
      <c r="D143" s="10" t="s">
        <v>1757</v>
      </c>
      <c r="E143" s="10" t="s">
        <v>1745</v>
      </c>
      <c r="F143" s="15" t="s">
        <v>1746</v>
      </c>
    </row>
    <row r="144" spans="1:6" ht="15" customHeight="1">
      <c r="A144" s="14" t="s">
        <v>575</v>
      </c>
      <c r="B144" s="10" t="s">
        <v>1852</v>
      </c>
      <c r="C144" s="10" t="s">
        <v>1748</v>
      </c>
      <c r="D144" s="10" t="s">
        <v>1749</v>
      </c>
      <c r="E144" s="10" t="s">
        <v>1745</v>
      </c>
      <c r="F144" s="15" t="s">
        <v>1751</v>
      </c>
    </row>
    <row r="145" spans="1:6" ht="15" customHeight="1">
      <c r="A145" s="14" t="s">
        <v>183</v>
      </c>
      <c r="B145" s="10" t="s">
        <v>1812</v>
      </c>
      <c r="C145" s="10" t="s">
        <v>1771</v>
      </c>
      <c r="D145" s="10" t="s">
        <v>1749</v>
      </c>
      <c r="E145" s="10" t="s">
        <v>1763</v>
      </c>
      <c r="F145" s="15" t="s">
        <v>1751</v>
      </c>
    </row>
    <row r="146" spans="1:6" ht="15" customHeight="1">
      <c r="A146" s="14" t="s">
        <v>450</v>
      </c>
      <c r="B146" s="10" t="s">
        <v>1810</v>
      </c>
      <c r="C146" s="10" t="s">
        <v>1756</v>
      </c>
      <c r="D146" s="10" t="s">
        <v>1757</v>
      </c>
      <c r="E146" s="10" t="s">
        <v>1763</v>
      </c>
      <c r="F146" s="15" t="s">
        <v>1751</v>
      </c>
    </row>
    <row r="147" spans="1:6" ht="15" customHeight="1">
      <c r="A147" s="14" t="s">
        <v>193</v>
      </c>
      <c r="B147" s="10" t="s">
        <v>1865</v>
      </c>
      <c r="C147" s="10" t="s">
        <v>1781</v>
      </c>
      <c r="D147" s="10" t="s">
        <v>1777</v>
      </c>
      <c r="E147" s="10" t="s">
        <v>1763</v>
      </c>
      <c r="F147" s="15" t="s">
        <v>1746</v>
      </c>
    </row>
    <row r="148" spans="1:6" ht="15" customHeight="1">
      <c r="A148" s="14" t="s">
        <v>176</v>
      </c>
      <c r="B148" s="10" t="s">
        <v>1866</v>
      </c>
      <c r="C148" s="10" t="s">
        <v>1776</v>
      </c>
      <c r="D148" s="10" t="s">
        <v>1777</v>
      </c>
      <c r="E148" s="10" t="s">
        <v>1763</v>
      </c>
      <c r="F148" s="15" t="s">
        <v>1754</v>
      </c>
    </row>
    <row r="149" spans="1:6" ht="15" customHeight="1">
      <c r="A149" s="14" t="s">
        <v>328</v>
      </c>
      <c r="B149" s="10" t="s">
        <v>1752</v>
      </c>
      <c r="C149" s="10" t="s">
        <v>1768</v>
      </c>
      <c r="D149" s="10" t="s">
        <v>1769</v>
      </c>
      <c r="E149" s="10" t="s">
        <v>1750</v>
      </c>
      <c r="F149" s="15" t="s">
        <v>1746</v>
      </c>
    </row>
    <row r="150" spans="1:6" ht="15" customHeight="1">
      <c r="A150" s="14" t="s">
        <v>1867</v>
      </c>
      <c r="B150" s="10" t="s">
        <v>1775</v>
      </c>
      <c r="C150" s="10" t="s">
        <v>1793</v>
      </c>
      <c r="D150" s="10" t="s">
        <v>1760</v>
      </c>
      <c r="E150" s="10" t="s">
        <v>1763</v>
      </c>
      <c r="F150" s="15" t="s">
        <v>1746</v>
      </c>
    </row>
    <row r="151" spans="1:6" ht="15" customHeight="1">
      <c r="A151" s="14" t="s">
        <v>843</v>
      </c>
      <c r="B151" s="10" t="s">
        <v>1801</v>
      </c>
      <c r="C151" s="10" t="s">
        <v>1743</v>
      </c>
      <c r="D151" s="10" t="s">
        <v>1744</v>
      </c>
      <c r="E151" s="10" t="s">
        <v>1745</v>
      </c>
      <c r="F151" s="15" t="s">
        <v>1751</v>
      </c>
    </row>
    <row r="152" spans="1:6" ht="15" customHeight="1">
      <c r="A152" s="14" t="s">
        <v>1024</v>
      </c>
      <c r="B152" s="10" t="s">
        <v>1866</v>
      </c>
      <c r="C152" s="10" t="s">
        <v>1793</v>
      </c>
      <c r="D152" s="10" t="s">
        <v>1760</v>
      </c>
      <c r="E152" s="10" t="s">
        <v>1745</v>
      </c>
      <c r="F152" s="15" t="s">
        <v>1754</v>
      </c>
    </row>
    <row r="153" spans="1:6" ht="15" customHeight="1">
      <c r="A153" s="14" t="s">
        <v>1019</v>
      </c>
      <c r="B153" s="10" t="s">
        <v>1772</v>
      </c>
      <c r="C153" s="10" t="s">
        <v>1756</v>
      </c>
      <c r="D153" s="10" t="s">
        <v>1757</v>
      </c>
      <c r="E153" s="10" t="s">
        <v>1763</v>
      </c>
      <c r="F153" s="15" t="s">
        <v>1746</v>
      </c>
    </row>
    <row r="154" spans="1:6" ht="15" customHeight="1">
      <c r="A154" s="14" t="s">
        <v>256</v>
      </c>
      <c r="B154" s="10" t="s">
        <v>1868</v>
      </c>
      <c r="C154" s="10" t="s">
        <v>1765</v>
      </c>
      <c r="D154" s="10" t="s">
        <v>1766</v>
      </c>
      <c r="E154" s="10" t="s">
        <v>1763</v>
      </c>
      <c r="F154" s="15" t="s">
        <v>1751</v>
      </c>
    </row>
    <row r="155" spans="1:6" ht="15" customHeight="1">
      <c r="A155" s="14" t="s">
        <v>638</v>
      </c>
      <c r="B155" s="10" t="s">
        <v>1862</v>
      </c>
      <c r="C155" s="10" t="s">
        <v>1793</v>
      </c>
      <c r="D155" s="10" t="s">
        <v>1760</v>
      </c>
      <c r="E155" s="10" t="s">
        <v>1750</v>
      </c>
      <c r="F155" s="15" t="s">
        <v>1754</v>
      </c>
    </row>
    <row r="156" spans="1:6" ht="15" customHeight="1">
      <c r="A156" s="14" t="s">
        <v>1197</v>
      </c>
      <c r="B156" s="10" t="s">
        <v>1813</v>
      </c>
      <c r="C156" s="10" t="s">
        <v>1768</v>
      </c>
      <c r="D156" s="10" t="s">
        <v>1769</v>
      </c>
      <c r="E156" s="10" t="s">
        <v>1763</v>
      </c>
      <c r="F156" s="15" t="s">
        <v>1754</v>
      </c>
    </row>
    <row r="157" spans="1:6" ht="15" customHeight="1">
      <c r="A157" s="14" t="s">
        <v>300</v>
      </c>
      <c r="B157" s="10" t="s">
        <v>1869</v>
      </c>
      <c r="C157" s="10" t="s">
        <v>1756</v>
      </c>
      <c r="D157" s="10" t="s">
        <v>1757</v>
      </c>
      <c r="E157" s="10" t="s">
        <v>1745</v>
      </c>
      <c r="F157" s="15" t="s">
        <v>1751</v>
      </c>
    </row>
    <row r="158" spans="1:6" ht="15" customHeight="1">
      <c r="A158" s="14" t="s">
        <v>1870</v>
      </c>
      <c r="B158" s="10" t="s">
        <v>1871</v>
      </c>
      <c r="C158" s="10" t="s">
        <v>1748</v>
      </c>
      <c r="D158" s="10" t="s">
        <v>1749</v>
      </c>
      <c r="E158" s="10" t="s">
        <v>1750</v>
      </c>
      <c r="F158" s="15" t="s">
        <v>1746</v>
      </c>
    </row>
    <row r="159" spans="1:6" ht="15" customHeight="1">
      <c r="A159" s="14" t="s">
        <v>290</v>
      </c>
      <c r="B159" s="10" t="s">
        <v>1847</v>
      </c>
      <c r="C159" s="10" t="s">
        <v>1765</v>
      </c>
      <c r="D159" s="10" t="s">
        <v>1766</v>
      </c>
      <c r="E159" s="10" t="s">
        <v>1750</v>
      </c>
      <c r="F159" s="15" t="s">
        <v>1754</v>
      </c>
    </row>
    <row r="160" spans="1:6" ht="15" customHeight="1">
      <c r="A160" s="14" t="s">
        <v>593</v>
      </c>
      <c r="B160" s="10" t="s">
        <v>1812</v>
      </c>
      <c r="C160" s="10" t="s">
        <v>1756</v>
      </c>
      <c r="D160" s="10" t="s">
        <v>1757</v>
      </c>
      <c r="E160" s="10" t="s">
        <v>1763</v>
      </c>
      <c r="F160" s="15" t="s">
        <v>1746</v>
      </c>
    </row>
    <row r="161" spans="1:6" ht="15" customHeight="1">
      <c r="A161" s="14" t="s">
        <v>1537</v>
      </c>
      <c r="B161" s="10" t="s">
        <v>1872</v>
      </c>
      <c r="C161" s="10" t="s">
        <v>1759</v>
      </c>
      <c r="D161" s="10" t="s">
        <v>1760</v>
      </c>
      <c r="E161" s="10" t="s">
        <v>1763</v>
      </c>
      <c r="F161" s="15" t="s">
        <v>1754</v>
      </c>
    </row>
    <row r="162" spans="1:6" ht="15" customHeight="1">
      <c r="A162" s="14" t="s">
        <v>890</v>
      </c>
      <c r="B162" s="10" t="s">
        <v>1840</v>
      </c>
      <c r="C162" s="10" t="s">
        <v>1743</v>
      </c>
      <c r="D162" s="10" t="s">
        <v>1744</v>
      </c>
      <c r="E162" s="10" t="s">
        <v>1763</v>
      </c>
      <c r="F162" s="15" t="s">
        <v>1754</v>
      </c>
    </row>
    <row r="163" spans="1:6" ht="15" customHeight="1">
      <c r="A163" s="14" t="s">
        <v>1029</v>
      </c>
      <c r="B163" s="10" t="s">
        <v>1873</v>
      </c>
      <c r="C163" s="10" t="s">
        <v>1776</v>
      </c>
      <c r="D163" s="10" t="s">
        <v>1777</v>
      </c>
      <c r="E163" s="10" t="s">
        <v>1750</v>
      </c>
      <c r="F163" s="15" t="s">
        <v>1751</v>
      </c>
    </row>
    <row r="164" spans="1:6" ht="15" customHeight="1">
      <c r="A164" s="14" t="s">
        <v>358</v>
      </c>
      <c r="B164" s="10" t="s">
        <v>1845</v>
      </c>
      <c r="C164" s="10" t="s">
        <v>1748</v>
      </c>
      <c r="D164" s="10" t="s">
        <v>1749</v>
      </c>
      <c r="E164" s="10" t="s">
        <v>1763</v>
      </c>
      <c r="F164" s="15" t="s">
        <v>1751</v>
      </c>
    </row>
    <row r="165" spans="1:6" ht="15" customHeight="1">
      <c r="A165" s="14" t="s">
        <v>525</v>
      </c>
      <c r="B165" s="10" t="s">
        <v>1835</v>
      </c>
      <c r="C165" s="10" t="s">
        <v>1759</v>
      </c>
      <c r="D165" s="10" t="s">
        <v>1760</v>
      </c>
      <c r="E165" s="10" t="s">
        <v>1750</v>
      </c>
      <c r="F165" s="15" t="s">
        <v>1746</v>
      </c>
    </row>
    <row r="166" spans="1:6" ht="15" customHeight="1">
      <c r="A166" s="14" t="s">
        <v>1415</v>
      </c>
      <c r="B166" s="10" t="s">
        <v>1874</v>
      </c>
      <c r="C166" s="10" t="s">
        <v>1765</v>
      </c>
      <c r="D166" s="10" t="s">
        <v>1766</v>
      </c>
      <c r="E166" s="10" t="s">
        <v>1763</v>
      </c>
      <c r="F166" s="15" t="s">
        <v>1754</v>
      </c>
    </row>
    <row r="167" spans="1:6" ht="15" customHeight="1">
      <c r="A167" s="14" t="s">
        <v>517</v>
      </c>
      <c r="B167" s="10" t="s">
        <v>1817</v>
      </c>
      <c r="C167" s="10" t="s">
        <v>1793</v>
      </c>
      <c r="D167" s="10" t="s">
        <v>1760</v>
      </c>
      <c r="E167" s="10" t="s">
        <v>1745</v>
      </c>
      <c r="F167" s="15" t="s">
        <v>1754</v>
      </c>
    </row>
    <row r="168" spans="1:6" ht="15" customHeight="1">
      <c r="A168" s="14" t="s">
        <v>1875</v>
      </c>
      <c r="B168" s="10" t="s">
        <v>1836</v>
      </c>
      <c r="C168" s="10" t="s">
        <v>1753</v>
      </c>
      <c r="D168" s="10" t="s">
        <v>1744</v>
      </c>
      <c r="E168" s="10" t="s">
        <v>1763</v>
      </c>
      <c r="F168" s="15" t="s">
        <v>1746</v>
      </c>
    </row>
    <row r="169" spans="1:6" ht="15" customHeight="1">
      <c r="A169" s="14" t="s">
        <v>229</v>
      </c>
      <c r="B169" s="10" t="s">
        <v>1844</v>
      </c>
      <c r="C169" s="10" t="s">
        <v>1753</v>
      </c>
      <c r="D169" s="10" t="s">
        <v>1744</v>
      </c>
      <c r="E169" s="10" t="s">
        <v>1763</v>
      </c>
      <c r="F169" s="15" t="s">
        <v>1751</v>
      </c>
    </row>
    <row r="170" spans="1:6" ht="15" customHeight="1">
      <c r="A170" s="14" t="s">
        <v>96</v>
      </c>
      <c r="B170" s="10" t="s">
        <v>1847</v>
      </c>
      <c r="C170" s="10" t="s">
        <v>1753</v>
      </c>
      <c r="D170" s="10" t="s">
        <v>1744</v>
      </c>
      <c r="E170" s="10" t="s">
        <v>1763</v>
      </c>
      <c r="F170" s="15" t="s">
        <v>1751</v>
      </c>
    </row>
    <row r="171" spans="1:6" ht="15" customHeight="1">
      <c r="A171" s="14" t="s">
        <v>1284</v>
      </c>
      <c r="B171" s="10" t="s">
        <v>1876</v>
      </c>
      <c r="C171" s="10" t="s">
        <v>1776</v>
      </c>
      <c r="D171" s="10" t="s">
        <v>1777</v>
      </c>
      <c r="E171" s="10" t="s">
        <v>1763</v>
      </c>
      <c r="F171" s="15" t="s">
        <v>1751</v>
      </c>
    </row>
    <row r="172" spans="1:6" ht="15" customHeight="1">
      <c r="A172" s="14" t="s">
        <v>616</v>
      </c>
      <c r="B172" s="10" t="s">
        <v>1836</v>
      </c>
      <c r="C172" s="10" t="s">
        <v>1753</v>
      </c>
      <c r="D172" s="10" t="s">
        <v>1744</v>
      </c>
      <c r="E172" s="10" t="s">
        <v>1745</v>
      </c>
      <c r="F172" s="15" t="s">
        <v>1751</v>
      </c>
    </row>
    <row r="173" spans="1:6" ht="15" customHeight="1">
      <c r="A173" s="14" t="s">
        <v>866</v>
      </c>
      <c r="B173" s="10" t="s">
        <v>1877</v>
      </c>
      <c r="C173" s="10" t="s">
        <v>1753</v>
      </c>
      <c r="D173" s="10" t="s">
        <v>1744</v>
      </c>
      <c r="E173" s="10" t="s">
        <v>1745</v>
      </c>
      <c r="F173" s="15" t="s">
        <v>1754</v>
      </c>
    </row>
    <row r="174" spans="1:6" ht="15" customHeight="1">
      <c r="A174" s="14" t="s">
        <v>835</v>
      </c>
      <c r="B174" s="10" t="s">
        <v>1809</v>
      </c>
      <c r="C174" s="10" t="s">
        <v>1776</v>
      </c>
      <c r="D174" s="10" t="s">
        <v>1777</v>
      </c>
      <c r="E174" s="10" t="s">
        <v>1745</v>
      </c>
      <c r="F174" s="15" t="s">
        <v>1754</v>
      </c>
    </row>
    <row r="175" spans="1:6" ht="15" customHeight="1">
      <c r="A175" s="14" t="s">
        <v>1878</v>
      </c>
      <c r="B175" s="10" t="s">
        <v>1814</v>
      </c>
      <c r="C175" s="10" t="s">
        <v>1743</v>
      </c>
      <c r="D175" s="10" t="s">
        <v>1744</v>
      </c>
      <c r="E175" s="10" t="s">
        <v>1745</v>
      </c>
      <c r="F175" s="15" t="s">
        <v>1746</v>
      </c>
    </row>
    <row r="176" spans="1:6" ht="15" customHeight="1">
      <c r="A176" s="14" t="s">
        <v>432</v>
      </c>
      <c r="B176" s="10" t="s">
        <v>1824</v>
      </c>
      <c r="C176" s="10" t="s">
        <v>1765</v>
      </c>
      <c r="D176" s="10" t="s">
        <v>1766</v>
      </c>
      <c r="E176" s="10" t="s">
        <v>1750</v>
      </c>
      <c r="F176" s="15" t="s">
        <v>1751</v>
      </c>
    </row>
    <row r="177" spans="1:6" ht="15" customHeight="1">
      <c r="A177" s="14" t="s">
        <v>274</v>
      </c>
      <c r="B177" s="10" t="s">
        <v>1778</v>
      </c>
      <c r="C177" s="10" t="s">
        <v>1743</v>
      </c>
      <c r="D177" s="10" t="s">
        <v>1744</v>
      </c>
      <c r="E177" s="10" t="s">
        <v>1763</v>
      </c>
      <c r="F177" s="15" t="s">
        <v>1746</v>
      </c>
    </row>
    <row r="178" spans="1:6" ht="15" customHeight="1">
      <c r="A178" s="14" t="s">
        <v>609</v>
      </c>
      <c r="B178" s="10" t="s">
        <v>1755</v>
      </c>
      <c r="C178" s="10" t="s">
        <v>1793</v>
      </c>
      <c r="D178" s="10" t="s">
        <v>1760</v>
      </c>
      <c r="E178" s="10" t="s">
        <v>1745</v>
      </c>
      <c r="F178" s="15" t="s">
        <v>1751</v>
      </c>
    </row>
    <row r="179" spans="1:6" ht="15" customHeight="1">
      <c r="A179" s="14" t="s">
        <v>530</v>
      </c>
      <c r="B179" s="10" t="s">
        <v>1767</v>
      </c>
      <c r="C179" s="10" t="s">
        <v>1753</v>
      </c>
      <c r="D179" s="10" t="s">
        <v>1744</v>
      </c>
      <c r="E179" s="10" t="s">
        <v>1745</v>
      </c>
      <c r="F179" s="15" t="s">
        <v>1751</v>
      </c>
    </row>
    <row r="180" spans="1:6" ht="15" customHeight="1">
      <c r="A180" s="14" t="s">
        <v>684</v>
      </c>
      <c r="B180" s="10" t="s">
        <v>1879</v>
      </c>
      <c r="C180" s="10" t="s">
        <v>1793</v>
      </c>
      <c r="D180" s="10" t="s">
        <v>1760</v>
      </c>
      <c r="E180" s="10" t="s">
        <v>1763</v>
      </c>
      <c r="F180" s="15" t="s">
        <v>1754</v>
      </c>
    </row>
    <row r="181" spans="1:6" ht="15" customHeight="1">
      <c r="A181" s="14" t="s">
        <v>1594</v>
      </c>
      <c r="B181" s="10" t="s">
        <v>1845</v>
      </c>
      <c r="C181" s="10" t="s">
        <v>1781</v>
      </c>
      <c r="D181" s="10" t="s">
        <v>1777</v>
      </c>
      <c r="E181" s="10" t="s">
        <v>1750</v>
      </c>
      <c r="F181" s="15" t="s">
        <v>1746</v>
      </c>
    </row>
    <row r="182" spans="1:6" ht="15" customHeight="1">
      <c r="A182" s="14" t="s">
        <v>244</v>
      </c>
      <c r="B182" s="10" t="s">
        <v>1764</v>
      </c>
      <c r="C182" s="10" t="s">
        <v>1748</v>
      </c>
      <c r="D182" s="10" t="s">
        <v>1749</v>
      </c>
      <c r="E182" s="10" t="s">
        <v>1763</v>
      </c>
      <c r="F182" s="15" t="s">
        <v>1754</v>
      </c>
    </row>
    <row r="183" spans="1:6" ht="15" customHeight="1">
      <c r="A183" s="14" t="s">
        <v>283</v>
      </c>
      <c r="B183" s="10" t="s">
        <v>1827</v>
      </c>
      <c r="C183" s="10" t="s">
        <v>1743</v>
      </c>
      <c r="D183" s="10" t="s">
        <v>1744</v>
      </c>
      <c r="E183" s="10" t="s">
        <v>1750</v>
      </c>
      <c r="F183" s="15" t="s">
        <v>1751</v>
      </c>
    </row>
    <row r="184" spans="1:6" ht="15" customHeight="1">
      <c r="A184" s="14" t="s">
        <v>405</v>
      </c>
      <c r="B184" s="10" t="s">
        <v>1845</v>
      </c>
      <c r="C184" s="10" t="s">
        <v>1748</v>
      </c>
      <c r="D184" s="10" t="s">
        <v>1749</v>
      </c>
      <c r="E184" s="10" t="s">
        <v>1763</v>
      </c>
      <c r="F184" s="15" t="s">
        <v>1751</v>
      </c>
    </row>
    <row r="185" spans="1:6" ht="15" customHeight="1">
      <c r="A185" s="16" t="s">
        <v>598</v>
      </c>
      <c r="B185" s="17" t="s">
        <v>1795</v>
      </c>
      <c r="C185" s="17" t="s">
        <v>1771</v>
      </c>
      <c r="D185" s="17" t="s">
        <v>1749</v>
      </c>
      <c r="E185" s="17" t="s">
        <v>1745</v>
      </c>
      <c r="F185" s="18" t="s">
        <v>1754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F2F8"/>
  </sheetPr>
  <dimension ref="A1:K185"/>
  <sheetViews>
    <sheetView workbookViewId="0">
      <selection activeCell="A24" sqref="A24"/>
    </sheetView>
  </sheetViews>
  <sheetFormatPr baseColWidth="10" defaultColWidth="8.796875" defaultRowHeight="13.8"/>
  <cols>
    <col min="1" max="1" width="26" customWidth="1"/>
    <col min="2" max="2" width="14.3984375" customWidth="1"/>
    <col min="3" max="3" width="16.59765625" bestFit="1" customWidth="1"/>
    <col min="4" max="4" width="11.19921875" customWidth="1"/>
    <col min="5" max="5" width="16.69921875" customWidth="1"/>
    <col min="6" max="6" width="15.19921875" customWidth="1"/>
  </cols>
  <sheetData>
    <row r="1" spans="1:11" ht="18" customHeight="1">
      <c r="A1" s="6" t="s">
        <v>1734</v>
      </c>
    </row>
    <row r="2" spans="1:11" ht="15" customHeight="1">
      <c r="A2" s="7" t="s">
        <v>1735</v>
      </c>
    </row>
    <row r="3" spans="1:11" ht="1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</row>
    <row r="5" spans="1:11" ht="15" customHeight="1">
      <c r="A5" s="9" t="s">
        <v>1736</v>
      </c>
      <c r="B5" s="9" t="s">
        <v>1737</v>
      </c>
      <c r="C5" s="9" t="s">
        <v>1738</v>
      </c>
      <c r="D5" s="9" t="s">
        <v>1739</v>
      </c>
      <c r="E5" s="9" t="s">
        <v>1740</v>
      </c>
      <c r="F5" s="9" t="s">
        <v>1741</v>
      </c>
    </row>
    <row r="6" spans="1:11" ht="15" customHeight="1">
      <c r="A6" s="11" t="s">
        <v>61</v>
      </c>
      <c r="B6" s="12" t="s">
        <v>1742</v>
      </c>
      <c r="C6" s="12" t="s">
        <v>1743</v>
      </c>
      <c r="D6" s="12" t="s">
        <v>1744</v>
      </c>
      <c r="E6" s="12" t="s">
        <v>1745</v>
      </c>
      <c r="F6" s="13" t="s">
        <v>1746</v>
      </c>
    </row>
    <row r="7" spans="1:11" ht="15" customHeight="1">
      <c r="A7" s="14" t="s">
        <v>733</v>
      </c>
      <c r="B7" s="10" t="s">
        <v>1747</v>
      </c>
      <c r="C7" s="10" t="s">
        <v>1748</v>
      </c>
      <c r="D7" s="10" t="s">
        <v>1749</v>
      </c>
      <c r="E7" s="10" t="s">
        <v>1750</v>
      </c>
      <c r="F7" s="15" t="s">
        <v>1751</v>
      </c>
    </row>
    <row r="8" spans="1:11" ht="15" customHeight="1">
      <c r="A8" s="14" t="s">
        <v>425</v>
      </c>
      <c r="B8" s="10" t="s">
        <v>1752</v>
      </c>
      <c r="C8" s="10" t="s">
        <v>1753</v>
      </c>
      <c r="D8" s="10" t="s">
        <v>1744</v>
      </c>
      <c r="E8" s="10" t="s">
        <v>1745</v>
      </c>
      <c r="F8" s="15" t="s">
        <v>1754</v>
      </c>
    </row>
    <row r="9" spans="1:11" ht="15" customHeight="1">
      <c r="A9" s="14" t="s">
        <v>839</v>
      </c>
      <c r="B9" s="10" t="s">
        <v>1755</v>
      </c>
      <c r="C9" s="10" t="s">
        <v>1756</v>
      </c>
      <c r="D9" s="10" t="s">
        <v>1757</v>
      </c>
      <c r="E9" s="10" t="s">
        <v>1745</v>
      </c>
      <c r="F9" s="42" t="s">
        <v>1754</v>
      </c>
    </row>
    <row r="10" spans="1:11" ht="15" customHeight="1">
      <c r="A10" s="14" t="s">
        <v>1247</v>
      </c>
      <c r="B10" s="10" t="s">
        <v>1758</v>
      </c>
      <c r="C10" s="10" t="s">
        <v>1759</v>
      </c>
      <c r="D10" s="10" t="s">
        <v>1760</v>
      </c>
      <c r="E10" s="10" t="s">
        <v>1750</v>
      </c>
      <c r="F10" s="15" t="s">
        <v>1751</v>
      </c>
    </row>
    <row r="11" spans="1:11" ht="15" customHeight="1">
      <c r="A11" s="14" t="s">
        <v>813</v>
      </c>
      <c r="B11" s="10" t="s">
        <v>1761</v>
      </c>
      <c r="C11" s="10" t="s">
        <v>1743</v>
      </c>
      <c r="D11" s="10" t="s">
        <v>1744</v>
      </c>
      <c r="E11" s="10" t="s">
        <v>1745</v>
      </c>
      <c r="F11" s="15" t="s">
        <v>1754</v>
      </c>
    </row>
    <row r="12" spans="1:11" ht="15" customHeight="1">
      <c r="A12" s="14" t="s">
        <v>724</v>
      </c>
      <c r="B12" s="10" t="s">
        <v>1762</v>
      </c>
      <c r="C12" s="10" t="s">
        <v>1759</v>
      </c>
      <c r="D12" s="10" t="s">
        <v>1760</v>
      </c>
      <c r="E12" s="10" t="s">
        <v>1763</v>
      </c>
      <c r="F12" s="15" t="s">
        <v>1746</v>
      </c>
    </row>
    <row r="13" spans="1:11" ht="15" customHeight="1">
      <c r="A13" s="14" t="s">
        <v>485</v>
      </c>
      <c r="B13" s="10" t="s">
        <v>1764</v>
      </c>
      <c r="C13" s="10" t="s">
        <v>1765</v>
      </c>
      <c r="D13" s="10" t="s">
        <v>1766</v>
      </c>
      <c r="E13" s="10" t="s">
        <v>1745</v>
      </c>
      <c r="F13" s="15" t="s">
        <v>1746</v>
      </c>
    </row>
    <row r="14" spans="1:11" ht="15" customHeight="1">
      <c r="A14" s="14" t="s">
        <v>548</v>
      </c>
      <c r="B14" s="10" t="s">
        <v>1767</v>
      </c>
      <c r="C14" s="10" t="s">
        <v>1768</v>
      </c>
      <c r="D14" s="10" t="s">
        <v>1769</v>
      </c>
      <c r="E14" s="10" t="s">
        <v>1750</v>
      </c>
      <c r="F14" s="15" t="s">
        <v>1751</v>
      </c>
    </row>
    <row r="15" spans="1:11" ht="15" customHeight="1">
      <c r="A15" s="14" t="s">
        <v>895</v>
      </c>
      <c r="B15" s="10" t="s">
        <v>1770</v>
      </c>
      <c r="C15" s="10" t="s">
        <v>1771</v>
      </c>
      <c r="D15" s="10" t="s">
        <v>1749</v>
      </c>
      <c r="E15" s="10" t="s">
        <v>1763</v>
      </c>
      <c r="F15" s="15" t="s">
        <v>1751</v>
      </c>
    </row>
    <row r="16" spans="1:11" ht="15" customHeight="1">
      <c r="A16" s="14" t="s">
        <v>652</v>
      </c>
      <c r="B16" s="10" t="s">
        <v>1772</v>
      </c>
      <c r="C16" s="10" t="s">
        <v>1748</v>
      </c>
      <c r="D16" s="10" t="s">
        <v>1749</v>
      </c>
      <c r="E16" s="10" t="s">
        <v>1745</v>
      </c>
      <c r="F16" s="15" t="s">
        <v>1751</v>
      </c>
    </row>
    <row r="17" spans="1:6" ht="15" customHeight="1">
      <c r="A17" s="14" t="s">
        <v>572</v>
      </c>
      <c r="B17" s="10" t="s">
        <v>1773</v>
      </c>
      <c r="C17" s="10" t="s">
        <v>1771</v>
      </c>
      <c r="D17" s="10" t="s">
        <v>1749</v>
      </c>
      <c r="E17" s="10" t="s">
        <v>1750</v>
      </c>
      <c r="F17" s="15" t="s">
        <v>1754</v>
      </c>
    </row>
    <row r="18" spans="1:6" ht="15" customHeight="1">
      <c r="A18" s="14" t="s">
        <v>1774</v>
      </c>
      <c r="B18" s="10" t="s">
        <v>1775</v>
      </c>
      <c r="C18" s="10" t="s">
        <v>1776</v>
      </c>
      <c r="D18" s="10" t="s">
        <v>1777</v>
      </c>
      <c r="E18" s="10" t="s">
        <v>1750</v>
      </c>
      <c r="F18" s="15" t="s">
        <v>1751</v>
      </c>
    </row>
    <row r="19" spans="1:6" ht="15" customHeight="1">
      <c r="A19" s="14" t="s">
        <v>748</v>
      </c>
      <c r="B19" s="10" t="s">
        <v>1762</v>
      </c>
      <c r="C19" s="10" t="s">
        <v>1753</v>
      </c>
      <c r="D19" s="10" t="s">
        <v>1744</v>
      </c>
      <c r="E19" s="10" t="s">
        <v>1750</v>
      </c>
      <c r="F19" s="15" t="s">
        <v>1754</v>
      </c>
    </row>
    <row r="20" spans="1:6" ht="15" customHeight="1">
      <c r="A20" s="14" t="s">
        <v>461</v>
      </c>
      <c r="B20" s="10" t="s">
        <v>1778</v>
      </c>
      <c r="C20" s="10" t="s">
        <v>1756</v>
      </c>
      <c r="D20" s="10" t="s">
        <v>1757</v>
      </c>
      <c r="E20" s="10" t="s">
        <v>1763</v>
      </c>
      <c r="F20" s="15" t="s">
        <v>1751</v>
      </c>
    </row>
    <row r="21" spans="1:6" ht="15" customHeight="1">
      <c r="A21" s="14" t="s">
        <v>859</v>
      </c>
      <c r="B21" s="10" t="s">
        <v>1779</v>
      </c>
      <c r="C21" s="10" t="s">
        <v>1759</v>
      </c>
      <c r="D21" s="10" t="s">
        <v>1760</v>
      </c>
      <c r="E21" s="10" t="s">
        <v>1745</v>
      </c>
      <c r="F21" s="15" t="s">
        <v>1746</v>
      </c>
    </row>
    <row r="22" spans="1:6" ht="15" customHeight="1">
      <c r="A22" s="14" t="s">
        <v>503</v>
      </c>
      <c r="B22" s="10" t="s">
        <v>1764</v>
      </c>
      <c r="C22" s="10" t="s">
        <v>1771</v>
      </c>
      <c r="D22" s="10" t="s">
        <v>1749</v>
      </c>
      <c r="E22" s="10" t="s">
        <v>1750</v>
      </c>
      <c r="F22" s="15" t="s">
        <v>1746</v>
      </c>
    </row>
    <row r="23" spans="1:6" ht="15" customHeight="1">
      <c r="A23" s="14" t="s">
        <v>1653</v>
      </c>
      <c r="B23" s="10" t="s">
        <v>1780</v>
      </c>
      <c r="C23" s="10" t="s">
        <v>1781</v>
      </c>
      <c r="D23" s="10" t="s">
        <v>1777</v>
      </c>
      <c r="E23" s="10" t="s">
        <v>1763</v>
      </c>
      <c r="F23" s="15" t="s">
        <v>1746</v>
      </c>
    </row>
    <row r="24" spans="1:6" ht="15" customHeight="1">
      <c r="A24" s="14" t="s">
        <v>1405</v>
      </c>
      <c r="B24" s="10" t="s">
        <v>1782</v>
      </c>
      <c r="C24" s="10" t="s">
        <v>1765</v>
      </c>
      <c r="D24" s="10" t="s">
        <v>1766</v>
      </c>
      <c r="E24" s="10" t="s">
        <v>1750</v>
      </c>
      <c r="F24" s="15" t="s">
        <v>1754</v>
      </c>
    </row>
    <row r="25" spans="1:6" ht="15" customHeight="1">
      <c r="A25" s="14" t="s">
        <v>1322</v>
      </c>
      <c r="B25" s="10" t="s">
        <v>1783</v>
      </c>
      <c r="C25" s="10" t="s">
        <v>1771</v>
      </c>
      <c r="D25" s="10" t="s">
        <v>1749</v>
      </c>
      <c r="E25" s="10" t="s">
        <v>1763</v>
      </c>
      <c r="F25" s="15" t="s">
        <v>1746</v>
      </c>
    </row>
    <row r="26" spans="1:6" ht="15" customHeight="1">
      <c r="A26" s="14" t="s">
        <v>1784</v>
      </c>
      <c r="B26" s="10" t="s">
        <v>1785</v>
      </c>
      <c r="C26" s="10" t="s">
        <v>1756</v>
      </c>
      <c r="D26" s="10" t="s">
        <v>1757</v>
      </c>
      <c r="E26" s="10" t="s">
        <v>1750</v>
      </c>
      <c r="F26" s="15" t="s">
        <v>1754</v>
      </c>
    </row>
    <row r="27" spans="1:6" ht="15" customHeight="1">
      <c r="A27" s="14" t="s">
        <v>115</v>
      </c>
      <c r="B27" s="10" t="s">
        <v>1786</v>
      </c>
      <c r="C27" s="10" t="s">
        <v>1776</v>
      </c>
      <c r="D27" s="10" t="s">
        <v>1777</v>
      </c>
      <c r="E27" s="10" t="s">
        <v>1763</v>
      </c>
      <c r="F27" s="15" t="s">
        <v>1751</v>
      </c>
    </row>
    <row r="28" spans="1:6" ht="15" customHeight="1">
      <c r="A28" s="14" t="s">
        <v>1787</v>
      </c>
      <c r="B28" s="10" t="s">
        <v>1788</v>
      </c>
      <c r="C28" s="10" t="s">
        <v>1748</v>
      </c>
      <c r="D28" s="10" t="s">
        <v>1749</v>
      </c>
      <c r="E28" s="10" t="s">
        <v>1750</v>
      </c>
      <c r="F28" s="15" t="s">
        <v>1746</v>
      </c>
    </row>
    <row r="29" spans="1:6" ht="15" customHeight="1">
      <c r="A29" s="14" t="s">
        <v>139</v>
      </c>
      <c r="B29" s="10" t="s">
        <v>1789</v>
      </c>
      <c r="C29" s="10" t="s">
        <v>1753</v>
      </c>
      <c r="D29" s="10" t="s">
        <v>1744</v>
      </c>
      <c r="E29" s="10" t="s">
        <v>1745</v>
      </c>
      <c r="F29" s="15" t="s">
        <v>1746</v>
      </c>
    </row>
    <row r="30" spans="1:6" ht="15" customHeight="1">
      <c r="A30" s="14" t="s">
        <v>1563</v>
      </c>
      <c r="B30" s="10" t="s">
        <v>1767</v>
      </c>
      <c r="C30" s="10" t="s">
        <v>1743</v>
      </c>
      <c r="D30" s="10" t="s">
        <v>1744</v>
      </c>
      <c r="E30" s="10" t="s">
        <v>1763</v>
      </c>
      <c r="F30" s="15" t="s">
        <v>1754</v>
      </c>
    </row>
    <row r="31" spans="1:6" ht="15" customHeight="1">
      <c r="A31" s="14" t="s">
        <v>954</v>
      </c>
      <c r="B31" s="10" t="s">
        <v>1790</v>
      </c>
      <c r="C31" s="10" t="s">
        <v>1753</v>
      </c>
      <c r="D31" s="10" t="s">
        <v>1744</v>
      </c>
      <c r="E31" s="10" t="s">
        <v>1745</v>
      </c>
      <c r="F31" s="15" t="s">
        <v>1746</v>
      </c>
    </row>
    <row r="32" spans="1:6" ht="15" customHeight="1">
      <c r="A32" s="14" t="s">
        <v>1791</v>
      </c>
      <c r="B32" s="10" t="s">
        <v>1792</v>
      </c>
      <c r="C32" s="10" t="s">
        <v>1781</v>
      </c>
      <c r="D32" s="10" t="s">
        <v>1777</v>
      </c>
      <c r="E32" s="10" t="s">
        <v>1750</v>
      </c>
      <c r="F32" s="15" t="s">
        <v>1746</v>
      </c>
    </row>
    <row r="33" spans="1:6" ht="15" customHeight="1">
      <c r="A33" s="14" t="s">
        <v>335</v>
      </c>
      <c r="B33" s="10" t="s">
        <v>1762</v>
      </c>
      <c r="C33" s="10" t="s">
        <v>1793</v>
      </c>
      <c r="D33" s="10" t="s">
        <v>1760</v>
      </c>
      <c r="E33" s="10" t="s">
        <v>1750</v>
      </c>
      <c r="F33" s="15" t="s">
        <v>1754</v>
      </c>
    </row>
    <row r="34" spans="1:6" ht="15" customHeight="1">
      <c r="A34" s="14" t="s">
        <v>437</v>
      </c>
      <c r="B34" s="10" t="s">
        <v>1794</v>
      </c>
      <c r="C34" s="10" t="s">
        <v>1743</v>
      </c>
      <c r="D34" s="10" t="s">
        <v>1744</v>
      </c>
      <c r="E34" s="10" t="s">
        <v>1763</v>
      </c>
      <c r="F34" s="15" t="s">
        <v>1746</v>
      </c>
    </row>
    <row r="35" spans="1:6" ht="15" customHeight="1">
      <c r="A35" s="14" t="s">
        <v>738</v>
      </c>
      <c r="B35" s="10" t="s">
        <v>1795</v>
      </c>
      <c r="C35" s="10" t="s">
        <v>1753</v>
      </c>
      <c r="D35" s="10" t="s">
        <v>1744</v>
      </c>
      <c r="E35" s="10" t="s">
        <v>1763</v>
      </c>
      <c r="F35" s="15" t="s">
        <v>1754</v>
      </c>
    </row>
    <row r="36" spans="1:6" ht="15" customHeight="1">
      <c r="A36" s="14" t="s">
        <v>168</v>
      </c>
      <c r="B36" s="10" t="s">
        <v>1796</v>
      </c>
      <c r="C36" s="10" t="s">
        <v>1743</v>
      </c>
      <c r="D36" s="10" t="s">
        <v>1744</v>
      </c>
      <c r="E36" s="10" t="s">
        <v>1745</v>
      </c>
      <c r="F36" s="15" t="s">
        <v>1746</v>
      </c>
    </row>
    <row r="37" spans="1:6" ht="15" customHeight="1">
      <c r="A37" s="14" t="s">
        <v>382</v>
      </c>
      <c r="B37" s="10" t="s">
        <v>1792</v>
      </c>
      <c r="C37" s="10" t="s">
        <v>1768</v>
      </c>
      <c r="D37" s="10" t="s">
        <v>1769</v>
      </c>
      <c r="E37" s="10" t="s">
        <v>1750</v>
      </c>
      <c r="F37" s="15" t="s">
        <v>1754</v>
      </c>
    </row>
    <row r="38" spans="1:6" ht="15" customHeight="1">
      <c r="A38" s="14" t="s">
        <v>1279</v>
      </c>
      <c r="B38" s="10" t="s">
        <v>1797</v>
      </c>
      <c r="C38" s="10" t="s">
        <v>1776</v>
      </c>
      <c r="D38" s="10" t="s">
        <v>1777</v>
      </c>
      <c r="E38" s="10" t="s">
        <v>1745</v>
      </c>
      <c r="F38" s="15" t="s">
        <v>1751</v>
      </c>
    </row>
    <row r="39" spans="1:6" ht="15" customHeight="1">
      <c r="A39" s="14" t="s">
        <v>159</v>
      </c>
      <c r="B39" s="10" t="s">
        <v>1798</v>
      </c>
      <c r="C39" s="10" t="s">
        <v>1756</v>
      </c>
      <c r="D39" s="10" t="s">
        <v>1757</v>
      </c>
      <c r="E39" s="10" t="s">
        <v>1763</v>
      </c>
      <c r="F39" s="15" t="s">
        <v>1754</v>
      </c>
    </row>
    <row r="40" spans="1:6" ht="15" customHeight="1">
      <c r="A40" s="14" t="s">
        <v>398</v>
      </c>
      <c r="B40" s="10" t="s">
        <v>1799</v>
      </c>
      <c r="C40" s="10" t="s">
        <v>1793</v>
      </c>
      <c r="D40" s="10" t="s">
        <v>1760</v>
      </c>
      <c r="E40" s="10" t="s">
        <v>1763</v>
      </c>
      <c r="F40" s="15" t="s">
        <v>1754</v>
      </c>
    </row>
    <row r="41" spans="1:6" ht="15" customHeight="1">
      <c r="A41" s="14" t="s">
        <v>1438</v>
      </c>
      <c r="B41" s="10" t="s">
        <v>1800</v>
      </c>
      <c r="C41" s="10" t="s">
        <v>1793</v>
      </c>
      <c r="D41" s="10" t="s">
        <v>1760</v>
      </c>
      <c r="E41" s="10" t="s">
        <v>1750</v>
      </c>
      <c r="F41" s="15" t="s">
        <v>1754</v>
      </c>
    </row>
    <row r="42" spans="1:6" ht="15" customHeight="1">
      <c r="A42" s="14" t="s">
        <v>249</v>
      </c>
      <c r="B42" s="10" t="s">
        <v>1801</v>
      </c>
      <c r="C42" s="10" t="s">
        <v>1765</v>
      </c>
      <c r="D42" s="10" t="s">
        <v>1766</v>
      </c>
      <c r="E42" s="10" t="s">
        <v>1745</v>
      </c>
      <c r="F42" s="15" t="s">
        <v>1746</v>
      </c>
    </row>
    <row r="43" spans="1:6" ht="15" customHeight="1">
      <c r="A43" s="14" t="s">
        <v>568</v>
      </c>
      <c r="B43" s="10" t="s">
        <v>1773</v>
      </c>
      <c r="C43" s="10" t="s">
        <v>1771</v>
      </c>
      <c r="D43" s="10" t="s">
        <v>1749</v>
      </c>
      <c r="E43" s="10" t="s">
        <v>1750</v>
      </c>
      <c r="F43" s="15" t="s">
        <v>1746</v>
      </c>
    </row>
    <row r="44" spans="1:6" ht="15" customHeight="1">
      <c r="A44" s="14" t="s">
        <v>849</v>
      </c>
      <c r="B44" s="10" t="s">
        <v>1802</v>
      </c>
      <c r="C44" s="10" t="s">
        <v>1765</v>
      </c>
      <c r="D44" s="10" t="s">
        <v>1766</v>
      </c>
      <c r="E44" s="10" t="s">
        <v>1763</v>
      </c>
      <c r="F44" s="15" t="s">
        <v>1751</v>
      </c>
    </row>
    <row r="45" spans="1:6" ht="15" customHeight="1">
      <c r="A45" s="14" t="s">
        <v>1114</v>
      </c>
      <c r="B45" s="10" t="s">
        <v>1803</v>
      </c>
      <c r="C45" s="10" t="s">
        <v>1756</v>
      </c>
      <c r="D45" s="10" t="s">
        <v>1757</v>
      </c>
      <c r="E45" s="10" t="s">
        <v>1745</v>
      </c>
      <c r="F45" s="15" t="s">
        <v>1754</v>
      </c>
    </row>
    <row r="46" spans="1:6" ht="15" customHeight="1">
      <c r="A46" s="14" t="s">
        <v>992</v>
      </c>
      <c r="B46" s="10" t="s">
        <v>1782</v>
      </c>
      <c r="C46" s="10" t="s">
        <v>1768</v>
      </c>
      <c r="D46" s="10" t="s">
        <v>1769</v>
      </c>
      <c r="E46" s="10" t="s">
        <v>1763</v>
      </c>
      <c r="F46" s="15" t="s">
        <v>1754</v>
      </c>
    </row>
    <row r="47" spans="1:6" ht="15" customHeight="1">
      <c r="A47" s="14" t="s">
        <v>104</v>
      </c>
      <c r="B47" s="10" t="s">
        <v>1800</v>
      </c>
      <c r="C47" s="10" t="s">
        <v>1781</v>
      </c>
      <c r="D47" s="10" t="s">
        <v>1777</v>
      </c>
      <c r="E47" s="10" t="s">
        <v>1745</v>
      </c>
      <c r="F47" s="15" t="s">
        <v>1754</v>
      </c>
    </row>
    <row r="48" spans="1:6" ht="15" customHeight="1">
      <c r="A48" s="14" t="s">
        <v>1804</v>
      </c>
      <c r="B48" s="10" t="s">
        <v>1805</v>
      </c>
      <c r="C48" s="10" t="s">
        <v>1768</v>
      </c>
      <c r="D48" s="10" t="s">
        <v>1769</v>
      </c>
      <c r="E48" s="10" t="s">
        <v>1745</v>
      </c>
      <c r="F48" s="15" t="s">
        <v>1754</v>
      </c>
    </row>
    <row r="49" spans="1:6" ht="15" customHeight="1">
      <c r="A49" s="14" t="s">
        <v>75</v>
      </c>
      <c r="B49" s="10" t="s">
        <v>1806</v>
      </c>
      <c r="C49" s="10" t="s">
        <v>1743</v>
      </c>
      <c r="D49" s="10" t="s">
        <v>1744</v>
      </c>
      <c r="E49" s="10" t="s">
        <v>1750</v>
      </c>
      <c r="F49" s="15" t="s">
        <v>1751</v>
      </c>
    </row>
    <row r="50" spans="1:6" ht="15" customHeight="1">
      <c r="A50" s="14" t="s">
        <v>540</v>
      </c>
      <c r="B50" s="10" t="s">
        <v>1807</v>
      </c>
      <c r="C50" s="10" t="s">
        <v>1759</v>
      </c>
      <c r="D50" s="10" t="s">
        <v>1760</v>
      </c>
      <c r="E50" s="10" t="s">
        <v>1750</v>
      </c>
      <c r="F50" s="15" t="s">
        <v>1746</v>
      </c>
    </row>
    <row r="51" spans="1:6" ht="15" customHeight="1">
      <c r="A51" s="14" t="s">
        <v>910</v>
      </c>
      <c r="B51" s="10" t="s">
        <v>1786</v>
      </c>
      <c r="C51" s="10" t="s">
        <v>1748</v>
      </c>
      <c r="D51" s="10" t="s">
        <v>1749</v>
      </c>
      <c r="E51" s="10" t="s">
        <v>1763</v>
      </c>
      <c r="F51" s="15" t="s">
        <v>1754</v>
      </c>
    </row>
    <row r="52" spans="1:6" ht="15" customHeight="1">
      <c r="A52" s="14" t="s">
        <v>260</v>
      </c>
      <c r="B52" s="10" t="s">
        <v>1789</v>
      </c>
      <c r="C52" s="10" t="s">
        <v>1771</v>
      </c>
      <c r="D52" s="10" t="s">
        <v>1749</v>
      </c>
      <c r="E52" s="10" t="s">
        <v>1763</v>
      </c>
      <c r="F52" s="15" t="s">
        <v>1751</v>
      </c>
    </row>
    <row r="53" spans="1:6" ht="15" customHeight="1">
      <c r="A53" s="14" t="s">
        <v>125</v>
      </c>
      <c r="B53" s="10" t="s">
        <v>1808</v>
      </c>
      <c r="C53" s="10" t="s">
        <v>1776</v>
      </c>
      <c r="D53" s="10" t="s">
        <v>1777</v>
      </c>
      <c r="E53" s="10" t="s">
        <v>1745</v>
      </c>
      <c r="F53" s="15" t="s">
        <v>1754</v>
      </c>
    </row>
    <row r="54" spans="1:6" ht="15" customHeight="1">
      <c r="A54" s="14" t="s">
        <v>1054</v>
      </c>
      <c r="B54" s="10" t="s">
        <v>1809</v>
      </c>
      <c r="C54" s="10" t="s">
        <v>1743</v>
      </c>
      <c r="D54" s="10" t="s">
        <v>1744</v>
      </c>
      <c r="E54" s="10" t="s">
        <v>1745</v>
      </c>
      <c r="F54" s="15" t="s">
        <v>1751</v>
      </c>
    </row>
    <row r="55" spans="1:6" ht="15" customHeight="1">
      <c r="A55" s="14" t="s">
        <v>86</v>
      </c>
      <c r="B55" s="10" t="s">
        <v>1801</v>
      </c>
      <c r="C55" s="10" t="s">
        <v>1768</v>
      </c>
      <c r="D55" s="10" t="s">
        <v>1769</v>
      </c>
      <c r="E55" s="10" t="s">
        <v>1750</v>
      </c>
      <c r="F55" s="15" t="s">
        <v>1751</v>
      </c>
    </row>
    <row r="56" spans="1:6" ht="15" customHeight="1">
      <c r="A56" s="14" t="s">
        <v>378</v>
      </c>
      <c r="B56" s="10" t="s">
        <v>1810</v>
      </c>
      <c r="C56" s="10" t="s">
        <v>1753</v>
      </c>
      <c r="D56" s="10" t="s">
        <v>1744</v>
      </c>
      <c r="E56" s="10" t="s">
        <v>1763</v>
      </c>
      <c r="F56" s="15" t="s">
        <v>1754</v>
      </c>
    </row>
    <row r="57" spans="1:6" ht="15" customHeight="1">
      <c r="A57" s="14" t="s">
        <v>1811</v>
      </c>
      <c r="B57" s="10" t="s">
        <v>1812</v>
      </c>
      <c r="C57" s="10" t="s">
        <v>1768</v>
      </c>
      <c r="D57" s="10" t="s">
        <v>1769</v>
      </c>
      <c r="E57" s="10" t="s">
        <v>1763</v>
      </c>
      <c r="F57" s="15" t="s">
        <v>1751</v>
      </c>
    </row>
    <row r="58" spans="1:6" ht="15" customHeight="1">
      <c r="A58" s="14" t="s">
        <v>1605</v>
      </c>
      <c r="B58" s="10" t="s">
        <v>1792</v>
      </c>
      <c r="C58" s="10" t="s">
        <v>1756</v>
      </c>
      <c r="D58" s="10" t="s">
        <v>1757</v>
      </c>
      <c r="E58" s="10" t="s">
        <v>1763</v>
      </c>
      <c r="F58" s="15" t="s">
        <v>1754</v>
      </c>
    </row>
    <row r="59" spans="1:6" ht="15" customHeight="1">
      <c r="A59" s="14" t="s">
        <v>268</v>
      </c>
      <c r="B59" s="10" t="s">
        <v>1813</v>
      </c>
      <c r="C59" s="10" t="s">
        <v>1781</v>
      </c>
      <c r="D59" s="10" t="s">
        <v>1777</v>
      </c>
      <c r="E59" s="10" t="s">
        <v>1763</v>
      </c>
      <c r="F59" s="15" t="s">
        <v>1754</v>
      </c>
    </row>
    <row r="60" spans="1:6" ht="15" customHeight="1">
      <c r="A60" s="14" t="s">
        <v>557</v>
      </c>
      <c r="B60" s="10" t="s">
        <v>1814</v>
      </c>
      <c r="C60" s="10" t="s">
        <v>1759</v>
      </c>
      <c r="D60" s="10" t="s">
        <v>1760</v>
      </c>
      <c r="E60" s="10" t="s">
        <v>1763</v>
      </c>
      <c r="F60" s="15" t="s">
        <v>1754</v>
      </c>
    </row>
    <row r="61" spans="1:6" ht="15" customHeight="1">
      <c r="A61" s="14" t="s">
        <v>199</v>
      </c>
      <c r="B61" s="10" t="s">
        <v>1815</v>
      </c>
      <c r="C61" s="10" t="s">
        <v>1776</v>
      </c>
      <c r="D61" s="10" t="s">
        <v>1777</v>
      </c>
      <c r="E61" s="10" t="s">
        <v>1745</v>
      </c>
      <c r="F61" s="15" t="s">
        <v>1751</v>
      </c>
    </row>
    <row r="62" spans="1:6" ht="15" customHeight="1">
      <c r="A62" s="14" t="s">
        <v>947</v>
      </c>
      <c r="B62" s="10" t="s">
        <v>1758</v>
      </c>
      <c r="C62" s="10" t="s">
        <v>1781</v>
      </c>
      <c r="D62" s="10" t="s">
        <v>1777</v>
      </c>
      <c r="E62" s="10" t="s">
        <v>1750</v>
      </c>
      <c r="F62" s="15" t="s">
        <v>1754</v>
      </c>
    </row>
    <row r="63" spans="1:6" ht="15" customHeight="1">
      <c r="A63" s="14" t="s">
        <v>1816</v>
      </c>
      <c r="B63" s="10" t="s">
        <v>1764</v>
      </c>
      <c r="C63" s="10" t="s">
        <v>1771</v>
      </c>
      <c r="D63" s="10" t="s">
        <v>1749</v>
      </c>
      <c r="E63" s="10" t="s">
        <v>1750</v>
      </c>
      <c r="F63" s="15" t="s">
        <v>1746</v>
      </c>
    </row>
    <row r="64" spans="1:6" ht="15" customHeight="1">
      <c r="A64" s="14" t="s">
        <v>155</v>
      </c>
      <c r="B64" s="10" t="s">
        <v>1779</v>
      </c>
      <c r="C64" s="10" t="s">
        <v>1776</v>
      </c>
      <c r="D64" s="10" t="s">
        <v>1777</v>
      </c>
      <c r="E64" s="10" t="s">
        <v>1763</v>
      </c>
      <c r="F64" s="15" t="s">
        <v>1746</v>
      </c>
    </row>
    <row r="65" spans="1:6" ht="15" customHeight="1">
      <c r="A65" s="14" t="s">
        <v>1505</v>
      </c>
      <c r="B65" s="10" t="s">
        <v>1817</v>
      </c>
      <c r="C65" s="10" t="s">
        <v>1753</v>
      </c>
      <c r="D65" s="10" t="s">
        <v>1744</v>
      </c>
      <c r="E65" s="10" t="s">
        <v>1750</v>
      </c>
      <c r="F65" s="15" t="s">
        <v>1751</v>
      </c>
    </row>
    <row r="66" spans="1:6" ht="15" customHeight="1">
      <c r="A66" s="14" t="s">
        <v>1544</v>
      </c>
      <c r="B66" s="10" t="s">
        <v>1818</v>
      </c>
      <c r="C66" s="10" t="s">
        <v>1753</v>
      </c>
      <c r="D66" s="10" t="s">
        <v>1744</v>
      </c>
      <c r="E66" s="10" t="s">
        <v>1750</v>
      </c>
      <c r="F66" s="15" t="s">
        <v>1746</v>
      </c>
    </row>
    <row r="67" spans="1:6" ht="15" customHeight="1">
      <c r="A67" s="14" t="s">
        <v>134</v>
      </c>
      <c r="B67" s="10" t="s">
        <v>1810</v>
      </c>
      <c r="C67" s="10" t="s">
        <v>1753</v>
      </c>
      <c r="D67" s="10" t="s">
        <v>1744</v>
      </c>
      <c r="E67" s="10" t="s">
        <v>1763</v>
      </c>
      <c r="F67" s="15" t="s">
        <v>1751</v>
      </c>
    </row>
    <row r="68" spans="1:6" ht="15" customHeight="1">
      <c r="A68" s="14" t="s">
        <v>805</v>
      </c>
      <c r="B68" s="10" t="s">
        <v>1783</v>
      </c>
      <c r="C68" s="10" t="s">
        <v>1781</v>
      </c>
      <c r="D68" s="10" t="s">
        <v>1777</v>
      </c>
      <c r="E68" s="10" t="s">
        <v>1763</v>
      </c>
      <c r="F68" s="15" t="s">
        <v>1751</v>
      </c>
    </row>
    <row r="69" spans="1:6" ht="15" customHeight="1">
      <c r="A69" s="14" t="s">
        <v>1513</v>
      </c>
      <c r="B69" s="10" t="s">
        <v>1819</v>
      </c>
      <c r="C69" s="10" t="s">
        <v>1781</v>
      </c>
      <c r="D69" s="10" t="s">
        <v>1777</v>
      </c>
      <c r="E69" s="10" t="s">
        <v>1745</v>
      </c>
      <c r="F69" s="15" t="s">
        <v>1754</v>
      </c>
    </row>
    <row r="70" spans="1:6" ht="15" customHeight="1">
      <c r="A70" s="14" t="s">
        <v>1820</v>
      </c>
      <c r="B70" s="10" t="s">
        <v>1792</v>
      </c>
      <c r="C70" s="10" t="s">
        <v>1771</v>
      </c>
      <c r="D70" s="10" t="s">
        <v>1749</v>
      </c>
      <c r="E70" s="10" t="s">
        <v>1763</v>
      </c>
      <c r="F70" s="15" t="s">
        <v>1751</v>
      </c>
    </row>
    <row r="71" spans="1:6" ht="15" customHeight="1">
      <c r="A71" s="14" t="s">
        <v>55</v>
      </c>
      <c r="B71" s="10" t="s">
        <v>1764</v>
      </c>
      <c r="C71" s="10" t="s">
        <v>1743</v>
      </c>
      <c r="D71" s="10" t="s">
        <v>1744</v>
      </c>
      <c r="E71" s="10" t="s">
        <v>1763</v>
      </c>
      <c r="F71" s="15" t="s">
        <v>1746</v>
      </c>
    </row>
    <row r="72" spans="1:6" ht="15" customHeight="1">
      <c r="A72" s="14" t="s">
        <v>1821</v>
      </c>
      <c r="B72" s="10" t="s">
        <v>1822</v>
      </c>
      <c r="C72" s="10" t="s">
        <v>1743</v>
      </c>
      <c r="D72" s="10" t="s">
        <v>1744</v>
      </c>
      <c r="E72" s="10" t="s">
        <v>1745</v>
      </c>
      <c r="F72" s="15" t="s">
        <v>1751</v>
      </c>
    </row>
    <row r="73" spans="1:6" ht="15" customHeight="1">
      <c r="A73" s="14" t="s">
        <v>37</v>
      </c>
      <c r="B73" s="10" t="s">
        <v>1747</v>
      </c>
      <c r="C73" s="10" t="s">
        <v>1771</v>
      </c>
      <c r="D73" s="10" t="s">
        <v>1749</v>
      </c>
      <c r="E73" s="10" t="s">
        <v>1763</v>
      </c>
      <c r="F73" s="15" t="s">
        <v>1751</v>
      </c>
    </row>
    <row r="74" spans="1:6" ht="15" customHeight="1">
      <c r="A74" s="14" t="s">
        <v>1823</v>
      </c>
      <c r="B74" s="10" t="s">
        <v>1824</v>
      </c>
      <c r="C74" s="10" t="s">
        <v>1793</v>
      </c>
      <c r="D74" s="10" t="s">
        <v>1760</v>
      </c>
      <c r="E74" s="10" t="s">
        <v>1750</v>
      </c>
      <c r="F74" s="15" t="s">
        <v>1746</v>
      </c>
    </row>
    <row r="75" spans="1:6" ht="15" customHeight="1">
      <c r="A75" s="14" t="s">
        <v>394</v>
      </c>
      <c r="B75" s="10" t="s">
        <v>1825</v>
      </c>
      <c r="C75" s="10" t="s">
        <v>1793</v>
      </c>
      <c r="D75" s="10" t="s">
        <v>1760</v>
      </c>
      <c r="E75" s="10" t="s">
        <v>1745</v>
      </c>
      <c r="F75" s="15" t="s">
        <v>1746</v>
      </c>
    </row>
    <row r="76" spans="1:6" ht="15" customHeight="1">
      <c r="A76" s="14" t="s">
        <v>1181</v>
      </c>
      <c r="B76" s="10" t="s">
        <v>1752</v>
      </c>
      <c r="C76" s="10" t="s">
        <v>1781</v>
      </c>
      <c r="D76" s="10" t="s">
        <v>1777</v>
      </c>
      <c r="E76" s="10" t="s">
        <v>1745</v>
      </c>
      <c r="F76" s="15" t="s">
        <v>1751</v>
      </c>
    </row>
    <row r="77" spans="1:6" ht="15" customHeight="1">
      <c r="A77" s="14" t="s">
        <v>1014</v>
      </c>
      <c r="B77" s="10" t="s">
        <v>1786</v>
      </c>
      <c r="C77" s="10" t="s">
        <v>1743</v>
      </c>
      <c r="D77" s="10" t="s">
        <v>1744</v>
      </c>
      <c r="E77" s="10" t="s">
        <v>1750</v>
      </c>
      <c r="F77" s="15" t="s">
        <v>1754</v>
      </c>
    </row>
    <row r="78" spans="1:6" ht="15" customHeight="1">
      <c r="A78" s="14" t="s">
        <v>680</v>
      </c>
      <c r="B78" s="10" t="s">
        <v>1826</v>
      </c>
      <c r="C78" s="10" t="s">
        <v>1793</v>
      </c>
      <c r="D78" s="10" t="s">
        <v>1760</v>
      </c>
      <c r="E78" s="10" t="s">
        <v>1750</v>
      </c>
      <c r="F78" s="15" t="s">
        <v>1746</v>
      </c>
    </row>
    <row r="79" spans="1:6" ht="15" customHeight="1">
      <c r="A79" s="14" t="s">
        <v>91</v>
      </c>
      <c r="B79" s="10" t="s">
        <v>1827</v>
      </c>
      <c r="C79" s="10" t="s">
        <v>1776</v>
      </c>
      <c r="D79" s="10" t="s">
        <v>1777</v>
      </c>
      <c r="E79" s="10" t="s">
        <v>1745</v>
      </c>
      <c r="F79" s="15" t="s">
        <v>1746</v>
      </c>
    </row>
    <row r="80" spans="1:6" ht="15" customHeight="1">
      <c r="A80" s="14" t="s">
        <v>443</v>
      </c>
      <c r="B80" s="10" t="s">
        <v>1822</v>
      </c>
      <c r="C80" s="10" t="s">
        <v>1765</v>
      </c>
      <c r="D80" s="10" t="s">
        <v>1766</v>
      </c>
      <c r="E80" s="10" t="s">
        <v>1750</v>
      </c>
      <c r="F80" s="15" t="s">
        <v>1746</v>
      </c>
    </row>
    <row r="81" spans="1:6" ht="15" customHeight="1">
      <c r="A81" s="14" t="s">
        <v>676</v>
      </c>
      <c r="B81" s="10" t="s">
        <v>1828</v>
      </c>
      <c r="C81" s="10" t="s">
        <v>1771</v>
      </c>
      <c r="D81" s="10" t="s">
        <v>1749</v>
      </c>
      <c r="E81" s="10" t="s">
        <v>1750</v>
      </c>
      <c r="F81" s="15" t="s">
        <v>1751</v>
      </c>
    </row>
    <row r="82" spans="1:6" ht="15" customHeight="1">
      <c r="A82" s="14" t="s">
        <v>421</v>
      </c>
      <c r="B82" s="10" t="s">
        <v>1795</v>
      </c>
      <c r="C82" s="10" t="s">
        <v>1776</v>
      </c>
      <c r="D82" s="10" t="s">
        <v>1777</v>
      </c>
      <c r="E82" s="10" t="s">
        <v>1763</v>
      </c>
      <c r="F82" s="15" t="s">
        <v>1754</v>
      </c>
    </row>
    <row r="83" spans="1:6" ht="15" customHeight="1">
      <c r="A83" s="14" t="s">
        <v>351</v>
      </c>
      <c r="B83" s="10" t="s">
        <v>1829</v>
      </c>
      <c r="C83" s="10" t="s">
        <v>1753</v>
      </c>
      <c r="D83" s="10" t="s">
        <v>1744</v>
      </c>
      <c r="E83" s="10" t="s">
        <v>1750</v>
      </c>
      <c r="F83" s="15" t="s">
        <v>1751</v>
      </c>
    </row>
    <row r="84" spans="1:6" ht="15" customHeight="1">
      <c r="A84" s="14" t="s">
        <v>187</v>
      </c>
      <c r="B84" s="10" t="s">
        <v>1762</v>
      </c>
      <c r="C84" s="10" t="s">
        <v>1743</v>
      </c>
      <c r="D84" s="10" t="s">
        <v>1744</v>
      </c>
      <c r="E84" s="10" t="s">
        <v>1745</v>
      </c>
      <c r="F84" s="15" t="s">
        <v>1751</v>
      </c>
    </row>
    <row r="85" spans="1:6" ht="15" customHeight="1">
      <c r="A85" s="14" t="s">
        <v>314</v>
      </c>
      <c r="B85" s="10" t="s">
        <v>1801</v>
      </c>
      <c r="C85" s="10" t="s">
        <v>1765</v>
      </c>
      <c r="D85" s="10" t="s">
        <v>1766</v>
      </c>
      <c r="E85" s="10" t="s">
        <v>1745</v>
      </c>
      <c r="F85" s="15" t="s">
        <v>1746</v>
      </c>
    </row>
    <row r="86" spans="1:6" ht="15" customHeight="1">
      <c r="A86" s="14" t="s">
        <v>582</v>
      </c>
      <c r="B86" s="10" t="s">
        <v>1830</v>
      </c>
      <c r="C86" s="10" t="s">
        <v>1759</v>
      </c>
      <c r="D86" s="10" t="s">
        <v>1760</v>
      </c>
      <c r="E86" s="10" t="s">
        <v>1763</v>
      </c>
      <c r="F86" s="15" t="s">
        <v>1751</v>
      </c>
    </row>
    <row r="87" spans="1:6" ht="15" customHeight="1">
      <c r="A87" s="14" t="s">
        <v>389</v>
      </c>
      <c r="B87" s="10" t="s">
        <v>1831</v>
      </c>
      <c r="C87" s="10" t="s">
        <v>1753</v>
      </c>
      <c r="D87" s="10" t="s">
        <v>1744</v>
      </c>
      <c r="E87" s="10" t="s">
        <v>1745</v>
      </c>
      <c r="F87" s="15" t="s">
        <v>1746</v>
      </c>
    </row>
    <row r="88" spans="1:6" ht="15" customHeight="1">
      <c r="A88" s="14" t="s">
        <v>347</v>
      </c>
      <c r="B88" s="10" t="s">
        <v>1815</v>
      </c>
      <c r="C88" s="10" t="s">
        <v>1748</v>
      </c>
      <c r="D88" s="10" t="s">
        <v>1749</v>
      </c>
      <c r="E88" s="10" t="s">
        <v>1745</v>
      </c>
      <c r="F88" s="15" t="s">
        <v>1751</v>
      </c>
    </row>
    <row r="89" spans="1:6" ht="15" customHeight="1">
      <c r="A89" s="14" t="s">
        <v>512</v>
      </c>
      <c r="B89" s="10" t="s">
        <v>1808</v>
      </c>
      <c r="C89" s="10" t="s">
        <v>1753</v>
      </c>
      <c r="D89" s="10" t="s">
        <v>1744</v>
      </c>
      <c r="E89" s="10" t="s">
        <v>1745</v>
      </c>
      <c r="F89" s="15" t="s">
        <v>1746</v>
      </c>
    </row>
    <row r="90" spans="1:6" ht="15" customHeight="1">
      <c r="A90" s="14" t="s">
        <v>218</v>
      </c>
      <c r="B90" s="10" t="s">
        <v>1832</v>
      </c>
      <c r="C90" s="10" t="s">
        <v>1753</v>
      </c>
      <c r="D90" s="10" t="s">
        <v>1744</v>
      </c>
      <c r="E90" s="10" t="s">
        <v>1763</v>
      </c>
      <c r="F90" s="15" t="s">
        <v>1754</v>
      </c>
    </row>
    <row r="91" spans="1:6" ht="15" customHeight="1">
      <c r="A91" s="14" t="s">
        <v>672</v>
      </c>
      <c r="B91" s="10" t="s">
        <v>1833</v>
      </c>
      <c r="C91" s="10" t="s">
        <v>1743</v>
      </c>
      <c r="D91" s="10" t="s">
        <v>1744</v>
      </c>
      <c r="E91" s="10" t="s">
        <v>1745</v>
      </c>
      <c r="F91" s="15" t="s">
        <v>1746</v>
      </c>
    </row>
    <row r="92" spans="1:6" ht="15" customHeight="1">
      <c r="A92" s="14" t="s">
        <v>755</v>
      </c>
      <c r="B92" s="10" t="s">
        <v>1834</v>
      </c>
      <c r="C92" s="10" t="s">
        <v>1753</v>
      </c>
      <c r="D92" s="10" t="s">
        <v>1744</v>
      </c>
      <c r="E92" s="10" t="s">
        <v>1750</v>
      </c>
      <c r="F92" s="15" t="s">
        <v>1754</v>
      </c>
    </row>
    <row r="93" spans="1:6" ht="15" customHeight="1">
      <c r="A93" s="14" t="s">
        <v>307</v>
      </c>
      <c r="B93" s="10" t="s">
        <v>1835</v>
      </c>
      <c r="C93" s="10" t="s">
        <v>1771</v>
      </c>
      <c r="D93" s="10" t="s">
        <v>1749</v>
      </c>
      <c r="E93" s="10" t="s">
        <v>1763</v>
      </c>
      <c r="F93" s="15" t="s">
        <v>1754</v>
      </c>
    </row>
    <row r="94" spans="1:6" ht="15" customHeight="1">
      <c r="A94" s="14" t="s">
        <v>233</v>
      </c>
      <c r="B94" s="10" t="s">
        <v>1764</v>
      </c>
      <c r="C94" s="10" t="s">
        <v>1765</v>
      </c>
      <c r="D94" s="10" t="s">
        <v>1766</v>
      </c>
      <c r="E94" s="10" t="s">
        <v>1745</v>
      </c>
      <c r="F94" s="15" t="s">
        <v>1746</v>
      </c>
    </row>
    <row r="95" spans="1:6" ht="15" customHeight="1">
      <c r="A95" s="14" t="s">
        <v>365</v>
      </c>
      <c r="B95" s="10" t="s">
        <v>1836</v>
      </c>
      <c r="C95" s="10" t="s">
        <v>1765</v>
      </c>
      <c r="D95" s="10" t="s">
        <v>1766</v>
      </c>
      <c r="E95" s="10" t="s">
        <v>1745</v>
      </c>
      <c r="F95" s="15" t="s">
        <v>1746</v>
      </c>
    </row>
    <row r="96" spans="1:6" ht="15" customHeight="1">
      <c r="A96" s="14" t="s">
        <v>340</v>
      </c>
      <c r="B96" s="10" t="s">
        <v>1837</v>
      </c>
      <c r="C96" s="10" t="s">
        <v>1743</v>
      </c>
      <c r="D96" s="10" t="s">
        <v>1744</v>
      </c>
      <c r="E96" s="10" t="s">
        <v>1745</v>
      </c>
      <c r="F96" s="15" t="s">
        <v>1746</v>
      </c>
    </row>
    <row r="97" spans="1:6" ht="15" customHeight="1">
      <c r="A97" s="14" t="s">
        <v>490</v>
      </c>
      <c r="B97" s="10" t="s">
        <v>1838</v>
      </c>
      <c r="C97" s="10" t="s">
        <v>1743</v>
      </c>
      <c r="D97" s="10" t="s">
        <v>1744</v>
      </c>
      <c r="E97" s="10" t="s">
        <v>1763</v>
      </c>
      <c r="F97" s="15" t="s">
        <v>1751</v>
      </c>
    </row>
    <row r="98" spans="1:6" ht="15" customHeight="1">
      <c r="A98" s="14" t="s">
        <v>1363</v>
      </c>
      <c r="B98" s="10" t="s">
        <v>1801</v>
      </c>
      <c r="C98" s="10" t="s">
        <v>1756</v>
      </c>
      <c r="D98" s="10" t="s">
        <v>1757</v>
      </c>
      <c r="E98" s="10" t="s">
        <v>1745</v>
      </c>
      <c r="F98" s="15" t="s">
        <v>1746</v>
      </c>
    </row>
    <row r="99" spans="1:6" ht="15" customHeight="1">
      <c r="A99" s="14" t="s">
        <v>1575</v>
      </c>
      <c r="B99" s="10" t="s">
        <v>1839</v>
      </c>
      <c r="C99" s="10" t="s">
        <v>1748</v>
      </c>
      <c r="D99" s="10" t="s">
        <v>1749</v>
      </c>
      <c r="E99" s="10" t="s">
        <v>1763</v>
      </c>
      <c r="F99" s="15" t="s">
        <v>1746</v>
      </c>
    </row>
    <row r="100" spans="1:6" ht="15" customHeight="1">
      <c r="A100" s="14" t="s">
        <v>475</v>
      </c>
      <c r="B100" s="10" t="s">
        <v>1840</v>
      </c>
      <c r="C100" s="10" t="s">
        <v>1748</v>
      </c>
      <c r="D100" s="10" t="s">
        <v>1749</v>
      </c>
      <c r="E100" s="10" t="s">
        <v>1763</v>
      </c>
      <c r="F100" s="15" t="s">
        <v>1751</v>
      </c>
    </row>
    <row r="101" spans="1:6" ht="15" customHeight="1">
      <c r="A101" s="14" t="s">
        <v>1093</v>
      </c>
      <c r="B101" s="10" t="s">
        <v>1762</v>
      </c>
      <c r="C101" s="10" t="s">
        <v>1776</v>
      </c>
      <c r="D101" s="10" t="s">
        <v>1777</v>
      </c>
      <c r="E101" s="10" t="s">
        <v>1750</v>
      </c>
      <c r="F101" s="15" t="s">
        <v>1746</v>
      </c>
    </row>
    <row r="102" spans="1:6" ht="15" customHeight="1">
      <c r="A102" s="14" t="s">
        <v>1841</v>
      </c>
      <c r="B102" s="10" t="s">
        <v>1837</v>
      </c>
      <c r="C102" s="10" t="s">
        <v>1759</v>
      </c>
      <c r="D102" s="10" t="s">
        <v>1760</v>
      </c>
      <c r="E102" s="10" t="s">
        <v>1745</v>
      </c>
      <c r="F102" s="15" t="s">
        <v>1751</v>
      </c>
    </row>
    <row r="103" spans="1:6" ht="15" customHeight="1">
      <c r="A103" s="14" t="s">
        <v>1490</v>
      </c>
      <c r="B103" s="10" t="s">
        <v>1767</v>
      </c>
      <c r="C103" s="10" t="s">
        <v>1765</v>
      </c>
      <c r="D103" s="10" t="s">
        <v>1766</v>
      </c>
      <c r="E103" s="10" t="s">
        <v>1745</v>
      </c>
      <c r="F103" s="15" t="s">
        <v>1746</v>
      </c>
    </row>
    <row r="104" spans="1:6" ht="15" customHeight="1">
      <c r="A104" s="14" t="s">
        <v>1842</v>
      </c>
      <c r="B104" s="10" t="s">
        <v>1758</v>
      </c>
      <c r="C104" s="10" t="s">
        <v>1765</v>
      </c>
      <c r="D104" s="10" t="s">
        <v>1766</v>
      </c>
      <c r="E104" s="10" t="s">
        <v>1750</v>
      </c>
      <c r="F104" s="15" t="s">
        <v>1751</v>
      </c>
    </row>
    <row r="105" spans="1:6" ht="15" customHeight="1">
      <c r="A105" s="14" t="s">
        <v>1843</v>
      </c>
      <c r="B105" s="10" t="s">
        <v>1832</v>
      </c>
      <c r="C105" s="10" t="s">
        <v>1776</v>
      </c>
      <c r="D105" s="10" t="s">
        <v>1777</v>
      </c>
      <c r="E105" s="10" t="s">
        <v>1763</v>
      </c>
      <c r="F105" s="15" t="s">
        <v>1751</v>
      </c>
    </row>
    <row r="106" spans="1:6" ht="15" customHeight="1">
      <c r="A106" s="14" t="s">
        <v>977</v>
      </c>
      <c r="B106" s="10" t="s">
        <v>1796</v>
      </c>
      <c r="C106" s="10" t="s">
        <v>1756</v>
      </c>
      <c r="D106" s="10" t="s">
        <v>1757</v>
      </c>
      <c r="E106" s="10" t="s">
        <v>1745</v>
      </c>
      <c r="F106" s="15" t="s">
        <v>1751</v>
      </c>
    </row>
    <row r="107" spans="1:6" ht="15" customHeight="1">
      <c r="A107" s="14" t="s">
        <v>697</v>
      </c>
      <c r="B107" s="10" t="s">
        <v>1796</v>
      </c>
      <c r="C107" s="10" t="s">
        <v>1748</v>
      </c>
      <c r="D107" s="10" t="s">
        <v>1749</v>
      </c>
      <c r="E107" s="10" t="s">
        <v>1745</v>
      </c>
      <c r="F107" s="15" t="s">
        <v>1751</v>
      </c>
    </row>
    <row r="108" spans="1:6" ht="15" customHeight="1">
      <c r="A108" s="14" t="s">
        <v>927</v>
      </c>
      <c r="B108" s="10" t="s">
        <v>1844</v>
      </c>
      <c r="C108" s="10" t="s">
        <v>1759</v>
      </c>
      <c r="D108" s="10" t="s">
        <v>1760</v>
      </c>
      <c r="E108" s="10" t="s">
        <v>1763</v>
      </c>
      <c r="F108" s="15" t="s">
        <v>1751</v>
      </c>
    </row>
    <row r="109" spans="1:6" ht="15" customHeight="1">
      <c r="A109" s="14" t="s">
        <v>163</v>
      </c>
      <c r="B109" s="10" t="s">
        <v>1845</v>
      </c>
      <c r="C109" s="10" t="s">
        <v>1776</v>
      </c>
      <c r="D109" s="10" t="s">
        <v>1777</v>
      </c>
      <c r="E109" s="10" t="s">
        <v>1745</v>
      </c>
      <c r="F109" s="15" t="s">
        <v>1746</v>
      </c>
    </row>
    <row r="110" spans="1:6" ht="15" customHeight="1">
      <c r="A110" s="14" t="s">
        <v>1846</v>
      </c>
      <c r="B110" s="10" t="s">
        <v>1808</v>
      </c>
      <c r="C110" s="10" t="s">
        <v>1771</v>
      </c>
      <c r="D110" s="10" t="s">
        <v>1749</v>
      </c>
      <c r="E110" s="10" t="s">
        <v>1745</v>
      </c>
      <c r="F110" s="15" t="s">
        <v>1746</v>
      </c>
    </row>
    <row r="111" spans="1:6" ht="15" customHeight="1">
      <c r="A111" s="14" t="s">
        <v>507</v>
      </c>
      <c r="B111" s="10" t="s">
        <v>1799</v>
      </c>
      <c r="C111" s="10" t="s">
        <v>1748</v>
      </c>
      <c r="D111" s="10" t="s">
        <v>1749</v>
      </c>
      <c r="E111" s="10" t="s">
        <v>1745</v>
      </c>
      <c r="F111" s="15" t="s">
        <v>1746</v>
      </c>
    </row>
    <row r="112" spans="1:6" ht="15" customHeight="1">
      <c r="A112" s="14" t="s">
        <v>1097</v>
      </c>
      <c r="B112" s="10" t="s">
        <v>1847</v>
      </c>
      <c r="C112" s="10" t="s">
        <v>1793</v>
      </c>
      <c r="D112" s="10" t="s">
        <v>1760</v>
      </c>
      <c r="E112" s="10" t="s">
        <v>1745</v>
      </c>
      <c r="F112" s="15" t="s">
        <v>1754</v>
      </c>
    </row>
    <row r="113" spans="1:6" ht="15" customHeight="1">
      <c r="A113" s="14" t="s">
        <v>536</v>
      </c>
      <c r="B113" s="10" t="s">
        <v>1779</v>
      </c>
      <c r="C113" s="10" t="s">
        <v>1771</v>
      </c>
      <c r="D113" s="10" t="s">
        <v>1749</v>
      </c>
      <c r="E113" s="10" t="s">
        <v>1763</v>
      </c>
      <c r="F113" s="15" t="s">
        <v>1751</v>
      </c>
    </row>
    <row r="114" spans="1:6" ht="15" customHeight="1">
      <c r="A114" s="14" t="s">
        <v>410</v>
      </c>
      <c r="B114" s="10" t="s">
        <v>1848</v>
      </c>
      <c r="C114" s="10" t="s">
        <v>1743</v>
      </c>
      <c r="D114" s="10" t="s">
        <v>1744</v>
      </c>
      <c r="E114" s="10" t="s">
        <v>1745</v>
      </c>
      <c r="F114" s="15" t="s">
        <v>1746</v>
      </c>
    </row>
    <row r="115" spans="1:6" ht="15" customHeight="1">
      <c r="A115" s="14" t="s">
        <v>667</v>
      </c>
      <c r="B115" s="10" t="s">
        <v>1849</v>
      </c>
      <c r="C115" s="10" t="s">
        <v>1753</v>
      </c>
      <c r="D115" s="10" t="s">
        <v>1744</v>
      </c>
      <c r="E115" s="10" t="s">
        <v>1745</v>
      </c>
      <c r="F115" s="15" t="s">
        <v>1754</v>
      </c>
    </row>
    <row r="116" spans="1:6" ht="15" customHeight="1">
      <c r="A116" s="14" t="s">
        <v>294</v>
      </c>
      <c r="B116" s="10" t="s">
        <v>1850</v>
      </c>
      <c r="C116" s="10" t="s">
        <v>1743</v>
      </c>
      <c r="D116" s="10" t="s">
        <v>1744</v>
      </c>
      <c r="E116" s="10" t="s">
        <v>1750</v>
      </c>
      <c r="F116" s="15" t="s">
        <v>1754</v>
      </c>
    </row>
    <row r="117" spans="1:6" ht="15" customHeight="1">
      <c r="A117" s="14" t="s">
        <v>1851</v>
      </c>
      <c r="B117" s="10" t="s">
        <v>1852</v>
      </c>
      <c r="C117" s="10" t="s">
        <v>1748</v>
      </c>
      <c r="D117" s="10" t="s">
        <v>1749</v>
      </c>
      <c r="E117" s="10" t="s">
        <v>1750</v>
      </c>
      <c r="F117" s="15" t="s">
        <v>1754</v>
      </c>
    </row>
    <row r="118" spans="1:6" ht="15" customHeight="1">
      <c r="A118" s="14" t="s">
        <v>499</v>
      </c>
      <c r="B118" s="10" t="s">
        <v>1853</v>
      </c>
      <c r="C118" s="10" t="s">
        <v>1743</v>
      </c>
      <c r="D118" s="10" t="s">
        <v>1744</v>
      </c>
      <c r="E118" s="10" t="s">
        <v>1763</v>
      </c>
      <c r="F118" s="15" t="s">
        <v>1754</v>
      </c>
    </row>
    <row r="119" spans="1:6" ht="15" customHeight="1">
      <c r="A119" s="14" t="s">
        <v>1485</v>
      </c>
      <c r="B119" s="10" t="s">
        <v>1854</v>
      </c>
      <c r="C119" s="10" t="s">
        <v>1781</v>
      </c>
      <c r="D119" s="10" t="s">
        <v>1777</v>
      </c>
      <c r="E119" s="10" t="s">
        <v>1750</v>
      </c>
      <c r="F119" s="15" t="s">
        <v>1754</v>
      </c>
    </row>
    <row r="120" spans="1:6" ht="15" customHeight="1">
      <c r="A120" s="14" t="s">
        <v>1855</v>
      </c>
      <c r="B120" s="10" t="s">
        <v>1822</v>
      </c>
      <c r="C120" s="10" t="s">
        <v>1776</v>
      </c>
      <c r="D120" s="10" t="s">
        <v>1777</v>
      </c>
      <c r="E120" s="10" t="s">
        <v>1750</v>
      </c>
      <c r="F120" s="15" t="s">
        <v>1754</v>
      </c>
    </row>
    <row r="121" spans="1:6" ht="15" customHeight="1">
      <c r="A121" s="14" t="s">
        <v>880</v>
      </c>
      <c r="B121" s="10" t="s">
        <v>1773</v>
      </c>
      <c r="C121" s="10" t="s">
        <v>1765</v>
      </c>
      <c r="D121" s="10" t="s">
        <v>1766</v>
      </c>
      <c r="E121" s="10" t="s">
        <v>1763</v>
      </c>
      <c r="F121" s="15" t="s">
        <v>1746</v>
      </c>
    </row>
    <row r="122" spans="1:6" ht="15" customHeight="1">
      <c r="A122" s="14" t="s">
        <v>1463</v>
      </c>
      <c r="B122" s="10" t="s">
        <v>1856</v>
      </c>
      <c r="C122" s="10" t="s">
        <v>1776</v>
      </c>
      <c r="D122" s="10" t="s">
        <v>1777</v>
      </c>
      <c r="E122" s="10" t="s">
        <v>1745</v>
      </c>
      <c r="F122" s="15" t="s">
        <v>1754</v>
      </c>
    </row>
    <row r="123" spans="1:6" ht="15" customHeight="1">
      <c r="A123" s="14" t="s">
        <v>1447</v>
      </c>
      <c r="B123" s="10" t="s">
        <v>1838</v>
      </c>
      <c r="C123" s="10" t="s">
        <v>1781</v>
      </c>
      <c r="D123" s="10" t="s">
        <v>1777</v>
      </c>
      <c r="E123" s="10" t="s">
        <v>1750</v>
      </c>
      <c r="F123" s="15" t="s">
        <v>1746</v>
      </c>
    </row>
    <row r="124" spans="1:6" ht="15" customHeight="1">
      <c r="A124" s="14" t="s">
        <v>371</v>
      </c>
      <c r="B124" s="10" t="s">
        <v>1805</v>
      </c>
      <c r="C124" s="10" t="s">
        <v>1793</v>
      </c>
      <c r="D124" s="10" t="s">
        <v>1760</v>
      </c>
      <c r="E124" s="10" t="s">
        <v>1763</v>
      </c>
      <c r="F124" s="15" t="s">
        <v>1754</v>
      </c>
    </row>
    <row r="125" spans="1:6" ht="15" customHeight="1">
      <c r="A125" s="14" t="s">
        <v>1344</v>
      </c>
      <c r="B125" s="10" t="s">
        <v>1796</v>
      </c>
      <c r="C125" s="10" t="s">
        <v>1765</v>
      </c>
      <c r="D125" s="10" t="s">
        <v>1766</v>
      </c>
      <c r="E125" s="10" t="s">
        <v>1763</v>
      </c>
      <c r="F125" s="15" t="s">
        <v>1746</v>
      </c>
    </row>
    <row r="126" spans="1:6" ht="15" customHeight="1">
      <c r="A126" s="14" t="s">
        <v>645</v>
      </c>
      <c r="B126" s="10" t="s">
        <v>1852</v>
      </c>
      <c r="C126" s="10" t="s">
        <v>1756</v>
      </c>
      <c r="D126" s="10" t="s">
        <v>1757</v>
      </c>
      <c r="E126" s="10" t="s">
        <v>1750</v>
      </c>
      <c r="F126" s="15" t="s">
        <v>1746</v>
      </c>
    </row>
    <row r="127" spans="1:6" ht="15" customHeight="1">
      <c r="A127" s="14" t="s">
        <v>1384</v>
      </c>
      <c r="B127" s="10" t="s">
        <v>1848</v>
      </c>
      <c r="C127" s="10" t="s">
        <v>1756</v>
      </c>
      <c r="D127" s="10" t="s">
        <v>1757</v>
      </c>
      <c r="E127" s="10" t="s">
        <v>1763</v>
      </c>
      <c r="F127" s="15" t="s">
        <v>1754</v>
      </c>
    </row>
    <row r="128" spans="1:6" ht="15" customHeight="1">
      <c r="A128" s="14" t="s">
        <v>760</v>
      </c>
      <c r="B128" s="10" t="s">
        <v>1755</v>
      </c>
      <c r="C128" s="10" t="s">
        <v>1748</v>
      </c>
      <c r="D128" s="10" t="s">
        <v>1749</v>
      </c>
      <c r="E128" s="10" t="s">
        <v>1763</v>
      </c>
      <c r="F128" s="15" t="s">
        <v>1751</v>
      </c>
    </row>
    <row r="129" spans="1:6" ht="15" customHeight="1">
      <c r="A129" s="14" t="s">
        <v>1857</v>
      </c>
      <c r="B129" s="10" t="s">
        <v>1802</v>
      </c>
      <c r="C129" s="10" t="s">
        <v>1781</v>
      </c>
      <c r="D129" s="10" t="s">
        <v>1777</v>
      </c>
      <c r="E129" s="10" t="s">
        <v>1763</v>
      </c>
      <c r="F129" s="15" t="s">
        <v>1746</v>
      </c>
    </row>
    <row r="130" spans="1:6" ht="15" customHeight="1">
      <c r="A130" s="14" t="s">
        <v>1858</v>
      </c>
      <c r="B130" s="10" t="s">
        <v>1859</v>
      </c>
      <c r="C130" s="10" t="s">
        <v>1793</v>
      </c>
      <c r="D130" s="10" t="s">
        <v>1760</v>
      </c>
      <c r="E130" s="10" t="s">
        <v>1750</v>
      </c>
      <c r="F130" s="15" t="s">
        <v>1754</v>
      </c>
    </row>
    <row r="131" spans="1:6" ht="15" customHeight="1">
      <c r="A131" s="14" t="s">
        <v>224</v>
      </c>
      <c r="B131" s="10" t="s">
        <v>1810</v>
      </c>
      <c r="C131" s="10" t="s">
        <v>1771</v>
      </c>
      <c r="D131" s="10" t="s">
        <v>1749</v>
      </c>
      <c r="E131" s="10" t="s">
        <v>1750</v>
      </c>
      <c r="F131" s="15" t="s">
        <v>1751</v>
      </c>
    </row>
    <row r="132" spans="1:6" ht="15" customHeight="1">
      <c r="A132" s="14" t="s">
        <v>1860</v>
      </c>
      <c r="B132" s="10" t="s">
        <v>1779</v>
      </c>
      <c r="C132" s="10" t="s">
        <v>1756</v>
      </c>
      <c r="D132" s="10" t="s">
        <v>1757</v>
      </c>
      <c r="E132" s="10" t="s">
        <v>1745</v>
      </c>
      <c r="F132" s="15" t="s">
        <v>1751</v>
      </c>
    </row>
    <row r="133" spans="1:6" ht="15" customHeight="1">
      <c r="A133" s="14" t="s">
        <v>207</v>
      </c>
      <c r="B133" s="10" t="s">
        <v>1861</v>
      </c>
      <c r="C133" s="10" t="s">
        <v>1748</v>
      </c>
      <c r="D133" s="10" t="s">
        <v>1749</v>
      </c>
      <c r="E133" s="10" t="s">
        <v>1750</v>
      </c>
      <c r="F133" s="15" t="s">
        <v>1754</v>
      </c>
    </row>
    <row r="134" spans="1:6" ht="15" customHeight="1">
      <c r="A134" s="14" t="s">
        <v>321</v>
      </c>
      <c r="B134" s="10" t="s">
        <v>1862</v>
      </c>
      <c r="C134" s="10" t="s">
        <v>1781</v>
      </c>
      <c r="D134" s="10" t="s">
        <v>1777</v>
      </c>
      <c r="E134" s="10" t="s">
        <v>1750</v>
      </c>
      <c r="F134" s="15" t="s">
        <v>1751</v>
      </c>
    </row>
    <row r="135" spans="1:6" ht="15" customHeight="1">
      <c r="A135" s="14" t="s">
        <v>1083</v>
      </c>
      <c r="B135" s="10" t="s">
        <v>1755</v>
      </c>
      <c r="C135" s="10" t="s">
        <v>1793</v>
      </c>
      <c r="D135" s="10" t="s">
        <v>1760</v>
      </c>
      <c r="E135" s="10" t="s">
        <v>1763</v>
      </c>
      <c r="F135" s="15" t="s">
        <v>1754</v>
      </c>
    </row>
    <row r="136" spans="1:6" ht="15" customHeight="1">
      <c r="A136" s="14" t="s">
        <v>1254</v>
      </c>
      <c r="B136" s="10" t="s">
        <v>1809</v>
      </c>
      <c r="C136" s="10" t="s">
        <v>1748</v>
      </c>
      <c r="D136" s="10" t="s">
        <v>1749</v>
      </c>
      <c r="E136" s="10" t="s">
        <v>1745</v>
      </c>
      <c r="F136" s="15" t="s">
        <v>1746</v>
      </c>
    </row>
    <row r="137" spans="1:6" ht="15" customHeight="1">
      <c r="A137" s="14" t="s">
        <v>1316</v>
      </c>
      <c r="B137" s="10" t="s">
        <v>1798</v>
      </c>
      <c r="C137" s="10" t="s">
        <v>1771</v>
      </c>
      <c r="D137" s="10" t="s">
        <v>1749</v>
      </c>
      <c r="E137" s="10" t="s">
        <v>1745</v>
      </c>
      <c r="F137" s="15" t="s">
        <v>1751</v>
      </c>
    </row>
    <row r="138" spans="1:6" ht="15" customHeight="1">
      <c r="A138" s="14" t="s">
        <v>935</v>
      </c>
      <c r="B138" s="10" t="s">
        <v>1836</v>
      </c>
      <c r="C138" s="10" t="s">
        <v>1781</v>
      </c>
      <c r="D138" s="10" t="s">
        <v>1777</v>
      </c>
      <c r="E138" s="10" t="s">
        <v>1763</v>
      </c>
      <c r="F138" s="15" t="s">
        <v>1754</v>
      </c>
    </row>
    <row r="139" spans="1:6" ht="15" customHeight="1">
      <c r="A139" s="14" t="s">
        <v>660</v>
      </c>
      <c r="B139" s="10" t="s">
        <v>1807</v>
      </c>
      <c r="C139" s="10" t="s">
        <v>1748</v>
      </c>
      <c r="D139" s="10" t="s">
        <v>1749</v>
      </c>
      <c r="E139" s="10" t="s">
        <v>1745</v>
      </c>
      <c r="F139" s="15" t="s">
        <v>1754</v>
      </c>
    </row>
    <row r="140" spans="1:6" ht="15" customHeight="1">
      <c r="A140" s="14" t="s">
        <v>414</v>
      </c>
      <c r="B140" s="10" t="s">
        <v>1863</v>
      </c>
      <c r="C140" s="10" t="s">
        <v>1743</v>
      </c>
      <c r="D140" s="10" t="s">
        <v>1744</v>
      </c>
      <c r="E140" s="10" t="s">
        <v>1750</v>
      </c>
      <c r="F140" s="15" t="s">
        <v>1746</v>
      </c>
    </row>
    <row r="141" spans="1:6" ht="15" customHeight="1">
      <c r="A141" s="14" t="s">
        <v>621</v>
      </c>
      <c r="B141" s="10" t="s">
        <v>1861</v>
      </c>
      <c r="C141" s="10" t="s">
        <v>1771</v>
      </c>
      <c r="D141" s="10" t="s">
        <v>1749</v>
      </c>
      <c r="E141" s="10" t="s">
        <v>1750</v>
      </c>
      <c r="F141" s="15" t="s">
        <v>1751</v>
      </c>
    </row>
    <row r="142" spans="1:6" ht="15" customHeight="1">
      <c r="A142" s="14" t="s">
        <v>144</v>
      </c>
      <c r="B142" s="10" t="s">
        <v>1786</v>
      </c>
      <c r="C142" s="10" t="s">
        <v>1776</v>
      </c>
      <c r="D142" s="10" t="s">
        <v>1777</v>
      </c>
      <c r="E142" s="10" t="s">
        <v>1763</v>
      </c>
      <c r="F142" s="15" t="s">
        <v>1746</v>
      </c>
    </row>
    <row r="143" spans="1:6" ht="15" customHeight="1">
      <c r="A143" s="14" t="s">
        <v>1864</v>
      </c>
      <c r="B143" s="10" t="s">
        <v>1828</v>
      </c>
      <c r="C143" s="10" t="s">
        <v>1756</v>
      </c>
      <c r="D143" s="10" t="s">
        <v>1757</v>
      </c>
      <c r="E143" s="10" t="s">
        <v>1745</v>
      </c>
      <c r="F143" s="15" t="s">
        <v>1746</v>
      </c>
    </row>
    <row r="144" spans="1:6" ht="15" customHeight="1">
      <c r="A144" s="14" t="s">
        <v>575</v>
      </c>
      <c r="B144" s="10" t="s">
        <v>1852</v>
      </c>
      <c r="C144" s="10" t="s">
        <v>1748</v>
      </c>
      <c r="D144" s="10" t="s">
        <v>1749</v>
      </c>
      <c r="E144" s="10" t="s">
        <v>1745</v>
      </c>
      <c r="F144" s="15" t="s">
        <v>1751</v>
      </c>
    </row>
    <row r="145" spans="1:6" ht="15" customHeight="1">
      <c r="A145" s="14" t="s">
        <v>183</v>
      </c>
      <c r="B145" s="10" t="s">
        <v>1812</v>
      </c>
      <c r="C145" s="10" t="s">
        <v>1771</v>
      </c>
      <c r="D145" s="10" t="s">
        <v>1749</v>
      </c>
      <c r="E145" s="10" t="s">
        <v>1763</v>
      </c>
      <c r="F145" s="15" t="s">
        <v>1751</v>
      </c>
    </row>
    <row r="146" spans="1:6" ht="15" customHeight="1">
      <c r="A146" s="14" t="s">
        <v>450</v>
      </c>
      <c r="B146" s="10" t="s">
        <v>1810</v>
      </c>
      <c r="C146" s="10" t="s">
        <v>1756</v>
      </c>
      <c r="D146" s="10" t="s">
        <v>1757</v>
      </c>
      <c r="E146" s="10" t="s">
        <v>1763</v>
      </c>
      <c r="F146" s="15" t="s">
        <v>1751</v>
      </c>
    </row>
    <row r="147" spans="1:6" ht="15" customHeight="1">
      <c r="A147" s="14" t="s">
        <v>193</v>
      </c>
      <c r="B147" s="10" t="s">
        <v>1865</v>
      </c>
      <c r="C147" s="10" t="s">
        <v>1781</v>
      </c>
      <c r="D147" s="10" t="s">
        <v>1777</v>
      </c>
      <c r="E147" s="10" t="s">
        <v>1763</v>
      </c>
      <c r="F147" s="15" t="s">
        <v>1746</v>
      </c>
    </row>
    <row r="148" spans="1:6" ht="15" customHeight="1">
      <c r="A148" s="14" t="s">
        <v>176</v>
      </c>
      <c r="B148" s="10" t="s">
        <v>1866</v>
      </c>
      <c r="C148" s="10" t="s">
        <v>1776</v>
      </c>
      <c r="D148" s="10" t="s">
        <v>1777</v>
      </c>
      <c r="E148" s="10" t="s">
        <v>1763</v>
      </c>
      <c r="F148" s="15" t="s">
        <v>1754</v>
      </c>
    </row>
    <row r="149" spans="1:6" ht="15" customHeight="1">
      <c r="A149" s="14" t="s">
        <v>328</v>
      </c>
      <c r="B149" s="10" t="s">
        <v>1752</v>
      </c>
      <c r="C149" s="10" t="s">
        <v>1768</v>
      </c>
      <c r="D149" s="10" t="s">
        <v>1769</v>
      </c>
      <c r="E149" s="10" t="s">
        <v>1750</v>
      </c>
      <c r="F149" s="15" t="s">
        <v>1746</v>
      </c>
    </row>
    <row r="150" spans="1:6" ht="15" customHeight="1">
      <c r="A150" s="14" t="s">
        <v>1867</v>
      </c>
      <c r="B150" s="10" t="s">
        <v>1775</v>
      </c>
      <c r="C150" s="10" t="s">
        <v>1793</v>
      </c>
      <c r="D150" s="10" t="s">
        <v>1760</v>
      </c>
      <c r="E150" s="10" t="s">
        <v>1763</v>
      </c>
      <c r="F150" s="15" t="s">
        <v>1746</v>
      </c>
    </row>
    <row r="151" spans="1:6" ht="15" customHeight="1">
      <c r="A151" s="14" t="s">
        <v>843</v>
      </c>
      <c r="B151" s="10" t="s">
        <v>1801</v>
      </c>
      <c r="C151" s="10" t="s">
        <v>1743</v>
      </c>
      <c r="D151" s="10" t="s">
        <v>1744</v>
      </c>
      <c r="E151" s="10" t="s">
        <v>1745</v>
      </c>
      <c r="F151" s="15" t="s">
        <v>1751</v>
      </c>
    </row>
    <row r="152" spans="1:6" ht="15" customHeight="1">
      <c r="A152" s="14" t="s">
        <v>1024</v>
      </c>
      <c r="B152" s="10" t="s">
        <v>1866</v>
      </c>
      <c r="C152" s="10" t="s">
        <v>1793</v>
      </c>
      <c r="D152" s="10" t="s">
        <v>1760</v>
      </c>
      <c r="E152" s="10" t="s">
        <v>1745</v>
      </c>
      <c r="F152" s="15" t="s">
        <v>1754</v>
      </c>
    </row>
    <row r="153" spans="1:6" ht="15" customHeight="1">
      <c r="A153" s="14" t="s">
        <v>1019</v>
      </c>
      <c r="B153" s="10" t="s">
        <v>1772</v>
      </c>
      <c r="C153" s="10" t="s">
        <v>1756</v>
      </c>
      <c r="D153" s="10" t="s">
        <v>1757</v>
      </c>
      <c r="E153" s="10" t="s">
        <v>1763</v>
      </c>
      <c r="F153" s="15" t="s">
        <v>1746</v>
      </c>
    </row>
    <row r="154" spans="1:6" ht="15" customHeight="1">
      <c r="A154" s="14" t="s">
        <v>256</v>
      </c>
      <c r="B154" s="10" t="s">
        <v>1868</v>
      </c>
      <c r="C154" s="10" t="s">
        <v>1765</v>
      </c>
      <c r="D154" s="10" t="s">
        <v>1766</v>
      </c>
      <c r="E154" s="10" t="s">
        <v>1763</v>
      </c>
      <c r="F154" s="15" t="s">
        <v>1751</v>
      </c>
    </row>
    <row r="155" spans="1:6" ht="15" customHeight="1">
      <c r="A155" s="14" t="s">
        <v>638</v>
      </c>
      <c r="B155" s="10" t="s">
        <v>1862</v>
      </c>
      <c r="C155" s="10" t="s">
        <v>1793</v>
      </c>
      <c r="D155" s="10" t="s">
        <v>1760</v>
      </c>
      <c r="E155" s="10" t="s">
        <v>1750</v>
      </c>
      <c r="F155" s="15" t="s">
        <v>1754</v>
      </c>
    </row>
    <row r="156" spans="1:6" ht="15" customHeight="1">
      <c r="A156" s="14" t="s">
        <v>1197</v>
      </c>
      <c r="B156" s="10" t="s">
        <v>1813</v>
      </c>
      <c r="C156" s="10" t="s">
        <v>1768</v>
      </c>
      <c r="D156" s="10" t="s">
        <v>1769</v>
      </c>
      <c r="E156" s="10" t="s">
        <v>1763</v>
      </c>
      <c r="F156" s="15" t="s">
        <v>1754</v>
      </c>
    </row>
    <row r="157" spans="1:6" ht="15" customHeight="1">
      <c r="A157" s="14" t="s">
        <v>300</v>
      </c>
      <c r="B157" s="10" t="s">
        <v>1869</v>
      </c>
      <c r="C157" s="10" t="s">
        <v>1756</v>
      </c>
      <c r="D157" s="10" t="s">
        <v>1757</v>
      </c>
      <c r="E157" s="10" t="s">
        <v>1745</v>
      </c>
      <c r="F157" s="15" t="s">
        <v>1751</v>
      </c>
    </row>
    <row r="158" spans="1:6" ht="15" customHeight="1">
      <c r="A158" s="14" t="s">
        <v>1870</v>
      </c>
      <c r="B158" s="10" t="s">
        <v>1871</v>
      </c>
      <c r="C158" s="10" t="s">
        <v>1748</v>
      </c>
      <c r="D158" s="10" t="s">
        <v>1749</v>
      </c>
      <c r="E158" s="10" t="s">
        <v>1750</v>
      </c>
      <c r="F158" s="15" t="s">
        <v>1746</v>
      </c>
    </row>
    <row r="159" spans="1:6" ht="15" customHeight="1">
      <c r="A159" s="14" t="s">
        <v>290</v>
      </c>
      <c r="B159" s="10" t="s">
        <v>1847</v>
      </c>
      <c r="C159" s="10" t="s">
        <v>1765</v>
      </c>
      <c r="D159" s="10" t="s">
        <v>1766</v>
      </c>
      <c r="E159" s="10" t="s">
        <v>1750</v>
      </c>
      <c r="F159" s="15" t="s">
        <v>1754</v>
      </c>
    </row>
    <row r="160" spans="1:6" ht="15" customHeight="1">
      <c r="A160" s="14" t="s">
        <v>593</v>
      </c>
      <c r="B160" s="10" t="s">
        <v>1812</v>
      </c>
      <c r="C160" s="10" t="s">
        <v>1756</v>
      </c>
      <c r="D160" s="10" t="s">
        <v>1757</v>
      </c>
      <c r="E160" s="10" t="s">
        <v>1763</v>
      </c>
      <c r="F160" s="15" t="s">
        <v>1746</v>
      </c>
    </row>
    <row r="161" spans="1:6" ht="15" customHeight="1">
      <c r="A161" s="14" t="s">
        <v>1537</v>
      </c>
      <c r="B161" s="10" t="s">
        <v>1872</v>
      </c>
      <c r="C161" s="10" t="s">
        <v>1759</v>
      </c>
      <c r="D161" s="10" t="s">
        <v>1760</v>
      </c>
      <c r="E161" s="10" t="s">
        <v>1763</v>
      </c>
      <c r="F161" s="15" t="s">
        <v>1754</v>
      </c>
    </row>
    <row r="162" spans="1:6" ht="15" customHeight="1">
      <c r="A162" s="14" t="s">
        <v>890</v>
      </c>
      <c r="B162" s="10" t="s">
        <v>1840</v>
      </c>
      <c r="C162" s="10" t="s">
        <v>1743</v>
      </c>
      <c r="D162" s="10" t="s">
        <v>1744</v>
      </c>
      <c r="E162" s="10" t="s">
        <v>1763</v>
      </c>
      <c r="F162" s="15" t="s">
        <v>1754</v>
      </c>
    </row>
    <row r="163" spans="1:6" ht="15" customHeight="1">
      <c r="A163" s="14" t="s">
        <v>1029</v>
      </c>
      <c r="B163" s="10" t="s">
        <v>1873</v>
      </c>
      <c r="C163" s="10" t="s">
        <v>1776</v>
      </c>
      <c r="D163" s="10" t="s">
        <v>1777</v>
      </c>
      <c r="E163" s="10" t="s">
        <v>1750</v>
      </c>
      <c r="F163" s="15" t="s">
        <v>1751</v>
      </c>
    </row>
    <row r="164" spans="1:6" ht="15" customHeight="1">
      <c r="A164" s="14" t="s">
        <v>358</v>
      </c>
      <c r="B164" s="10" t="s">
        <v>1845</v>
      </c>
      <c r="C164" s="10" t="s">
        <v>1748</v>
      </c>
      <c r="D164" s="10" t="s">
        <v>1749</v>
      </c>
      <c r="E164" s="10" t="s">
        <v>1763</v>
      </c>
      <c r="F164" s="15" t="s">
        <v>1751</v>
      </c>
    </row>
    <row r="165" spans="1:6" ht="15" customHeight="1">
      <c r="A165" s="14" t="s">
        <v>525</v>
      </c>
      <c r="B165" s="10" t="s">
        <v>1835</v>
      </c>
      <c r="C165" s="10" t="s">
        <v>1759</v>
      </c>
      <c r="D165" s="10" t="s">
        <v>1760</v>
      </c>
      <c r="E165" s="10" t="s">
        <v>1750</v>
      </c>
      <c r="F165" s="15" t="s">
        <v>1746</v>
      </c>
    </row>
    <row r="166" spans="1:6" ht="15" customHeight="1">
      <c r="A166" s="14" t="s">
        <v>1415</v>
      </c>
      <c r="B166" s="10" t="s">
        <v>1874</v>
      </c>
      <c r="C166" s="10" t="s">
        <v>1765</v>
      </c>
      <c r="D166" s="10" t="s">
        <v>1766</v>
      </c>
      <c r="E166" s="10" t="s">
        <v>1763</v>
      </c>
      <c r="F166" s="15" t="s">
        <v>1754</v>
      </c>
    </row>
    <row r="167" spans="1:6" ht="15" customHeight="1">
      <c r="A167" s="14" t="s">
        <v>517</v>
      </c>
      <c r="B167" s="10" t="s">
        <v>1817</v>
      </c>
      <c r="C167" s="10" t="s">
        <v>1793</v>
      </c>
      <c r="D167" s="10" t="s">
        <v>1760</v>
      </c>
      <c r="E167" s="10" t="s">
        <v>1745</v>
      </c>
      <c r="F167" s="15" t="s">
        <v>1754</v>
      </c>
    </row>
    <row r="168" spans="1:6" ht="15" customHeight="1">
      <c r="A168" s="14" t="s">
        <v>1875</v>
      </c>
      <c r="B168" s="10" t="s">
        <v>1836</v>
      </c>
      <c r="C168" s="10" t="s">
        <v>1753</v>
      </c>
      <c r="D168" s="10" t="s">
        <v>1744</v>
      </c>
      <c r="E168" s="10" t="s">
        <v>1763</v>
      </c>
      <c r="F168" s="15" t="s">
        <v>1746</v>
      </c>
    </row>
    <row r="169" spans="1:6" ht="15" customHeight="1">
      <c r="A169" s="14" t="s">
        <v>229</v>
      </c>
      <c r="B169" s="10" t="s">
        <v>1844</v>
      </c>
      <c r="C169" s="10" t="s">
        <v>1753</v>
      </c>
      <c r="D169" s="10" t="s">
        <v>1744</v>
      </c>
      <c r="E169" s="10" t="s">
        <v>1763</v>
      </c>
      <c r="F169" s="15" t="s">
        <v>1751</v>
      </c>
    </row>
    <row r="170" spans="1:6" ht="15" customHeight="1">
      <c r="A170" s="14" t="s">
        <v>96</v>
      </c>
      <c r="B170" s="10" t="s">
        <v>1847</v>
      </c>
      <c r="C170" s="10" t="s">
        <v>1753</v>
      </c>
      <c r="D170" s="10" t="s">
        <v>1744</v>
      </c>
      <c r="E170" s="10" t="s">
        <v>1763</v>
      </c>
      <c r="F170" s="15" t="s">
        <v>1751</v>
      </c>
    </row>
    <row r="171" spans="1:6" ht="15" customHeight="1">
      <c r="A171" s="14" t="s">
        <v>1284</v>
      </c>
      <c r="B171" s="10" t="s">
        <v>1876</v>
      </c>
      <c r="C171" s="10" t="s">
        <v>1776</v>
      </c>
      <c r="D171" s="10" t="s">
        <v>1777</v>
      </c>
      <c r="E171" s="10" t="s">
        <v>1763</v>
      </c>
      <c r="F171" s="15" t="s">
        <v>1751</v>
      </c>
    </row>
    <row r="172" spans="1:6" ht="15" customHeight="1">
      <c r="A172" s="14" t="s">
        <v>616</v>
      </c>
      <c r="B172" s="10" t="s">
        <v>1836</v>
      </c>
      <c r="C172" s="10" t="s">
        <v>1753</v>
      </c>
      <c r="D172" s="10" t="s">
        <v>1744</v>
      </c>
      <c r="E172" s="10" t="s">
        <v>1745</v>
      </c>
      <c r="F172" s="15" t="s">
        <v>1751</v>
      </c>
    </row>
    <row r="173" spans="1:6" ht="15" customHeight="1">
      <c r="A173" s="14" t="s">
        <v>866</v>
      </c>
      <c r="B173" s="10" t="s">
        <v>1877</v>
      </c>
      <c r="C173" s="10" t="s">
        <v>1753</v>
      </c>
      <c r="D173" s="10" t="s">
        <v>1744</v>
      </c>
      <c r="E173" s="10" t="s">
        <v>1745</v>
      </c>
      <c r="F173" s="15" t="s">
        <v>1754</v>
      </c>
    </row>
    <row r="174" spans="1:6" ht="15" customHeight="1">
      <c r="A174" s="14" t="s">
        <v>835</v>
      </c>
      <c r="B174" s="10" t="s">
        <v>1809</v>
      </c>
      <c r="C174" s="10" t="s">
        <v>1776</v>
      </c>
      <c r="D174" s="10" t="s">
        <v>1777</v>
      </c>
      <c r="E174" s="10" t="s">
        <v>1745</v>
      </c>
      <c r="F174" s="15" t="s">
        <v>1754</v>
      </c>
    </row>
    <row r="175" spans="1:6" ht="15" customHeight="1">
      <c r="A175" s="14" t="s">
        <v>1878</v>
      </c>
      <c r="B175" s="10" t="s">
        <v>1814</v>
      </c>
      <c r="C175" s="10" t="s">
        <v>1743</v>
      </c>
      <c r="D175" s="10" t="s">
        <v>1744</v>
      </c>
      <c r="E175" s="10" t="s">
        <v>1745</v>
      </c>
      <c r="F175" s="15" t="s">
        <v>1746</v>
      </c>
    </row>
    <row r="176" spans="1:6" ht="15" customHeight="1">
      <c r="A176" s="14" t="s">
        <v>432</v>
      </c>
      <c r="B176" s="10" t="s">
        <v>1824</v>
      </c>
      <c r="C176" s="10" t="s">
        <v>1765</v>
      </c>
      <c r="D176" s="10" t="s">
        <v>1766</v>
      </c>
      <c r="E176" s="10" t="s">
        <v>1750</v>
      </c>
      <c r="F176" s="15" t="s">
        <v>1751</v>
      </c>
    </row>
    <row r="177" spans="1:6" ht="15" customHeight="1">
      <c r="A177" s="14" t="s">
        <v>274</v>
      </c>
      <c r="B177" s="10" t="s">
        <v>1778</v>
      </c>
      <c r="C177" s="10" t="s">
        <v>1743</v>
      </c>
      <c r="D177" s="10" t="s">
        <v>1744</v>
      </c>
      <c r="E177" s="10" t="s">
        <v>1763</v>
      </c>
      <c r="F177" s="15" t="s">
        <v>1746</v>
      </c>
    </row>
    <row r="178" spans="1:6" ht="15" customHeight="1">
      <c r="A178" s="14" t="s">
        <v>609</v>
      </c>
      <c r="B178" s="10" t="s">
        <v>1755</v>
      </c>
      <c r="C178" s="10" t="s">
        <v>1793</v>
      </c>
      <c r="D178" s="10" t="s">
        <v>1760</v>
      </c>
      <c r="E178" s="10" t="s">
        <v>1745</v>
      </c>
      <c r="F178" s="15" t="s">
        <v>1751</v>
      </c>
    </row>
    <row r="179" spans="1:6" ht="15" customHeight="1">
      <c r="A179" s="14" t="s">
        <v>530</v>
      </c>
      <c r="B179" s="10" t="s">
        <v>1767</v>
      </c>
      <c r="C179" s="10" t="s">
        <v>1753</v>
      </c>
      <c r="D179" s="10" t="s">
        <v>1744</v>
      </c>
      <c r="E179" s="10" t="s">
        <v>1745</v>
      </c>
      <c r="F179" s="15" t="s">
        <v>1751</v>
      </c>
    </row>
    <row r="180" spans="1:6" ht="15" customHeight="1">
      <c r="A180" s="14" t="s">
        <v>684</v>
      </c>
      <c r="B180" s="10" t="s">
        <v>1879</v>
      </c>
      <c r="C180" s="10" t="s">
        <v>1793</v>
      </c>
      <c r="D180" s="10" t="s">
        <v>1760</v>
      </c>
      <c r="E180" s="10" t="s">
        <v>1763</v>
      </c>
      <c r="F180" s="15" t="s">
        <v>1754</v>
      </c>
    </row>
    <row r="181" spans="1:6" ht="15" customHeight="1">
      <c r="A181" s="14" t="s">
        <v>1594</v>
      </c>
      <c r="B181" s="10" t="s">
        <v>1845</v>
      </c>
      <c r="C181" s="10" t="s">
        <v>1781</v>
      </c>
      <c r="D181" s="10" t="s">
        <v>1777</v>
      </c>
      <c r="E181" s="10" t="s">
        <v>1750</v>
      </c>
      <c r="F181" s="15" t="s">
        <v>1746</v>
      </c>
    </row>
    <row r="182" spans="1:6" ht="15" customHeight="1">
      <c r="A182" s="14" t="s">
        <v>244</v>
      </c>
      <c r="B182" s="10" t="s">
        <v>1764</v>
      </c>
      <c r="C182" s="10" t="s">
        <v>1748</v>
      </c>
      <c r="D182" s="10" t="s">
        <v>1749</v>
      </c>
      <c r="E182" s="10" t="s">
        <v>1763</v>
      </c>
      <c r="F182" s="15" t="s">
        <v>1754</v>
      </c>
    </row>
    <row r="183" spans="1:6" ht="15" customHeight="1">
      <c r="A183" s="14" t="s">
        <v>283</v>
      </c>
      <c r="B183" s="10" t="s">
        <v>1827</v>
      </c>
      <c r="C183" s="10" t="s">
        <v>1743</v>
      </c>
      <c r="D183" s="10" t="s">
        <v>1744</v>
      </c>
      <c r="E183" s="10" t="s">
        <v>1750</v>
      </c>
      <c r="F183" s="15" t="s">
        <v>1751</v>
      </c>
    </row>
    <row r="184" spans="1:6" ht="15" customHeight="1">
      <c r="A184" s="14" t="s">
        <v>405</v>
      </c>
      <c r="B184" s="10" t="s">
        <v>1845</v>
      </c>
      <c r="C184" s="10" t="s">
        <v>1748</v>
      </c>
      <c r="D184" s="10" t="s">
        <v>1749</v>
      </c>
      <c r="E184" s="10" t="s">
        <v>1763</v>
      </c>
      <c r="F184" s="15" t="s">
        <v>1751</v>
      </c>
    </row>
    <row r="185" spans="1:6" ht="15" customHeight="1">
      <c r="A185" s="16" t="s">
        <v>598</v>
      </c>
      <c r="B185" s="17" t="s">
        <v>1795</v>
      </c>
      <c r="C185" s="17" t="s">
        <v>1771</v>
      </c>
      <c r="D185" s="17" t="s">
        <v>1749</v>
      </c>
      <c r="E185" s="17" t="s">
        <v>1745</v>
      </c>
      <c r="F185" s="18" t="s">
        <v>1754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F2F8"/>
  </sheetPr>
  <dimension ref="A1:K365"/>
  <sheetViews>
    <sheetView showGridLines="0" workbookViewId="0">
      <pane ySplit="5" topLeftCell="A6" activePane="bottomLeft" state="frozen"/>
      <selection pane="bottomLeft" activeCell="G7" sqref="G7"/>
    </sheetView>
  </sheetViews>
  <sheetFormatPr baseColWidth="10" defaultColWidth="8.796875" defaultRowHeight="13.8"/>
  <cols>
    <col min="1" max="1" width="26" customWidth="1"/>
    <col min="2" max="2" width="11.3984375" customWidth="1"/>
    <col min="3" max="3" width="12.59765625" customWidth="1"/>
    <col min="4" max="4" width="13.796875" customWidth="1"/>
    <col min="5" max="5" width="12.8984375" customWidth="1"/>
    <col min="6" max="6" width="13.8984375" customWidth="1"/>
    <col min="7" max="7" width="13.5" bestFit="1" customWidth="1"/>
  </cols>
  <sheetData>
    <row r="1" spans="1:11" ht="18" customHeight="1">
      <c r="A1" s="6" t="s">
        <v>1880</v>
      </c>
    </row>
    <row r="2" spans="1:11" ht="15" customHeight="1">
      <c r="A2" s="7" t="s">
        <v>1881</v>
      </c>
    </row>
    <row r="3" spans="1:11" ht="1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</row>
    <row r="5" spans="1:11" ht="15" customHeight="1">
      <c r="A5" s="9" t="s">
        <v>24</v>
      </c>
      <c r="B5" s="9" t="s">
        <v>1882</v>
      </c>
      <c r="C5" s="9" t="s">
        <v>1883</v>
      </c>
      <c r="D5" s="9" t="s">
        <v>1884</v>
      </c>
      <c r="E5" s="9" t="s">
        <v>1885</v>
      </c>
      <c r="F5" s="9" t="s">
        <v>1886</v>
      </c>
      <c r="G5" t="s">
        <v>2184</v>
      </c>
    </row>
    <row r="6" spans="1:11" ht="15" customHeight="1">
      <c r="A6" s="11" t="s">
        <v>36</v>
      </c>
      <c r="B6" s="12" t="s">
        <v>1887</v>
      </c>
      <c r="C6" s="19">
        <v>46015</v>
      </c>
      <c r="D6" s="22">
        <v>4</v>
      </c>
      <c r="E6" s="22">
        <v>3</v>
      </c>
      <c r="F6" s="13" t="s">
        <v>1888</v>
      </c>
      <c r="G6">
        <f>IF(ShipmentsTable[[#This Row],[Delivery_Status]]="On time",1,0)</f>
        <v>1</v>
      </c>
    </row>
    <row r="7" spans="1:11" ht="15" customHeight="1">
      <c r="A7" s="14" t="s">
        <v>54</v>
      </c>
      <c r="B7" s="10" t="s">
        <v>1889</v>
      </c>
      <c r="C7" s="20">
        <v>45844</v>
      </c>
      <c r="D7" s="23">
        <v>3</v>
      </c>
      <c r="E7" s="23">
        <v>3</v>
      </c>
      <c r="F7" s="15" t="s">
        <v>1888</v>
      </c>
      <c r="G7">
        <f>IF(ShipmentsTable[[#This Row],[Delivery_Status]]="On time",1,0)</f>
        <v>1</v>
      </c>
    </row>
    <row r="8" spans="1:11" ht="15" customHeight="1">
      <c r="A8" s="14" t="s">
        <v>60</v>
      </c>
      <c r="B8" s="10" t="s">
        <v>1890</v>
      </c>
      <c r="C8" s="20">
        <v>45704</v>
      </c>
      <c r="D8" s="23">
        <v>5</v>
      </c>
      <c r="E8" s="23">
        <v>7</v>
      </c>
      <c r="F8" s="15" t="s">
        <v>1891</v>
      </c>
      <c r="G8">
        <f>IF(ShipmentsTable[[#This Row],[Delivery_Status]]="On time",1,0)</f>
        <v>0</v>
      </c>
    </row>
    <row r="9" spans="1:11" ht="15" customHeight="1">
      <c r="A9" s="14" t="s">
        <v>74</v>
      </c>
      <c r="B9" s="10" t="s">
        <v>1887</v>
      </c>
      <c r="C9" s="20">
        <v>45793</v>
      </c>
      <c r="D9" s="23">
        <v>4</v>
      </c>
      <c r="E9" s="23">
        <v>6</v>
      </c>
      <c r="F9" s="15" t="s">
        <v>1891</v>
      </c>
      <c r="G9">
        <f>IF(ShipmentsTable[[#This Row],[Delivery_Status]]="On time",1,0)</f>
        <v>0</v>
      </c>
    </row>
    <row r="10" spans="1:11" ht="15" customHeight="1">
      <c r="A10" s="14" t="s">
        <v>85</v>
      </c>
      <c r="B10" s="10" t="s">
        <v>1890</v>
      </c>
      <c r="C10" s="20">
        <v>45669</v>
      </c>
      <c r="D10" s="23">
        <v>5</v>
      </c>
      <c r="E10" s="23">
        <v>10</v>
      </c>
      <c r="F10" s="15" t="s">
        <v>1891</v>
      </c>
      <c r="G10">
        <f>IF(ShipmentsTable[[#This Row],[Delivery_Status]]="On time",1,0)</f>
        <v>0</v>
      </c>
    </row>
    <row r="11" spans="1:11" ht="15" customHeight="1">
      <c r="A11" s="14" t="s">
        <v>90</v>
      </c>
      <c r="B11" s="10" t="s">
        <v>1890</v>
      </c>
      <c r="C11" s="20">
        <v>46002</v>
      </c>
      <c r="D11" s="23">
        <v>4</v>
      </c>
      <c r="E11" s="23">
        <v>6</v>
      </c>
      <c r="F11" s="15" t="s">
        <v>1891</v>
      </c>
      <c r="G11">
        <f>IF(ShipmentsTable[[#This Row],[Delivery_Status]]="On time",1,0)</f>
        <v>0</v>
      </c>
    </row>
    <row r="12" spans="1:11" ht="15" customHeight="1">
      <c r="A12" s="14" t="s">
        <v>95</v>
      </c>
      <c r="B12" s="10" t="s">
        <v>1892</v>
      </c>
      <c r="C12" s="20">
        <v>45768</v>
      </c>
      <c r="D12" s="23">
        <v>4</v>
      </c>
      <c r="E12" s="23">
        <v>4</v>
      </c>
      <c r="F12" s="15" t="s">
        <v>1888</v>
      </c>
      <c r="G12">
        <f>IF(ShipmentsTable[[#This Row],[Delivery_Status]]="On time",1,0)</f>
        <v>1</v>
      </c>
    </row>
    <row r="13" spans="1:11" ht="15" customHeight="1">
      <c r="A13" s="14" t="s">
        <v>103</v>
      </c>
      <c r="B13" s="10" t="s">
        <v>1887</v>
      </c>
      <c r="C13" s="20">
        <v>45681</v>
      </c>
      <c r="D13" s="23">
        <v>5</v>
      </c>
      <c r="E13" s="23">
        <v>8</v>
      </c>
      <c r="F13" s="15" t="s">
        <v>1891</v>
      </c>
      <c r="G13">
        <f>IF(ShipmentsTable[[#This Row],[Delivery_Status]]="On time",1,0)</f>
        <v>0</v>
      </c>
    </row>
    <row r="14" spans="1:11" ht="15" customHeight="1">
      <c r="A14" s="14" t="s">
        <v>114</v>
      </c>
      <c r="B14" s="10" t="s">
        <v>1890</v>
      </c>
      <c r="C14" s="20">
        <v>45688</v>
      </c>
      <c r="D14" s="23">
        <v>4</v>
      </c>
      <c r="E14" s="23">
        <v>7</v>
      </c>
      <c r="F14" s="15" t="s">
        <v>1891</v>
      </c>
      <c r="G14">
        <f>IF(ShipmentsTable[[#This Row],[Delivery_Status]]="On time",1,0)</f>
        <v>0</v>
      </c>
    </row>
    <row r="15" spans="1:11" ht="15" customHeight="1">
      <c r="A15" s="14" t="s">
        <v>124</v>
      </c>
      <c r="B15" s="10" t="s">
        <v>1890</v>
      </c>
      <c r="C15" s="20">
        <v>45810</v>
      </c>
      <c r="D15" s="23">
        <v>4</v>
      </c>
      <c r="E15" s="23">
        <v>9</v>
      </c>
      <c r="F15" s="15" t="s">
        <v>1891</v>
      </c>
      <c r="G15">
        <f>IF(ShipmentsTable[[#This Row],[Delivery_Status]]="On time",1,0)</f>
        <v>0</v>
      </c>
    </row>
    <row r="16" spans="1:11" ht="15" customHeight="1">
      <c r="A16" s="14" t="s">
        <v>133</v>
      </c>
      <c r="B16" s="10" t="s">
        <v>1887</v>
      </c>
      <c r="C16" s="20">
        <v>45979</v>
      </c>
      <c r="D16" s="23">
        <v>4</v>
      </c>
      <c r="E16" s="23">
        <v>5</v>
      </c>
      <c r="F16" s="15" t="s">
        <v>1891</v>
      </c>
      <c r="G16">
        <f>IF(ShipmentsTable[[#This Row],[Delivery_Status]]="On time",1,0)</f>
        <v>0</v>
      </c>
    </row>
    <row r="17" spans="1:7" ht="15" customHeight="1">
      <c r="A17" s="14" t="s">
        <v>138</v>
      </c>
      <c r="B17" s="10" t="s">
        <v>1890</v>
      </c>
      <c r="C17" s="20">
        <v>45718.041666666664</v>
      </c>
      <c r="D17" s="23">
        <v>5</v>
      </c>
      <c r="E17" s="23">
        <v>1</v>
      </c>
      <c r="F17" s="15" t="s">
        <v>1888</v>
      </c>
      <c r="G17">
        <f>IF(ShipmentsTable[[#This Row],[Delivery_Status]]="On time",1,0)</f>
        <v>1</v>
      </c>
    </row>
    <row r="18" spans="1:7" ht="15" customHeight="1">
      <c r="A18" s="14" t="s">
        <v>143</v>
      </c>
      <c r="B18" s="10" t="s">
        <v>1889</v>
      </c>
      <c r="C18" s="20">
        <v>46011</v>
      </c>
      <c r="D18" s="23">
        <v>4</v>
      </c>
      <c r="E18" s="23">
        <v>1</v>
      </c>
      <c r="F18" s="15" t="s">
        <v>1888</v>
      </c>
      <c r="G18">
        <f>IF(ShipmentsTable[[#This Row],[Delivery_Status]]="On time",1,0)</f>
        <v>1</v>
      </c>
    </row>
    <row r="19" spans="1:7" ht="15" customHeight="1">
      <c r="A19" s="14" t="s">
        <v>146</v>
      </c>
      <c r="B19" s="10" t="s">
        <v>1890</v>
      </c>
      <c r="C19" s="20">
        <v>45844</v>
      </c>
      <c r="D19" s="23">
        <v>4</v>
      </c>
      <c r="E19" s="23">
        <v>10</v>
      </c>
      <c r="F19" s="15" t="s">
        <v>1891</v>
      </c>
      <c r="G19">
        <f>IF(ShipmentsTable[[#This Row],[Delivery_Status]]="On time",1,0)</f>
        <v>0</v>
      </c>
    </row>
    <row r="20" spans="1:7" ht="15" customHeight="1">
      <c r="A20" s="14" t="s">
        <v>154</v>
      </c>
      <c r="B20" s="10" t="s">
        <v>1890</v>
      </c>
      <c r="C20" s="20">
        <v>45906</v>
      </c>
      <c r="D20" s="23">
        <v>5</v>
      </c>
      <c r="E20" s="23">
        <v>5</v>
      </c>
      <c r="F20" s="15" t="s">
        <v>1888</v>
      </c>
      <c r="G20">
        <f>IF(ShipmentsTable[[#This Row],[Delivery_Status]]="On time",1,0)</f>
        <v>1</v>
      </c>
    </row>
    <row r="21" spans="1:7" ht="15" customHeight="1">
      <c r="A21" s="14" t="s">
        <v>158</v>
      </c>
      <c r="B21" s="10" t="s">
        <v>1887</v>
      </c>
      <c r="C21" s="20">
        <v>45889</v>
      </c>
      <c r="D21" s="23">
        <v>3</v>
      </c>
      <c r="E21" s="23">
        <v>3</v>
      </c>
      <c r="F21" s="15" t="s">
        <v>1888</v>
      </c>
      <c r="G21">
        <f>IF(ShipmentsTable[[#This Row],[Delivery_Status]]="On time",1,0)</f>
        <v>1</v>
      </c>
    </row>
    <row r="22" spans="1:7" ht="15" customHeight="1">
      <c r="A22" s="14" t="s">
        <v>162</v>
      </c>
      <c r="B22" s="10" t="s">
        <v>1889</v>
      </c>
      <c r="C22" s="20">
        <v>45997</v>
      </c>
      <c r="D22" s="23">
        <v>4</v>
      </c>
      <c r="E22" s="23">
        <v>10</v>
      </c>
      <c r="F22" s="15" t="s">
        <v>1891</v>
      </c>
      <c r="G22">
        <f>IF(ShipmentsTable[[#This Row],[Delivery_Status]]="On time",1,0)</f>
        <v>0</v>
      </c>
    </row>
    <row r="23" spans="1:7" ht="15" customHeight="1">
      <c r="A23" s="14" t="s">
        <v>167</v>
      </c>
      <c r="B23" s="10" t="s">
        <v>1890</v>
      </c>
      <c r="C23" s="20">
        <v>45971</v>
      </c>
      <c r="D23" s="23">
        <v>3</v>
      </c>
      <c r="E23" s="23">
        <v>9</v>
      </c>
      <c r="F23" s="15" t="s">
        <v>1891</v>
      </c>
      <c r="G23">
        <f>IF(ShipmentsTable[[#This Row],[Delivery_Status]]="On time",1,0)</f>
        <v>0</v>
      </c>
    </row>
    <row r="24" spans="1:7" ht="15" customHeight="1">
      <c r="A24" s="14" t="s">
        <v>175</v>
      </c>
      <c r="B24" s="10" t="s">
        <v>1892</v>
      </c>
      <c r="C24" s="20">
        <v>45722.041666666664</v>
      </c>
      <c r="D24" s="23">
        <v>4</v>
      </c>
      <c r="E24" s="23">
        <v>7</v>
      </c>
      <c r="F24" s="15" t="s">
        <v>1891</v>
      </c>
      <c r="G24">
        <f>IF(ShipmentsTable[[#This Row],[Delivery_Status]]="On time",1,0)</f>
        <v>0</v>
      </c>
    </row>
    <row r="25" spans="1:7" ht="15" customHeight="1">
      <c r="A25" s="14" t="s">
        <v>182</v>
      </c>
      <c r="B25" s="10" t="s">
        <v>1889</v>
      </c>
      <c r="C25" s="20">
        <v>46008</v>
      </c>
      <c r="D25" s="23">
        <v>3</v>
      </c>
      <c r="E25" s="23">
        <v>10</v>
      </c>
      <c r="F25" s="15" t="s">
        <v>1891</v>
      </c>
      <c r="G25">
        <f>IF(ShipmentsTable[[#This Row],[Delivery_Status]]="On time",1,0)</f>
        <v>0</v>
      </c>
    </row>
    <row r="26" spans="1:7" ht="15" customHeight="1">
      <c r="A26" s="14" t="s">
        <v>186</v>
      </c>
      <c r="B26" s="10" t="s">
        <v>1889</v>
      </c>
      <c r="C26" s="20">
        <v>45965</v>
      </c>
      <c r="D26" s="23">
        <v>4</v>
      </c>
      <c r="E26" s="23">
        <v>5</v>
      </c>
      <c r="F26" s="15" t="s">
        <v>1891</v>
      </c>
      <c r="G26">
        <f>IF(ShipmentsTable[[#This Row],[Delivery_Status]]="On time",1,0)</f>
        <v>0</v>
      </c>
    </row>
    <row r="27" spans="1:7" ht="15" customHeight="1">
      <c r="A27" s="14" t="s">
        <v>192</v>
      </c>
      <c r="B27" s="10" t="s">
        <v>1890</v>
      </c>
      <c r="C27" s="20">
        <v>45858</v>
      </c>
      <c r="D27" s="23">
        <v>3</v>
      </c>
      <c r="E27" s="23">
        <v>7</v>
      </c>
      <c r="F27" s="15" t="s">
        <v>1891</v>
      </c>
      <c r="G27">
        <f>IF(ShipmentsTable[[#This Row],[Delivery_Status]]="On time",1,0)</f>
        <v>0</v>
      </c>
    </row>
    <row r="28" spans="1:7" ht="15" customHeight="1">
      <c r="A28" s="14" t="s">
        <v>198</v>
      </c>
      <c r="B28" s="10" t="s">
        <v>1892</v>
      </c>
      <c r="C28" s="20">
        <v>46010</v>
      </c>
      <c r="D28" s="23">
        <v>4</v>
      </c>
      <c r="E28" s="23">
        <v>6</v>
      </c>
      <c r="F28" s="15" t="s">
        <v>1891</v>
      </c>
      <c r="G28">
        <f>IF(ShipmentsTable[[#This Row],[Delivery_Status]]="On time",1,0)</f>
        <v>0</v>
      </c>
    </row>
    <row r="29" spans="1:7" ht="15" customHeight="1">
      <c r="A29" s="14" t="s">
        <v>206</v>
      </c>
      <c r="B29" s="10" t="s">
        <v>1890</v>
      </c>
      <c r="C29" s="20">
        <v>45906</v>
      </c>
      <c r="D29" s="23">
        <v>3</v>
      </c>
      <c r="E29" s="23">
        <v>3</v>
      </c>
      <c r="F29" s="15" t="s">
        <v>1888</v>
      </c>
      <c r="G29">
        <f>IF(ShipmentsTable[[#This Row],[Delivery_Status]]="On time",1,0)</f>
        <v>1</v>
      </c>
    </row>
    <row r="30" spans="1:7" ht="15" customHeight="1">
      <c r="A30" s="14" t="s">
        <v>213</v>
      </c>
      <c r="B30" s="10" t="s">
        <v>1892</v>
      </c>
      <c r="C30" s="20">
        <v>45772</v>
      </c>
      <c r="D30" s="23">
        <v>4</v>
      </c>
      <c r="E30" s="23">
        <v>6</v>
      </c>
      <c r="F30" s="15" t="s">
        <v>1891</v>
      </c>
      <c r="G30">
        <f>IF(ShipmentsTable[[#This Row],[Delivery_Status]]="On time",1,0)</f>
        <v>0</v>
      </c>
    </row>
    <row r="31" spans="1:7" ht="15" customHeight="1">
      <c r="A31" s="14" t="s">
        <v>217</v>
      </c>
      <c r="B31" s="10" t="s">
        <v>1887</v>
      </c>
      <c r="C31" s="20">
        <v>45864</v>
      </c>
      <c r="D31" s="23">
        <v>5</v>
      </c>
      <c r="E31" s="23">
        <v>7</v>
      </c>
      <c r="F31" s="15" t="s">
        <v>1891</v>
      </c>
      <c r="G31">
        <f>IF(ShipmentsTable[[#This Row],[Delivery_Status]]="On time",1,0)</f>
        <v>0</v>
      </c>
    </row>
    <row r="32" spans="1:7" ht="15" customHeight="1">
      <c r="A32" s="14" t="s">
        <v>223</v>
      </c>
      <c r="B32" s="10" t="s">
        <v>1889</v>
      </c>
      <c r="C32" s="20">
        <v>45948</v>
      </c>
      <c r="D32" s="23">
        <v>5</v>
      </c>
      <c r="E32" s="23">
        <v>6</v>
      </c>
      <c r="F32" s="15" t="s">
        <v>1891</v>
      </c>
      <c r="G32">
        <f>IF(ShipmentsTable[[#This Row],[Delivery_Status]]="On time",1,0)</f>
        <v>0</v>
      </c>
    </row>
    <row r="33" spans="1:7" ht="15" customHeight="1">
      <c r="A33" s="14" t="s">
        <v>228</v>
      </c>
      <c r="B33" s="10" t="s">
        <v>1889</v>
      </c>
      <c r="C33" s="20">
        <v>45954</v>
      </c>
      <c r="D33" s="23">
        <v>3</v>
      </c>
      <c r="E33" s="23">
        <v>9</v>
      </c>
      <c r="F33" s="15" t="s">
        <v>1891</v>
      </c>
      <c r="G33">
        <f>IF(ShipmentsTable[[#This Row],[Delivery_Status]]="On time",1,0)</f>
        <v>0</v>
      </c>
    </row>
    <row r="34" spans="1:7" ht="15" customHeight="1">
      <c r="A34" s="14" t="s">
        <v>232</v>
      </c>
      <c r="B34" s="10" t="s">
        <v>1890</v>
      </c>
      <c r="C34" s="20">
        <v>45992</v>
      </c>
      <c r="D34" s="23">
        <v>4</v>
      </c>
      <c r="E34" s="23">
        <v>4</v>
      </c>
      <c r="F34" s="15" t="s">
        <v>1888</v>
      </c>
      <c r="G34">
        <f>IF(ShipmentsTable[[#This Row],[Delivery_Status]]="On time",1,0)</f>
        <v>1</v>
      </c>
    </row>
    <row r="35" spans="1:7" ht="15" customHeight="1">
      <c r="A35" s="14" t="s">
        <v>237</v>
      </c>
      <c r="B35" s="10" t="s">
        <v>1890</v>
      </c>
      <c r="C35" s="20">
        <v>45765</v>
      </c>
      <c r="D35" s="23">
        <v>4</v>
      </c>
      <c r="E35" s="23">
        <v>2</v>
      </c>
      <c r="F35" s="15" t="s">
        <v>1888</v>
      </c>
      <c r="G35">
        <f>IF(ShipmentsTable[[#This Row],[Delivery_Status]]="On time",1,0)</f>
        <v>1</v>
      </c>
    </row>
    <row r="36" spans="1:7" ht="15" customHeight="1">
      <c r="A36" s="14" t="s">
        <v>243</v>
      </c>
      <c r="B36" s="10" t="s">
        <v>1889</v>
      </c>
      <c r="C36" s="20">
        <v>45956</v>
      </c>
      <c r="D36" s="23">
        <v>3</v>
      </c>
      <c r="E36" s="23">
        <v>3</v>
      </c>
      <c r="F36" s="15" t="s">
        <v>1888</v>
      </c>
      <c r="G36">
        <f>IF(ShipmentsTable[[#This Row],[Delivery_Status]]="On time",1,0)</f>
        <v>1</v>
      </c>
    </row>
    <row r="37" spans="1:7" ht="15" customHeight="1">
      <c r="A37" s="14" t="s">
        <v>248</v>
      </c>
      <c r="B37" s="10" t="s">
        <v>1889</v>
      </c>
      <c r="C37" s="20">
        <v>45781</v>
      </c>
      <c r="D37" s="23">
        <v>5</v>
      </c>
      <c r="E37" s="23">
        <v>3</v>
      </c>
      <c r="F37" s="15" t="s">
        <v>1888</v>
      </c>
      <c r="G37">
        <f>IF(ShipmentsTable[[#This Row],[Delivery_Status]]="On time",1,0)</f>
        <v>1</v>
      </c>
    </row>
    <row r="38" spans="1:7" ht="15" customHeight="1">
      <c r="A38" s="14" t="s">
        <v>255</v>
      </c>
      <c r="B38" s="10" t="s">
        <v>1890</v>
      </c>
      <c r="C38" s="20">
        <v>45829</v>
      </c>
      <c r="D38" s="23">
        <v>5</v>
      </c>
      <c r="E38" s="23">
        <v>5</v>
      </c>
      <c r="F38" s="15" t="s">
        <v>1888</v>
      </c>
      <c r="G38">
        <f>IF(ShipmentsTable[[#This Row],[Delivery_Status]]="On time",1,0)</f>
        <v>1</v>
      </c>
    </row>
    <row r="39" spans="1:7" ht="15" customHeight="1">
      <c r="A39" s="14" t="s">
        <v>259</v>
      </c>
      <c r="B39" s="10" t="s">
        <v>1887</v>
      </c>
      <c r="C39" s="20">
        <v>45902</v>
      </c>
      <c r="D39" s="23">
        <v>3</v>
      </c>
      <c r="E39" s="23">
        <v>6</v>
      </c>
      <c r="F39" s="15" t="s">
        <v>1891</v>
      </c>
      <c r="G39">
        <f>IF(ShipmentsTable[[#This Row],[Delivery_Status]]="On time",1,0)</f>
        <v>0</v>
      </c>
    </row>
    <row r="40" spans="1:7" ht="15" customHeight="1">
      <c r="A40" s="14" t="s">
        <v>264</v>
      </c>
      <c r="B40" s="10" t="s">
        <v>1890</v>
      </c>
      <c r="C40" s="20">
        <v>45841</v>
      </c>
      <c r="D40" s="23">
        <v>3</v>
      </c>
      <c r="E40" s="23">
        <v>2</v>
      </c>
      <c r="F40" s="15" t="s">
        <v>1888</v>
      </c>
      <c r="G40">
        <f>IF(ShipmentsTable[[#This Row],[Delivery_Status]]="On time",1,0)</f>
        <v>1</v>
      </c>
    </row>
    <row r="41" spans="1:7" ht="15" customHeight="1">
      <c r="A41" s="14" t="s">
        <v>267</v>
      </c>
      <c r="B41" s="10" t="s">
        <v>1892</v>
      </c>
      <c r="C41" s="20">
        <v>45904</v>
      </c>
      <c r="D41" s="23">
        <v>5</v>
      </c>
      <c r="E41" s="23">
        <v>1</v>
      </c>
      <c r="F41" s="15" t="s">
        <v>1888</v>
      </c>
      <c r="G41">
        <f>IF(ShipmentsTable[[#This Row],[Delivery_Status]]="On time",1,0)</f>
        <v>1</v>
      </c>
    </row>
    <row r="42" spans="1:7" ht="15" customHeight="1">
      <c r="A42" s="14" t="s">
        <v>273</v>
      </c>
      <c r="B42" s="10" t="s">
        <v>1892</v>
      </c>
      <c r="C42" s="20">
        <v>45770</v>
      </c>
      <c r="D42" s="23">
        <v>3</v>
      </c>
      <c r="E42" s="23">
        <v>1</v>
      </c>
      <c r="F42" s="15" t="s">
        <v>1888</v>
      </c>
      <c r="G42">
        <f>IF(ShipmentsTable[[#This Row],[Delivery_Status]]="On time",1,0)</f>
        <v>1</v>
      </c>
    </row>
    <row r="43" spans="1:7" ht="15" customHeight="1">
      <c r="A43" s="14" t="s">
        <v>282</v>
      </c>
      <c r="B43" s="10" t="s">
        <v>1889</v>
      </c>
      <c r="C43" s="20">
        <v>45826</v>
      </c>
      <c r="D43" s="23">
        <v>5</v>
      </c>
      <c r="E43" s="23">
        <v>7</v>
      </c>
      <c r="F43" s="15" t="s">
        <v>1891</v>
      </c>
      <c r="G43">
        <f>IF(ShipmentsTable[[#This Row],[Delivery_Status]]="On time",1,0)</f>
        <v>0</v>
      </c>
    </row>
    <row r="44" spans="1:7" ht="15" customHeight="1">
      <c r="A44" s="14" t="s">
        <v>287</v>
      </c>
      <c r="B44" s="10" t="s">
        <v>1892</v>
      </c>
      <c r="C44" s="20">
        <v>45714.041666666664</v>
      </c>
      <c r="D44" s="23">
        <v>4</v>
      </c>
      <c r="E44" s="23">
        <v>6</v>
      </c>
      <c r="F44" s="15" t="s">
        <v>1891</v>
      </c>
      <c r="G44">
        <f>IF(ShipmentsTable[[#This Row],[Delivery_Status]]="On time",1,0)</f>
        <v>0</v>
      </c>
    </row>
    <row r="45" spans="1:7" ht="15" customHeight="1">
      <c r="A45" s="14" t="s">
        <v>289</v>
      </c>
      <c r="B45" s="10" t="s">
        <v>1887</v>
      </c>
      <c r="C45" s="20">
        <v>45858</v>
      </c>
      <c r="D45" s="23">
        <v>3</v>
      </c>
      <c r="E45" s="23">
        <v>8</v>
      </c>
      <c r="F45" s="15" t="s">
        <v>1891</v>
      </c>
      <c r="G45">
        <f>IF(ShipmentsTable[[#This Row],[Delivery_Status]]="On time",1,0)</f>
        <v>0</v>
      </c>
    </row>
    <row r="46" spans="1:7" ht="15" customHeight="1">
      <c r="A46" s="14" t="s">
        <v>293</v>
      </c>
      <c r="B46" s="10" t="s">
        <v>1890</v>
      </c>
      <c r="C46" s="20">
        <v>45700</v>
      </c>
      <c r="D46" s="23">
        <v>5</v>
      </c>
      <c r="E46" s="23">
        <v>10</v>
      </c>
      <c r="F46" s="15" t="s">
        <v>1891</v>
      </c>
      <c r="G46">
        <f>IF(ShipmentsTable[[#This Row],[Delivery_Status]]="On time",1,0)</f>
        <v>0</v>
      </c>
    </row>
    <row r="47" spans="1:7" ht="15" customHeight="1">
      <c r="A47" s="14" t="s">
        <v>299</v>
      </c>
      <c r="B47" s="10" t="s">
        <v>1889</v>
      </c>
      <c r="C47" s="20">
        <v>45782</v>
      </c>
      <c r="D47" s="23">
        <v>3</v>
      </c>
      <c r="E47" s="23">
        <v>5</v>
      </c>
      <c r="F47" s="15" t="s">
        <v>1891</v>
      </c>
      <c r="G47">
        <f>IF(ShipmentsTable[[#This Row],[Delivery_Status]]="On time",1,0)</f>
        <v>0</v>
      </c>
    </row>
    <row r="48" spans="1:7" ht="15" customHeight="1">
      <c r="A48" s="14" t="s">
        <v>306</v>
      </c>
      <c r="B48" s="10" t="s">
        <v>1887</v>
      </c>
      <c r="C48" s="20">
        <v>45956</v>
      </c>
      <c r="D48" s="23">
        <v>4</v>
      </c>
      <c r="E48" s="23">
        <v>4</v>
      </c>
      <c r="F48" s="15" t="s">
        <v>1888</v>
      </c>
      <c r="G48">
        <f>IF(ShipmentsTable[[#This Row],[Delivery_Status]]="On time",1,0)</f>
        <v>1</v>
      </c>
    </row>
    <row r="49" spans="1:7" ht="15" customHeight="1">
      <c r="A49" s="14" t="s">
        <v>311</v>
      </c>
      <c r="B49" s="10" t="s">
        <v>1889</v>
      </c>
      <c r="C49" s="20">
        <v>45881</v>
      </c>
      <c r="D49" s="23">
        <v>5</v>
      </c>
      <c r="E49" s="23">
        <v>4</v>
      </c>
      <c r="F49" s="15" t="s">
        <v>1888</v>
      </c>
      <c r="G49">
        <f>IF(ShipmentsTable[[#This Row],[Delivery_Status]]="On time",1,0)</f>
        <v>1</v>
      </c>
    </row>
    <row r="50" spans="1:7" ht="15" customHeight="1">
      <c r="A50" s="14" t="s">
        <v>313</v>
      </c>
      <c r="B50" s="10" t="s">
        <v>1892</v>
      </c>
      <c r="C50" s="20">
        <v>45678</v>
      </c>
      <c r="D50" s="23">
        <v>5</v>
      </c>
      <c r="E50" s="23">
        <v>5</v>
      </c>
      <c r="F50" s="15" t="s">
        <v>1888</v>
      </c>
      <c r="G50">
        <f>IF(ShipmentsTable[[#This Row],[Delivery_Status]]="On time",1,0)</f>
        <v>1</v>
      </c>
    </row>
    <row r="51" spans="1:7" ht="15" customHeight="1">
      <c r="A51" s="14" t="s">
        <v>320</v>
      </c>
      <c r="B51" s="10" t="s">
        <v>1889</v>
      </c>
      <c r="C51" s="20">
        <v>45880</v>
      </c>
      <c r="D51" s="23">
        <v>5</v>
      </c>
      <c r="E51" s="23">
        <v>10</v>
      </c>
      <c r="F51" s="15" t="s">
        <v>1891</v>
      </c>
      <c r="G51">
        <f>IF(ShipmentsTable[[#This Row],[Delivery_Status]]="On time",1,0)</f>
        <v>0</v>
      </c>
    </row>
    <row r="52" spans="1:7" ht="15" customHeight="1">
      <c r="A52" s="14" t="s">
        <v>325</v>
      </c>
      <c r="B52" s="10" t="s">
        <v>1889</v>
      </c>
      <c r="C52" s="20">
        <v>45962</v>
      </c>
      <c r="D52" s="23">
        <v>4</v>
      </c>
      <c r="E52" s="23">
        <v>5</v>
      </c>
      <c r="F52" s="15" t="s">
        <v>1891</v>
      </c>
      <c r="G52">
        <f>IF(ShipmentsTable[[#This Row],[Delivery_Status]]="On time",1,0)</f>
        <v>0</v>
      </c>
    </row>
    <row r="53" spans="1:7" ht="15" customHeight="1">
      <c r="A53" s="14" t="s">
        <v>327</v>
      </c>
      <c r="B53" s="10" t="s">
        <v>1890</v>
      </c>
      <c r="C53" s="20">
        <v>45720.041666666664</v>
      </c>
      <c r="D53" s="23">
        <v>3</v>
      </c>
      <c r="E53" s="23">
        <v>8</v>
      </c>
      <c r="F53" s="15" t="s">
        <v>1891</v>
      </c>
      <c r="G53">
        <f>IF(ShipmentsTable[[#This Row],[Delivery_Status]]="On time",1,0)</f>
        <v>0</v>
      </c>
    </row>
    <row r="54" spans="1:7" ht="15" customHeight="1">
      <c r="A54" s="14" t="s">
        <v>334</v>
      </c>
      <c r="B54" s="10" t="s">
        <v>1887</v>
      </c>
      <c r="C54" s="20">
        <v>45815</v>
      </c>
      <c r="D54" s="23">
        <v>4</v>
      </c>
      <c r="E54" s="23">
        <v>9</v>
      </c>
      <c r="F54" s="15" t="s">
        <v>1891</v>
      </c>
      <c r="G54">
        <f>IF(ShipmentsTable[[#This Row],[Delivery_Status]]="On time",1,0)</f>
        <v>0</v>
      </c>
    </row>
    <row r="55" spans="1:7" ht="15" customHeight="1">
      <c r="A55" s="14" t="s">
        <v>339</v>
      </c>
      <c r="B55" s="10" t="s">
        <v>1889</v>
      </c>
      <c r="C55" s="20">
        <v>45716.041666666664</v>
      </c>
      <c r="D55" s="23">
        <v>5</v>
      </c>
      <c r="E55" s="23">
        <v>1</v>
      </c>
      <c r="F55" s="15" t="s">
        <v>1888</v>
      </c>
      <c r="G55">
        <f>IF(ShipmentsTable[[#This Row],[Delivery_Status]]="On time",1,0)</f>
        <v>1</v>
      </c>
    </row>
    <row r="56" spans="1:7" ht="15" customHeight="1">
      <c r="A56" s="14" t="s">
        <v>346</v>
      </c>
      <c r="B56" s="10" t="s">
        <v>1887</v>
      </c>
      <c r="C56" s="20">
        <v>45967</v>
      </c>
      <c r="D56" s="23">
        <v>3</v>
      </c>
      <c r="E56" s="23">
        <v>6</v>
      </c>
      <c r="F56" s="15" t="s">
        <v>1891</v>
      </c>
      <c r="G56">
        <f>IF(ShipmentsTable[[#This Row],[Delivery_Status]]="On time",1,0)</f>
        <v>0</v>
      </c>
    </row>
    <row r="57" spans="1:7" ht="15" customHeight="1">
      <c r="A57" s="14" t="s">
        <v>350</v>
      </c>
      <c r="B57" s="10" t="s">
        <v>1892</v>
      </c>
      <c r="C57" s="20">
        <v>46004</v>
      </c>
      <c r="D57" s="23">
        <v>5</v>
      </c>
      <c r="E57" s="23">
        <v>4</v>
      </c>
      <c r="F57" s="15" t="s">
        <v>1888</v>
      </c>
      <c r="G57">
        <f>IF(ShipmentsTable[[#This Row],[Delivery_Status]]="On time",1,0)</f>
        <v>1</v>
      </c>
    </row>
    <row r="58" spans="1:7" ht="15" customHeight="1">
      <c r="A58" s="14" t="s">
        <v>354</v>
      </c>
      <c r="B58" s="10" t="s">
        <v>1889</v>
      </c>
      <c r="C58" s="20">
        <v>45730.041666666664</v>
      </c>
      <c r="D58" s="23">
        <v>5</v>
      </c>
      <c r="E58" s="23">
        <v>10</v>
      </c>
      <c r="F58" s="15" t="s">
        <v>1891</v>
      </c>
      <c r="G58">
        <f>IF(ShipmentsTable[[#This Row],[Delivery_Status]]="On time",1,0)</f>
        <v>0</v>
      </c>
    </row>
    <row r="59" spans="1:7" ht="15" customHeight="1">
      <c r="A59" s="14" t="s">
        <v>357</v>
      </c>
      <c r="B59" s="10" t="s">
        <v>1887</v>
      </c>
      <c r="C59" s="20">
        <v>45759</v>
      </c>
      <c r="D59" s="23">
        <v>4</v>
      </c>
      <c r="E59" s="23">
        <v>3</v>
      </c>
      <c r="F59" s="15" t="s">
        <v>1888</v>
      </c>
      <c r="G59">
        <f>IF(ShipmentsTable[[#This Row],[Delivery_Status]]="On time",1,0)</f>
        <v>1</v>
      </c>
    </row>
    <row r="60" spans="1:7" ht="15" customHeight="1">
      <c r="A60" s="14" t="s">
        <v>364</v>
      </c>
      <c r="B60" s="10" t="s">
        <v>1889</v>
      </c>
      <c r="C60" s="20">
        <v>45758</v>
      </c>
      <c r="D60" s="23">
        <v>3</v>
      </c>
      <c r="E60" s="23">
        <v>3</v>
      </c>
      <c r="F60" s="15" t="s">
        <v>1888</v>
      </c>
      <c r="G60">
        <f>IF(ShipmentsTable[[#This Row],[Delivery_Status]]="On time",1,0)</f>
        <v>1</v>
      </c>
    </row>
    <row r="61" spans="1:7" ht="15" customHeight="1">
      <c r="A61" s="14" t="s">
        <v>370</v>
      </c>
      <c r="B61" s="10" t="s">
        <v>1887</v>
      </c>
      <c r="C61" s="20">
        <v>45949</v>
      </c>
      <c r="D61" s="23">
        <v>4</v>
      </c>
      <c r="E61" s="23">
        <v>5</v>
      </c>
      <c r="F61" s="15" t="s">
        <v>1891</v>
      </c>
      <c r="G61">
        <f>IF(ShipmentsTable[[#This Row],[Delivery_Status]]="On time",1,0)</f>
        <v>0</v>
      </c>
    </row>
    <row r="62" spans="1:7" ht="15" customHeight="1">
      <c r="A62" s="14" t="s">
        <v>377</v>
      </c>
      <c r="B62" s="10" t="s">
        <v>1889</v>
      </c>
      <c r="C62" s="20">
        <v>45732.041666666664</v>
      </c>
      <c r="D62" s="23">
        <v>4</v>
      </c>
      <c r="E62" s="23">
        <v>10</v>
      </c>
      <c r="F62" s="15" t="s">
        <v>1891</v>
      </c>
      <c r="G62">
        <f>IF(ShipmentsTable[[#This Row],[Delivery_Status]]="On time",1,0)</f>
        <v>0</v>
      </c>
    </row>
    <row r="63" spans="1:7" ht="15" customHeight="1">
      <c r="A63" s="14" t="s">
        <v>381</v>
      </c>
      <c r="B63" s="10" t="s">
        <v>1892</v>
      </c>
      <c r="C63" s="20">
        <v>46005</v>
      </c>
      <c r="D63" s="23">
        <v>5</v>
      </c>
      <c r="E63" s="23">
        <v>9</v>
      </c>
      <c r="F63" s="15" t="s">
        <v>1891</v>
      </c>
      <c r="G63">
        <f>IF(ShipmentsTable[[#This Row],[Delivery_Status]]="On time",1,0)</f>
        <v>0</v>
      </c>
    </row>
    <row r="64" spans="1:7" ht="15" customHeight="1">
      <c r="A64" s="14" t="s">
        <v>386</v>
      </c>
      <c r="B64" s="10" t="s">
        <v>1892</v>
      </c>
      <c r="C64" s="20">
        <v>46023</v>
      </c>
      <c r="D64" s="23">
        <v>3</v>
      </c>
      <c r="E64" s="23">
        <v>2</v>
      </c>
      <c r="F64" s="15" t="s">
        <v>1888</v>
      </c>
      <c r="G64">
        <f>IF(ShipmentsTable[[#This Row],[Delivery_Status]]="On time",1,0)</f>
        <v>1</v>
      </c>
    </row>
    <row r="65" spans="1:7" ht="15" customHeight="1">
      <c r="A65" s="14" t="s">
        <v>388</v>
      </c>
      <c r="B65" s="10" t="s">
        <v>1889</v>
      </c>
      <c r="C65" s="20">
        <v>45886</v>
      </c>
      <c r="D65" s="23">
        <v>4</v>
      </c>
      <c r="E65" s="23">
        <v>4</v>
      </c>
      <c r="F65" s="15" t="s">
        <v>1888</v>
      </c>
      <c r="G65">
        <f>IF(ShipmentsTable[[#This Row],[Delivery_Status]]="On time",1,0)</f>
        <v>1</v>
      </c>
    </row>
    <row r="66" spans="1:7" ht="15" customHeight="1">
      <c r="A66" s="14" t="s">
        <v>393</v>
      </c>
      <c r="B66" s="10" t="s">
        <v>1889</v>
      </c>
      <c r="C66" s="20">
        <v>45702</v>
      </c>
      <c r="D66" s="23">
        <v>5</v>
      </c>
      <c r="E66" s="23">
        <v>4</v>
      </c>
      <c r="F66" s="15" t="s">
        <v>1888</v>
      </c>
      <c r="G66">
        <f>IF(ShipmentsTable[[#This Row],[Delivery_Status]]="On time",1,0)</f>
        <v>1</v>
      </c>
    </row>
    <row r="67" spans="1:7" ht="15" customHeight="1">
      <c r="A67" s="14" t="s">
        <v>397</v>
      </c>
      <c r="B67" s="10" t="s">
        <v>1887</v>
      </c>
      <c r="C67" s="20">
        <v>45876</v>
      </c>
      <c r="D67" s="23">
        <v>4</v>
      </c>
      <c r="E67" s="23">
        <v>2</v>
      </c>
      <c r="F67" s="15" t="s">
        <v>1888</v>
      </c>
      <c r="G67">
        <f>IF(ShipmentsTable[[#This Row],[Delivery_Status]]="On time",1,0)</f>
        <v>1</v>
      </c>
    </row>
    <row r="68" spans="1:7" ht="15" customHeight="1">
      <c r="A68" s="14" t="s">
        <v>404</v>
      </c>
      <c r="B68" s="10" t="s">
        <v>1889</v>
      </c>
      <c r="C68" s="20">
        <v>45988</v>
      </c>
      <c r="D68" s="23">
        <v>4</v>
      </c>
      <c r="E68" s="23">
        <v>4</v>
      </c>
      <c r="F68" s="15" t="s">
        <v>1888</v>
      </c>
      <c r="G68">
        <f>IF(ShipmentsTable[[#This Row],[Delivery_Status]]="On time",1,0)</f>
        <v>1</v>
      </c>
    </row>
    <row r="69" spans="1:7" ht="15" customHeight="1">
      <c r="A69" s="14" t="s">
        <v>409</v>
      </c>
      <c r="B69" s="10" t="s">
        <v>1890</v>
      </c>
      <c r="C69" s="20">
        <v>45907</v>
      </c>
      <c r="D69" s="23">
        <v>5</v>
      </c>
      <c r="E69" s="23">
        <v>7</v>
      </c>
      <c r="F69" s="15" t="s">
        <v>1891</v>
      </c>
      <c r="G69">
        <f>IF(ShipmentsTable[[#This Row],[Delivery_Status]]="On time",1,0)</f>
        <v>0</v>
      </c>
    </row>
    <row r="70" spans="1:7" ht="15" customHeight="1">
      <c r="A70" s="14" t="s">
        <v>413</v>
      </c>
      <c r="B70" s="10" t="s">
        <v>1889</v>
      </c>
      <c r="C70" s="20">
        <v>45796</v>
      </c>
      <c r="D70" s="23">
        <v>5</v>
      </c>
      <c r="E70" s="23">
        <v>4</v>
      </c>
      <c r="F70" s="15" t="s">
        <v>1888</v>
      </c>
      <c r="G70">
        <f>IF(ShipmentsTable[[#This Row],[Delivery_Status]]="On time",1,0)</f>
        <v>1</v>
      </c>
    </row>
    <row r="71" spans="1:7" ht="15" customHeight="1">
      <c r="A71" s="14" t="s">
        <v>420</v>
      </c>
      <c r="B71" s="10" t="s">
        <v>1887</v>
      </c>
      <c r="C71" s="20">
        <v>45670</v>
      </c>
      <c r="D71" s="23">
        <v>3</v>
      </c>
      <c r="E71" s="23">
        <v>3</v>
      </c>
      <c r="F71" s="15" t="s">
        <v>1888</v>
      </c>
      <c r="G71">
        <f>IF(ShipmentsTable[[#This Row],[Delivery_Status]]="On time",1,0)</f>
        <v>1</v>
      </c>
    </row>
    <row r="72" spans="1:7" ht="15" customHeight="1">
      <c r="A72" s="14" t="s">
        <v>424</v>
      </c>
      <c r="B72" s="10" t="s">
        <v>1892</v>
      </c>
      <c r="C72" s="20">
        <v>45912</v>
      </c>
      <c r="D72" s="23">
        <v>4</v>
      </c>
      <c r="E72" s="23">
        <v>6</v>
      </c>
      <c r="F72" s="15" t="s">
        <v>1891</v>
      </c>
      <c r="G72">
        <f>IF(ShipmentsTable[[#This Row],[Delivery_Status]]="On time",1,0)</f>
        <v>0</v>
      </c>
    </row>
    <row r="73" spans="1:7" ht="15" customHeight="1">
      <c r="A73" s="14" t="s">
        <v>431</v>
      </c>
      <c r="B73" s="10" t="s">
        <v>1890</v>
      </c>
      <c r="C73" s="20">
        <v>45914</v>
      </c>
      <c r="D73" s="23">
        <v>3</v>
      </c>
      <c r="E73" s="23">
        <v>10</v>
      </c>
      <c r="F73" s="15" t="s">
        <v>1891</v>
      </c>
      <c r="G73">
        <f>IF(ShipmentsTable[[#This Row],[Delivery_Status]]="On time",1,0)</f>
        <v>0</v>
      </c>
    </row>
    <row r="74" spans="1:7" ht="15" customHeight="1">
      <c r="A74" s="14" t="s">
        <v>436</v>
      </c>
      <c r="B74" s="10" t="s">
        <v>1887</v>
      </c>
      <c r="C74" s="20">
        <v>45971</v>
      </c>
      <c r="D74" s="23">
        <v>3</v>
      </c>
      <c r="E74" s="23">
        <v>10</v>
      </c>
      <c r="F74" s="15" t="s">
        <v>1891</v>
      </c>
      <c r="G74">
        <f>IF(ShipmentsTable[[#This Row],[Delivery_Status]]="On time",1,0)</f>
        <v>0</v>
      </c>
    </row>
    <row r="75" spans="1:7" ht="15" customHeight="1">
      <c r="A75" s="14" t="s">
        <v>442</v>
      </c>
      <c r="B75" s="10" t="s">
        <v>1890</v>
      </c>
      <c r="C75" s="20">
        <v>45980</v>
      </c>
      <c r="D75" s="23">
        <v>5</v>
      </c>
      <c r="E75" s="23">
        <v>9</v>
      </c>
      <c r="F75" s="15" t="s">
        <v>1891</v>
      </c>
      <c r="G75">
        <f>IF(ShipmentsTable[[#This Row],[Delivery_Status]]="On time",1,0)</f>
        <v>0</v>
      </c>
    </row>
    <row r="76" spans="1:7" ht="15" customHeight="1">
      <c r="A76" s="14" t="s">
        <v>449</v>
      </c>
      <c r="B76" s="10" t="s">
        <v>1892</v>
      </c>
      <c r="C76" s="20">
        <v>45680</v>
      </c>
      <c r="D76" s="23">
        <v>4</v>
      </c>
      <c r="E76" s="23">
        <v>6</v>
      </c>
      <c r="F76" s="15" t="s">
        <v>1891</v>
      </c>
      <c r="G76">
        <f>IF(ShipmentsTable[[#This Row],[Delivery_Status]]="On time",1,0)</f>
        <v>0</v>
      </c>
    </row>
    <row r="77" spans="1:7" ht="15" customHeight="1">
      <c r="A77" s="14" t="s">
        <v>454</v>
      </c>
      <c r="B77" s="10" t="s">
        <v>1892</v>
      </c>
      <c r="C77" s="20">
        <v>46002</v>
      </c>
      <c r="D77" s="23">
        <v>5</v>
      </c>
      <c r="E77" s="23">
        <v>6</v>
      </c>
      <c r="F77" s="15" t="s">
        <v>1891</v>
      </c>
      <c r="G77">
        <f>IF(ShipmentsTable[[#This Row],[Delivery_Status]]="On time",1,0)</f>
        <v>0</v>
      </c>
    </row>
    <row r="78" spans="1:7" ht="15" customHeight="1">
      <c r="A78" s="14" t="s">
        <v>460</v>
      </c>
      <c r="B78" s="10" t="s">
        <v>1890</v>
      </c>
      <c r="C78" s="20">
        <v>45725.041666666664</v>
      </c>
      <c r="D78" s="23">
        <v>4</v>
      </c>
      <c r="E78" s="23">
        <v>5</v>
      </c>
      <c r="F78" s="15" t="s">
        <v>1891</v>
      </c>
      <c r="G78">
        <f>IF(ShipmentsTable[[#This Row],[Delivery_Status]]="On time",1,0)</f>
        <v>0</v>
      </c>
    </row>
    <row r="79" spans="1:7" ht="15" customHeight="1">
      <c r="A79" s="14" t="s">
        <v>465</v>
      </c>
      <c r="B79" s="10" t="s">
        <v>1887</v>
      </c>
      <c r="C79" s="20">
        <v>45891</v>
      </c>
      <c r="D79" s="23">
        <v>3</v>
      </c>
      <c r="E79" s="23">
        <v>2</v>
      </c>
      <c r="F79" s="15" t="s">
        <v>1888</v>
      </c>
      <c r="G79">
        <f>IF(ShipmentsTable[[#This Row],[Delivery_Status]]="On time",1,0)</f>
        <v>1</v>
      </c>
    </row>
    <row r="80" spans="1:7" ht="15" customHeight="1">
      <c r="A80" s="14" t="s">
        <v>471</v>
      </c>
      <c r="B80" s="10" t="s">
        <v>1892</v>
      </c>
      <c r="C80" s="20">
        <v>45753.041666666664</v>
      </c>
      <c r="D80" s="23">
        <v>5</v>
      </c>
      <c r="E80" s="23">
        <v>4</v>
      </c>
      <c r="F80" s="15" t="s">
        <v>1888</v>
      </c>
      <c r="G80">
        <f>IF(ShipmentsTable[[#This Row],[Delivery_Status]]="On time",1,0)</f>
        <v>1</v>
      </c>
    </row>
    <row r="81" spans="1:7" ht="15" customHeight="1">
      <c r="A81" s="14" t="s">
        <v>474</v>
      </c>
      <c r="B81" s="10" t="s">
        <v>1887</v>
      </c>
      <c r="C81" s="20">
        <v>45955</v>
      </c>
      <c r="D81" s="23">
        <v>3</v>
      </c>
      <c r="E81" s="23">
        <v>2</v>
      </c>
      <c r="F81" s="15" t="s">
        <v>1888</v>
      </c>
      <c r="G81">
        <f>IF(ShipmentsTable[[#This Row],[Delivery_Status]]="On time",1,0)</f>
        <v>1</v>
      </c>
    </row>
    <row r="82" spans="1:7" ht="15" customHeight="1">
      <c r="A82" s="14" t="s">
        <v>480</v>
      </c>
      <c r="B82" s="10" t="s">
        <v>1887</v>
      </c>
      <c r="C82" s="20">
        <v>45745.041666666664</v>
      </c>
      <c r="D82" s="23">
        <v>5</v>
      </c>
      <c r="E82" s="23">
        <v>3</v>
      </c>
      <c r="F82" s="15" t="s">
        <v>1888</v>
      </c>
      <c r="G82">
        <f>IF(ShipmentsTable[[#This Row],[Delivery_Status]]="On time",1,0)</f>
        <v>1</v>
      </c>
    </row>
    <row r="83" spans="1:7" ht="15" customHeight="1">
      <c r="A83" s="14" t="s">
        <v>484</v>
      </c>
      <c r="B83" s="10" t="s">
        <v>1889</v>
      </c>
      <c r="C83" s="20">
        <v>45720.041666666664</v>
      </c>
      <c r="D83" s="23">
        <v>4</v>
      </c>
      <c r="E83" s="23">
        <v>9</v>
      </c>
      <c r="F83" s="15" t="s">
        <v>1891</v>
      </c>
      <c r="G83">
        <f>IF(ShipmentsTable[[#This Row],[Delivery_Status]]="On time",1,0)</f>
        <v>0</v>
      </c>
    </row>
    <row r="84" spans="1:7" ht="15" customHeight="1">
      <c r="A84" s="14" t="s">
        <v>489</v>
      </c>
      <c r="B84" s="10" t="s">
        <v>1890</v>
      </c>
      <c r="C84" s="20">
        <v>45852</v>
      </c>
      <c r="D84" s="23">
        <v>5</v>
      </c>
      <c r="E84" s="23">
        <v>1</v>
      </c>
      <c r="F84" s="15" t="s">
        <v>1888</v>
      </c>
      <c r="G84">
        <f>IF(ShipmentsTable[[#This Row],[Delivery_Status]]="On time",1,0)</f>
        <v>1</v>
      </c>
    </row>
    <row r="85" spans="1:7" ht="15" customHeight="1">
      <c r="A85" s="14" t="s">
        <v>493</v>
      </c>
      <c r="B85" s="10" t="s">
        <v>1889</v>
      </c>
      <c r="C85" s="20">
        <v>45707</v>
      </c>
      <c r="D85" s="23">
        <v>5</v>
      </c>
      <c r="E85" s="23">
        <v>4</v>
      </c>
      <c r="F85" s="15" t="s">
        <v>1888</v>
      </c>
      <c r="G85">
        <f>IF(ShipmentsTable[[#This Row],[Delivery_Status]]="On time",1,0)</f>
        <v>1</v>
      </c>
    </row>
    <row r="86" spans="1:7" ht="15" customHeight="1">
      <c r="A86" s="14" t="s">
        <v>498</v>
      </c>
      <c r="B86" s="10" t="s">
        <v>1887</v>
      </c>
      <c r="C86" s="20">
        <v>45825</v>
      </c>
      <c r="D86" s="23">
        <v>4</v>
      </c>
      <c r="E86" s="23">
        <v>2</v>
      </c>
      <c r="F86" s="15" t="s">
        <v>1888</v>
      </c>
      <c r="G86">
        <f>IF(ShipmentsTable[[#This Row],[Delivery_Status]]="On time",1,0)</f>
        <v>1</v>
      </c>
    </row>
    <row r="87" spans="1:7" ht="15" customHeight="1">
      <c r="A87" s="14" t="s">
        <v>502</v>
      </c>
      <c r="B87" s="10" t="s">
        <v>1889</v>
      </c>
      <c r="C87" s="20">
        <v>45872</v>
      </c>
      <c r="D87" s="23">
        <v>5</v>
      </c>
      <c r="E87" s="23">
        <v>8</v>
      </c>
      <c r="F87" s="15" t="s">
        <v>1891</v>
      </c>
      <c r="G87">
        <f>IF(ShipmentsTable[[#This Row],[Delivery_Status]]="On time",1,0)</f>
        <v>0</v>
      </c>
    </row>
    <row r="88" spans="1:7" ht="15" customHeight="1">
      <c r="A88" s="14" t="s">
        <v>506</v>
      </c>
      <c r="B88" s="10" t="s">
        <v>1887</v>
      </c>
      <c r="C88" s="20">
        <v>45709</v>
      </c>
      <c r="D88" s="23">
        <v>5</v>
      </c>
      <c r="E88" s="23">
        <v>1</v>
      </c>
      <c r="F88" s="15" t="s">
        <v>1888</v>
      </c>
      <c r="G88">
        <f>IF(ShipmentsTable[[#This Row],[Delivery_Status]]="On time",1,0)</f>
        <v>1</v>
      </c>
    </row>
    <row r="89" spans="1:7" ht="15" customHeight="1">
      <c r="A89" s="14" t="s">
        <v>511</v>
      </c>
      <c r="B89" s="10" t="s">
        <v>1890</v>
      </c>
      <c r="C89" s="20">
        <v>45830</v>
      </c>
      <c r="D89" s="23">
        <v>3</v>
      </c>
      <c r="E89" s="23">
        <v>7</v>
      </c>
      <c r="F89" s="15" t="s">
        <v>1891</v>
      </c>
      <c r="G89">
        <f>IF(ShipmentsTable[[#This Row],[Delivery_Status]]="On time",1,0)</f>
        <v>0</v>
      </c>
    </row>
    <row r="90" spans="1:7" ht="15" customHeight="1">
      <c r="A90" s="14" t="s">
        <v>516</v>
      </c>
      <c r="B90" s="10" t="s">
        <v>1889</v>
      </c>
      <c r="C90" s="20">
        <v>45673</v>
      </c>
      <c r="D90" s="23">
        <v>4</v>
      </c>
      <c r="E90" s="23">
        <v>9</v>
      </c>
      <c r="F90" s="15" t="s">
        <v>1891</v>
      </c>
      <c r="G90">
        <f>IF(ShipmentsTable[[#This Row],[Delivery_Status]]="On time",1,0)</f>
        <v>0</v>
      </c>
    </row>
    <row r="91" spans="1:7" ht="15" customHeight="1">
      <c r="A91" s="14" t="s">
        <v>520</v>
      </c>
      <c r="B91" s="10" t="s">
        <v>1889</v>
      </c>
      <c r="C91" s="20">
        <v>45786</v>
      </c>
      <c r="D91" s="23">
        <v>4</v>
      </c>
      <c r="E91" s="23">
        <v>3</v>
      </c>
      <c r="F91" s="15" t="s">
        <v>1888</v>
      </c>
      <c r="G91">
        <f>IF(ShipmentsTable[[#This Row],[Delivery_Status]]="On time",1,0)</f>
        <v>1</v>
      </c>
    </row>
    <row r="92" spans="1:7" ht="15" customHeight="1">
      <c r="A92" s="14" t="s">
        <v>524</v>
      </c>
      <c r="B92" s="10" t="s">
        <v>1887</v>
      </c>
      <c r="C92" s="20">
        <v>45918</v>
      </c>
      <c r="D92" s="23">
        <v>5</v>
      </c>
      <c r="E92" s="23">
        <v>6</v>
      </c>
      <c r="F92" s="15" t="s">
        <v>1891</v>
      </c>
      <c r="G92">
        <f>IF(ShipmentsTable[[#This Row],[Delivery_Status]]="On time",1,0)</f>
        <v>0</v>
      </c>
    </row>
    <row r="93" spans="1:7" ht="15" customHeight="1">
      <c r="A93" s="14" t="s">
        <v>529</v>
      </c>
      <c r="B93" s="10" t="s">
        <v>1889</v>
      </c>
      <c r="C93" s="20">
        <v>45758</v>
      </c>
      <c r="D93" s="23">
        <v>4</v>
      </c>
      <c r="E93" s="23">
        <v>6</v>
      </c>
      <c r="F93" s="15" t="s">
        <v>1891</v>
      </c>
      <c r="G93">
        <f>IF(ShipmentsTable[[#This Row],[Delivery_Status]]="On time",1,0)</f>
        <v>0</v>
      </c>
    </row>
    <row r="94" spans="1:7" ht="15" customHeight="1">
      <c r="A94" s="14" t="s">
        <v>535</v>
      </c>
      <c r="B94" s="10" t="s">
        <v>1892</v>
      </c>
      <c r="C94" s="20">
        <v>45808</v>
      </c>
      <c r="D94" s="23">
        <v>5</v>
      </c>
      <c r="E94" s="23">
        <v>5</v>
      </c>
      <c r="F94" s="15" t="s">
        <v>1888</v>
      </c>
      <c r="G94">
        <f>IF(ShipmentsTable[[#This Row],[Delivery_Status]]="On time",1,0)</f>
        <v>1</v>
      </c>
    </row>
    <row r="95" spans="1:7" ht="15" customHeight="1">
      <c r="A95" s="14" t="s">
        <v>539</v>
      </c>
      <c r="B95" s="10" t="s">
        <v>1890</v>
      </c>
      <c r="C95" s="20">
        <v>45972</v>
      </c>
      <c r="D95" s="23">
        <v>5</v>
      </c>
      <c r="E95" s="23">
        <v>5</v>
      </c>
      <c r="F95" s="15" t="s">
        <v>1888</v>
      </c>
      <c r="G95">
        <f>IF(ShipmentsTable[[#This Row],[Delivery_Status]]="On time",1,0)</f>
        <v>1</v>
      </c>
    </row>
    <row r="96" spans="1:7" ht="15" customHeight="1">
      <c r="A96" s="14" t="s">
        <v>547</v>
      </c>
      <c r="B96" s="10" t="s">
        <v>1890</v>
      </c>
      <c r="C96" s="20">
        <v>45756</v>
      </c>
      <c r="D96" s="23">
        <v>3</v>
      </c>
      <c r="E96" s="23">
        <v>3</v>
      </c>
      <c r="F96" s="15" t="s">
        <v>1888</v>
      </c>
      <c r="G96">
        <f>IF(ShipmentsTable[[#This Row],[Delivery_Status]]="On time",1,0)</f>
        <v>1</v>
      </c>
    </row>
    <row r="97" spans="1:7" ht="15" customHeight="1">
      <c r="A97" s="14" t="s">
        <v>552</v>
      </c>
      <c r="B97" s="10" t="s">
        <v>1892</v>
      </c>
      <c r="C97" s="20">
        <v>45676</v>
      </c>
      <c r="D97" s="23">
        <v>4</v>
      </c>
      <c r="E97" s="23">
        <v>4</v>
      </c>
      <c r="F97" s="15" t="s">
        <v>1888</v>
      </c>
      <c r="G97">
        <f>IF(ShipmentsTable[[#This Row],[Delivery_Status]]="On time",1,0)</f>
        <v>1</v>
      </c>
    </row>
    <row r="98" spans="1:7" ht="15" customHeight="1">
      <c r="A98" s="14" t="s">
        <v>556</v>
      </c>
      <c r="B98" s="10" t="s">
        <v>1892</v>
      </c>
      <c r="C98" s="20">
        <v>45771</v>
      </c>
      <c r="D98" s="23">
        <v>4</v>
      </c>
      <c r="E98" s="23">
        <v>7</v>
      </c>
      <c r="F98" s="15" t="s">
        <v>1891</v>
      </c>
      <c r="G98">
        <f>IF(ShipmentsTable[[#This Row],[Delivery_Status]]="On time",1,0)</f>
        <v>0</v>
      </c>
    </row>
    <row r="99" spans="1:7" ht="15" customHeight="1">
      <c r="A99" s="14" t="s">
        <v>560</v>
      </c>
      <c r="B99" s="10" t="s">
        <v>1889</v>
      </c>
      <c r="C99" s="20">
        <v>45709</v>
      </c>
      <c r="D99" s="23">
        <v>3</v>
      </c>
      <c r="E99" s="23">
        <v>9</v>
      </c>
      <c r="F99" s="15" t="s">
        <v>1891</v>
      </c>
      <c r="G99">
        <f>IF(ShipmentsTable[[#This Row],[Delivery_Status]]="On time",1,0)</f>
        <v>0</v>
      </c>
    </row>
    <row r="100" spans="1:7" ht="15" customHeight="1">
      <c r="A100" s="14" t="s">
        <v>563</v>
      </c>
      <c r="B100" s="10" t="s">
        <v>1887</v>
      </c>
      <c r="C100" s="20">
        <v>45767</v>
      </c>
      <c r="D100" s="23">
        <v>3</v>
      </c>
      <c r="E100" s="23">
        <v>9</v>
      </c>
      <c r="F100" s="15" t="s">
        <v>1891</v>
      </c>
      <c r="G100">
        <f>IF(ShipmentsTable[[#This Row],[Delivery_Status]]="On time",1,0)</f>
        <v>0</v>
      </c>
    </row>
    <row r="101" spans="1:7" ht="15" customHeight="1">
      <c r="A101" s="14" t="s">
        <v>567</v>
      </c>
      <c r="B101" s="10" t="s">
        <v>1890</v>
      </c>
      <c r="C101" s="20">
        <v>46016</v>
      </c>
      <c r="D101" s="23">
        <v>4</v>
      </c>
      <c r="E101" s="23">
        <v>8</v>
      </c>
      <c r="F101" s="15" t="s">
        <v>1891</v>
      </c>
      <c r="G101">
        <f>IF(ShipmentsTable[[#This Row],[Delivery_Status]]="On time",1,0)</f>
        <v>0</v>
      </c>
    </row>
    <row r="102" spans="1:7" ht="15" customHeight="1">
      <c r="A102" s="14" t="s">
        <v>571</v>
      </c>
      <c r="B102" s="10" t="s">
        <v>1889</v>
      </c>
      <c r="C102" s="20">
        <v>45922</v>
      </c>
      <c r="D102" s="23">
        <v>4</v>
      </c>
      <c r="E102" s="23">
        <v>6</v>
      </c>
      <c r="F102" s="15" t="s">
        <v>1891</v>
      </c>
      <c r="G102">
        <f>IF(ShipmentsTable[[#This Row],[Delivery_Status]]="On time",1,0)</f>
        <v>0</v>
      </c>
    </row>
    <row r="103" spans="1:7" ht="15" customHeight="1">
      <c r="A103" s="14" t="s">
        <v>574</v>
      </c>
      <c r="B103" s="10" t="s">
        <v>1889</v>
      </c>
      <c r="C103" s="20">
        <v>45666</v>
      </c>
      <c r="D103" s="23">
        <v>4</v>
      </c>
      <c r="E103" s="23">
        <v>8</v>
      </c>
      <c r="F103" s="15" t="s">
        <v>1891</v>
      </c>
      <c r="G103">
        <f>IF(ShipmentsTable[[#This Row],[Delivery_Status]]="On time",1,0)</f>
        <v>0</v>
      </c>
    </row>
    <row r="104" spans="1:7" ht="15" customHeight="1">
      <c r="A104" s="14" t="s">
        <v>581</v>
      </c>
      <c r="B104" s="10" t="s">
        <v>1887</v>
      </c>
      <c r="C104" s="20">
        <v>45856</v>
      </c>
      <c r="D104" s="23">
        <v>5</v>
      </c>
      <c r="E104" s="23">
        <v>3</v>
      </c>
      <c r="F104" s="15" t="s">
        <v>1888</v>
      </c>
      <c r="G104">
        <f>IF(ShipmentsTable[[#This Row],[Delivery_Status]]="On time",1,0)</f>
        <v>1</v>
      </c>
    </row>
    <row r="105" spans="1:7" ht="15" customHeight="1">
      <c r="A105" s="14" t="s">
        <v>587</v>
      </c>
      <c r="B105" s="10" t="s">
        <v>1890</v>
      </c>
      <c r="C105" s="20">
        <v>45979</v>
      </c>
      <c r="D105" s="23">
        <v>4</v>
      </c>
      <c r="E105" s="23">
        <v>5</v>
      </c>
      <c r="F105" s="15" t="s">
        <v>1891</v>
      </c>
      <c r="G105">
        <f>IF(ShipmentsTable[[#This Row],[Delivery_Status]]="On time",1,0)</f>
        <v>0</v>
      </c>
    </row>
    <row r="106" spans="1:7" ht="15" customHeight="1">
      <c r="A106" s="14" t="s">
        <v>592</v>
      </c>
      <c r="B106" s="10" t="s">
        <v>1887</v>
      </c>
      <c r="C106" s="20">
        <v>45804</v>
      </c>
      <c r="D106" s="23">
        <v>3</v>
      </c>
      <c r="E106" s="23">
        <v>9</v>
      </c>
      <c r="F106" s="15" t="s">
        <v>1891</v>
      </c>
      <c r="G106">
        <f>IF(ShipmentsTable[[#This Row],[Delivery_Status]]="On time",1,0)</f>
        <v>0</v>
      </c>
    </row>
    <row r="107" spans="1:7" ht="15" customHeight="1">
      <c r="A107" s="14" t="s">
        <v>597</v>
      </c>
      <c r="B107" s="10" t="s">
        <v>1889</v>
      </c>
      <c r="C107" s="20">
        <v>45942</v>
      </c>
      <c r="D107" s="23">
        <v>4</v>
      </c>
      <c r="E107" s="23">
        <v>8</v>
      </c>
      <c r="F107" s="15" t="s">
        <v>1891</v>
      </c>
      <c r="G107">
        <f>IF(ShipmentsTable[[#This Row],[Delivery_Status]]="On time",1,0)</f>
        <v>0</v>
      </c>
    </row>
    <row r="108" spans="1:7" ht="15" customHeight="1">
      <c r="A108" s="14" t="s">
        <v>603</v>
      </c>
      <c r="B108" s="10" t="s">
        <v>1889</v>
      </c>
      <c r="C108" s="20">
        <v>45979</v>
      </c>
      <c r="D108" s="23">
        <v>4</v>
      </c>
      <c r="E108" s="23">
        <v>2</v>
      </c>
      <c r="F108" s="15" t="s">
        <v>1888</v>
      </c>
      <c r="G108">
        <f>IF(ShipmentsTable[[#This Row],[Delivery_Status]]="On time",1,0)</f>
        <v>1</v>
      </c>
    </row>
    <row r="109" spans="1:7" ht="15" customHeight="1">
      <c r="A109" s="14" t="s">
        <v>608</v>
      </c>
      <c r="B109" s="10" t="s">
        <v>1887</v>
      </c>
      <c r="C109" s="20">
        <v>45749.041666666664</v>
      </c>
      <c r="D109" s="23">
        <v>5</v>
      </c>
      <c r="E109" s="23">
        <v>5</v>
      </c>
      <c r="F109" s="15" t="s">
        <v>1888</v>
      </c>
      <c r="G109">
        <f>IF(ShipmentsTable[[#This Row],[Delivery_Status]]="On time",1,0)</f>
        <v>1</v>
      </c>
    </row>
    <row r="110" spans="1:7" ht="15" customHeight="1">
      <c r="A110" s="14" t="s">
        <v>615</v>
      </c>
      <c r="B110" s="10" t="s">
        <v>1889</v>
      </c>
      <c r="C110" s="20">
        <v>45904</v>
      </c>
      <c r="D110" s="23">
        <v>3</v>
      </c>
      <c r="E110" s="23">
        <v>4</v>
      </c>
      <c r="F110" s="15" t="s">
        <v>1891</v>
      </c>
      <c r="G110">
        <f>IF(ShipmentsTable[[#This Row],[Delivery_Status]]="On time",1,0)</f>
        <v>0</v>
      </c>
    </row>
    <row r="111" spans="1:7" ht="15" customHeight="1">
      <c r="A111" s="14" t="s">
        <v>620</v>
      </c>
      <c r="B111" s="10" t="s">
        <v>1889</v>
      </c>
      <c r="C111" s="20">
        <v>45991</v>
      </c>
      <c r="D111" s="23">
        <v>4</v>
      </c>
      <c r="E111" s="23">
        <v>5</v>
      </c>
      <c r="F111" s="15" t="s">
        <v>1891</v>
      </c>
      <c r="G111">
        <f>IF(ShipmentsTable[[#This Row],[Delivery_Status]]="On time",1,0)</f>
        <v>0</v>
      </c>
    </row>
    <row r="112" spans="1:7" ht="15" customHeight="1">
      <c r="A112" s="14" t="s">
        <v>624</v>
      </c>
      <c r="B112" s="10" t="s">
        <v>1890</v>
      </c>
      <c r="C112" s="20">
        <v>45677</v>
      </c>
      <c r="D112" s="23">
        <v>5</v>
      </c>
      <c r="E112" s="23">
        <v>6</v>
      </c>
      <c r="F112" s="15" t="s">
        <v>1891</v>
      </c>
      <c r="G112">
        <f>IF(ShipmentsTable[[#This Row],[Delivery_Status]]="On time",1,0)</f>
        <v>0</v>
      </c>
    </row>
    <row r="113" spans="1:7" ht="15" customHeight="1">
      <c r="A113" s="14" t="s">
        <v>629</v>
      </c>
      <c r="B113" s="10" t="s">
        <v>1892</v>
      </c>
      <c r="C113" s="20">
        <v>45701</v>
      </c>
      <c r="D113" s="23">
        <v>3</v>
      </c>
      <c r="E113" s="23">
        <v>2</v>
      </c>
      <c r="F113" s="15" t="s">
        <v>1888</v>
      </c>
      <c r="G113">
        <f>IF(ShipmentsTable[[#This Row],[Delivery_Status]]="On time",1,0)</f>
        <v>1</v>
      </c>
    </row>
    <row r="114" spans="1:7" ht="15" customHeight="1">
      <c r="A114" s="14" t="s">
        <v>633</v>
      </c>
      <c r="B114" s="10" t="s">
        <v>1892</v>
      </c>
      <c r="C114" s="20">
        <v>45882</v>
      </c>
      <c r="D114" s="23">
        <v>3</v>
      </c>
      <c r="E114" s="23">
        <v>6</v>
      </c>
      <c r="F114" s="15" t="s">
        <v>1891</v>
      </c>
      <c r="G114">
        <f>IF(ShipmentsTable[[#This Row],[Delivery_Status]]="On time",1,0)</f>
        <v>0</v>
      </c>
    </row>
    <row r="115" spans="1:7" ht="15" customHeight="1">
      <c r="A115" s="14" t="s">
        <v>637</v>
      </c>
      <c r="B115" s="10" t="s">
        <v>1890</v>
      </c>
      <c r="C115" s="20">
        <v>45737.041666666664</v>
      </c>
      <c r="D115" s="23">
        <v>5</v>
      </c>
      <c r="E115" s="23">
        <v>10</v>
      </c>
      <c r="F115" s="15" t="s">
        <v>1891</v>
      </c>
      <c r="G115">
        <f>IF(ShipmentsTable[[#This Row],[Delivery_Status]]="On time",1,0)</f>
        <v>0</v>
      </c>
    </row>
    <row r="116" spans="1:7" ht="15" customHeight="1">
      <c r="A116" s="14" t="s">
        <v>644</v>
      </c>
      <c r="B116" s="10" t="s">
        <v>1887</v>
      </c>
      <c r="C116" s="20">
        <v>45687</v>
      </c>
      <c r="D116" s="23">
        <v>4</v>
      </c>
      <c r="E116" s="23">
        <v>5</v>
      </c>
      <c r="F116" s="15" t="s">
        <v>1891</v>
      </c>
      <c r="G116">
        <f>IF(ShipmentsTable[[#This Row],[Delivery_Status]]="On time",1,0)</f>
        <v>0</v>
      </c>
    </row>
    <row r="117" spans="1:7" ht="15" customHeight="1">
      <c r="A117" s="14" t="s">
        <v>651</v>
      </c>
      <c r="B117" s="10" t="s">
        <v>1890</v>
      </c>
      <c r="C117" s="20">
        <v>45847</v>
      </c>
      <c r="D117" s="23">
        <v>3</v>
      </c>
      <c r="E117" s="23">
        <v>9</v>
      </c>
      <c r="F117" s="15" t="s">
        <v>1891</v>
      </c>
      <c r="G117">
        <f>IF(ShipmentsTable[[#This Row],[Delivery_Status]]="On time",1,0)</f>
        <v>0</v>
      </c>
    </row>
    <row r="118" spans="1:7" ht="15" customHeight="1">
      <c r="A118" s="14" t="s">
        <v>659</v>
      </c>
      <c r="B118" s="10" t="s">
        <v>1887</v>
      </c>
      <c r="C118" s="20">
        <v>45955</v>
      </c>
      <c r="D118" s="23">
        <v>3</v>
      </c>
      <c r="E118" s="23">
        <v>5</v>
      </c>
      <c r="F118" s="15" t="s">
        <v>1891</v>
      </c>
      <c r="G118">
        <f>IF(ShipmentsTable[[#This Row],[Delivery_Status]]="On time",1,0)</f>
        <v>0</v>
      </c>
    </row>
    <row r="119" spans="1:7" ht="15" customHeight="1">
      <c r="A119" s="14" t="s">
        <v>666</v>
      </c>
      <c r="B119" s="10" t="s">
        <v>1890</v>
      </c>
      <c r="C119" s="20">
        <v>45788</v>
      </c>
      <c r="D119" s="23">
        <v>3</v>
      </c>
      <c r="E119" s="23">
        <v>7</v>
      </c>
      <c r="F119" s="15" t="s">
        <v>1891</v>
      </c>
      <c r="G119">
        <f>IF(ShipmentsTable[[#This Row],[Delivery_Status]]="On time",1,0)</f>
        <v>0</v>
      </c>
    </row>
    <row r="120" spans="1:7" ht="15" customHeight="1">
      <c r="A120" s="14" t="s">
        <v>671</v>
      </c>
      <c r="B120" s="10" t="s">
        <v>1889</v>
      </c>
      <c r="C120" s="20">
        <v>45695</v>
      </c>
      <c r="D120" s="23">
        <v>4</v>
      </c>
      <c r="E120" s="23">
        <v>6</v>
      </c>
      <c r="F120" s="15" t="s">
        <v>1891</v>
      </c>
      <c r="G120">
        <f>IF(ShipmentsTable[[#This Row],[Delivery_Status]]="On time",1,0)</f>
        <v>0</v>
      </c>
    </row>
    <row r="121" spans="1:7" ht="15" customHeight="1">
      <c r="A121" s="14" t="s">
        <v>675</v>
      </c>
      <c r="B121" s="10" t="s">
        <v>1890</v>
      </c>
      <c r="C121" s="20">
        <v>45787</v>
      </c>
      <c r="D121" s="23">
        <v>5</v>
      </c>
      <c r="E121" s="23">
        <v>6</v>
      </c>
      <c r="F121" s="15" t="s">
        <v>1891</v>
      </c>
      <c r="G121">
        <f>IF(ShipmentsTable[[#This Row],[Delivery_Status]]="On time",1,0)</f>
        <v>0</v>
      </c>
    </row>
    <row r="122" spans="1:7" ht="15" customHeight="1">
      <c r="A122" s="14" t="s">
        <v>679</v>
      </c>
      <c r="B122" s="10" t="s">
        <v>1889</v>
      </c>
      <c r="C122" s="20">
        <v>45890</v>
      </c>
      <c r="D122" s="23">
        <v>5</v>
      </c>
      <c r="E122" s="23">
        <v>2</v>
      </c>
      <c r="F122" s="15" t="s">
        <v>1888</v>
      </c>
      <c r="G122">
        <f>IF(ShipmentsTable[[#This Row],[Delivery_Status]]="On time",1,0)</f>
        <v>1</v>
      </c>
    </row>
    <row r="123" spans="1:7" ht="15" customHeight="1">
      <c r="A123" s="14" t="s">
        <v>683</v>
      </c>
      <c r="B123" s="10" t="s">
        <v>1890</v>
      </c>
      <c r="C123" s="20">
        <v>45921</v>
      </c>
      <c r="D123" s="23">
        <v>3</v>
      </c>
      <c r="E123" s="23">
        <v>4</v>
      </c>
      <c r="F123" s="15" t="s">
        <v>1891</v>
      </c>
      <c r="G123">
        <f>IF(ShipmentsTable[[#This Row],[Delivery_Status]]="On time",1,0)</f>
        <v>0</v>
      </c>
    </row>
    <row r="124" spans="1:7" ht="15" customHeight="1">
      <c r="A124" s="14" t="s">
        <v>690</v>
      </c>
      <c r="B124" s="10" t="s">
        <v>1889</v>
      </c>
      <c r="C124" s="20">
        <v>45836</v>
      </c>
      <c r="D124" s="23">
        <v>4</v>
      </c>
      <c r="E124" s="23">
        <v>9</v>
      </c>
      <c r="F124" s="15" t="s">
        <v>1891</v>
      </c>
      <c r="G124">
        <f>IF(ShipmentsTable[[#This Row],[Delivery_Status]]="On time",1,0)</f>
        <v>0</v>
      </c>
    </row>
    <row r="125" spans="1:7" ht="15" customHeight="1">
      <c r="A125" s="14" t="s">
        <v>693</v>
      </c>
      <c r="B125" s="10" t="s">
        <v>1889</v>
      </c>
      <c r="C125" s="20">
        <v>45707</v>
      </c>
      <c r="D125" s="23">
        <v>5</v>
      </c>
      <c r="E125" s="23">
        <v>3</v>
      </c>
      <c r="F125" s="15" t="s">
        <v>1888</v>
      </c>
      <c r="G125">
        <f>IF(ShipmentsTable[[#This Row],[Delivery_Status]]="On time",1,0)</f>
        <v>1</v>
      </c>
    </row>
    <row r="126" spans="1:7" ht="15" customHeight="1">
      <c r="A126" s="14" t="s">
        <v>701</v>
      </c>
      <c r="B126" s="10" t="s">
        <v>1890</v>
      </c>
      <c r="C126" s="20">
        <v>45777</v>
      </c>
      <c r="D126" s="23">
        <v>3</v>
      </c>
      <c r="E126" s="23">
        <v>10</v>
      </c>
      <c r="F126" s="15" t="s">
        <v>1891</v>
      </c>
      <c r="G126">
        <f>IF(ShipmentsTable[[#This Row],[Delivery_Status]]="On time",1,0)</f>
        <v>0</v>
      </c>
    </row>
    <row r="127" spans="1:7" ht="15" customHeight="1">
      <c r="A127" s="14" t="s">
        <v>706</v>
      </c>
      <c r="B127" s="10" t="s">
        <v>1890</v>
      </c>
      <c r="C127" s="20">
        <v>45934</v>
      </c>
      <c r="D127" s="23">
        <v>4</v>
      </c>
      <c r="E127" s="23">
        <v>5</v>
      </c>
      <c r="F127" s="15" t="s">
        <v>1891</v>
      </c>
      <c r="G127">
        <f>IF(ShipmentsTable[[#This Row],[Delivery_Status]]="On time",1,0)</f>
        <v>0</v>
      </c>
    </row>
    <row r="128" spans="1:7" ht="15" customHeight="1">
      <c r="A128" s="14" t="s">
        <v>710</v>
      </c>
      <c r="B128" s="10" t="s">
        <v>1890</v>
      </c>
      <c r="C128" s="20">
        <v>45972</v>
      </c>
      <c r="D128" s="23">
        <v>5</v>
      </c>
      <c r="E128" s="23">
        <v>7</v>
      </c>
      <c r="F128" s="15" t="s">
        <v>1891</v>
      </c>
      <c r="G128">
        <f>IF(ShipmentsTable[[#This Row],[Delivery_Status]]="On time",1,0)</f>
        <v>0</v>
      </c>
    </row>
    <row r="129" spans="1:7" ht="15" customHeight="1">
      <c r="A129" s="14" t="s">
        <v>713</v>
      </c>
      <c r="B129" s="10" t="s">
        <v>1887</v>
      </c>
      <c r="C129" s="20">
        <v>45736.041666666664</v>
      </c>
      <c r="D129" s="23">
        <v>3</v>
      </c>
      <c r="E129" s="23">
        <v>1</v>
      </c>
      <c r="F129" s="15" t="s">
        <v>1888</v>
      </c>
      <c r="G129">
        <f>IF(ShipmentsTable[[#This Row],[Delivery_Status]]="On time",1,0)</f>
        <v>1</v>
      </c>
    </row>
    <row r="130" spans="1:7" ht="15" customHeight="1">
      <c r="A130" s="14" t="s">
        <v>716</v>
      </c>
      <c r="B130" s="10" t="s">
        <v>1887</v>
      </c>
      <c r="C130" s="20">
        <v>45702</v>
      </c>
      <c r="D130" s="23">
        <v>3</v>
      </c>
      <c r="E130" s="23">
        <v>5</v>
      </c>
      <c r="F130" s="15" t="s">
        <v>1891</v>
      </c>
      <c r="G130">
        <f>IF(ShipmentsTable[[#This Row],[Delivery_Status]]="On time",1,0)</f>
        <v>0</v>
      </c>
    </row>
    <row r="131" spans="1:7" ht="15" customHeight="1">
      <c r="A131" s="14" t="s">
        <v>719</v>
      </c>
      <c r="B131" s="10" t="s">
        <v>1889</v>
      </c>
      <c r="C131" s="20">
        <v>45907</v>
      </c>
      <c r="D131" s="23">
        <v>4</v>
      </c>
      <c r="E131" s="23">
        <v>1</v>
      </c>
      <c r="F131" s="15" t="s">
        <v>1888</v>
      </c>
      <c r="G131">
        <f>IF(ShipmentsTable[[#This Row],[Delivery_Status]]="On time",1,0)</f>
        <v>1</v>
      </c>
    </row>
    <row r="132" spans="1:7" ht="15" customHeight="1">
      <c r="A132" s="14" t="s">
        <v>723</v>
      </c>
      <c r="B132" s="10" t="s">
        <v>1892</v>
      </c>
      <c r="C132" s="20">
        <v>45904</v>
      </c>
      <c r="D132" s="23">
        <v>5</v>
      </c>
      <c r="E132" s="23">
        <v>9</v>
      </c>
      <c r="F132" s="15" t="s">
        <v>1891</v>
      </c>
      <c r="G132">
        <f>IF(ShipmentsTable[[#This Row],[Delivery_Status]]="On time",1,0)</f>
        <v>0</v>
      </c>
    </row>
    <row r="133" spans="1:7" ht="15" customHeight="1">
      <c r="A133" s="14" t="s">
        <v>729</v>
      </c>
      <c r="B133" s="10" t="s">
        <v>1889</v>
      </c>
      <c r="C133" s="20">
        <v>45786</v>
      </c>
      <c r="D133" s="23">
        <v>3</v>
      </c>
      <c r="E133" s="23">
        <v>3</v>
      </c>
      <c r="F133" s="15" t="s">
        <v>1888</v>
      </c>
      <c r="G133">
        <f>IF(ShipmentsTable[[#This Row],[Delivery_Status]]="On time",1,0)</f>
        <v>1</v>
      </c>
    </row>
    <row r="134" spans="1:7" ht="15" customHeight="1">
      <c r="A134" s="14" t="s">
        <v>732</v>
      </c>
      <c r="B134" s="10" t="s">
        <v>1892</v>
      </c>
      <c r="C134" s="20">
        <v>45688</v>
      </c>
      <c r="D134" s="23">
        <v>5</v>
      </c>
      <c r="E134" s="23">
        <v>6</v>
      </c>
      <c r="F134" s="15" t="s">
        <v>1891</v>
      </c>
      <c r="G134">
        <f>IF(ShipmentsTable[[#This Row],[Delivery_Status]]="On time",1,0)</f>
        <v>0</v>
      </c>
    </row>
    <row r="135" spans="1:7" ht="15" customHeight="1">
      <c r="A135" s="14" t="s">
        <v>737</v>
      </c>
      <c r="B135" s="10" t="s">
        <v>1887</v>
      </c>
      <c r="C135" s="20">
        <v>46005</v>
      </c>
      <c r="D135" s="23">
        <v>4</v>
      </c>
      <c r="E135" s="23">
        <v>6</v>
      </c>
      <c r="F135" s="15" t="s">
        <v>1891</v>
      </c>
      <c r="G135">
        <f>IF(ShipmentsTable[[#This Row],[Delivery_Status]]="On time",1,0)</f>
        <v>0</v>
      </c>
    </row>
    <row r="136" spans="1:7" ht="15" customHeight="1">
      <c r="A136" s="14" t="s">
        <v>742</v>
      </c>
      <c r="B136" s="10" t="s">
        <v>1887</v>
      </c>
      <c r="C136" s="20">
        <v>45703</v>
      </c>
      <c r="D136" s="23">
        <v>4</v>
      </c>
      <c r="E136" s="23">
        <v>1</v>
      </c>
      <c r="F136" s="15" t="s">
        <v>1888</v>
      </c>
      <c r="G136">
        <f>IF(ShipmentsTable[[#This Row],[Delivery_Status]]="On time",1,0)</f>
        <v>1</v>
      </c>
    </row>
    <row r="137" spans="1:7" ht="15" customHeight="1">
      <c r="A137" s="14" t="s">
        <v>747</v>
      </c>
      <c r="B137" s="10" t="s">
        <v>1887</v>
      </c>
      <c r="C137" s="20">
        <v>45953</v>
      </c>
      <c r="D137" s="23">
        <v>3</v>
      </c>
      <c r="E137" s="23">
        <v>5</v>
      </c>
      <c r="F137" s="15" t="s">
        <v>1891</v>
      </c>
      <c r="G137">
        <f>IF(ShipmentsTable[[#This Row],[Delivery_Status]]="On time",1,0)</f>
        <v>0</v>
      </c>
    </row>
    <row r="138" spans="1:7" ht="15" customHeight="1">
      <c r="A138" s="14" t="s">
        <v>754</v>
      </c>
      <c r="B138" s="10" t="s">
        <v>1892</v>
      </c>
      <c r="C138" s="20">
        <v>45746.041666666664</v>
      </c>
      <c r="D138" s="23">
        <v>4</v>
      </c>
      <c r="E138" s="23">
        <v>9</v>
      </c>
      <c r="F138" s="15" t="s">
        <v>1891</v>
      </c>
      <c r="G138">
        <f>IF(ShipmentsTable[[#This Row],[Delivery_Status]]="On time",1,0)</f>
        <v>0</v>
      </c>
    </row>
    <row r="139" spans="1:7" ht="15" customHeight="1">
      <c r="A139" s="14" t="s">
        <v>759</v>
      </c>
      <c r="B139" s="10" t="s">
        <v>1892</v>
      </c>
      <c r="C139" s="20">
        <v>45688</v>
      </c>
      <c r="D139" s="23">
        <v>4</v>
      </c>
      <c r="E139" s="23">
        <v>1</v>
      </c>
      <c r="F139" s="15" t="s">
        <v>1888</v>
      </c>
      <c r="G139">
        <f>IF(ShipmentsTable[[#This Row],[Delivery_Status]]="On time",1,0)</f>
        <v>1</v>
      </c>
    </row>
    <row r="140" spans="1:7" ht="15" customHeight="1">
      <c r="A140" s="14" t="s">
        <v>765</v>
      </c>
      <c r="B140" s="10" t="s">
        <v>1890</v>
      </c>
      <c r="C140" s="20">
        <v>45692</v>
      </c>
      <c r="D140" s="23">
        <v>3</v>
      </c>
      <c r="E140" s="23">
        <v>2</v>
      </c>
      <c r="F140" s="15" t="s">
        <v>1888</v>
      </c>
      <c r="G140">
        <f>IF(ShipmentsTable[[#This Row],[Delivery_Status]]="On time",1,0)</f>
        <v>1</v>
      </c>
    </row>
    <row r="141" spans="1:7" ht="15" customHeight="1">
      <c r="A141" s="14" t="s">
        <v>768</v>
      </c>
      <c r="B141" s="10" t="s">
        <v>1890</v>
      </c>
      <c r="C141" s="20">
        <v>45851</v>
      </c>
      <c r="D141" s="23">
        <v>4</v>
      </c>
      <c r="E141" s="23">
        <v>2</v>
      </c>
      <c r="F141" s="15" t="s">
        <v>1888</v>
      </c>
      <c r="G141">
        <f>IF(ShipmentsTable[[#This Row],[Delivery_Status]]="On time",1,0)</f>
        <v>1</v>
      </c>
    </row>
    <row r="142" spans="1:7" ht="15" customHeight="1">
      <c r="A142" s="14" t="s">
        <v>773</v>
      </c>
      <c r="B142" s="10" t="s">
        <v>1889</v>
      </c>
      <c r="C142" s="20">
        <v>45889</v>
      </c>
      <c r="D142" s="23">
        <v>3</v>
      </c>
      <c r="E142" s="23">
        <v>2</v>
      </c>
      <c r="F142" s="15" t="s">
        <v>1888</v>
      </c>
      <c r="G142">
        <f>IF(ShipmentsTable[[#This Row],[Delivery_Status]]="On time",1,0)</f>
        <v>1</v>
      </c>
    </row>
    <row r="143" spans="1:7" ht="15" customHeight="1">
      <c r="A143" s="14" t="s">
        <v>778</v>
      </c>
      <c r="B143" s="10" t="s">
        <v>1887</v>
      </c>
      <c r="C143" s="20">
        <v>45899</v>
      </c>
      <c r="D143" s="23">
        <v>4</v>
      </c>
      <c r="E143" s="23">
        <v>3</v>
      </c>
      <c r="F143" s="15" t="s">
        <v>1888</v>
      </c>
      <c r="G143">
        <f>IF(ShipmentsTable[[#This Row],[Delivery_Status]]="On time",1,0)</f>
        <v>1</v>
      </c>
    </row>
    <row r="144" spans="1:7" ht="15" customHeight="1">
      <c r="A144" s="14" t="s">
        <v>782</v>
      </c>
      <c r="B144" s="10" t="s">
        <v>1889</v>
      </c>
      <c r="C144" s="20">
        <v>46010</v>
      </c>
      <c r="D144" s="23">
        <v>3</v>
      </c>
      <c r="E144" s="23">
        <v>9</v>
      </c>
      <c r="F144" s="15" t="s">
        <v>1891</v>
      </c>
      <c r="G144">
        <f>IF(ShipmentsTable[[#This Row],[Delivery_Status]]="On time",1,0)</f>
        <v>0</v>
      </c>
    </row>
    <row r="145" spans="1:7" ht="15" customHeight="1">
      <c r="A145" s="14" t="s">
        <v>787</v>
      </c>
      <c r="B145" s="10" t="s">
        <v>1887</v>
      </c>
      <c r="C145" s="20">
        <v>45846</v>
      </c>
      <c r="D145" s="23">
        <v>3</v>
      </c>
      <c r="E145" s="23">
        <v>9</v>
      </c>
      <c r="F145" s="15" t="s">
        <v>1891</v>
      </c>
      <c r="G145">
        <f>IF(ShipmentsTable[[#This Row],[Delivery_Status]]="On time",1,0)</f>
        <v>0</v>
      </c>
    </row>
    <row r="146" spans="1:7" ht="15" customHeight="1">
      <c r="A146" s="14" t="s">
        <v>791</v>
      </c>
      <c r="B146" s="10" t="s">
        <v>1887</v>
      </c>
      <c r="C146" s="20">
        <v>45939</v>
      </c>
      <c r="D146" s="23">
        <v>4</v>
      </c>
      <c r="E146" s="23">
        <v>5</v>
      </c>
      <c r="F146" s="15" t="s">
        <v>1891</v>
      </c>
      <c r="G146">
        <f>IF(ShipmentsTable[[#This Row],[Delivery_Status]]="On time",1,0)</f>
        <v>0</v>
      </c>
    </row>
    <row r="147" spans="1:7" ht="15" customHeight="1">
      <c r="A147" s="14" t="s">
        <v>794</v>
      </c>
      <c r="B147" s="10" t="s">
        <v>1889</v>
      </c>
      <c r="C147" s="20">
        <v>45968</v>
      </c>
      <c r="D147" s="23">
        <v>4</v>
      </c>
      <c r="E147" s="23">
        <v>4</v>
      </c>
      <c r="F147" s="15" t="s">
        <v>1888</v>
      </c>
      <c r="G147">
        <f>IF(ShipmentsTable[[#This Row],[Delivery_Status]]="On time",1,0)</f>
        <v>1</v>
      </c>
    </row>
    <row r="148" spans="1:7" ht="15" customHeight="1">
      <c r="A148" s="14" t="s">
        <v>799</v>
      </c>
      <c r="B148" s="10" t="s">
        <v>1887</v>
      </c>
      <c r="C148" s="20">
        <v>45714.041666666664</v>
      </c>
      <c r="D148" s="23">
        <v>3</v>
      </c>
      <c r="E148" s="23">
        <v>5</v>
      </c>
      <c r="F148" s="15" t="s">
        <v>1891</v>
      </c>
      <c r="G148">
        <f>IF(ShipmentsTable[[#This Row],[Delivery_Status]]="On time",1,0)</f>
        <v>0</v>
      </c>
    </row>
    <row r="149" spans="1:7" ht="15" customHeight="1">
      <c r="A149" s="14" t="s">
        <v>804</v>
      </c>
      <c r="B149" s="10" t="s">
        <v>1889</v>
      </c>
      <c r="C149" s="20">
        <v>45920</v>
      </c>
      <c r="D149" s="23">
        <v>3</v>
      </c>
      <c r="E149" s="23">
        <v>3</v>
      </c>
      <c r="F149" s="15" t="s">
        <v>1888</v>
      </c>
      <c r="G149">
        <f>IF(ShipmentsTable[[#This Row],[Delivery_Status]]="On time",1,0)</f>
        <v>1</v>
      </c>
    </row>
    <row r="150" spans="1:7" ht="15" customHeight="1">
      <c r="A150" s="14" t="s">
        <v>808</v>
      </c>
      <c r="B150" s="10" t="s">
        <v>1887</v>
      </c>
      <c r="C150" s="20">
        <v>45822</v>
      </c>
      <c r="D150" s="23">
        <v>5</v>
      </c>
      <c r="E150" s="23">
        <v>7</v>
      </c>
      <c r="F150" s="15" t="s">
        <v>1891</v>
      </c>
      <c r="G150">
        <f>IF(ShipmentsTable[[#This Row],[Delivery_Status]]="On time",1,0)</f>
        <v>0</v>
      </c>
    </row>
    <row r="151" spans="1:7" ht="15" customHeight="1">
      <c r="A151" s="14" t="s">
        <v>812</v>
      </c>
      <c r="B151" s="10" t="s">
        <v>1892</v>
      </c>
      <c r="C151" s="20">
        <v>45889</v>
      </c>
      <c r="D151" s="23">
        <v>4</v>
      </c>
      <c r="E151" s="23">
        <v>9</v>
      </c>
      <c r="F151" s="15" t="s">
        <v>1891</v>
      </c>
      <c r="G151">
        <f>IF(ShipmentsTable[[#This Row],[Delivery_Status]]="On time",1,0)</f>
        <v>0</v>
      </c>
    </row>
    <row r="152" spans="1:7" ht="15" customHeight="1">
      <c r="A152" s="14" t="s">
        <v>818</v>
      </c>
      <c r="B152" s="10" t="s">
        <v>1887</v>
      </c>
      <c r="C152" s="20">
        <v>45838</v>
      </c>
      <c r="D152" s="23">
        <v>5</v>
      </c>
      <c r="E152" s="23">
        <v>10</v>
      </c>
      <c r="F152" s="15" t="s">
        <v>1891</v>
      </c>
      <c r="G152">
        <f>IF(ShipmentsTable[[#This Row],[Delivery_Status]]="On time",1,0)</f>
        <v>0</v>
      </c>
    </row>
    <row r="153" spans="1:7" ht="15" customHeight="1">
      <c r="A153" s="14" t="s">
        <v>821</v>
      </c>
      <c r="B153" s="10" t="s">
        <v>1887</v>
      </c>
      <c r="C153" s="20">
        <v>45838</v>
      </c>
      <c r="D153" s="23">
        <v>4</v>
      </c>
      <c r="E153" s="23">
        <v>5</v>
      </c>
      <c r="F153" s="15" t="s">
        <v>1891</v>
      </c>
      <c r="G153">
        <f>IF(ShipmentsTable[[#This Row],[Delivery_Status]]="On time",1,0)</f>
        <v>0</v>
      </c>
    </row>
    <row r="154" spans="1:7" ht="15" customHeight="1">
      <c r="A154" s="14" t="s">
        <v>825</v>
      </c>
      <c r="B154" s="10" t="s">
        <v>1890</v>
      </c>
      <c r="C154" s="20">
        <v>45871</v>
      </c>
      <c r="D154" s="23">
        <v>5</v>
      </c>
      <c r="E154" s="23">
        <v>10</v>
      </c>
      <c r="F154" s="15" t="s">
        <v>1891</v>
      </c>
      <c r="G154">
        <f>IF(ShipmentsTable[[#This Row],[Delivery_Status]]="On time",1,0)</f>
        <v>0</v>
      </c>
    </row>
    <row r="155" spans="1:7" ht="15" customHeight="1">
      <c r="A155" s="14" t="s">
        <v>827</v>
      </c>
      <c r="B155" s="10" t="s">
        <v>1890</v>
      </c>
      <c r="C155" s="20">
        <v>45853</v>
      </c>
      <c r="D155" s="23">
        <v>3</v>
      </c>
      <c r="E155" s="23">
        <v>5</v>
      </c>
      <c r="F155" s="15" t="s">
        <v>1891</v>
      </c>
      <c r="G155">
        <f>IF(ShipmentsTable[[#This Row],[Delivery_Status]]="On time",1,0)</f>
        <v>0</v>
      </c>
    </row>
    <row r="156" spans="1:7" ht="15" customHeight="1">
      <c r="A156" s="14" t="s">
        <v>830</v>
      </c>
      <c r="B156" s="10" t="s">
        <v>1889</v>
      </c>
      <c r="C156" s="20">
        <v>45849</v>
      </c>
      <c r="D156" s="23">
        <v>3</v>
      </c>
      <c r="E156" s="23">
        <v>7</v>
      </c>
      <c r="F156" s="15" t="s">
        <v>1891</v>
      </c>
      <c r="G156">
        <f>IF(ShipmentsTable[[#This Row],[Delivery_Status]]="On time",1,0)</f>
        <v>0</v>
      </c>
    </row>
    <row r="157" spans="1:7" ht="15" customHeight="1">
      <c r="A157" s="14" t="s">
        <v>834</v>
      </c>
      <c r="B157" s="10" t="s">
        <v>1890</v>
      </c>
      <c r="C157" s="20">
        <v>45994</v>
      </c>
      <c r="D157" s="23">
        <v>3</v>
      </c>
      <c r="E157" s="23">
        <v>1</v>
      </c>
      <c r="F157" s="15" t="s">
        <v>1888</v>
      </c>
      <c r="G157">
        <f>IF(ShipmentsTable[[#This Row],[Delivery_Status]]="On time",1,0)</f>
        <v>1</v>
      </c>
    </row>
    <row r="158" spans="1:7" ht="15" customHeight="1">
      <c r="A158" s="14" t="s">
        <v>838</v>
      </c>
      <c r="B158" s="10" t="s">
        <v>1889</v>
      </c>
      <c r="C158" s="20">
        <v>45937</v>
      </c>
      <c r="D158" s="23">
        <v>5</v>
      </c>
      <c r="E158" s="23">
        <v>2</v>
      </c>
      <c r="F158" s="15" t="s">
        <v>1888</v>
      </c>
      <c r="G158">
        <f>IF(ShipmentsTable[[#This Row],[Delivery_Status]]="On time",1,0)</f>
        <v>1</v>
      </c>
    </row>
    <row r="159" spans="1:7" ht="15" customHeight="1">
      <c r="A159" s="14" t="s">
        <v>842</v>
      </c>
      <c r="B159" s="10" t="s">
        <v>1892</v>
      </c>
      <c r="C159" s="20">
        <v>45965</v>
      </c>
      <c r="D159" s="23">
        <v>4</v>
      </c>
      <c r="E159" s="23">
        <v>2</v>
      </c>
      <c r="F159" s="15" t="s">
        <v>1888</v>
      </c>
      <c r="G159">
        <f>IF(ShipmentsTable[[#This Row],[Delivery_Status]]="On time",1,0)</f>
        <v>1</v>
      </c>
    </row>
    <row r="160" spans="1:7" ht="15" customHeight="1">
      <c r="A160" s="14" t="s">
        <v>848</v>
      </c>
      <c r="B160" s="10" t="s">
        <v>1890</v>
      </c>
      <c r="C160" s="20">
        <v>46005</v>
      </c>
      <c r="D160" s="23">
        <v>4</v>
      </c>
      <c r="E160" s="23">
        <v>6</v>
      </c>
      <c r="F160" s="15" t="s">
        <v>1891</v>
      </c>
      <c r="G160">
        <f>IF(ShipmentsTable[[#This Row],[Delivery_Status]]="On time",1,0)</f>
        <v>0</v>
      </c>
    </row>
    <row r="161" spans="1:7" ht="15" customHeight="1">
      <c r="A161" s="14" t="s">
        <v>853</v>
      </c>
      <c r="B161" s="10" t="s">
        <v>1889</v>
      </c>
      <c r="C161" s="20">
        <v>45811</v>
      </c>
      <c r="D161" s="23">
        <v>5</v>
      </c>
      <c r="E161" s="23">
        <v>9</v>
      </c>
      <c r="F161" s="15" t="s">
        <v>1891</v>
      </c>
      <c r="G161">
        <f>IF(ShipmentsTable[[#This Row],[Delivery_Status]]="On time",1,0)</f>
        <v>0</v>
      </c>
    </row>
    <row r="162" spans="1:7" ht="15" customHeight="1">
      <c r="A162" s="14" t="s">
        <v>858</v>
      </c>
      <c r="B162" s="10" t="s">
        <v>1887</v>
      </c>
      <c r="C162" s="20">
        <v>45911</v>
      </c>
      <c r="D162" s="23">
        <v>4</v>
      </c>
      <c r="E162" s="23">
        <v>8</v>
      </c>
      <c r="F162" s="15" t="s">
        <v>1891</v>
      </c>
      <c r="G162">
        <f>IF(ShipmentsTable[[#This Row],[Delivery_Status]]="On time",1,0)</f>
        <v>0</v>
      </c>
    </row>
    <row r="163" spans="1:7" ht="15" customHeight="1">
      <c r="A163" s="14" t="s">
        <v>865</v>
      </c>
      <c r="B163" s="10" t="s">
        <v>1889</v>
      </c>
      <c r="C163" s="20">
        <v>45928</v>
      </c>
      <c r="D163" s="23">
        <v>4</v>
      </c>
      <c r="E163" s="23">
        <v>3</v>
      </c>
      <c r="F163" s="15" t="s">
        <v>1888</v>
      </c>
      <c r="G163">
        <f>IF(ShipmentsTable[[#This Row],[Delivery_Status]]="On time",1,0)</f>
        <v>1</v>
      </c>
    </row>
    <row r="164" spans="1:7" ht="15" customHeight="1">
      <c r="A164" s="14" t="s">
        <v>872</v>
      </c>
      <c r="B164" s="10" t="s">
        <v>1887</v>
      </c>
      <c r="C164" s="20">
        <v>45857</v>
      </c>
      <c r="D164" s="23">
        <v>3</v>
      </c>
      <c r="E164" s="23">
        <v>10</v>
      </c>
      <c r="F164" s="15" t="s">
        <v>1891</v>
      </c>
      <c r="G164">
        <f>IF(ShipmentsTable[[#This Row],[Delivery_Status]]="On time",1,0)</f>
        <v>0</v>
      </c>
    </row>
    <row r="165" spans="1:7" ht="15" customHeight="1">
      <c r="A165" s="14" t="s">
        <v>874</v>
      </c>
      <c r="B165" s="10" t="s">
        <v>1889</v>
      </c>
      <c r="C165" s="20">
        <v>45957</v>
      </c>
      <c r="D165" s="23">
        <v>5</v>
      </c>
      <c r="E165" s="23">
        <v>6</v>
      </c>
      <c r="F165" s="15" t="s">
        <v>1891</v>
      </c>
      <c r="G165">
        <f>IF(ShipmentsTable[[#This Row],[Delivery_Status]]="On time",1,0)</f>
        <v>0</v>
      </c>
    </row>
    <row r="166" spans="1:7" ht="15" customHeight="1">
      <c r="A166" s="14" t="s">
        <v>879</v>
      </c>
      <c r="B166" s="10" t="s">
        <v>1892</v>
      </c>
      <c r="C166" s="20">
        <v>45881</v>
      </c>
      <c r="D166" s="23">
        <v>3</v>
      </c>
      <c r="E166" s="23">
        <v>2</v>
      </c>
      <c r="F166" s="15" t="s">
        <v>1888</v>
      </c>
      <c r="G166">
        <f>IF(ShipmentsTable[[#This Row],[Delivery_Status]]="On time",1,0)</f>
        <v>1</v>
      </c>
    </row>
    <row r="167" spans="1:7" ht="15" customHeight="1">
      <c r="A167" s="14" t="s">
        <v>886</v>
      </c>
      <c r="B167" s="10" t="s">
        <v>1892</v>
      </c>
      <c r="C167" s="20">
        <v>45703</v>
      </c>
      <c r="D167" s="23">
        <v>5</v>
      </c>
      <c r="E167" s="23">
        <v>7</v>
      </c>
      <c r="F167" s="15" t="s">
        <v>1891</v>
      </c>
      <c r="G167">
        <f>IF(ShipmentsTable[[#This Row],[Delivery_Status]]="On time",1,0)</f>
        <v>0</v>
      </c>
    </row>
    <row r="168" spans="1:7" ht="15" customHeight="1">
      <c r="A168" s="14" t="s">
        <v>889</v>
      </c>
      <c r="B168" s="10" t="s">
        <v>1892</v>
      </c>
      <c r="C168" s="20">
        <v>45938</v>
      </c>
      <c r="D168" s="23">
        <v>3</v>
      </c>
      <c r="E168" s="23">
        <v>10</v>
      </c>
      <c r="F168" s="15" t="s">
        <v>1891</v>
      </c>
      <c r="G168">
        <f>IF(ShipmentsTable[[#This Row],[Delivery_Status]]="On time",1,0)</f>
        <v>0</v>
      </c>
    </row>
    <row r="169" spans="1:7" ht="15" customHeight="1">
      <c r="A169" s="14" t="s">
        <v>894</v>
      </c>
      <c r="B169" s="10" t="s">
        <v>1892</v>
      </c>
      <c r="C169" s="20">
        <v>45931</v>
      </c>
      <c r="D169" s="23">
        <v>3</v>
      </c>
      <c r="E169" s="23">
        <v>1</v>
      </c>
      <c r="F169" s="15" t="s">
        <v>1888</v>
      </c>
      <c r="G169">
        <f>IF(ShipmentsTable[[#This Row],[Delivery_Status]]="On time",1,0)</f>
        <v>1</v>
      </c>
    </row>
    <row r="170" spans="1:7" ht="15" customHeight="1">
      <c r="A170" s="14" t="s">
        <v>899</v>
      </c>
      <c r="B170" s="10" t="s">
        <v>1890</v>
      </c>
      <c r="C170" s="20">
        <v>45830</v>
      </c>
      <c r="D170" s="23">
        <v>4</v>
      </c>
      <c r="E170" s="23">
        <v>9</v>
      </c>
      <c r="F170" s="15" t="s">
        <v>1891</v>
      </c>
      <c r="G170">
        <f>IF(ShipmentsTable[[#This Row],[Delivery_Status]]="On time",1,0)</f>
        <v>0</v>
      </c>
    </row>
    <row r="171" spans="1:7" ht="15" customHeight="1">
      <c r="A171" s="14" t="s">
        <v>903</v>
      </c>
      <c r="B171" s="10" t="s">
        <v>1890</v>
      </c>
      <c r="C171" s="20">
        <v>45683</v>
      </c>
      <c r="D171" s="23">
        <v>5</v>
      </c>
      <c r="E171" s="23">
        <v>4</v>
      </c>
      <c r="F171" s="15" t="s">
        <v>1888</v>
      </c>
      <c r="G171">
        <f>IF(ShipmentsTable[[#This Row],[Delivery_Status]]="On time",1,0)</f>
        <v>1</v>
      </c>
    </row>
    <row r="172" spans="1:7" ht="15" customHeight="1">
      <c r="A172" s="14" t="s">
        <v>905</v>
      </c>
      <c r="B172" s="10" t="s">
        <v>1892</v>
      </c>
      <c r="C172" s="20">
        <v>45908</v>
      </c>
      <c r="D172" s="23">
        <v>5</v>
      </c>
      <c r="E172" s="23">
        <v>6</v>
      </c>
      <c r="F172" s="15" t="s">
        <v>1891</v>
      </c>
      <c r="G172">
        <f>IF(ShipmentsTable[[#This Row],[Delivery_Status]]="On time",1,0)</f>
        <v>0</v>
      </c>
    </row>
    <row r="173" spans="1:7" ht="15" customHeight="1">
      <c r="A173" s="14" t="s">
        <v>907</v>
      </c>
      <c r="B173" s="10" t="s">
        <v>1890</v>
      </c>
      <c r="C173" s="20">
        <v>46006</v>
      </c>
      <c r="D173" s="23">
        <v>5</v>
      </c>
      <c r="E173" s="23">
        <v>6</v>
      </c>
      <c r="F173" s="15" t="s">
        <v>1891</v>
      </c>
      <c r="G173">
        <f>IF(ShipmentsTable[[#This Row],[Delivery_Status]]="On time",1,0)</f>
        <v>0</v>
      </c>
    </row>
    <row r="174" spans="1:7" ht="15" customHeight="1">
      <c r="A174" s="14" t="s">
        <v>909</v>
      </c>
      <c r="B174" s="10" t="s">
        <v>1890</v>
      </c>
      <c r="C174" s="20">
        <v>45777</v>
      </c>
      <c r="D174" s="23">
        <v>5</v>
      </c>
      <c r="E174" s="23">
        <v>7</v>
      </c>
      <c r="F174" s="15" t="s">
        <v>1891</v>
      </c>
      <c r="G174">
        <f>IF(ShipmentsTable[[#This Row],[Delivery_Status]]="On time",1,0)</f>
        <v>0</v>
      </c>
    </row>
    <row r="175" spans="1:7" ht="15" customHeight="1">
      <c r="A175" s="14" t="s">
        <v>913</v>
      </c>
      <c r="B175" s="10" t="s">
        <v>1890</v>
      </c>
      <c r="C175" s="20">
        <v>45805</v>
      </c>
      <c r="D175" s="23">
        <v>5</v>
      </c>
      <c r="E175" s="23">
        <v>5</v>
      </c>
      <c r="F175" s="15" t="s">
        <v>1888</v>
      </c>
      <c r="G175">
        <f>IF(ShipmentsTable[[#This Row],[Delivery_Status]]="On time",1,0)</f>
        <v>1</v>
      </c>
    </row>
    <row r="176" spans="1:7" ht="15" customHeight="1">
      <c r="A176" s="14" t="s">
        <v>917</v>
      </c>
      <c r="B176" s="10" t="s">
        <v>1887</v>
      </c>
      <c r="C176" s="20">
        <v>45758</v>
      </c>
      <c r="D176" s="23">
        <v>3</v>
      </c>
      <c r="E176" s="23">
        <v>10</v>
      </c>
      <c r="F176" s="15" t="s">
        <v>1891</v>
      </c>
      <c r="G176">
        <f>IF(ShipmentsTable[[#This Row],[Delivery_Status]]="On time",1,0)</f>
        <v>0</v>
      </c>
    </row>
    <row r="177" spans="1:7" ht="15" customHeight="1">
      <c r="A177" s="14" t="s">
        <v>919</v>
      </c>
      <c r="B177" s="10" t="s">
        <v>1890</v>
      </c>
      <c r="C177" s="20">
        <v>45779</v>
      </c>
      <c r="D177" s="23">
        <v>4</v>
      </c>
      <c r="E177" s="23">
        <v>1</v>
      </c>
      <c r="F177" s="15" t="s">
        <v>1888</v>
      </c>
      <c r="G177">
        <f>IF(ShipmentsTable[[#This Row],[Delivery_Status]]="On time",1,0)</f>
        <v>1</v>
      </c>
    </row>
    <row r="178" spans="1:7" ht="15" customHeight="1">
      <c r="A178" s="14" t="s">
        <v>923</v>
      </c>
      <c r="B178" s="10" t="s">
        <v>1887</v>
      </c>
      <c r="C178" s="20">
        <v>45694</v>
      </c>
      <c r="D178" s="23">
        <v>3</v>
      </c>
      <c r="E178" s="23">
        <v>9</v>
      </c>
      <c r="F178" s="15" t="s">
        <v>1891</v>
      </c>
      <c r="G178">
        <f>IF(ShipmentsTable[[#This Row],[Delivery_Status]]="On time",1,0)</f>
        <v>0</v>
      </c>
    </row>
    <row r="179" spans="1:7" ht="15" customHeight="1">
      <c r="A179" s="14" t="s">
        <v>926</v>
      </c>
      <c r="B179" s="10" t="s">
        <v>1892</v>
      </c>
      <c r="C179" s="20">
        <v>45995</v>
      </c>
      <c r="D179" s="23">
        <v>4</v>
      </c>
      <c r="E179" s="23">
        <v>8</v>
      </c>
      <c r="F179" s="15" t="s">
        <v>1891</v>
      </c>
      <c r="G179">
        <f>IF(ShipmentsTable[[#This Row],[Delivery_Status]]="On time",1,0)</f>
        <v>0</v>
      </c>
    </row>
    <row r="180" spans="1:7" ht="15" customHeight="1">
      <c r="A180" s="14" t="s">
        <v>931</v>
      </c>
      <c r="B180" s="10" t="s">
        <v>1889</v>
      </c>
      <c r="C180" s="20">
        <v>45963</v>
      </c>
      <c r="D180" s="23">
        <v>5</v>
      </c>
      <c r="E180" s="23">
        <v>4</v>
      </c>
      <c r="F180" s="15" t="s">
        <v>1888</v>
      </c>
      <c r="G180">
        <f>IF(ShipmentsTable[[#This Row],[Delivery_Status]]="On time",1,0)</f>
        <v>1</v>
      </c>
    </row>
    <row r="181" spans="1:7" ht="15" customHeight="1">
      <c r="A181" s="14" t="s">
        <v>934</v>
      </c>
      <c r="B181" s="10" t="s">
        <v>1892</v>
      </c>
      <c r="C181" s="20">
        <v>45886</v>
      </c>
      <c r="D181" s="23">
        <v>5</v>
      </c>
      <c r="E181" s="23">
        <v>5</v>
      </c>
      <c r="F181" s="15" t="s">
        <v>1888</v>
      </c>
      <c r="G181">
        <f>IF(ShipmentsTable[[#This Row],[Delivery_Status]]="On time",1,0)</f>
        <v>1</v>
      </c>
    </row>
    <row r="182" spans="1:7" ht="15" customHeight="1">
      <c r="A182" s="14" t="s">
        <v>941</v>
      </c>
      <c r="B182" s="10" t="s">
        <v>1887</v>
      </c>
      <c r="C182" s="20">
        <v>45957</v>
      </c>
      <c r="D182" s="23">
        <v>3</v>
      </c>
      <c r="E182" s="23">
        <v>9</v>
      </c>
      <c r="F182" s="15" t="s">
        <v>1891</v>
      </c>
      <c r="G182">
        <f>IF(ShipmentsTable[[#This Row],[Delivery_Status]]="On time",1,0)</f>
        <v>0</v>
      </c>
    </row>
    <row r="183" spans="1:7" ht="15" customHeight="1">
      <c r="A183" s="14" t="s">
        <v>946</v>
      </c>
      <c r="B183" s="10" t="s">
        <v>1887</v>
      </c>
      <c r="C183" s="20">
        <v>45711</v>
      </c>
      <c r="D183" s="23">
        <v>4</v>
      </c>
      <c r="E183" s="23">
        <v>5</v>
      </c>
      <c r="F183" s="15" t="s">
        <v>1891</v>
      </c>
      <c r="G183">
        <f>IF(ShipmentsTable[[#This Row],[Delivery_Status]]="On time",1,0)</f>
        <v>0</v>
      </c>
    </row>
    <row r="184" spans="1:7" ht="15" customHeight="1">
      <c r="A184" s="14" t="s">
        <v>953</v>
      </c>
      <c r="B184" s="10" t="s">
        <v>1892</v>
      </c>
      <c r="C184" s="20">
        <v>45963</v>
      </c>
      <c r="D184" s="23">
        <v>5</v>
      </c>
      <c r="E184" s="23">
        <v>7</v>
      </c>
      <c r="F184" s="15" t="s">
        <v>1891</v>
      </c>
      <c r="G184">
        <f>IF(ShipmentsTable[[#This Row],[Delivery_Status]]="On time",1,0)</f>
        <v>0</v>
      </c>
    </row>
    <row r="185" spans="1:7" ht="15" customHeight="1">
      <c r="A185" s="14" t="s">
        <v>958</v>
      </c>
      <c r="B185" s="10" t="s">
        <v>1889</v>
      </c>
      <c r="C185" s="20">
        <v>45929</v>
      </c>
      <c r="D185" s="23">
        <v>5</v>
      </c>
      <c r="E185" s="23">
        <v>7</v>
      </c>
      <c r="F185" s="15" t="s">
        <v>1891</v>
      </c>
      <c r="G185">
        <f>IF(ShipmentsTable[[#This Row],[Delivery_Status]]="On time",1,0)</f>
        <v>0</v>
      </c>
    </row>
    <row r="186" spans="1:7" ht="15" customHeight="1">
      <c r="A186" s="14" t="s">
        <v>960</v>
      </c>
      <c r="B186" s="10" t="s">
        <v>1887</v>
      </c>
      <c r="C186" s="20">
        <v>45775</v>
      </c>
      <c r="D186" s="23">
        <v>4</v>
      </c>
      <c r="E186" s="23">
        <v>9</v>
      </c>
      <c r="F186" s="15" t="s">
        <v>1891</v>
      </c>
      <c r="G186">
        <f>IF(ShipmentsTable[[#This Row],[Delivery_Status]]="On time",1,0)</f>
        <v>0</v>
      </c>
    </row>
    <row r="187" spans="1:7" ht="15" customHeight="1">
      <c r="A187" s="14" t="s">
        <v>962</v>
      </c>
      <c r="B187" s="10" t="s">
        <v>1890</v>
      </c>
      <c r="C187" s="20">
        <v>45673</v>
      </c>
      <c r="D187" s="23">
        <v>3</v>
      </c>
      <c r="E187" s="23">
        <v>3</v>
      </c>
      <c r="F187" s="15" t="s">
        <v>1888</v>
      </c>
      <c r="G187">
        <f>IF(ShipmentsTable[[#This Row],[Delivery_Status]]="On time",1,0)</f>
        <v>1</v>
      </c>
    </row>
    <row r="188" spans="1:7" ht="15" customHeight="1">
      <c r="A188" s="14" t="s">
        <v>967</v>
      </c>
      <c r="B188" s="10" t="s">
        <v>1889</v>
      </c>
      <c r="C188" s="20">
        <v>45843</v>
      </c>
      <c r="D188" s="23">
        <v>4</v>
      </c>
      <c r="E188" s="23">
        <v>3</v>
      </c>
      <c r="F188" s="15" t="s">
        <v>1888</v>
      </c>
      <c r="G188">
        <f>IF(ShipmentsTable[[#This Row],[Delivery_Status]]="On time",1,0)</f>
        <v>1</v>
      </c>
    </row>
    <row r="189" spans="1:7" ht="15" customHeight="1">
      <c r="A189" s="14" t="s">
        <v>971</v>
      </c>
      <c r="B189" s="10" t="s">
        <v>1889</v>
      </c>
      <c r="C189" s="20">
        <v>45796</v>
      </c>
      <c r="D189" s="23">
        <v>3</v>
      </c>
      <c r="E189" s="23">
        <v>9</v>
      </c>
      <c r="F189" s="15" t="s">
        <v>1891</v>
      </c>
      <c r="G189">
        <f>IF(ShipmentsTable[[#This Row],[Delivery_Status]]="On time",1,0)</f>
        <v>0</v>
      </c>
    </row>
    <row r="190" spans="1:7" ht="15" customHeight="1">
      <c r="A190" s="14" t="s">
        <v>976</v>
      </c>
      <c r="B190" s="10" t="s">
        <v>1889</v>
      </c>
      <c r="C190" s="20">
        <v>45841</v>
      </c>
      <c r="D190" s="23">
        <v>4</v>
      </c>
      <c r="E190" s="23">
        <v>5</v>
      </c>
      <c r="F190" s="15" t="s">
        <v>1891</v>
      </c>
      <c r="G190">
        <f>IF(ShipmentsTable[[#This Row],[Delivery_Status]]="On time",1,0)</f>
        <v>0</v>
      </c>
    </row>
    <row r="191" spans="1:7" ht="15" customHeight="1">
      <c r="A191" s="14" t="s">
        <v>980</v>
      </c>
      <c r="B191" s="10" t="s">
        <v>1890</v>
      </c>
      <c r="C191" s="20">
        <v>45835</v>
      </c>
      <c r="D191" s="23">
        <v>5</v>
      </c>
      <c r="E191" s="23">
        <v>4</v>
      </c>
      <c r="F191" s="15" t="s">
        <v>1888</v>
      </c>
      <c r="G191">
        <f>IF(ShipmentsTable[[#This Row],[Delivery_Status]]="On time",1,0)</f>
        <v>1</v>
      </c>
    </row>
    <row r="192" spans="1:7" ht="15" customHeight="1">
      <c r="A192" s="14" t="s">
        <v>982</v>
      </c>
      <c r="B192" s="10" t="s">
        <v>1889</v>
      </c>
      <c r="C192" s="20">
        <v>45752.041666666664</v>
      </c>
      <c r="D192" s="23">
        <v>5</v>
      </c>
      <c r="E192" s="23">
        <v>3</v>
      </c>
      <c r="F192" s="15" t="s">
        <v>1888</v>
      </c>
      <c r="G192">
        <f>IF(ShipmentsTable[[#This Row],[Delivery_Status]]="On time",1,0)</f>
        <v>1</v>
      </c>
    </row>
    <row r="193" spans="1:7" ht="15" customHeight="1">
      <c r="A193" s="14" t="s">
        <v>986</v>
      </c>
      <c r="B193" s="10" t="s">
        <v>1892</v>
      </c>
      <c r="C193" s="20">
        <v>45748.041666666664</v>
      </c>
      <c r="D193" s="23">
        <v>4</v>
      </c>
      <c r="E193" s="23">
        <v>9</v>
      </c>
      <c r="F193" s="15" t="s">
        <v>1891</v>
      </c>
      <c r="G193">
        <f>IF(ShipmentsTable[[#This Row],[Delivery_Status]]="On time",1,0)</f>
        <v>0</v>
      </c>
    </row>
    <row r="194" spans="1:7" ht="15" customHeight="1">
      <c r="A194" s="14" t="s">
        <v>989</v>
      </c>
      <c r="B194" s="10" t="s">
        <v>1889</v>
      </c>
      <c r="C194" s="20">
        <v>45906</v>
      </c>
      <c r="D194" s="23">
        <v>4</v>
      </c>
      <c r="E194" s="23">
        <v>5</v>
      </c>
      <c r="F194" s="15" t="s">
        <v>1891</v>
      </c>
      <c r="G194">
        <f>IF(ShipmentsTable[[#This Row],[Delivery_Status]]="On time",1,0)</f>
        <v>0</v>
      </c>
    </row>
    <row r="195" spans="1:7" ht="15" customHeight="1">
      <c r="A195" s="14" t="s">
        <v>991</v>
      </c>
      <c r="B195" s="10" t="s">
        <v>1887</v>
      </c>
      <c r="C195" s="20">
        <v>45883</v>
      </c>
      <c r="D195" s="23">
        <v>4</v>
      </c>
      <c r="E195" s="23">
        <v>10</v>
      </c>
      <c r="F195" s="15" t="s">
        <v>1891</v>
      </c>
      <c r="G195">
        <f>IF(ShipmentsTable[[#This Row],[Delivery_Status]]="On time",1,0)</f>
        <v>0</v>
      </c>
    </row>
    <row r="196" spans="1:7" ht="15" customHeight="1">
      <c r="A196" s="14" t="s">
        <v>996</v>
      </c>
      <c r="B196" s="10" t="s">
        <v>1887</v>
      </c>
      <c r="C196" s="20">
        <v>45926</v>
      </c>
      <c r="D196" s="23">
        <v>3</v>
      </c>
      <c r="E196" s="23">
        <v>6</v>
      </c>
      <c r="F196" s="15" t="s">
        <v>1891</v>
      </c>
      <c r="G196">
        <f>IF(ShipmentsTable[[#This Row],[Delivery_Status]]="On time",1,0)</f>
        <v>0</v>
      </c>
    </row>
    <row r="197" spans="1:7" ht="15" customHeight="1">
      <c r="A197" s="14" t="s">
        <v>999</v>
      </c>
      <c r="B197" s="10" t="s">
        <v>1887</v>
      </c>
      <c r="C197" s="20">
        <v>45695</v>
      </c>
      <c r="D197" s="23">
        <v>5</v>
      </c>
      <c r="E197" s="23">
        <v>2</v>
      </c>
      <c r="F197" s="15" t="s">
        <v>1888</v>
      </c>
      <c r="G197">
        <f>IF(ShipmentsTable[[#This Row],[Delivery_Status]]="On time",1,0)</f>
        <v>1</v>
      </c>
    </row>
    <row r="198" spans="1:7" ht="15" customHeight="1">
      <c r="A198" s="14" t="s">
        <v>1001</v>
      </c>
      <c r="B198" s="10" t="s">
        <v>1887</v>
      </c>
      <c r="C198" s="20">
        <v>45679</v>
      </c>
      <c r="D198" s="23">
        <v>5</v>
      </c>
      <c r="E198" s="23">
        <v>6</v>
      </c>
      <c r="F198" s="15" t="s">
        <v>1891</v>
      </c>
      <c r="G198">
        <f>IF(ShipmentsTable[[#This Row],[Delivery_Status]]="On time",1,0)</f>
        <v>0</v>
      </c>
    </row>
    <row r="199" spans="1:7" ht="15" customHeight="1">
      <c r="A199" s="14" t="s">
        <v>1003</v>
      </c>
      <c r="B199" s="10" t="s">
        <v>1890</v>
      </c>
      <c r="C199" s="20">
        <v>45916</v>
      </c>
      <c r="D199" s="23">
        <v>3</v>
      </c>
      <c r="E199" s="23">
        <v>5</v>
      </c>
      <c r="F199" s="15" t="s">
        <v>1891</v>
      </c>
      <c r="G199">
        <f>IF(ShipmentsTable[[#This Row],[Delivery_Status]]="On time",1,0)</f>
        <v>0</v>
      </c>
    </row>
    <row r="200" spans="1:7" ht="15" customHeight="1">
      <c r="A200" s="14" t="s">
        <v>1005</v>
      </c>
      <c r="B200" s="10" t="s">
        <v>1892</v>
      </c>
      <c r="C200" s="20">
        <v>45796</v>
      </c>
      <c r="D200" s="23">
        <v>4</v>
      </c>
      <c r="E200" s="23">
        <v>3</v>
      </c>
      <c r="F200" s="15" t="s">
        <v>1888</v>
      </c>
      <c r="G200">
        <f>IF(ShipmentsTable[[#This Row],[Delivery_Status]]="On time",1,0)</f>
        <v>1</v>
      </c>
    </row>
    <row r="201" spans="1:7" ht="15" customHeight="1">
      <c r="A201" s="14" t="s">
        <v>1010</v>
      </c>
      <c r="B201" s="10" t="s">
        <v>1890</v>
      </c>
      <c r="C201" s="20">
        <v>45708</v>
      </c>
      <c r="D201" s="23">
        <v>5</v>
      </c>
      <c r="E201" s="23">
        <v>10</v>
      </c>
      <c r="F201" s="15" t="s">
        <v>1891</v>
      </c>
      <c r="G201">
        <f>IF(ShipmentsTable[[#This Row],[Delivery_Status]]="On time",1,0)</f>
        <v>0</v>
      </c>
    </row>
    <row r="202" spans="1:7" ht="15" customHeight="1">
      <c r="A202" s="14" t="s">
        <v>1013</v>
      </c>
      <c r="B202" s="10" t="s">
        <v>1892</v>
      </c>
      <c r="C202" s="20">
        <v>45915</v>
      </c>
      <c r="D202" s="23">
        <v>5</v>
      </c>
      <c r="E202" s="23">
        <v>4</v>
      </c>
      <c r="F202" s="15" t="s">
        <v>1888</v>
      </c>
      <c r="G202">
        <f>IF(ShipmentsTable[[#This Row],[Delivery_Status]]="On time",1,0)</f>
        <v>1</v>
      </c>
    </row>
    <row r="203" spans="1:7" ht="15" customHeight="1">
      <c r="A203" s="14" t="s">
        <v>1018</v>
      </c>
      <c r="B203" s="10" t="s">
        <v>1887</v>
      </c>
      <c r="C203" s="20">
        <v>45888</v>
      </c>
      <c r="D203" s="23">
        <v>5</v>
      </c>
      <c r="E203" s="23">
        <v>2</v>
      </c>
      <c r="F203" s="15" t="s">
        <v>1888</v>
      </c>
      <c r="G203">
        <f>IF(ShipmentsTable[[#This Row],[Delivery_Status]]="On time",1,0)</f>
        <v>1</v>
      </c>
    </row>
    <row r="204" spans="1:7" ht="15" customHeight="1">
      <c r="A204" s="14" t="s">
        <v>1023</v>
      </c>
      <c r="B204" s="10" t="s">
        <v>1887</v>
      </c>
      <c r="C204" s="20">
        <v>45943</v>
      </c>
      <c r="D204" s="23">
        <v>4</v>
      </c>
      <c r="E204" s="23">
        <v>5</v>
      </c>
      <c r="F204" s="15" t="s">
        <v>1891</v>
      </c>
      <c r="G204">
        <f>IF(ShipmentsTable[[#This Row],[Delivery_Status]]="On time",1,0)</f>
        <v>0</v>
      </c>
    </row>
    <row r="205" spans="1:7" ht="15" customHeight="1">
      <c r="A205" s="14" t="s">
        <v>1028</v>
      </c>
      <c r="B205" s="10" t="s">
        <v>1892</v>
      </c>
      <c r="C205" s="20">
        <v>46011</v>
      </c>
      <c r="D205" s="23">
        <v>5</v>
      </c>
      <c r="E205" s="23">
        <v>7</v>
      </c>
      <c r="F205" s="15" t="s">
        <v>1891</v>
      </c>
      <c r="G205">
        <f>IF(ShipmentsTable[[#This Row],[Delivery_Status]]="On time",1,0)</f>
        <v>0</v>
      </c>
    </row>
    <row r="206" spans="1:7" ht="15" customHeight="1">
      <c r="A206" s="14" t="s">
        <v>1032</v>
      </c>
      <c r="B206" s="10" t="s">
        <v>1889</v>
      </c>
      <c r="C206" s="20">
        <v>45776</v>
      </c>
      <c r="D206" s="23">
        <v>3</v>
      </c>
      <c r="E206" s="23">
        <v>9</v>
      </c>
      <c r="F206" s="15" t="s">
        <v>1891</v>
      </c>
      <c r="G206">
        <f>IF(ShipmentsTable[[#This Row],[Delivery_Status]]="On time",1,0)</f>
        <v>0</v>
      </c>
    </row>
    <row r="207" spans="1:7" ht="15" customHeight="1">
      <c r="A207" s="14" t="s">
        <v>1035</v>
      </c>
      <c r="B207" s="10" t="s">
        <v>1887</v>
      </c>
      <c r="C207" s="20">
        <v>46000</v>
      </c>
      <c r="D207" s="23">
        <v>4</v>
      </c>
      <c r="E207" s="23">
        <v>4</v>
      </c>
      <c r="F207" s="15" t="s">
        <v>1888</v>
      </c>
      <c r="G207">
        <f>IF(ShipmentsTable[[#This Row],[Delivery_Status]]="On time",1,0)</f>
        <v>1</v>
      </c>
    </row>
    <row r="208" spans="1:7" ht="15" customHeight="1">
      <c r="A208" s="14" t="s">
        <v>1039</v>
      </c>
      <c r="B208" s="10" t="s">
        <v>1889</v>
      </c>
      <c r="C208" s="20">
        <v>45749.041666666664</v>
      </c>
      <c r="D208" s="23">
        <v>5</v>
      </c>
      <c r="E208" s="23">
        <v>8</v>
      </c>
      <c r="F208" s="15" t="s">
        <v>1891</v>
      </c>
      <c r="G208">
        <f>IF(ShipmentsTable[[#This Row],[Delivery_Status]]="On time",1,0)</f>
        <v>0</v>
      </c>
    </row>
    <row r="209" spans="1:7" ht="15" customHeight="1">
      <c r="A209" s="14" t="s">
        <v>1043</v>
      </c>
      <c r="B209" s="10" t="s">
        <v>1892</v>
      </c>
      <c r="C209" s="20">
        <v>45851</v>
      </c>
      <c r="D209" s="23">
        <v>4</v>
      </c>
      <c r="E209" s="23">
        <v>3</v>
      </c>
      <c r="F209" s="15" t="s">
        <v>1888</v>
      </c>
      <c r="G209">
        <f>IF(ShipmentsTable[[#This Row],[Delivery_Status]]="On time",1,0)</f>
        <v>1</v>
      </c>
    </row>
    <row r="210" spans="1:7" ht="15" customHeight="1">
      <c r="A210" s="14" t="s">
        <v>1048</v>
      </c>
      <c r="B210" s="10" t="s">
        <v>1887</v>
      </c>
      <c r="C210" s="20">
        <v>45844</v>
      </c>
      <c r="D210" s="23">
        <v>5</v>
      </c>
      <c r="E210" s="23">
        <v>4</v>
      </c>
      <c r="F210" s="15" t="s">
        <v>1888</v>
      </c>
      <c r="G210">
        <f>IF(ShipmentsTable[[#This Row],[Delivery_Status]]="On time",1,0)</f>
        <v>1</v>
      </c>
    </row>
    <row r="211" spans="1:7" ht="15" customHeight="1">
      <c r="A211" s="14" t="s">
        <v>1053</v>
      </c>
      <c r="B211" s="10" t="s">
        <v>1887</v>
      </c>
      <c r="C211" s="20">
        <v>45787</v>
      </c>
      <c r="D211" s="23">
        <v>3</v>
      </c>
      <c r="E211" s="23">
        <v>7</v>
      </c>
      <c r="F211" s="15" t="s">
        <v>1891</v>
      </c>
      <c r="G211">
        <f>IF(ShipmentsTable[[#This Row],[Delivery_Status]]="On time",1,0)</f>
        <v>0</v>
      </c>
    </row>
    <row r="212" spans="1:7" ht="15" customHeight="1">
      <c r="A212" s="14" t="s">
        <v>1059</v>
      </c>
      <c r="B212" s="10" t="s">
        <v>1890</v>
      </c>
      <c r="C212" s="20">
        <v>45693</v>
      </c>
      <c r="D212" s="23">
        <v>5</v>
      </c>
      <c r="E212" s="23">
        <v>2</v>
      </c>
      <c r="F212" s="15" t="s">
        <v>1888</v>
      </c>
      <c r="G212">
        <f>IF(ShipmentsTable[[#This Row],[Delivery_Status]]="On time",1,0)</f>
        <v>1</v>
      </c>
    </row>
    <row r="213" spans="1:7" ht="15" customHeight="1">
      <c r="A213" s="14" t="s">
        <v>1063</v>
      </c>
      <c r="B213" s="10" t="s">
        <v>1889</v>
      </c>
      <c r="C213" s="20">
        <v>45846</v>
      </c>
      <c r="D213" s="23">
        <v>3</v>
      </c>
      <c r="E213" s="23">
        <v>5</v>
      </c>
      <c r="F213" s="15" t="s">
        <v>1891</v>
      </c>
      <c r="G213">
        <f>IF(ShipmentsTable[[#This Row],[Delivery_Status]]="On time",1,0)</f>
        <v>0</v>
      </c>
    </row>
    <row r="214" spans="1:7" ht="15" customHeight="1">
      <c r="A214" s="14" t="s">
        <v>1067</v>
      </c>
      <c r="B214" s="10" t="s">
        <v>1892</v>
      </c>
      <c r="C214" s="20">
        <v>45754</v>
      </c>
      <c r="D214" s="23">
        <v>3</v>
      </c>
      <c r="E214" s="23">
        <v>7</v>
      </c>
      <c r="F214" s="15" t="s">
        <v>1891</v>
      </c>
      <c r="G214">
        <f>IF(ShipmentsTable[[#This Row],[Delivery_Status]]="On time",1,0)</f>
        <v>0</v>
      </c>
    </row>
    <row r="215" spans="1:7" ht="15" customHeight="1">
      <c r="A215" s="14" t="s">
        <v>1070</v>
      </c>
      <c r="B215" s="10" t="s">
        <v>1892</v>
      </c>
      <c r="C215" s="20">
        <v>45847</v>
      </c>
      <c r="D215" s="23">
        <v>3</v>
      </c>
      <c r="E215" s="23">
        <v>9</v>
      </c>
      <c r="F215" s="15" t="s">
        <v>1891</v>
      </c>
      <c r="G215">
        <f>IF(ShipmentsTable[[#This Row],[Delivery_Status]]="On time",1,0)</f>
        <v>0</v>
      </c>
    </row>
    <row r="216" spans="1:7" ht="15" customHeight="1">
      <c r="A216" s="14" t="s">
        <v>1073</v>
      </c>
      <c r="B216" s="10" t="s">
        <v>1889</v>
      </c>
      <c r="C216" s="20">
        <v>45719.041666666664</v>
      </c>
      <c r="D216" s="23">
        <v>3</v>
      </c>
      <c r="E216" s="23">
        <v>8</v>
      </c>
      <c r="F216" s="15" t="s">
        <v>1891</v>
      </c>
      <c r="G216">
        <f>IF(ShipmentsTable[[#This Row],[Delivery_Status]]="On time",1,0)</f>
        <v>0</v>
      </c>
    </row>
    <row r="217" spans="1:7" ht="15" customHeight="1">
      <c r="A217" s="14" t="s">
        <v>1075</v>
      </c>
      <c r="B217" s="10" t="s">
        <v>1890</v>
      </c>
      <c r="C217" s="20">
        <v>45919</v>
      </c>
      <c r="D217" s="23">
        <v>3</v>
      </c>
      <c r="E217" s="23">
        <v>8</v>
      </c>
      <c r="F217" s="15" t="s">
        <v>1891</v>
      </c>
      <c r="G217">
        <f>IF(ShipmentsTable[[#This Row],[Delivery_Status]]="On time",1,0)</f>
        <v>0</v>
      </c>
    </row>
    <row r="218" spans="1:7" ht="15" customHeight="1">
      <c r="A218" s="14" t="s">
        <v>1078</v>
      </c>
      <c r="B218" s="10" t="s">
        <v>1889</v>
      </c>
      <c r="C218" s="20">
        <v>45684</v>
      </c>
      <c r="D218" s="23">
        <v>5</v>
      </c>
      <c r="E218" s="23">
        <v>5</v>
      </c>
      <c r="F218" s="15" t="s">
        <v>1888</v>
      </c>
      <c r="G218">
        <f>IF(ShipmentsTable[[#This Row],[Delivery_Status]]="On time",1,0)</f>
        <v>1</v>
      </c>
    </row>
    <row r="219" spans="1:7" ht="15" customHeight="1">
      <c r="A219" s="14" t="s">
        <v>1082</v>
      </c>
      <c r="B219" s="10" t="s">
        <v>1892</v>
      </c>
      <c r="C219" s="20">
        <v>46020</v>
      </c>
      <c r="D219" s="23">
        <v>4</v>
      </c>
      <c r="E219" s="23">
        <v>2</v>
      </c>
      <c r="F219" s="15" t="s">
        <v>1888</v>
      </c>
      <c r="G219">
        <f>IF(ShipmentsTable[[#This Row],[Delivery_Status]]="On time",1,0)</f>
        <v>1</v>
      </c>
    </row>
    <row r="220" spans="1:7" ht="15" customHeight="1">
      <c r="A220" s="14" t="s">
        <v>1088</v>
      </c>
      <c r="B220" s="10" t="s">
        <v>1892</v>
      </c>
      <c r="C220" s="20">
        <v>45768</v>
      </c>
      <c r="D220" s="23">
        <v>5</v>
      </c>
      <c r="E220" s="23">
        <v>2</v>
      </c>
      <c r="F220" s="15" t="s">
        <v>1888</v>
      </c>
      <c r="G220">
        <f>IF(ShipmentsTable[[#This Row],[Delivery_Status]]="On time",1,0)</f>
        <v>1</v>
      </c>
    </row>
    <row r="221" spans="1:7" ht="15" customHeight="1">
      <c r="A221" s="14" t="s">
        <v>1092</v>
      </c>
      <c r="B221" s="10" t="s">
        <v>1887</v>
      </c>
      <c r="C221" s="20">
        <v>45894</v>
      </c>
      <c r="D221" s="23">
        <v>4</v>
      </c>
      <c r="E221" s="23">
        <v>10</v>
      </c>
      <c r="F221" s="15" t="s">
        <v>1891</v>
      </c>
      <c r="G221">
        <f>IF(ShipmentsTable[[#This Row],[Delivery_Status]]="On time",1,0)</f>
        <v>0</v>
      </c>
    </row>
    <row r="222" spans="1:7" ht="15" customHeight="1">
      <c r="A222" s="14" t="s">
        <v>1096</v>
      </c>
      <c r="B222" s="10" t="s">
        <v>1890</v>
      </c>
      <c r="C222" s="20">
        <v>45840</v>
      </c>
      <c r="D222" s="23">
        <v>3</v>
      </c>
      <c r="E222" s="23">
        <v>6</v>
      </c>
      <c r="F222" s="15" t="s">
        <v>1891</v>
      </c>
      <c r="G222">
        <f>IF(ShipmentsTable[[#This Row],[Delivery_Status]]="On time",1,0)</f>
        <v>0</v>
      </c>
    </row>
    <row r="223" spans="1:7" ht="15" customHeight="1">
      <c r="A223" s="14" t="s">
        <v>1101</v>
      </c>
      <c r="B223" s="10" t="s">
        <v>1887</v>
      </c>
      <c r="C223" s="20">
        <v>45696</v>
      </c>
      <c r="D223" s="23">
        <v>4</v>
      </c>
      <c r="E223" s="23">
        <v>9</v>
      </c>
      <c r="F223" s="15" t="s">
        <v>1891</v>
      </c>
      <c r="G223">
        <f>IF(ShipmentsTable[[#This Row],[Delivery_Status]]="On time",1,0)</f>
        <v>0</v>
      </c>
    </row>
    <row r="224" spans="1:7" ht="15" customHeight="1">
      <c r="A224" s="14" t="s">
        <v>1105</v>
      </c>
      <c r="B224" s="10" t="s">
        <v>1889</v>
      </c>
      <c r="C224" s="20">
        <v>45967</v>
      </c>
      <c r="D224" s="23">
        <v>3</v>
      </c>
      <c r="E224" s="23">
        <v>3</v>
      </c>
      <c r="F224" s="15" t="s">
        <v>1888</v>
      </c>
      <c r="G224">
        <f>IF(ShipmentsTable[[#This Row],[Delivery_Status]]="On time",1,0)</f>
        <v>1</v>
      </c>
    </row>
    <row r="225" spans="1:7" ht="15" customHeight="1">
      <c r="A225" s="14" t="s">
        <v>1108</v>
      </c>
      <c r="B225" s="10" t="s">
        <v>1887</v>
      </c>
      <c r="C225" s="20">
        <v>45725.041666666664</v>
      </c>
      <c r="D225" s="23">
        <v>4</v>
      </c>
      <c r="E225" s="23">
        <v>5</v>
      </c>
      <c r="F225" s="15" t="s">
        <v>1891</v>
      </c>
      <c r="G225">
        <f>IF(ShipmentsTable[[#This Row],[Delivery_Status]]="On time",1,0)</f>
        <v>0</v>
      </c>
    </row>
    <row r="226" spans="1:7" ht="15" customHeight="1">
      <c r="A226" s="14" t="s">
        <v>1113</v>
      </c>
      <c r="B226" s="10" t="s">
        <v>1887</v>
      </c>
      <c r="C226" s="20">
        <v>45859</v>
      </c>
      <c r="D226" s="23">
        <v>5</v>
      </c>
      <c r="E226" s="23">
        <v>6</v>
      </c>
      <c r="F226" s="15" t="s">
        <v>1891</v>
      </c>
      <c r="G226">
        <f>IF(ShipmentsTable[[#This Row],[Delivery_Status]]="On time",1,0)</f>
        <v>0</v>
      </c>
    </row>
    <row r="227" spans="1:7" ht="15" customHeight="1">
      <c r="A227" s="14" t="s">
        <v>1117</v>
      </c>
      <c r="B227" s="10" t="s">
        <v>1887</v>
      </c>
      <c r="C227" s="20">
        <v>46028</v>
      </c>
      <c r="D227" s="23">
        <v>3</v>
      </c>
      <c r="E227" s="23">
        <v>7</v>
      </c>
      <c r="F227" s="15" t="s">
        <v>1891</v>
      </c>
      <c r="G227">
        <f>IF(ShipmentsTable[[#This Row],[Delivery_Status]]="On time",1,0)</f>
        <v>0</v>
      </c>
    </row>
    <row r="228" spans="1:7" ht="15" customHeight="1">
      <c r="A228" s="14" t="s">
        <v>1120</v>
      </c>
      <c r="B228" s="10" t="s">
        <v>1889</v>
      </c>
      <c r="C228" s="20">
        <v>45900</v>
      </c>
      <c r="D228" s="23">
        <v>4</v>
      </c>
      <c r="E228" s="23">
        <v>6</v>
      </c>
      <c r="F228" s="15" t="s">
        <v>1891</v>
      </c>
      <c r="G228">
        <f>IF(ShipmentsTable[[#This Row],[Delivery_Status]]="On time",1,0)</f>
        <v>0</v>
      </c>
    </row>
    <row r="229" spans="1:7" ht="15" customHeight="1">
      <c r="A229" s="14" t="s">
        <v>1122</v>
      </c>
      <c r="B229" s="10" t="s">
        <v>1890</v>
      </c>
      <c r="C229" s="20">
        <v>45820</v>
      </c>
      <c r="D229" s="23">
        <v>3</v>
      </c>
      <c r="E229" s="23">
        <v>5</v>
      </c>
      <c r="F229" s="15" t="s">
        <v>1891</v>
      </c>
      <c r="G229">
        <f>IF(ShipmentsTable[[#This Row],[Delivery_Status]]="On time",1,0)</f>
        <v>0</v>
      </c>
    </row>
    <row r="230" spans="1:7" ht="15" customHeight="1">
      <c r="A230" s="14" t="s">
        <v>1128</v>
      </c>
      <c r="B230" s="10" t="s">
        <v>1892</v>
      </c>
      <c r="C230" s="20">
        <v>45918</v>
      </c>
      <c r="D230" s="23">
        <v>3</v>
      </c>
      <c r="E230" s="23">
        <v>3</v>
      </c>
      <c r="F230" s="15" t="s">
        <v>1888</v>
      </c>
      <c r="G230">
        <f>IF(ShipmentsTable[[#This Row],[Delivery_Status]]="On time",1,0)</f>
        <v>1</v>
      </c>
    </row>
    <row r="231" spans="1:7" ht="15" customHeight="1">
      <c r="A231" s="14" t="s">
        <v>1133</v>
      </c>
      <c r="B231" s="10" t="s">
        <v>1892</v>
      </c>
      <c r="C231" s="20">
        <v>45808</v>
      </c>
      <c r="D231" s="23">
        <v>4</v>
      </c>
      <c r="E231" s="23">
        <v>8</v>
      </c>
      <c r="F231" s="15" t="s">
        <v>1891</v>
      </c>
      <c r="G231">
        <f>IF(ShipmentsTable[[#This Row],[Delivery_Status]]="On time",1,0)</f>
        <v>0</v>
      </c>
    </row>
    <row r="232" spans="1:7" ht="15" customHeight="1">
      <c r="A232" s="14" t="s">
        <v>1135</v>
      </c>
      <c r="B232" s="10" t="s">
        <v>1889</v>
      </c>
      <c r="C232" s="20">
        <v>45858</v>
      </c>
      <c r="D232" s="23">
        <v>3</v>
      </c>
      <c r="E232" s="23">
        <v>5</v>
      </c>
      <c r="F232" s="15" t="s">
        <v>1891</v>
      </c>
      <c r="G232">
        <f>IF(ShipmentsTable[[#This Row],[Delivery_Status]]="On time",1,0)</f>
        <v>0</v>
      </c>
    </row>
    <row r="233" spans="1:7" ht="15" customHeight="1">
      <c r="A233" s="14" t="s">
        <v>1137</v>
      </c>
      <c r="B233" s="10" t="s">
        <v>1890</v>
      </c>
      <c r="C233" s="20">
        <v>45746.041666666664</v>
      </c>
      <c r="D233" s="23">
        <v>5</v>
      </c>
      <c r="E233" s="23">
        <v>8</v>
      </c>
      <c r="F233" s="15" t="s">
        <v>1891</v>
      </c>
      <c r="G233">
        <f>IF(ShipmentsTable[[#This Row],[Delivery_Status]]="On time",1,0)</f>
        <v>0</v>
      </c>
    </row>
    <row r="234" spans="1:7" ht="15" customHeight="1">
      <c r="A234" s="14" t="s">
        <v>1141</v>
      </c>
      <c r="B234" s="10" t="s">
        <v>1890</v>
      </c>
      <c r="C234" s="20">
        <v>45687</v>
      </c>
      <c r="D234" s="23">
        <v>3</v>
      </c>
      <c r="E234" s="23">
        <v>8</v>
      </c>
      <c r="F234" s="15" t="s">
        <v>1891</v>
      </c>
      <c r="G234">
        <f>IF(ShipmentsTable[[#This Row],[Delivery_Status]]="On time",1,0)</f>
        <v>0</v>
      </c>
    </row>
    <row r="235" spans="1:7" ht="15" customHeight="1">
      <c r="A235" s="14" t="s">
        <v>1144</v>
      </c>
      <c r="B235" s="10" t="s">
        <v>1887</v>
      </c>
      <c r="C235" s="20">
        <v>45854</v>
      </c>
      <c r="D235" s="23">
        <v>4</v>
      </c>
      <c r="E235" s="23">
        <v>7</v>
      </c>
      <c r="F235" s="15" t="s">
        <v>1891</v>
      </c>
      <c r="G235">
        <f>IF(ShipmentsTable[[#This Row],[Delivery_Status]]="On time",1,0)</f>
        <v>0</v>
      </c>
    </row>
    <row r="236" spans="1:7" ht="15" customHeight="1">
      <c r="A236" s="14" t="s">
        <v>1149</v>
      </c>
      <c r="B236" s="10" t="s">
        <v>1889</v>
      </c>
      <c r="C236" s="20">
        <v>45751.041666666664</v>
      </c>
      <c r="D236" s="23">
        <v>3</v>
      </c>
      <c r="E236" s="23">
        <v>5</v>
      </c>
      <c r="F236" s="15" t="s">
        <v>1891</v>
      </c>
      <c r="G236">
        <f>IF(ShipmentsTable[[#This Row],[Delivery_Status]]="On time",1,0)</f>
        <v>0</v>
      </c>
    </row>
    <row r="237" spans="1:7" ht="15" customHeight="1">
      <c r="A237" s="14" t="s">
        <v>1154</v>
      </c>
      <c r="B237" s="10" t="s">
        <v>1892</v>
      </c>
      <c r="C237" s="20">
        <v>45775</v>
      </c>
      <c r="D237" s="23">
        <v>4</v>
      </c>
      <c r="E237" s="23">
        <v>7</v>
      </c>
      <c r="F237" s="15" t="s">
        <v>1891</v>
      </c>
      <c r="G237">
        <f>IF(ShipmentsTable[[#This Row],[Delivery_Status]]="On time",1,0)</f>
        <v>0</v>
      </c>
    </row>
    <row r="238" spans="1:7" ht="15" customHeight="1">
      <c r="A238" s="14" t="s">
        <v>1157</v>
      </c>
      <c r="B238" s="10" t="s">
        <v>1887</v>
      </c>
      <c r="C238" s="20">
        <v>45834</v>
      </c>
      <c r="D238" s="23">
        <v>4</v>
      </c>
      <c r="E238" s="23">
        <v>9</v>
      </c>
      <c r="F238" s="15" t="s">
        <v>1891</v>
      </c>
      <c r="G238">
        <f>IF(ShipmentsTable[[#This Row],[Delivery_Status]]="On time",1,0)</f>
        <v>0</v>
      </c>
    </row>
    <row r="239" spans="1:7" ht="15" customHeight="1">
      <c r="A239" s="14" t="s">
        <v>1162</v>
      </c>
      <c r="B239" s="10" t="s">
        <v>1889</v>
      </c>
      <c r="C239" s="20">
        <v>45683</v>
      </c>
      <c r="D239" s="23">
        <v>5</v>
      </c>
      <c r="E239" s="23">
        <v>1</v>
      </c>
      <c r="F239" s="15" t="s">
        <v>1888</v>
      </c>
      <c r="G239">
        <f>IF(ShipmentsTable[[#This Row],[Delivery_Status]]="On time",1,0)</f>
        <v>1</v>
      </c>
    </row>
    <row r="240" spans="1:7" ht="15" customHeight="1">
      <c r="A240" s="14" t="s">
        <v>1166</v>
      </c>
      <c r="B240" s="10" t="s">
        <v>1890</v>
      </c>
      <c r="C240" s="20">
        <v>45905</v>
      </c>
      <c r="D240" s="23">
        <v>5</v>
      </c>
      <c r="E240" s="23">
        <v>4</v>
      </c>
      <c r="F240" s="15" t="s">
        <v>1888</v>
      </c>
      <c r="G240">
        <f>IF(ShipmentsTable[[#This Row],[Delivery_Status]]="On time",1,0)</f>
        <v>1</v>
      </c>
    </row>
    <row r="241" spans="1:7" ht="15" customHeight="1">
      <c r="A241" s="14" t="s">
        <v>1168</v>
      </c>
      <c r="B241" s="10" t="s">
        <v>1892</v>
      </c>
      <c r="C241" s="20">
        <v>45894</v>
      </c>
      <c r="D241" s="23">
        <v>5</v>
      </c>
      <c r="E241" s="23">
        <v>7</v>
      </c>
      <c r="F241" s="15" t="s">
        <v>1891</v>
      </c>
      <c r="G241">
        <f>IF(ShipmentsTable[[#This Row],[Delivery_Status]]="On time",1,0)</f>
        <v>0</v>
      </c>
    </row>
    <row r="242" spans="1:7" ht="15" customHeight="1">
      <c r="A242" s="14" t="s">
        <v>1170</v>
      </c>
      <c r="B242" s="10" t="s">
        <v>1887</v>
      </c>
      <c r="C242" s="20">
        <v>45825</v>
      </c>
      <c r="D242" s="23">
        <v>5</v>
      </c>
      <c r="E242" s="23">
        <v>6</v>
      </c>
      <c r="F242" s="15" t="s">
        <v>1891</v>
      </c>
      <c r="G242">
        <f>IF(ShipmentsTable[[#This Row],[Delivery_Status]]="On time",1,0)</f>
        <v>0</v>
      </c>
    </row>
    <row r="243" spans="1:7" ht="15" customHeight="1">
      <c r="A243" s="14" t="s">
        <v>1175</v>
      </c>
      <c r="B243" s="10" t="s">
        <v>1889</v>
      </c>
      <c r="C243" s="20">
        <v>45754</v>
      </c>
      <c r="D243" s="23">
        <v>5</v>
      </c>
      <c r="E243" s="23">
        <v>10</v>
      </c>
      <c r="F243" s="15" t="s">
        <v>1891</v>
      </c>
      <c r="G243">
        <f>IF(ShipmentsTable[[#This Row],[Delivery_Status]]="On time",1,0)</f>
        <v>0</v>
      </c>
    </row>
    <row r="244" spans="1:7" ht="15" customHeight="1">
      <c r="A244" s="14" t="s">
        <v>1180</v>
      </c>
      <c r="B244" s="10" t="s">
        <v>1887</v>
      </c>
      <c r="C244" s="20">
        <v>45692</v>
      </c>
      <c r="D244" s="23">
        <v>5</v>
      </c>
      <c r="E244" s="23">
        <v>9</v>
      </c>
      <c r="F244" s="15" t="s">
        <v>1891</v>
      </c>
      <c r="G244">
        <f>IF(ShipmentsTable[[#This Row],[Delivery_Status]]="On time",1,0)</f>
        <v>0</v>
      </c>
    </row>
    <row r="245" spans="1:7" ht="15" customHeight="1">
      <c r="A245" s="14" t="s">
        <v>1186</v>
      </c>
      <c r="B245" s="10" t="s">
        <v>1892</v>
      </c>
      <c r="C245" s="20">
        <v>45814</v>
      </c>
      <c r="D245" s="23">
        <v>3</v>
      </c>
      <c r="E245" s="23">
        <v>3</v>
      </c>
      <c r="F245" s="15" t="s">
        <v>1888</v>
      </c>
      <c r="G245">
        <f>IF(ShipmentsTable[[#This Row],[Delivery_Status]]="On time",1,0)</f>
        <v>1</v>
      </c>
    </row>
    <row r="246" spans="1:7" ht="15" customHeight="1">
      <c r="A246" s="14" t="s">
        <v>1189</v>
      </c>
      <c r="B246" s="10" t="s">
        <v>1892</v>
      </c>
      <c r="C246" s="20">
        <v>45929</v>
      </c>
      <c r="D246" s="23">
        <v>4</v>
      </c>
      <c r="E246" s="23">
        <v>5</v>
      </c>
      <c r="F246" s="15" t="s">
        <v>1891</v>
      </c>
      <c r="G246">
        <f>IF(ShipmentsTable[[#This Row],[Delivery_Status]]="On time",1,0)</f>
        <v>0</v>
      </c>
    </row>
    <row r="247" spans="1:7" ht="15" customHeight="1">
      <c r="A247" s="14" t="s">
        <v>1193</v>
      </c>
      <c r="B247" s="10" t="s">
        <v>1889</v>
      </c>
      <c r="C247" s="20">
        <v>45708</v>
      </c>
      <c r="D247" s="23">
        <v>4</v>
      </c>
      <c r="E247" s="23">
        <v>3</v>
      </c>
      <c r="F247" s="15" t="s">
        <v>1888</v>
      </c>
      <c r="G247">
        <f>IF(ShipmentsTable[[#This Row],[Delivery_Status]]="On time",1,0)</f>
        <v>1</v>
      </c>
    </row>
    <row r="248" spans="1:7" ht="15" customHeight="1">
      <c r="A248" s="14" t="s">
        <v>1196</v>
      </c>
      <c r="B248" s="10" t="s">
        <v>1892</v>
      </c>
      <c r="C248" s="20">
        <v>46007</v>
      </c>
      <c r="D248" s="23">
        <v>3</v>
      </c>
      <c r="E248" s="23">
        <v>5</v>
      </c>
      <c r="F248" s="15" t="s">
        <v>1891</v>
      </c>
      <c r="G248">
        <f>IF(ShipmentsTable[[#This Row],[Delivery_Status]]="On time",1,0)</f>
        <v>0</v>
      </c>
    </row>
    <row r="249" spans="1:7" ht="15" customHeight="1">
      <c r="A249" s="14" t="s">
        <v>1201</v>
      </c>
      <c r="B249" s="10" t="s">
        <v>1892</v>
      </c>
      <c r="C249" s="20">
        <v>45989</v>
      </c>
      <c r="D249" s="23">
        <v>4</v>
      </c>
      <c r="E249" s="23">
        <v>3</v>
      </c>
      <c r="F249" s="15" t="s">
        <v>1888</v>
      </c>
      <c r="G249">
        <f>IF(ShipmentsTable[[#This Row],[Delivery_Status]]="On time",1,0)</f>
        <v>1</v>
      </c>
    </row>
    <row r="250" spans="1:7" ht="15" customHeight="1">
      <c r="A250" s="14" t="s">
        <v>1206</v>
      </c>
      <c r="B250" s="10" t="s">
        <v>1887</v>
      </c>
      <c r="C250" s="20">
        <v>45712.041666666664</v>
      </c>
      <c r="D250" s="23">
        <v>3</v>
      </c>
      <c r="E250" s="23">
        <v>9</v>
      </c>
      <c r="F250" s="15" t="s">
        <v>1891</v>
      </c>
      <c r="G250">
        <f>IF(ShipmentsTable[[#This Row],[Delivery_Status]]="On time",1,0)</f>
        <v>0</v>
      </c>
    </row>
    <row r="251" spans="1:7" ht="15" customHeight="1">
      <c r="A251" s="14" t="s">
        <v>1210</v>
      </c>
      <c r="B251" s="10" t="s">
        <v>1890</v>
      </c>
      <c r="C251" s="20">
        <v>45695</v>
      </c>
      <c r="D251" s="23">
        <v>5</v>
      </c>
      <c r="E251" s="23">
        <v>8</v>
      </c>
      <c r="F251" s="15" t="s">
        <v>1891</v>
      </c>
      <c r="G251">
        <f>IF(ShipmentsTable[[#This Row],[Delivery_Status]]="On time",1,0)</f>
        <v>0</v>
      </c>
    </row>
    <row r="252" spans="1:7" ht="15" customHeight="1">
      <c r="A252" s="14" t="s">
        <v>1212</v>
      </c>
      <c r="B252" s="10" t="s">
        <v>1887</v>
      </c>
      <c r="C252" s="20">
        <v>45766</v>
      </c>
      <c r="D252" s="23">
        <v>3</v>
      </c>
      <c r="E252" s="23">
        <v>3</v>
      </c>
      <c r="F252" s="15" t="s">
        <v>1888</v>
      </c>
      <c r="G252">
        <f>IF(ShipmentsTable[[#This Row],[Delivery_Status]]="On time",1,0)</f>
        <v>1</v>
      </c>
    </row>
    <row r="253" spans="1:7" ht="15" customHeight="1">
      <c r="A253" s="14" t="s">
        <v>1217</v>
      </c>
      <c r="B253" s="10" t="s">
        <v>1889</v>
      </c>
      <c r="C253" s="20">
        <v>45811</v>
      </c>
      <c r="D253" s="23">
        <v>5</v>
      </c>
      <c r="E253" s="23">
        <v>2</v>
      </c>
      <c r="F253" s="15" t="s">
        <v>1888</v>
      </c>
      <c r="G253">
        <f>IF(ShipmentsTable[[#This Row],[Delivery_Status]]="On time",1,0)</f>
        <v>1</v>
      </c>
    </row>
    <row r="254" spans="1:7" ht="15" customHeight="1">
      <c r="A254" s="14" t="s">
        <v>1220</v>
      </c>
      <c r="B254" s="10" t="s">
        <v>1887</v>
      </c>
      <c r="C254" s="20">
        <v>45711</v>
      </c>
      <c r="D254" s="23">
        <v>5</v>
      </c>
      <c r="E254" s="23">
        <v>3</v>
      </c>
      <c r="F254" s="15" t="s">
        <v>1888</v>
      </c>
      <c r="G254">
        <f>IF(ShipmentsTable[[#This Row],[Delivery_Status]]="On time",1,0)</f>
        <v>1</v>
      </c>
    </row>
    <row r="255" spans="1:7" ht="15" customHeight="1">
      <c r="A255" s="14" t="s">
        <v>1225</v>
      </c>
      <c r="B255" s="10" t="s">
        <v>1892</v>
      </c>
      <c r="C255" s="20">
        <v>45861</v>
      </c>
      <c r="D255" s="23">
        <v>3</v>
      </c>
      <c r="E255" s="23">
        <v>5</v>
      </c>
      <c r="F255" s="15" t="s">
        <v>1891</v>
      </c>
      <c r="G255">
        <f>IF(ShipmentsTable[[#This Row],[Delivery_Status]]="On time",1,0)</f>
        <v>0</v>
      </c>
    </row>
    <row r="256" spans="1:7" ht="15" customHeight="1">
      <c r="A256" s="14" t="s">
        <v>1227</v>
      </c>
      <c r="B256" s="10" t="s">
        <v>1887</v>
      </c>
      <c r="C256" s="20">
        <v>45915</v>
      </c>
      <c r="D256" s="23">
        <v>5</v>
      </c>
      <c r="E256" s="23">
        <v>5</v>
      </c>
      <c r="F256" s="15" t="s">
        <v>1888</v>
      </c>
      <c r="G256">
        <f>IF(ShipmentsTable[[#This Row],[Delivery_Status]]="On time",1,0)</f>
        <v>1</v>
      </c>
    </row>
    <row r="257" spans="1:7" ht="15" customHeight="1">
      <c r="A257" s="14" t="s">
        <v>1229</v>
      </c>
      <c r="B257" s="10" t="s">
        <v>1890</v>
      </c>
      <c r="C257" s="20">
        <v>45686</v>
      </c>
      <c r="D257" s="23">
        <v>3</v>
      </c>
      <c r="E257" s="23">
        <v>2</v>
      </c>
      <c r="F257" s="15" t="s">
        <v>1888</v>
      </c>
      <c r="G257">
        <f>IF(ShipmentsTable[[#This Row],[Delivery_Status]]="On time",1,0)</f>
        <v>1</v>
      </c>
    </row>
    <row r="258" spans="1:7" ht="15" customHeight="1">
      <c r="A258" s="14" t="s">
        <v>1234</v>
      </c>
      <c r="B258" s="10" t="s">
        <v>1889</v>
      </c>
      <c r="C258" s="20">
        <v>45861</v>
      </c>
      <c r="D258" s="23">
        <v>5</v>
      </c>
      <c r="E258" s="23">
        <v>1</v>
      </c>
      <c r="F258" s="15" t="s">
        <v>1888</v>
      </c>
      <c r="G258">
        <f>IF(ShipmentsTable[[#This Row],[Delivery_Status]]="On time",1,0)</f>
        <v>1</v>
      </c>
    </row>
    <row r="259" spans="1:7" ht="15" customHeight="1">
      <c r="A259" s="14" t="s">
        <v>1239</v>
      </c>
      <c r="B259" s="10" t="s">
        <v>1887</v>
      </c>
      <c r="C259" s="20">
        <v>45717.041666666664</v>
      </c>
      <c r="D259" s="23">
        <v>3</v>
      </c>
      <c r="E259" s="23">
        <v>3</v>
      </c>
      <c r="F259" s="15" t="s">
        <v>1888</v>
      </c>
      <c r="G259">
        <f>IF(ShipmentsTable[[#This Row],[Delivery_Status]]="On time",1,0)</f>
        <v>1</v>
      </c>
    </row>
    <row r="260" spans="1:7" ht="15" customHeight="1">
      <c r="A260" s="14" t="s">
        <v>1241</v>
      </c>
      <c r="B260" s="10" t="s">
        <v>1889</v>
      </c>
      <c r="C260" s="20">
        <v>45927</v>
      </c>
      <c r="D260" s="23">
        <v>4</v>
      </c>
      <c r="E260" s="23">
        <v>7</v>
      </c>
      <c r="F260" s="15" t="s">
        <v>1891</v>
      </c>
      <c r="G260">
        <f>IF(ShipmentsTable[[#This Row],[Delivery_Status]]="On time",1,0)</f>
        <v>0</v>
      </c>
    </row>
    <row r="261" spans="1:7" ht="15" customHeight="1">
      <c r="A261" s="14" t="s">
        <v>1243</v>
      </c>
      <c r="B261" s="10" t="s">
        <v>1892</v>
      </c>
      <c r="C261" s="20">
        <v>45971</v>
      </c>
      <c r="D261" s="23">
        <v>3</v>
      </c>
      <c r="E261" s="23">
        <v>6</v>
      </c>
      <c r="F261" s="15" t="s">
        <v>1891</v>
      </c>
      <c r="G261">
        <f>IF(ShipmentsTable[[#This Row],[Delivery_Status]]="On time",1,0)</f>
        <v>0</v>
      </c>
    </row>
    <row r="262" spans="1:7" ht="15" customHeight="1">
      <c r="A262" s="14" t="s">
        <v>1246</v>
      </c>
      <c r="B262" s="10" t="s">
        <v>1890</v>
      </c>
      <c r="C262" s="20">
        <v>45999</v>
      </c>
      <c r="D262" s="23">
        <v>5</v>
      </c>
      <c r="E262" s="23">
        <v>3</v>
      </c>
      <c r="F262" s="15" t="s">
        <v>1888</v>
      </c>
      <c r="G262">
        <f>IF(ShipmentsTable[[#This Row],[Delivery_Status]]="On time",1,0)</f>
        <v>1</v>
      </c>
    </row>
    <row r="263" spans="1:7" ht="15" customHeight="1">
      <c r="A263" s="14" t="s">
        <v>1253</v>
      </c>
      <c r="B263" s="10" t="s">
        <v>1889</v>
      </c>
      <c r="C263" s="20">
        <v>45975</v>
      </c>
      <c r="D263" s="23">
        <v>5</v>
      </c>
      <c r="E263" s="23">
        <v>3</v>
      </c>
      <c r="F263" s="15" t="s">
        <v>1888</v>
      </c>
      <c r="G263">
        <f>IF(ShipmentsTable[[#This Row],[Delivery_Status]]="On time",1,0)</f>
        <v>1</v>
      </c>
    </row>
    <row r="264" spans="1:7" ht="15" customHeight="1">
      <c r="A264" s="14" t="s">
        <v>1259</v>
      </c>
      <c r="B264" s="10" t="s">
        <v>1892</v>
      </c>
      <c r="C264" s="20">
        <v>45897</v>
      </c>
      <c r="D264" s="23">
        <v>5</v>
      </c>
      <c r="E264" s="23">
        <v>3</v>
      </c>
      <c r="F264" s="15" t="s">
        <v>1888</v>
      </c>
      <c r="G264">
        <f>IF(ShipmentsTable[[#This Row],[Delivery_Status]]="On time",1,0)</f>
        <v>1</v>
      </c>
    </row>
    <row r="265" spans="1:7" ht="15" customHeight="1">
      <c r="A265" s="14" t="s">
        <v>1263</v>
      </c>
      <c r="B265" s="10" t="s">
        <v>1890</v>
      </c>
      <c r="C265" s="20">
        <v>45931</v>
      </c>
      <c r="D265" s="23">
        <v>4</v>
      </c>
      <c r="E265" s="23">
        <v>10</v>
      </c>
      <c r="F265" s="15" t="s">
        <v>1891</v>
      </c>
      <c r="G265">
        <f>IF(ShipmentsTable[[#This Row],[Delivery_Status]]="On time",1,0)</f>
        <v>0</v>
      </c>
    </row>
    <row r="266" spans="1:7" ht="15" customHeight="1">
      <c r="A266" s="14" t="s">
        <v>1268</v>
      </c>
      <c r="B266" s="10" t="s">
        <v>1887</v>
      </c>
      <c r="C266" s="20">
        <v>45794</v>
      </c>
      <c r="D266" s="23">
        <v>4</v>
      </c>
      <c r="E266" s="23">
        <v>1</v>
      </c>
      <c r="F266" s="15" t="s">
        <v>1888</v>
      </c>
      <c r="G266">
        <f>IF(ShipmentsTable[[#This Row],[Delivery_Status]]="On time",1,0)</f>
        <v>1</v>
      </c>
    </row>
    <row r="267" spans="1:7" ht="15" customHeight="1">
      <c r="A267" s="14" t="s">
        <v>1273</v>
      </c>
      <c r="B267" s="10" t="s">
        <v>1889</v>
      </c>
      <c r="C267" s="20">
        <v>45844</v>
      </c>
      <c r="D267" s="23">
        <v>5</v>
      </c>
      <c r="E267" s="23">
        <v>3</v>
      </c>
      <c r="F267" s="15" t="s">
        <v>1888</v>
      </c>
      <c r="G267">
        <f>IF(ShipmentsTable[[#This Row],[Delivery_Status]]="On time",1,0)</f>
        <v>1</v>
      </c>
    </row>
    <row r="268" spans="1:7" ht="15" customHeight="1">
      <c r="A268" s="14" t="s">
        <v>1278</v>
      </c>
      <c r="B268" s="10" t="s">
        <v>1892</v>
      </c>
      <c r="C268" s="20">
        <v>45754</v>
      </c>
      <c r="D268" s="23">
        <v>5</v>
      </c>
      <c r="E268" s="23">
        <v>9</v>
      </c>
      <c r="F268" s="15" t="s">
        <v>1891</v>
      </c>
      <c r="G268">
        <f>IF(ShipmentsTable[[#This Row],[Delivery_Status]]="On time",1,0)</f>
        <v>0</v>
      </c>
    </row>
    <row r="269" spans="1:7" ht="15" customHeight="1">
      <c r="A269" s="14" t="s">
        <v>1283</v>
      </c>
      <c r="B269" s="10" t="s">
        <v>1892</v>
      </c>
      <c r="C269" s="20">
        <v>45719.041666666664</v>
      </c>
      <c r="D269" s="23">
        <v>4</v>
      </c>
      <c r="E269" s="23">
        <v>2</v>
      </c>
      <c r="F269" s="15" t="s">
        <v>1888</v>
      </c>
      <c r="G269">
        <f>IF(ShipmentsTable[[#This Row],[Delivery_Status]]="On time",1,0)</f>
        <v>1</v>
      </c>
    </row>
    <row r="270" spans="1:7" ht="15" customHeight="1">
      <c r="A270" s="14" t="s">
        <v>1288</v>
      </c>
      <c r="B270" s="10" t="s">
        <v>1892</v>
      </c>
      <c r="C270" s="20">
        <v>46024</v>
      </c>
      <c r="D270" s="23">
        <v>3</v>
      </c>
      <c r="E270" s="23">
        <v>7</v>
      </c>
      <c r="F270" s="15" t="s">
        <v>1891</v>
      </c>
      <c r="G270">
        <f>IF(ShipmentsTable[[#This Row],[Delivery_Status]]="On time",1,0)</f>
        <v>0</v>
      </c>
    </row>
    <row r="271" spans="1:7" ht="15" customHeight="1">
      <c r="A271" s="14" t="s">
        <v>1290</v>
      </c>
      <c r="B271" s="10" t="s">
        <v>1890</v>
      </c>
      <c r="C271" s="20">
        <v>45784</v>
      </c>
      <c r="D271" s="23">
        <v>4</v>
      </c>
      <c r="E271" s="23">
        <v>5</v>
      </c>
      <c r="F271" s="15" t="s">
        <v>1891</v>
      </c>
      <c r="G271">
        <f>IF(ShipmentsTable[[#This Row],[Delivery_Status]]="On time",1,0)</f>
        <v>0</v>
      </c>
    </row>
    <row r="272" spans="1:7" ht="15" customHeight="1">
      <c r="A272" s="14" t="s">
        <v>1295</v>
      </c>
      <c r="B272" s="10" t="s">
        <v>1892</v>
      </c>
      <c r="C272" s="20">
        <v>46022</v>
      </c>
      <c r="D272" s="23">
        <v>5</v>
      </c>
      <c r="E272" s="23">
        <v>4</v>
      </c>
      <c r="F272" s="15" t="s">
        <v>1888</v>
      </c>
      <c r="G272">
        <f>IF(ShipmentsTable[[#This Row],[Delivery_Status]]="On time",1,0)</f>
        <v>1</v>
      </c>
    </row>
    <row r="273" spans="1:7" ht="15" customHeight="1">
      <c r="A273" s="14" t="s">
        <v>1298</v>
      </c>
      <c r="B273" s="10" t="s">
        <v>1889</v>
      </c>
      <c r="C273" s="20">
        <v>45819</v>
      </c>
      <c r="D273" s="23">
        <v>5</v>
      </c>
      <c r="E273" s="23">
        <v>9</v>
      </c>
      <c r="F273" s="15" t="s">
        <v>1891</v>
      </c>
      <c r="G273">
        <f>IF(ShipmentsTable[[#This Row],[Delivery_Status]]="On time",1,0)</f>
        <v>0</v>
      </c>
    </row>
    <row r="274" spans="1:7" ht="15" customHeight="1">
      <c r="A274" s="14" t="s">
        <v>1301</v>
      </c>
      <c r="B274" s="10" t="s">
        <v>1890</v>
      </c>
      <c r="C274" s="20">
        <v>45855</v>
      </c>
      <c r="D274" s="23">
        <v>5</v>
      </c>
      <c r="E274" s="23">
        <v>2</v>
      </c>
      <c r="F274" s="15" t="s">
        <v>1888</v>
      </c>
      <c r="G274">
        <f>IF(ShipmentsTable[[#This Row],[Delivery_Status]]="On time",1,0)</f>
        <v>1</v>
      </c>
    </row>
    <row r="275" spans="1:7" ht="15" customHeight="1">
      <c r="A275" s="14" t="s">
        <v>1306</v>
      </c>
      <c r="B275" s="10" t="s">
        <v>1892</v>
      </c>
      <c r="C275" s="20">
        <v>45919</v>
      </c>
      <c r="D275" s="23">
        <v>4</v>
      </c>
      <c r="E275" s="23">
        <v>5</v>
      </c>
      <c r="F275" s="15" t="s">
        <v>1891</v>
      </c>
      <c r="G275">
        <f>IF(ShipmentsTable[[#This Row],[Delivery_Status]]="On time",1,0)</f>
        <v>0</v>
      </c>
    </row>
    <row r="276" spans="1:7" ht="15" customHeight="1">
      <c r="A276" s="14" t="s">
        <v>1310</v>
      </c>
      <c r="B276" s="10" t="s">
        <v>1887</v>
      </c>
      <c r="C276" s="20">
        <v>45719.041666666664</v>
      </c>
      <c r="D276" s="23">
        <v>5</v>
      </c>
      <c r="E276" s="23">
        <v>5</v>
      </c>
      <c r="F276" s="15" t="s">
        <v>1888</v>
      </c>
      <c r="G276">
        <f>IF(ShipmentsTable[[#This Row],[Delivery_Status]]="On time",1,0)</f>
        <v>1</v>
      </c>
    </row>
    <row r="277" spans="1:7" ht="15" customHeight="1">
      <c r="A277" s="14" t="s">
        <v>1315</v>
      </c>
      <c r="B277" s="10" t="s">
        <v>1887</v>
      </c>
      <c r="C277" s="20">
        <v>45670</v>
      </c>
      <c r="D277" s="23">
        <v>5</v>
      </c>
      <c r="E277" s="23">
        <v>10</v>
      </c>
      <c r="F277" s="15" t="s">
        <v>1891</v>
      </c>
      <c r="G277">
        <f>IF(ShipmentsTable[[#This Row],[Delivery_Status]]="On time",1,0)</f>
        <v>0</v>
      </c>
    </row>
    <row r="278" spans="1:7" ht="15" customHeight="1">
      <c r="A278" s="14" t="s">
        <v>1321</v>
      </c>
      <c r="B278" s="10" t="s">
        <v>1887</v>
      </c>
      <c r="C278" s="20">
        <v>45983</v>
      </c>
      <c r="D278" s="23">
        <v>3</v>
      </c>
      <c r="E278" s="23">
        <v>3</v>
      </c>
      <c r="F278" s="15" t="s">
        <v>1888</v>
      </c>
      <c r="G278">
        <f>IF(ShipmentsTable[[#This Row],[Delivery_Status]]="On time",1,0)</f>
        <v>1</v>
      </c>
    </row>
    <row r="279" spans="1:7" ht="15" customHeight="1">
      <c r="A279" s="14" t="s">
        <v>1325</v>
      </c>
      <c r="B279" s="10" t="s">
        <v>1887</v>
      </c>
      <c r="C279" s="20">
        <v>45880</v>
      </c>
      <c r="D279" s="23">
        <v>4</v>
      </c>
      <c r="E279" s="23">
        <v>6</v>
      </c>
      <c r="F279" s="15" t="s">
        <v>1891</v>
      </c>
      <c r="G279">
        <f>IF(ShipmentsTable[[#This Row],[Delivery_Status]]="On time",1,0)</f>
        <v>0</v>
      </c>
    </row>
    <row r="280" spans="1:7" ht="15" customHeight="1">
      <c r="A280" s="14" t="s">
        <v>1329</v>
      </c>
      <c r="B280" s="10" t="s">
        <v>1887</v>
      </c>
      <c r="C280" s="20">
        <v>45774</v>
      </c>
      <c r="D280" s="23">
        <v>4</v>
      </c>
      <c r="E280" s="23">
        <v>1</v>
      </c>
      <c r="F280" s="15" t="s">
        <v>1888</v>
      </c>
      <c r="G280">
        <f>IF(ShipmentsTable[[#This Row],[Delivery_Status]]="On time",1,0)</f>
        <v>1</v>
      </c>
    </row>
    <row r="281" spans="1:7" ht="15" customHeight="1">
      <c r="A281" s="14" t="s">
        <v>1333</v>
      </c>
      <c r="B281" s="10" t="s">
        <v>1887</v>
      </c>
      <c r="C281" s="20">
        <v>45721.041666666664</v>
      </c>
      <c r="D281" s="23">
        <v>4</v>
      </c>
      <c r="E281" s="23">
        <v>8</v>
      </c>
      <c r="F281" s="15" t="s">
        <v>1891</v>
      </c>
      <c r="G281">
        <f>IF(ShipmentsTable[[#This Row],[Delivery_Status]]="On time",1,0)</f>
        <v>0</v>
      </c>
    </row>
    <row r="282" spans="1:7" ht="15" customHeight="1">
      <c r="A282" s="14" t="s">
        <v>1338</v>
      </c>
      <c r="B282" s="10" t="s">
        <v>1887</v>
      </c>
      <c r="C282" s="20">
        <v>45863</v>
      </c>
      <c r="D282" s="23">
        <v>4</v>
      </c>
      <c r="E282" s="23">
        <v>8</v>
      </c>
      <c r="F282" s="15" t="s">
        <v>1891</v>
      </c>
      <c r="G282">
        <f>IF(ShipmentsTable[[#This Row],[Delivery_Status]]="On time",1,0)</f>
        <v>0</v>
      </c>
    </row>
    <row r="283" spans="1:7" ht="15" customHeight="1">
      <c r="A283" s="14" t="s">
        <v>1341</v>
      </c>
      <c r="B283" s="10" t="s">
        <v>1887</v>
      </c>
      <c r="C283" s="20">
        <v>45990</v>
      </c>
      <c r="D283" s="23">
        <v>5</v>
      </c>
      <c r="E283" s="23">
        <v>6</v>
      </c>
      <c r="F283" s="15" t="s">
        <v>1891</v>
      </c>
      <c r="G283">
        <f>IF(ShipmentsTable[[#This Row],[Delivery_Status]]="On time",1,0)</f>
        <v>0</v>
      </c>
    </row>
    <row r="284" spans="1:7" ht="15" customHeight="1">
      <c r="A284" s="14" t="s">
        <v>1343</v>
      </c>
      <c r="B284" s="10" t="s">
        <v>1892</v>
      </c>
      <c r="C284" s="20">
        <v>45840</v>
      </c>
      <c r="D284" s="23">
        <v>4</v>
      </c>
      <c r="E284" s="23">
        <v>3</v>
      </c>
      <c r="F284" s="15" t="s">
        <v>1888</v>
      </c>
      <c r="G284">
        <f>IF(ShipmentsTable[[#This Row],[Delivery_Status]]="On time",1,0)</f>
        <v>1</v>
      </c>
    </row>
    <row r="285" spans="1:7" ht="15" customHeight="1">
      <c r="A285" s="14" t="s">
        <v>1349</v>
      </c>
      <c r="B285" s="10" t="s">
        <v>1890</v>
      </c>
      <c r="C285" s="20">
        <v>45956</v>
      </c>
      <c r="D285" s="23">
        <v>3</v>
      </c>
      <c r="E285" s="23">
        <v>8</v>
      </c>
      <c r="F285" s="15" t="s">
        <v>1891</v>
      </c>
      <c r="G285">
        <f>IF(ShipmentsTable[[#This Row],[Delivery_Status]]="On time",1,0)</f>
        <v>0</v>
      </c>
    </row>
    <row r="286" spans="1:7" ht="15" customHeight="1">
      <c r="A286" s="14" t="s">
        <v>1352</v>
      </c>
      <c r="B286" s="10" t="s">
        <v>1890</v>
      </c>
      <c r="C286" s="20">
        <v>45973</v>
      </c>
      <c r="D286" s="23">
        <v>3</v>
      </c>
      <c r="E286" s="23">
        <v>3</v>
      </c>
      <c r="F286" s="15" t="s">
        <v>1888</v>
      </c>
      <c r="G286">
        <f>IF(ShipmentsTable[[#This Row],[Delivery_Status]]="On time",1,0)</f>
        <v>1</v>
      </c>
    </row>
    <row r="287" spans="1:7" ht="15" customHeight="1">
      <c r="A287" s="14" t="s">
        <v>1355</v>
      </c>
      <c r="B287" s="10" t="s">
        <v>1889</v>
      </c>
      <c r="C287" s="20">
        <v>45732.041666666664</v>
      </c>
      <c r="D287" s="23">
        <v>5</v>
      </c>
      <c r="E287" s="23">
        <v>5</v>
      </c>
      <c r="F287" s="15" t="s">
        <v>1888</v>
      </c>
      <c r="G287">
        <f>IF(ShipmentsTable[[#This Row],[Delivery_Status]]="On time",1,0)</f>
        <v>1</v>
      </c>
    </row>
    <row r="288" spans="1:7" ht="15" customHeight="1">
      <c r="A288" s="14" t="s">
        <v>1359</v>
      </c>
      <c r="B288" s="10" t="s">
        <v>1892</v>
      </c>
      <c r="C288" s="20">
        <v>45930</v>
      </c>
      <c r="D288" s="23">
        <v>3</v>
      </c>
      <c r="E288" s="23">
        <v>10</v>
      </c>
      <c r="F288" s="15" t="s">
        <v>1891</v>
      </c>
      <c r="G288">
        <f>IF(ShipmentsTable[[#This Row],[Delivery_Status]]="On time",1,0)</f>
        <v>0</v>
      </c>
    </row>
    <row r="289" spans="1:7" ht="15" customHeight="1">
      <c r="A289" s="14" t="s">
        <v>1365</v>
      </c>
      <c r="B289" s="10" t="s">
        <v>1892</v>
      </c>
      <c r="C289" s="20">
        <v>45991</v>
      </c>
      <c r="D289" s="23">
        <v>4</v>
      </c>
      <c r="E289" s="23">
        <v>5</v>
      </c>
      <c r="F289" s="15" t="s">
        <v>1891</v>
      </c>
      <c r="G289">
        <f>IF(ShipmentsTable[[#This Row],[Delivery_Status]]="On time",1,0)</f>
        <v>0</v>
      </c>
    </row>
    <row r="290" spans="1:7" ht="15" customHeight="1">
      <c r="A290" s="14" t="s">
        <v>1369</v>
      </c>
      <c r="B290" s="10" t="s">
        <v>1887</v>
      </c>
      <c r="C290" s="20">
        <v>45928</v>
      </c>
      <c r="D290" s="23">
        <v>4</v>
      </c>
      <c r="E290" s="23">
        <v>8</v>
      </c>
      <c r="F290" s="15" t="s">
        <v>1891</v>
      </c>
      <c r="G290">
        <f>IF(ShipmentsTable[[#This Row],[Delivery_Status]]="On time",1,0)</f>
        <v>0</v>
      </c>
    </row>
    <row r="291" spans="1:7" ht="15" customHeight="1">
      <c r="A291" s="14" t="s">
        <v>1374</v>
      </c>
      <c r="B291" s="10" t="s">
        <v>1892</v>
      </c>
      <c r="C291" s="20">
        <v>45853</v>
      </c>
      <c r="D291" s="23">
        <v>5</v>
      </c>
      <c r="E291" s="23">
        <v>1</v>
      </c>
      <c r="F291" s="15" t="s">
        <v>1888</v>
      </c>
      <c r="G291">
        <f>IF(ShipmentsTable[[#This Row],[Delivery_Status]]="On time",1,0)</f>
        <v>1</v>
      </c>
    </row>
    <row r="292" spans="1:7" ht="15" customHeight="1">
      <c r="A292" s="14" t="s">
        <v>1377</v>
      </c>
      <c r="B292" s="10" t="s">
        <v>1887</v>
      </c>
      <c r="C292" s="20">
        <v>45990</v>
      </c>
      <c r="D292" s="23">
        <v>3</v>
      </c>
      <c r="E292" s="23">
        <v>5</v>
      </c>
      <c r="F292" s="15" t="s">
        <v>1891</v>
      </c>
      <c r="G292">
        <f>IF(ShipmentsTable[[#This Row],[Delivery_Status]]="On time",1,0)</f>
        <v>0</v>
      </c>
    </row>
    <row r="293" spans="1:7" ht="15" customHeight="1">
      <c r="A293" s="14" t="s">
        <v>1380</v>
      </c>
      <c r="B293" s="10" t="s">
        <v>1887</v>
      </c>
      <c r="C293" s="20">
        <v>45993</v>
      </c>
      <c r="D293" s="23">
        <v>3</v>
      </c>
      <c r="E293" s="23">
        <v>1</v>
      </c>
      <c r="F293" s="15" t="s">
        <v>1888</v>
      </c>
      <c r="G293">
        <f>IF(ShipmentsTable[[#This Row],[Delivery_Status]]="On time",1,0)</f>
        <v>1</v>
      </c>
    </row>
    <row r="294" spans="1:7" ht="15" customHeight="1">
      <c r="A294" s="14" t="s">
        <v>1383</v>
      </c>
      <c r="B294" s="10" t="s">
        <v>1892</v>
      </c>
      <c r="C294" s="20">
        <v>45787</v>
      </c>
      <c r="D294" s="23">
        <v>4</v>
      </c>
      <c r="E294" s="23">
        <v>5</v>
      </c>
      <c r="F294" s="15" t="s">
        <v>1891</v>
      </c>
      <c r="G294">
        <f>IF(ShipmentsTable[[#This Row],[Delivery_Status]]="On time",1,0)</f>
        <v>0</v>
      </c>
    </row>
    <row r="295" spans="1:7" ht="15" customHeight="1">
      <c r="A295" s="14" t="s">
        <v>1389</v>
      </c>
      <c r="B295" s="10" t="s">
        <v>1892</v>
      </c>
      <c r="C295" s="20">
        <v>45735.041666666664</v>
      </c>
      <c r="D295" s="23">
        <v>3</v>
      </c>
      <c r="E295" s="23">
        <v>1</v>
      </c>
      <c r="F295" s="15" t="s">
        <v>1888</v>
      </c>
      <c r="G295">
        <f>IF(ShipmentsTable[[#This Row],[Delivery_Status]]="On time",1,0)</f>
        <v>1</v>
      </c>
    </row>
    <row r="296" spans="1:7" ht="15" customHeight="1">
      <c r="A296" s="14" t="s">
        <v>1394</v>
      </c>
      <c r="B296" s="10" t="s">
        <v>1890</v>
      </c>
      <c r="C296" s="20">
        <v>45954</v>
      </c>
      <c r="D296" s="23">
        <v>4</v>
      </c>
      <c r="E296" s="23">
        <v>9</v>
      </c>
      <c r="F296" s="15" t="s">
        <v>1891</v>
      </c>
      <c r="G296">
        <f>IF(ShipmentsTable[[#This Row],[Delivery_Status]]="On time",1,0)</f>
        <v>0</v>
      </c>
    </row>
    <row r="297" spans="1:7" ht="15" customHeight="1">
      <c r="A297" s="14" t="s">
        <v>1398</v>
      </c>
      <c r="B297" s="10" t="s">
        <v>1892</v>
      </c>
      <c r="C297" s="20">
        <v>45840</v>
      </c>
      <c r="D297" s="23">
        <v>5</v>
      </c>
      <c r="E297" s="23">
        <v>7</v>
      </c>
      <c r="F297" s="15" t="s">
        <v>1891</v>
      </c>
      <c r="G297">
        <f>IF(ShipmentsTable[[#This Row],[Delivery_Status]]="On time",1,0)</f>
        <v>0</v>
      </c>
    </row>
    <row r="298" spans="1:7" ht="15" customHeight="1">
      <c r="A298" s="14" t="s">
        <v>1400</v>
      </c>
      <c r="B298" s="10" t="s">
        <v>1892</v>
      </c>
      <c r="C298" s="20">
        <v>45903</v>
      </c>
      <c r="D298" s="23">
        <v>3</v>
      </c>
      <c r="E298" s="23">
        <v>10</v>
      </c>
      <c r="F298" s="15" t="s">
        <v>1891</v>
      </c>
      <c r="G298">
        <f>IF(ShipmentsTable[[#This Row],[Delivery_Status]]="On time",1,0)</f>
        <v>0</v>
      </c>
    </row>
    <row r="299" spans="1:7" ht="15" customHeight="1">
      <c r="A299" s="14" t="s">
        <v>1404</v>
      </c>
      <c r="B299" s="10" t="s">
        <v>1892</v>
      </c>
      <c r="C299" s="20">
        <v>45823</v>
      </c>
      <c r="D299" s="23">
        <v>3</v>
      </c>
      <c r="E299" s="23">
        <v>7</v>
      </c>
      <c r="F299" s="15" t="s">
        <v>1891</v>
      </c>
      <c r="G299">
        <f>IF(ShipmentsTable[[#This Row],[Delivery_Status]]="On time",1,0)</f>
        <v>0</v>
      </c>
    </row>
    <row r="300" spans="1:7" ht="15" customHeight="1">
      <c r="A300" s="14" t="s">
        <v>1409</v>
      </c>
      <c r="B300" s="10" t="s">
        <v>1892</v>
      </c>
      <c r="C300" s="20">
        <v>45791</v>
      </c>
      <c r="D300" s="23">
        <v>4</v>
      </c>
      <c r="E300" s="23">
        <v>2</v>
      </c>
      <c r="F300" s="15" t="s">
        <v>1888</v>
      </c>
      <c r="G300">
        <f>IF(ShipmentsTable[[#This Row],[Delivery_Status]]="On time",1,0)</f>
        <v>1</v>
      </c>
    </row>
    <row r="301" spans="1:7" ht="15" customHeight="1">
      <c r="A301" s="14" t="s">
        <v>1414</v>
      </c>
      <c r="B301" s="10" t="s">
        <v>1887</v>
      </c>
      <c r="C301" s="20">
        <v>45939</v>
      </c>
      <c r="D301" s="23">
        <v>5</v>
      </c>
      <c r="E301" s="23">
        <v>5</v>
      </c>
      <c r="F301" s="15" t="s">
        <v>1888</v>
      </c>
      <c r="G301">
        <f>IF(ShipmentsTable[[#This Row],[Delivery_Status]]="On time",1,0)</f>
        <v>1</v>
      </c>
    </row>
    <row r="302" spans="1:7" ht="15" customHeight="1">
      <c r="A302" s="14" t="s">
        <v>1419</v>
      </c>
      <c r="B302" s="10" t="s">
        <v>1892</v>
      </c>
      <c r="C302" s="20">
        <v>45740.041666666664</v>
      </c>
      <c r="D302" s="23">
        <v>5</v>
      </c>
      <c r="E302" s="23">
        <v>9</v>
      </c>
      <c r="F302" s="15" t="s">
        <v>1891</v>
      </c>
      <c r="G302">
        <f>IF(ShipmentsTable[[#This Row],[Delivery_Status]]="On time",1,0)</f>
        <v>0</v>
      </c>
    </row>
    <row r="303" spans="1:7" ht="15" customHeight="1">
      <c r="A303" s="14" t="s">
        <v>1423</v>
      </c>
      <c r="B303" s="10" t="s">
        <v>1887</v>
      </c>
      <c r="C303" s="20">
        <v>45925</v>
      </c>
      <c r="D303" s="23">
        <v>5</v>
      </c>
      <c r="E303" s="23">
        <v>1</v>
      </c>
      <c r="F303" s="15" t="s">
        <v>1888</v>
      </c>
      <c r="G303">
        <f>IF(ShipmentsTable[[#This Row],[Delivery_Status]]="On time",1,0)</f>
        <v>1</v>
      </c>
    </row>
    <row r="304" spans="1:7" ht="15" customHeight="1">
      <c r="A304" s="14" t="s">
        <v>1425</v>
      </c>
      <c r="B304" s="10" t="s">
        <v>1889</v>
      </c>
      <c r="C304" s="20">
        <v>45801</v>
      </c>
      <c r="D304" s="23">
        <v>4</v>
      </c>
      <c r="E304" s="23">
        <v>9</v>
      </c>
      <c r="F304" s="15" t="s">
        <v>1891</v>
      </c>
      <c r="G304">
        <f>IF(ShipmentsTable[[#This Row],[Delivery_Status]]="On time",1,0)</f>
        <v>0</v>
      </c>
    </row>
    <row r="305" spans="1:7" ht="15" customHeight="1">
      <c r="A305" s="14" t="s">
        <v>1430</v>
      </c>
      <c r="B305" s="10" t="s">
        <v>1887</v>
      </c>
      <c r="C305" s="20">
        <v>45946</v>
      </c>
      <c r="D305" s="23">
        <v>3</v>
      </c>
      <c r="E305" s="23">
        <v>3</v>
      </c>
      <c r="F305" s="15" t="s">
        <v>1888</v>
      </c>
      <c r="G305">
        <f>IF(ShipmentsTable[[#This Row],[Delivery_Status]]="On time",1,0)</f>
        <v>1</v>
      </c>
    </row>
    <row r="306" spans="1:7" ht="15" customHeight="1">
      <c r="A306" s="14" t="s">
        <v>1435</v>
      </c>
      <c r="B306" s="10" t="s">
        <v>1890</v>
      </c>
      <c r="C306" s="20">
        <v>45978</v>
      </c>
      <c r="D306" s="23">
        <v>3</v>
      </c>
      <c r="E306" s="23">
        <v>9</v>
      </c>
      <c r="F306" s="15" t="s">
        <v>1891</v>
      </c>
      <c r="G306">
        <f>IF(ShipmentsTable[[#This Row],[Delivery_Status]]="On time",1,0)</f>
        <v>0</v>
      </c>
    </row>
    <row r="307" spans="1:7" ht="15" customHeight="1">
      <c r="A307" s="14" t="s">
        <v>1437</v>
      </c>
      <c r="B307" s="10" t="s">
        <v>1889</v>
      </c>
      <c r="C307" s="20">
        <v>45971</v>
      </c>
      <c r="D307" s="23">
        <v>4</v>
      </c>
      <c r="E307" s="23">
        <v>7</v>
      </c>
      <c r="F307" s="15" t="s">
        <v>1891</v>
      </c>
      <c r="G307">
        <f>IF(ShipmentsTable[[#This Row],[Delivery_Status]]="On time",1,0)</f>
        <v>0</v>
      </c>
    </row>
    <row r="308" spans="1:7" ht="15" customHeight="1">
      <c r="A308" s="14" t="s">
        <v>1441</v>
      </c>
      <c r="B308" s="10" t="s">
        <v>1892</v>
      </c>
      <c r="C308" s="20">
        <v>45801</v>
      </c>
      <c r="D308" s="23">
        <v>5</v>
      </c>
      <c r="E308" s="23">
        <v>5</v>
      </c>
      <c r="F308" s="15" t="s">
        <v>1888</v>
      </c>
      <c r="G308">
        <f>IF(ShipmentsTable[[#This Row],[Delivery_Status]]="On time",1,0)</f>
        <v>1</v>
      </c>
    </row>
    <row r="309" spans="1:7" ht="15" customHeight="1">
      <c r="A309" s="14" t="s">
        <v>1446</v>
      </c>
      <c r="B309" s="10" t="s">
        <v>1892</v>
      </c>
      <c r="C309" s="20">
        <v>45836</v>
      </c>
      <c r="D309" s="23">
        <v>4</v>
      </c>
      <c r="E309" s="23">
        <v>9</v>
      </c>
      <c r="F309" s="15" t="s">
        <v>1891</v>
      </c>
      <c r="G309">
        <f>IF(ShipmentsTable[[#This Row],[Delivery_Status]]="On time",1,0)</f>
        <v>0</v>
      </c>
    </row>
    <row r="310" spans="1:7" ht="15" customHeight="1">
      <c r="A310" s="14" t="s">
        <v>1452</v>
      </c>
      <c r="B310" s="10" t="s">
        <v>1889</v>
      </c>
      <c r="C310" s="20">
        <v>45805</v>
      </c>
      <c r="D310" s="23">
        <v>5</v>
      </c>
      <c r="E310" s="23">
        <v>3</v>
      </c>
      <c r="F310" s="15" t="s">
        <v>1888</v>
      </c>
      <c r="G310">
        <f>IF(ShipmentsTable[[#This Row],[Delivery_Status]]="On time",1,0)</f>
        <v>1</v>
      </c>
    </row>
    <row r="311" spans="1:7" ht="15" customHeight="1">
      <c r="A311" s="14" t="s">
        <v>1456</v>
      </c>
      <c r="B311" s="10" t="s">
        <v>1889</v>
      </c>
      <c r="C311" s="20">
        <v>45834</v>
      </c>
      <c r="D311" s="23">
        <v>5</v>
      </c>
      <c r="E311" s="23">
        <v>6</v>
      </c>
      <c r="F311" s="15" t="s">
        <v>1891</v>
      </c>
      <c r="G311">
        <f>IF(ShipmentsTable[[#This Row],[Delivery_Status]]="On time",1,0)</f>
        <v>0</v>
      </c>
    </row>
    <row r="312" spans="1:7" ht="15" customHeight="1">
      <c r="A312" s="14" t="s">
        <v>1459</v>
      </c>
      <c r="B312" s="10" t="s">
        <v>1892</v>
      </c>
      <c r="C312" s="20">
        <v>45964</v>
      </c>
      <c r="D312" s="23">
        <v>4</v>
      </c>
      <c r="E312" s="23">
        <v>7</v>
      </c>
      <c r="F312" s="15" t="s">
        <v>1891</v>
      </c>
      <c r="G312">
        <f>IF(ShipmentsTable[[#This Row],[Delivery_Status]]="On time",1,0)</f>
        <v>0</v>
      </c>
    </row>
    <row r="313" spans="1:7" ht="15" customHeight="1">
      <c r="A313" s="14" t="s">
        <v>1462</v>
      </c>
      <c r="B313" s="10" t="s">
        <v>1890</v>
      </c>
      <c r="C313" s="20">
        <v>45966</v>
      </c>
      <c r="D313" s="23">
        <v>3</v>
      </c>
      <c r="E313" s="23">
        <v>8</v>
      </c>
      <c r="F313" s="15" t="s">
        <v>1891</v>
      </c>
      <c r="G313">
        <f>IF(ShipmentsTable[[#This Row],[Delivery_Status]]="On time",1,0)</f>
        <v>0</v>
      </c>
    </row>
    <row r="314" spans="1:7" ht="15" customHeight="1">
      <c r="A314" s="14" t="s">
        <v>1466</v>
      </c>
      <c r="B314" s="10" t="s">
        <v>1887</v>
      </c>
      <c r="C314" s="20">
        <v>45766</v>
      </c>
      <c r="D314" s="23">
        <v>4</v>
      </c>
      <c r="E314" s="23">
        <v>10</v>
      </c>
      <c r="F314" s="15" t="s">
        <v>1891</v>
      </c>
      <c r="G314">
        <f>IF(ShipmentsTable[[#This Row],[Delivery_Status]]="On time",1,0)</f>
        <v>0</v>
      </c>
    </row>
    <row r="315" spans="1:7" ht="15" customHeight="1">
      <c r="A315" s="14" t="s">
        <v>1469</v>
      </c>
      <c r="B315" s="10" t="s">
        <v>1887</v>
      </c>
      <c r="C315" s="20">
        <v>46000</v>
      </c>
      <c r="D315" s="23">
        <v>5</v>
      </c>
      <c r="E315" s="23">
        <v>7</v>
      </c>
      <c r="F315" s="15" t="s">
        <v>1891</v>
      </c>
      <c r="G315">
        <f>IF(ShipmentsTable[[#This Row],[Delivery_Status]]="On time",1,0)</f>
        <v>0</v>
      </c>
    </row>
    <row r="316" spans="1:7" ht="15" customHeight="1">
      <c r="A316" s="14" t="s">
        <v>1472</v>
      </c>
      <c r="B316" s="10" t="s">
        <v>1892</v>
      </c>
      <c r="C316" s="20">
        <v>45876</v>
      </c>
      <c r="D316" s="23">
        <v>3</v>
      </c>
      <c r="E316" s="23">
        <v>3</v>
      </c>
      <c r="F316" s="15" t="s">
        <v>1888</v>
      </c>
      <c r="G316">
        <f>IF(ShipmentsTable[[#This Row],[Delivery_Status]]="On time",1,0)</f>
        <v>1</v>
      </c>
    </row>
    <row r="317" spans="1:7" ht="15" customHeight="1">
      <c r="A317" s="14" t="s">
        <v>1475</v>
      </c>
      <c r="B317" s="10" t="s">
        <v>1892</v>
      </c>
      <c r="C317" s="20">
        <v>45702</v>
      </c>
      <c r="D317" s="23">
        <v>5</v>
      </c>
      <c r="E317" s="23">
        <v>4</v>
      </c>
      <c r="F317" s="15" t="s">
        <v>1888</v>
      </c>
      <c r="G317">
        <f>IF(ShipmentsTable[[#This Row],[Delivery_Status]]="On time",1,0)</f>
        <v>1</v>
      </c>
    </row>
    <row r="318" spans="1:7" ht="15" customHeight="1">
      <c r="A318" s="14" t="s">
        <v>1479</v>
      </c>
      <c r="B318" s="10" t="s">
        <v>1887</v>
      </c>
      <c r="C318" s="20">
        <v>46032</v>
      </c>
      <c r="D318" s="23">
        <v>4</v>
      </c>
      <c r="E318" s="23">
        <v>10</v>
      </c>
      <c r="F318" s="15" t="s">
        <v>1891</v>
      </c>
      <c r="G318">
        <f>IF(ShipmentsTable[[#This Row],[Delivery_Status]]="On time",1,0)</f>
        <v>0</v>
      </c>
    </row>
    <row r="319" spans="1:7" ht="15" customHeight="1">
      <c r="A319" s="14" t="s">
        <v>1482</v>
      </c>
      <c r="B319" s="10" t="s">
        <v>1889</v>
      </c>
      <c r="C319" s="20">
        <v>45948</v>
      </c>
      <c r="D319" s="23">
        <v>4</v>
      </c>
      <c r="E319" s="23">
        <v>5</v>
      </c>
      <c r="F319" s="15" t="s">
        <v>1891</v>
      </c>
      <c r="G319">
        <f>IF(ShipmentsTable[[#This Row],[Delivery_Status]]="On time",1,0)</f>
        <v>0</v>
      </c>
    </row>
    <row r="320" spans="1:7" ht="15" customHeight="1">
      <c r="A320" s="14" t="s">
        <v>1484</v>
      </c>
      <c r="B320" s="10" t="s">
        <v>1889</v>
      </c>
      <c r="C320" s="20">
        <v>45936</v>
      </c>
      <c r="D320" s="23">
        <v>4</v>
      </c>
      <c r="E320" s="23">
        <v>9</v>
      </c>
      <c r="F320" s="15" t="s">
        <v>1891</v>
      </c>
      <c r="G320">
        <f>IF(ShipmentsTable[[#This Row],[Delivery_Status]]="On time",1,0)</f>
        <v>0</v>
      </c>
    </row>
    <row r="321" spans="1:7" ht="15" customHeight="1">
      <c r="A321" s="14" t="s">
        <v>1489</v>
      </c>
      <c r="B321" s="10" t="s">
        <v>1890</v>
      </c>
      <c r="C321" s="20">
        <v>45991</v>
      </c>
      <c r="D321" s="23">
        <v>4</v>
      </c>
      <c r="E321" s="23">
        <v>3</v>
      </c>
      <c r="F321" s="15" t="s">
        <v>1888</v>
      </c>
      <c r="G321">
        <f>IF(ShipmentsTable[[#This Row],[Delivery_Status]]="On time",1,0)</f>
        <v>1</v>
      </c>
    </row>
    <row r="322" spans="1:7" ht="15" customHeight="1">
      <c r="A322" s="14" t="s">
        <v>1496</v>
      </c>
      <c r="B322" s="10" t="s">
        <v>1887</v>
      </c>
      <c r="C322" s="20">
        <v>45769</v>
      </c>
      <c r="D322" s="23">
        <v>4</v>
      </c>
      <c r="E322" s="23">
        <v>2</v>
      </c>
      <c r="F322" s="15" t="s">
        <v>1888</v>
      </c>
      <c r="G322">
        <f>IF(ShipmentsTable[[#This Row],[Delivery_Status]]="On time",1,0)</f>
        <v>1</v>
      </c>
    </row>
    <row r="323" spans="1:7" ht="15" customHeight="1">
      <c r="A323" s="14" t="s">
        <v>1500</v>
      </c>
      <c r="B323" s="10" t="s">
        <v>1889</v>
      </c>
      <c r="C323" s="20">
        <v>45880</v>
      </c>
      <c r="D323" s="23">
        <v>3</v>
      </c>
      <c r="E323" s="23">
        <v>7</v>
      </c>
      <c r="F323" s="15" t="s">
        <v>1891</v>
      </c>
      <c r="G323">
        <f>IF(ShipmentsTable[[#This Row],[Delivery_Status]]="On time",1,0)</f>
        <v>0</v>
      </c>
    </row>
    <row r="324" spans="1:7" ht="15" customHeight="1">
      <c r="A324" s="14" t="s">
        <v>1504</v>
      </c>
      <c r="B324" s="10" t="s">
        <v>1889</v>
      </c>
      <c r="C324" s="20">
        <v>45987</v>
      </c>
      <c r="D324" s="23">
        <v>3</v>
      </c>
      <c r="E324" s="23">
        <v>10</v>
      </c>
      <c r="F324" s="15" t="s">
        <v>1891</v>
      </c>
      <c r="G324">
        <f>IF(ShipmentsTable[[#This Row],[Delivery_Status]]="On time",1,0)</f>
        <v>0</v>
      </c>
    </row>
    <row r="325" spans="1:7" ht="15" customHeight="1">
      <c r="A325" s="14" t="s">
        <v>1508</v>
      </c>
      <c r="B325" s="10" t="s">
        <v>1887</v>
      </c>
      <c r="C325" s="20">
        <v>45931</v>
      </c>
      <c r="D325" s="23">
        <v>4</v>
      </c>
      <c r="E325" s="23">
        <v>6</v>
      </c>
      <c r="F325" s="15" t="s">
        <v>1891</v>
      </c>
      <c r="G325">
        <f>IF(ShipmentsTable[[#This Row],[Delivery_Status]]="On time",1,0)</f>
        <v>0</v>
      </c>
    </row>
    <row r="326" spans="1:7" ht="15" customHeight="1">
      <c r="A326" s="14" t="s">
        <v>1512</v>
      </c>
      <c r="B326" s="10" t="s">
        <v>1887</v>
      </c>
      <c r="C326" s="20">
        <v>45809</v>
      </c>
      <c r="D326" s="23">
        <v>4</v>
      </c>
      <c r="E326" s="23">
        <v>8</v>
      </c>
      <c r="F326" s="15" t="s">
        <v>1891</v>
      </c>
      <c r="G326">
        <f>IF(ShipmentsTable[[#This Row],[Delivery_Status]]="On time",1,0)</f>
        <v>0</v>
      </c>
    </row>
    <row r="327" spans="1:7" ht="15" customHeight="1">
      <c r="A327" s="14" t="s">
        <v>1519</v>
      </c>
      <c r="B327" s="10" t="s">
        <v>1887</v>
      </c>
      <c r="C327" s="20">
        <v>45752.041666666664</v>
      </c>
      <c r="D327" s="23">
        <v>3</v>
      </c>
      <c r="E327" s="23">
        <v>7</v>
      </c>
      <c r="F327" s="15" t="s">
        <v>1891</v>
      </c>
      <c r="G327">
        <f>IF(ShipmentsTable[[#This Row],[Delivery_Status]]="On time",1,0)</f>
        <v>0</v>
      </c>
    </row>
    <row r="328" spans="1:7" ht="15" customHeight="1">
      <c r="A328" s="14" t="s">
        <v>1521</v>
      </c>
      <c r="B328" s="10" t="s">
        <v>1892</v>
      </c>
      <c r="C328" s="20">
        <v>46013</v>
      </c>
      <c r="D328" s="23">
        <v>5</v>
      </c>
      <c r="E328" s="23">
        <v>2</v>
      </c>
      <c r="F328" s="15" t="s">
        <v>1888</v>
      </c>
      <c r="G328">
        <f>IF(ShipmentsTable[[#This Row],[Delivery_Status]]="On time",1,0)</f>
        <v>1</v>
      </c>
    </row>
    <row r="329" spans="1:7" ht="15" customHeight="1">
      <c r="A329" s="14" t="s">
        <v>1526</v>
      </c>
      <c r="B329" s="10" t="s">
        <v>1890</v>
      </c>
      <c r="C329" s="20">
        <v>45787</v>
      </c>
      <c r="D329" s="23">
        <v>4</v>
      </c>
      <c r="E329" s="23">
        <v>4</v>
      </c>
      <c r="F329" s="15" t="s">
        <v>1888</v>
      </c>
      <c r="G329">
        <f>IF(ShipmentsTable[[#This Row],[Delivery_Status]]="On time",1,0)</f>
        <v>1</v>
      </c>
    </row>
    <row r="330" spans="1:7" ht="15" customHeight="1">
      <c r="A330" s="14" t="s">
        <v>1529</v>
      </c>
      <c r="B330" s="10" t="s">
        <v>1889</v>
      </c>
      <c r="C330" s="20">
        <v>45669</v>
      </c>
      <c r="D330" s="23">
        <v>3</v>
      </c>
      <c r="E330" s="23">
        <v>10</v>
      </c>
      <c r="F330" s="15" t="s">
        <v>1891</v>
      </c>
      <c r="G330">
        <f>IF(ShipmentsTable[[#This Row],[Delivery_Status]]="On time",1,0)</f>
        <v>0</v>
      </c>
    </row>
    <row r="331" spans="1:7" ht="15" customHeight="1">
      <c r="A331" s="14" t="s">
        <v>1532</v>
      </c>
      <c r="B331" s="10" t="s">
        <v>1890</v>
      </c>
      <c r="C331" s="20">
        <v>45743.041666666664</v>
      </c>
      <c r="D331" s="23">
        <v>3</v>
      </c>
      <c r="E331" s="23">
        <v>6</v>
      </c>
      <c r="F331" s="15" t="s">
        <v>1891</v>
      </c>
      <c r="G331">
        <f>IF(ShipmentsTable[[#This Row],[Delivery_Status]]="On time",1,0)</f>
        <v>0</v>
      </c>
    </row>
    <row r="332" spans="1:7" ht="15" customHeight="1">
      <c r="A332" s="14" t="s">
        <v>1536</v>
      </c>
      <c r="B332" s="10" t="s">
        <v>1887</v>
      </c>
      <c r="C332" s="20">
        <v>45935</v>
      </c>
      <c r="D332" s="23">
        <v>4</v>
      </c>
      <c r="E332" s="23">
        <v>7</v>
      </c>
      <c r="F332" s="15" t="s">
        <v>1891</v>
      </c>
      <c r="G332">
        <f>IF(ShipmentsTable[[#This Row],[Delivery_Status]]="On time",1,0)</f>
        <v>0</v>
      </c>
    </row>
    <row r="333" spans="1:7" ht="15" customHeight="1">
      <c r="A333" s="14" t="s">
        <v>1540</v>
      </c>
      <c r="B333" s="10" t="s">
        <v>1887</v>
      </c>
      <c r="C333" s="20">
        <v>46000</v>
      </c>
      <c r="D333" s="23">
        <v>3</v>
      </c>
      <c r="E333" s="23">
        <v>6</v>
      </c>
      <c r="F333" s="15" t="s">
        <v>1891</v>
      </c>
      <c r="G333">
        <f>IF(ShipmentsTable[[#This Row],[Delivery_Status]]="On time",1,0)</f>
        <v>0</v>
      </c>
    </row>
    <row r="334" spans="1:7" ht="15" customHeight="1">
      <c r="A334" s="14" t="s">
        <v>1543</v>
      </c>
      <c r="B334" s="10" t="s">
        <v>1889</v>
      </c>
      <c r="C334" s="20">
        <v>45777</v>
      </c>
      <c r="D334" s="23">
        <v>4</v>
      </c>
      <c r="E334" s="23">
        <v>3</v>
      </c>
      <c r="F334" s="15" t="s">
        <v>1888</v>
      </c>
      <c r="G334">
        <f>IF(ShipmentsTable[[#This Row],[Delivery_Status]]="On time",1,0)</f>
        <v>1</v>
      </c>
    </row>
    <row r="335" spans="1:7" ht="15" customHeight="1">
      <c r="A335" s="14" t="s">
        <v>1549</v>
      </c>
      <c r="B335" s="10" t="s">
        <v>1889</v>
      </c>
      <c r="C335" s="20">
        <v>45934</v>
      </c>
      <c r="D335" s="23">
        <v>5</v>
      </c>
      <c r="E335" s="23">
        <v>3</v>
      </c>
      <c r="F335" s="15" t="s">
        <v>1888</v>
      </c>
      <c r="G335">
        <f>IF(ShipmentsTable[[#This Row],[Delivery_Status]]="On time",1,0)</f>
        <v>1</v>
      </c>
    </row>
    <row r="336" spans="1:7" ht="15" customHeight="1">
      <c r="A336" s="14" t="s">
        <v>1551</v>
      </c>
      <c r="B336" s="10" t="s">
        <v>1887</v>
      </c>
      <c r="C336" s="20">
        <v>45706</v>
      </c>
      <c r="D336" s="23">
        <v>5</v>
      </c>
      <c r="E336" s="23">
        <v>2</v>
      </c>
      <c r="F336" s="15" t="s">
        <v>1888</v>
      </c>
      <c r="G336">
        <f>IF(ShipmentsTable[[#This Row],[Delivery_Status]]="On time",1,0)</f>
        <v>1</v>
      </c>
    </row>
    <row r="337" spans="1:7" ht="15" customHeight="1">
      <c r="A337" s="14" t="s">
        <v>1555</v>
      </c>
      <c r="B337" s="10" t="s">
        <v>1887</v>
      </c>
      <c r="C337" s="20">
        <v>45871</v>
      </c>
      <c r="D337" s="23">
        <v>5</v>
      </c>
      <c r="E337" s="23">
        <v>4</v>
      </c>
      <c r="F337" s="15" t="s">
        <v>1888</v>
      </c>
      <c r="G337">
        <f>IF(ShipmentsTable[[#This Row],[Delivery_Status]]="On time",1,0)</f>
        <v>1</v>
      </c>
    </row>
    <row r="338" spans="1:7" ht="15" customHeight="1">
      <c r="A338" s="14" t="s">
        <v>1557</v>
      </c>
      <c r="B338" s="10" t="s">
        <v>1889</v>
      </c>
      <c r="C338" s="20">
        <v>45736.041666666664</v>
      </c>
      <c r="D338" s="23">
        <v>4</v>
      </c>
      <c r="E338" s="23">
        <v>5</v>
      </c>
      <c r="F338" s="15" t="s">
        <v>1891</v>
      </c>
      <c r="G338">
        <f>IF(ShipmentsTable[[#This Row],[Delivery_Status]]="On time",1,0)</f>
        <v>0</v>
      </c>
    </row>
    <row r="339" spans="1:7" ht="15" customHeight="1">
      <c r="A339" s="14" t="s">
        <v>1559</v>
      </c>
      <c r="B339" s="10" t="s">
        <v>1887</v>
      </c>
      <c r="C339" s="20">
        <v>45822</v>
      </c>
      <c r="D339" s="23">
        <v>3</v>
      </c>
      <c r="E339" s="23">
        <v>3</v>
      </c>
      <c r="F339" s="15" t="s">
        <v>1888</v>
      </c>
      <c r="G339">
        <f>IF(ShipmentsTable[[#This Row],[Delivery_Status]]="On time",1,0)</f>
        <v>1</v>
      </c>
    </row>
    <row r="340" spans="1:7" ht="15" customHeight="1">
      <c r="A340" s="14" t="s">
        <v>1562</v>
      </c>
      <c r="B340" s="10" t="s">
        <v>1890</v>
      </c>
      <c r="C340" s="20">
        <v>45780</v>
      </c>
      <c r="D340" s="23">
        <v>3</v>
      </c>
      <c r="E340" s="23">
        <v>10</v>
      </c>
      <c r="F340" s="15" t="s">
        <v>1891</v>
      </c>
      <c r="G340">
        <f>IF(ShipmentsTable[[#This Row],[Delivery_Status]]="On time",1,0)</f>
        <v>0</v>
      </c>
    </row>
    <row r="341" spans="1:7" ht="15" customHeight="1">
      <c r="A341" s="14" t="s">
        <v>1567</v>
      </c>
      <c r="B341" s="10" t="s">
        <v>1892</v>
      </c>
      <c r="C341" s="20">
        <v>45705</v>
      </c>
      <c r="D341" s="23">
        <v>4</v>
      </c>
      <c r="E341" s="23">
        <v>7</v>
      </c>
      <c r="F341" s="15" t="s">
        <v>1891</v>
      </c>
      <c r="G341">
        <f>IF(ShipmentsTable[[#This Row],[Delivery_Status]]="On time",1,0)</f>
        <v>0</v>
      </c>
    </row>
    <row r="342" spans="1:7" ht="15" customHeight="1">
      <c r="A342" s="14" t="s">
        <v>1571</v>
      </c>
      <c r="B342" s="10" t="s">
        <v>1892</v>
      </c>
      <c r="C342" s="20">
        <v>46016</v>
      </c>
      <c r="D342" s="23">
        <v>4</v>
      </c>
      <c r="E342" s="23">
        <v>4</v>
      </c>
      <c r="F342" s="15" t="s">
        <v>1888</v>
      </c>
      <c r="G342">
        <f>IF(ShipmentsTable[[#This Row],[Delivery_Status]]="On time",1,0)</f>
        <v>1</v>
      </c>
    </row>
    <row r="343" spans="1:7" ht="15" customHeight="1">
      <c r="A343" s="14" t="s">
        <v>1574</v>
      </c>
      <c r="B343" s="10" t="s">
        <v>1892</v>
      </c>
      <c r="C343" s="20">
        <v>45884</v>
      </c>
      <c r="D343" s="23">
        <v>4</v>
      </c>
      <c r="E343" s="23">
        <v>6</v>
      </c>
      <c r="F343" s="15" t="s">
        <v>1891</v>
      </c>
      <c r="G343">
        <f>IF(ShipmentsTable[[#This Row],[Delivery_Status]]="On time",1,0)</f>
        <v>0</v>
      </c>
    </row>
    <row r="344" spans="1:7" ht="15" customHeight="1">
      <c r="A344" s="14" t="s">
        <v>1579</v>
      </c>
      <c r="B344" s="10" t="s">
        <v>1887</v>
      </c>
      <c r="C344" s="20">
        <v>45965</v>
      </c>
      <c r="D344" s="23">
        <v>5</v>
      </c>
      <c r="E344" s="23">
        <v>3</v>
      </c>
      <c r="F344" s="15" t="s">
        <v>1888</v>
      </c>
      <c r="G344">
        <f>IF(ShipmentsTable[[#This Row],[Delivery_Status]]="On time",1,0)</f>
        <v>1</v>
      </c>
    </row>
    <row r="345" spans="1:7" ht="15" customHeight="1">
      <c r="A345" s="14" t="s">
        <v>1583</v>
      </c>
      <c r="B345" s="10" t="s">
        <v>1892</v>
      </c>
      <c r="C345" s="20">
        <v>45675</v>
      </c>
      <c r="D345" s="23">
        <v>5</v>
      </c>
      <c r="E345" s="23">
        <v>4</v>
      </c>
      <c r="F345" s="15" t="s">
        <v>1888</v>
      </c>
      <c r="G345">
        <f>IF(ShipmentsTable[[#This Row],[Delivery_Status]]="On time",1,0)</f>
        <v>1</v>
      </c>
    </row>
    <row r="346" spans="1:7" ht="15" customHeight="1">
      <c r="A346" s="14" t="s">
        <v>1589</v>
      </c>
      <c r="B346" s="10" t="s">
        <v>1892</v>
      </c>
      <c r="C346" s="20">
        <v>45706</v>
      </c>
      <c r="D346" s="23">
        <v>3</v>
      </c>
      <c r="E346" s="23">
        <v>5</v>
      </c>
      <c r="F346" s="15" t="s">
        <v>1891</v>
      </c>
      <c r="G346">
        <f>IF(ShipmentsTable[[#This Row],[Delivery_Status]]="On time",1,0)</f>
        <v>0</v>
      </c>
    </row>
    <row r="347" spans="1:7" ht="15" customHeight="1">
      <c r="A347" s="14" t="s">
        <v>1593</v>
      </c>
      <c r="B347" s="10" t="s">
        <v>1889</v>
      </c>
      <c r="C347" s="20">
        <v>45753.041666666664</v>
      </c>
      <c r="D347" s="23">
        <v>5</v>
      </c>
      <c r="E347" s="23">
        <v>6</v>
      </c>
      <c r="F347" s="15" t="s">
        <v>1891</v>
      </c>
      <c r="G347">
        <f>IF(ShipmentsTable[[#This Row],[Delivery_Status]]="On time",1,0)</f>
        <v>0</v>
      </c>
    </row>
    <row r="348" spans="1:7" ht="15" customHeight="1">
      <c r="A348" s="14" t="s">
        <v>1599</v>
      </c>
      <c r="B348" s="10" t="s">
        <v>1892</v>
      </c>
      <c r="C348" s="20">
        <v>45849</v>
      </c>
      <c r="D348" s="23">
        <v>4</v>
      </c>
      <c r="E348" s="23">
        <v>9</v>
      </c>
      <c r="F348" s="15" t="s">
        <v>1891</v>
      </c>
      <c r="G348">
        <f>IF(ShipmentsTable[[#This Row],[Delivery_Status]]="On time",1,0)</f>
        <v>0</v>
      </c>
    </row>
    <row r="349" spans="1:7" ht="15" customHeight="1">
      <c r="A349" s="14" t="s">
        <v>1602</v>
      </c>
      <c r="B349" s="10" t="s">
        <v>1889</v>
      </c>
      <c r="C349" s="20">
        <v>45881</v>
      </c>
      <c r="D349" s="23">
        <v>3</v>
      </c>
      <c r="E349" s="23">
        <v>3</v>
      </c>
      <c r="F349" s="15" t="s">
        <v>1888</v>
      </c>
      <c r="G349">
        <f>IF(ShipmentsTable[[#This Row],[Delivery_Status]]="On time",1,0)</f>
        <v>1</v>
      </c>
    </row>
    <row r="350" spans="1:7" ht="15" customHeight="1">
      <c r="A350" s="14" t="s">
        <v>1604</v>
      </c>
      <c r="B350" s="10" t="s">
        <v>1890</v>
      </c>
      <c r="C350" s="20">
        <v>45774</v>
      </c>
      <c r="D350" s="23">
        <v>3</v>
      </c>
      <c r="E350" s="23">
        <v>8</v>
      </c>
      <c r="F350" s="15" t="s">
        <v>1891</v>
      </c>
      <c r="G350">
        <f>IF(ShipmentsTable[[#This Row],[Delivery_Status]]="On time",1,0)</f>
        <v>0</v>
      </c>
    </row>
    <row r="351" spans="1:7" ht="15" customHeight="1">
      <c r="A351" s="14" t="s">
        <v>1609</v>
      </c>
      <c r="B351" s="10" t="s">
        <v>1890</v>
      </c>
      <c r="C351" s="20">
        <v>45811</v>
      </c>
      <c r="D351" s="23">
        <v>5</v>
      </c>
      <c r="E351" s="23">
        <v>10</v>
      </c>
      <c r="F351" s="15" t="s">
        <v>1891</v>
      </c>
      <c r="G351">
        <f>IF(ShipmentsTable[[#This Row],[Delivery_Status]]="On time",1,0)</f>
        <v>0</v>
      </c>
    </row>
    <row r="352" spans="1:7" ht="15" customHeight="1">
      <c r="A352" s="14" t="s">
        <v>1612</v>
      </c>
      <c r="B352" s="10" t="s">
        <v>1887</v>
      </c>
      <c r="C352" s="20">
        <v>45899</v>
      </c>
      <c r="D352" s="23">
        <v>4</v>
      </c>
      <c r="E352" s="23">
        <v>4</v>
      </c>
      <c r="F352" s="15" t="s">
        <v>1888</v>
      </c>
      <c r="G352">
        <f>IF(ShipmentsTable[[#This Row],[Delivery_Status]]="On time",1,0)</f>
        <v>1</v>
      </c>
    </row>
    <row r="353" spans="1:7" ht="15" customHeight="1">
      <c r="A353" s="14" t="s">
        <v>1617</v>
      </c>
      <c r="B353" s="10" t="s">
        <v>1890</v>
      </c>
      <c r="C353" s="20">
        <v>45693</v>
      </c>
      <c r="D353" s="23">
        <v>3</v>
      </c>
      <c r="E353" s="23">
        <v>2</v>
      </c>
      <c r="F353" s="15" t="s">
        <v>1888</v>
      </c>
      <c r="G353">
        <f>IF(ShipmentsTable[[#This Row],[Delivery_Status]]="On time",1,0)</f>
        <v>1</v>
      </c>
    </row>
    <row r="354" spans="1:7" ht="15" customHeight="1">
      <c r="A354" s="14" t="s">
        <v>1622</v>
      </c>
      <c r="B354" s="10" t="s">
        <v>1889</v>
      </c>
      <c r="C354" s="20">
        <v>45823</v>
      </c>
      <c r="D354" s="23">
        <v>4</v>
      </c>
      <c r="E354" s="23">
        <v>7</v>
      </c>
      <c r="F354" s="15" t="s">
        <v>1891</v>
      </c>
      <c r="G354">
        <f>IF(ShipmentsTable[[#This Row],[Delivery_Status]]="On time",1,0)</f>
        <v>0</v>
      </c>
    </row>
    <row r="355" spans="1:7" ht="15" customHeight="1">
      <c r="A355" s="14" t="s">
        <v>1627</v>
      </c>
      <c r="B355" s="10" t="s">
        <v>1889</v>
      </c>
      <c r="C355" s="20">
        <v>45918</v>
      </c>
      <c r="D355" s="23">
        <v>4</v>
      </c>
      <c r="E355" s="23">
        <v>3</v>
      </c>
      <c r="F355" s="15" t="s">
        <v>1888</v>
      </c>
      <c r="G355">
        <f>IF(ShipmentsTable[[#This Row],[Delivery_Status]]="On time",1,0)</f>
        <v>1</v>
      </c>
    </row>
    <row r="356" spans="1:7" ht="15" customHeight="1">
      <c r="A356" s="14" t="s">
        <v>1629</v>
      </c>
      <c r="B356" s="10" t="s">
        <v>1887</v>
      </c>
      <c r="C356" s="20">
        <v>45714.041666666664</v>
      </c>
      <c r="D356" s="23">
        <v>5</v>
      </c>
      <c r="E356" s="23">
        <v>1</v>
      </c>
      <c r="F356" s="15" t="s">
        <v>1888</v>
      </c>
      <c r="G356">
        <f>IF(ShipmentsTable[[#This Row],[Delivery_Status]]="On time",1,0)</f>
        <v>1</v>
      </c>
    </row>
    <row r="357" spans="1:7" ht="15" customHeight="1">
      <c r="A357" s="14" t="s">
        <v>1631</v>
      </c>
      <c r="B357" s="10" t="s">
        <v>1887</v>
      </c>
      <c r="C357" s="20">
        <v>45834</v>
      </c>
      <c r="D357" s="23">
        <v>4</v>
      </c>
      <c r="E357" s="23">
        <v>8</v>
      </c>
      <c r="F357" s="15" t="s">
        <v>1891</v>
      </c>
      <c r="G357">
        <f>IF(ShipmentsTable[[#This Row],[Delivery_Status]]="On time",1,0)</f>
        <v>0</v>
      </c>
    </row>
    <row r="358" spans="1:7" ht="15" customHeight="1">
      <c r="A358" s="14" t="s">
        <v>1637</v>
      </c>
      <c r="B358" s="10" t="s">
        <v>1892</v>
      </c>
      <c r="C358" s="20">
        <v>45934</v>
      </c>
      <c r="D358" s="23">
        <v>5</v>
      </c>
      <c r="E358" s="23">
        <v>9</v>
      </c>
      <c r="F358" s="15" t="s">
        <v>1891</v>
      </c>
      <c r="G358">
        <f>IF(ShipmentsTable[[#This Row],[Delivery_Status]]="On time",1,0)</f>
        <v>0</v>
      </c>
    </row>
    <row r="359" spans="1:7" ht="15" customHeight="1">
      <c r="A359" s="14" t="s">
        <v>1640</v>
      </c>
      <c r="B359" s="10" t="s">
        <v>1892</v>
      </c>
      <c r="C359" s="20">
        <v>45670</v>
      </c>
      <c r="D359" s="23">
        <v>5</v>
      </c>
      <c r="E359" s="23">
        <v>10</v>
      </c>
      <c r="F359" s="15" t="s">
        <v>1891</v>
      </c>
      <c r="G359">
        <f>IF(ShipmentsTable[[#This Row],[Delivery_Status]]="On time",1,0)</f>
        <v>0</v>
      </c>
    </row>
    <row r="360" spans="1:7" ht="15" customHeight="1">
      <c r="A360" s="14" t="s">
        <v>1642</v>
      </c>
      <c r="B360" s="10" t="s">
        <v>1889</v>
      </c>
      <c r="C360" s="20">
        <v>45782</v>
      </c>
      <c r="D360" s="23">
        <v>5</v>
      </c>
      <c r="E360" s="23">
        <v>7</v>
      </c>
      <c r="F360" s="15" t="s">
        <v>1891</v>
      </c>
      <c r="G360">
        <f>IF(ShipmentsTable[[#This Row],[Delivery_Status]]="On time",1,0)</f>
        <v>0</v>
      </c>
    </row>
    <row r="361" spans="1:7" ht="15" customHeight="1">
      <c r="A361" s="14" t="s">
        <v>1646</v>
      </c>
      <c r="B361" s="10" t="s">
        <v>1890</v>
      </c>
      <c r="C361" s="20">
        <v>45875</v>
      </c>
      <c r="D361" s="23">
        <v>5</v>
      </c>
      <c r="E361" s="23">
        <v>9</v>
      </c>
      <c r="F361" s="15" t="s">
        <v>1891</v>
      </c>
      <c r="G361">
        <f>IF(ShipmentsTable[[#This Row],[Delivery_Status]]="On time",1,0)</f>
        <v>0</v>
      </c>
    </row>
    <row r="362" spans="1:7" ht="15" customHeight="1">
      <c r="A362" s="14" t="s">
        <v>1652</v>
      </c>
      <c r="B362" s="10" t="s">
        <v>1890</v>
      </c>
      <c r="C362" s="20">
        <v>45827</v>
      </c>
      <c r="D362" s="23">
        <v>4</v>
      </c>
      <c r="E362" s="23">
        <v>1</v>
      </c>
      <c r="F362" s="15" t="s">
        <v>1888</v>
      </c>
      <c r="G362">
        <f>IF(ShipmentsTable[[#This Row],[Delivery_Status]]="On time",1,0)</f>
        <v>1</v>
      </c>
    </row>
    <row r="363" spans="1:7" ht="15" customHeight="1">
      <c r="A363" s="14" t="s">
        <v>1658</v>
      </c>
      <c r="B363" s="10" t="s">
        <v>1887</v>
      </c>
      <c r="C363" s="20">
        <v>45748.041666666664</v>
      </c>
      <c r="D363" s="23">
        <v>4</v>
      </c>
      <c r="E363" s="23">
        <v>6</v>
      </c>
      <c r="F363" s="15" t="s">
        <v>1891</v>
      </c>
      <c r="G363">
        <f>IF(ShipmentsTable[[#This Row],[Delivery_Status]]="On time",1,0)</f>
        <v>0</v>
      </c>
    </row>
    <row r="364" spans="1:7" ht="15" customHeight="1">
      <c r="A364" s="14" t="s">
        <v>1661</v>
      </c>
      <c r="B364" s="10" t="s">
        <v>1889</v>
      </c>
      <c r="C364" s="20">
        <v>45895</v>
      </c>
      <c r="D364" s="23">
        <v>5</v>
      </c>
      <c r="E364" s="23">
        <v>10</v>
      </c>
      <c r="F364" s="15" t="s">
        <v>1891</v>
      </c>
      <c r="G364">
        <f>IF(ShipmentsTable[[#This Row],[Delivery_Status]]="On time",1,0)</f>
        <v>0</v>
      </c>
    </row>
    <row r="365" spans="1:7" ht="15" customHeight="1">
      <c r="A365" s="16" t="s">
        <v>1665</v>
      </c>
      <c r="B365" s="17" t="s">
        <v>1887</v>
      </c>
      <c r="C365" s="21">
        <v>45723.041666666664</v>
      </c>
      <c r="D365" s="24">
        <v>3</v>
      </c>
      <c r="E365" s="24">
        <v>4</v>
      </c>
      <c r="F365" s="18" t="s">
        <v>1891</v>
      </c>
      <c r="G365">
        <f>IF(ShipmentsTable[[#This Row],[Delivery_Status]]="On time",1,0)</f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F2F8"/>
  </sheetPr>
  <dimension ref="A1:K141"/>
  <sheetViews>
    <sheetView showGridLines="0" workbookViewId="0">
      <pane ySplit="5" topLeftCell="A6" activePane="bottomLeft" state="frozen"/>
      <selection pane="bottomLeft" activeCell="D124" sqref="D124"/>
    </sheetView>
  </sheetViews>
  <sheetFormatPr baseColWidth="10" defaultColWidth="8.796875" defaultRowHeight="13.8"/>
  <cols>
    <col min="1" max="1" width="26" customWidth="1"/>
    <col min="2" max="2" width="12.8984375" customWidth="1"/>
    <col min="3" max="3" width="11.59765625" customWidth="1"/>
    <col min="4" max="4" width="17.59765625" customWidth="1"/>
    <col min="5" max="5" width="13.19921875" customWidth="1"/>
    <col min="6" max="6" width="18.09765625" customWidth="1"/>
  </cols>
  <sheetData>
    <row r="1" spans="1:11" ht="18" customHeight="1">
      <c r="A1" s="6" t="s">
        <v>1893</v>
      </c>
    </row>
    <row r="2" spans="1:11" ht="15" customHeight="1">
      <c r="A2" s="7" t="s">
        <v>1894</v>
      </c>
    </row>
    <row r="3" spans="1:11" ht="1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</row>
    <row r="5" spans="1:11" ht="15" customHeight="1">
      <c r="A5" s="9" t="s">
        <v>1895</v>
      </c>
      <c r="B5" s="9" t="s">
        <v>23</v>
      </c>
      <c r="C5" s="9" t="s">
        <v>1896</v>
      </c>
      <c r="D5" s="9" t="s">
        <v>1897</v>
      </c>
      <c r="E5" s="9" t="s">
        <v>1898</v>
      </c>
      <c r="F5" s="9" t="s">
        <v>1899</v>
      </c>
    </row>
    <row r="6" spans="1:11" ht="15" customHeight="1">
      <c r="A6" s="11" t="s">
        <v>1900</v>
      </c>
      <c r="B6" s="12" t="s">
        <v>59</v>
      </c>
      <c r="C6" s="19">
        <v>45717.041666666664</v>
      </c>
      <c r="D6" s="12" t="s">
        <v>1901</v>
      </c>
      <c r="E6" s="12" t="s">
        <v>1902</v>
      </c>
      <c r="F6" s="31">
        <v>105.38</v>
      </c>
    </row>
    <row r="7" spans="1:11" ht="15" customHeight="1">
      <c r="A7" s="14" t="s">
        <v>1903</v>
      </c>
      <c r="B7" s="10" t="s">
        <v>65</v>
      </c>
      <c r="C7" s="20">
        <v>45720.041666666664</v>
      </c>
      <c r="D7" s="10" t="s">
        <v>1904</v>
      </c>
      <c r="E7" s="10" t="s">
        <v>1902</v>
      </c>
      <c r="F7" s="32">
        <v>212.86</v>
      </c>
    </row>
    <row r="8" spans="1:11" ht="15" customHeight="1">
      <c r="A8" s="14" t="s">
        <v>1905</v>
      </c>
      <c r="B8" s="10" t="s">
        <v>71</v>
      </c>
      <c r="C8" s="20">
        <v>45711</v>
      </c>
      <c r="D8" s="10" t="s">
        <v>1904</v>
      </c>
      <c r="E8" s="10" t="s">
        <v>1902</v>
      </c>
      <c r="F8" s="32">
        <v>378.36</v>
      </c>
    </row>
    <row r="9" spans="1:11" ht="15" customHeight="1">
      <c r="A9" s="14" t="s">
        <v>1906</v>
      </c>
      <c r="B9" s="10" t="s">
        <v>161</v>
      </c>
      <c r="C9" s="20">
        <v>46017</v>
      </c>
      <c r="D9" s="10" t="s">
        <v>1901</v>
      </c>
      <c r="E9" s="10" t="s">
        <v>1902</v>
      </c>
      <c r="F9" s="32">
        <v>840.8</v>
      </c>
    </row>
    <row r="10" spans="1:11" ht="15" customHeight="1">
      <c r="A10" s="14" t="s">
        <v>1907</v>
      </c>
      <c r="B10" s="10" t="s">
        <v>166</v>
      </c>
      <c r="C10" s="20">
        <v>45972</v>
      </c>
      <c r="D10" s="10" t="s">
        <v>1901</v>
      </c>
      <c r="E10" s="10" t="s">
        <v>1908</v>
      </c>
      <c r="F10" s="32">
        <v>113.25</v>
      </c>
    </row>
    <row r="11" spans="1:11" ht="15" customHeight="1">
      <c r="A11" s="14" t="s">
        <v>1909</v>
      </c>
      <c r="B11" s="10" t="s">
        <v>181</v>
      </c>
      <c r="C11" s="20">
        <v>46018</v>
      </c>
      <c r="D11" s="10" t="s">
        <v>1910</v>
      </c>
      <c r="E11" s="10" t="s">
        <v>1908</v>
      </c>
      <c r="F11" s="32">
        <v>61.81</v>
      </c>
    </row>
    <row r="12" spans="1:11" ht="15" customHeight="1">
      <c r="A12" s="14" t="s">
        <v>1911</v>
      </c>
      <c r="B12" s="10" t="s">
        <v>185</v>
      </c>
      <c r="C12" s="20">
        <v>45980</v>
      </c>
      <c r="D12" s="10" t="s">
        <v>1901</v>
      </c>
      <c r="E12" s="10" t="s">
        <v>1908</v>
      </c>
      <c r="F12" s="32">
        <v>45.27</v>
      </c>
    </row>
    <row r="13" spans="1:11" ht="15" customHeight="1">
      <c r="A13" s="14" t="s">
        <v>1912</v>
      </c>
      <c r="B13" s="10" t="s">
        <v>197</v>
      </c>
      <c r="C13" s="20">
        <v>46029</v>
      </c>
      <c r="D13" s="10" t="s">
        <v>1913</v>
      </c>
      <c r="E13" s="10" t="s">
        <v>1902</v>
      </c>
      <c r="F13" s="32">
        <v>146.75</v>
      </c>
    </row>
    <row r="14" spans="1:11" ht="15" customHeight="1">
      <c r="A14" s="14" t="s">
        <v>1914</v>
      </c>
      <c r="B14" s="10" t="s">
        <v>203</v>
      </c>
      <c r="C14" s="20">
        <v>46018</v>
      </c>
      <c r="D14" s="10" t="s">
        <v>1910</v>
      </c>
      <c r="E14" s="10" t="s">
        <v>1902</v>
      </c>
      <c r="F14" s="32">
        <v>879.3</v>
      </c>
    </row>
    <row r="15" spans="1:11" ht="15" customHeight="1">
      <c r="A15" s="14" t="s">
        <v>1915</v>
      </c>
      <c r="B15" s="10" t="s">
        <v>215</v>
      </c>
      <c r="C15" s="20">
        <v>45782</v>
      </c>
      <c r="D15" s="10" t="s">
        <v>1913</v>
      </c>
      <c r="E15" s="10" t="s">
        <v>1902</v>
      </c>
      <c r="F15" s="32">
        <v>115.28</v>
      </c>
    </row>
    <row r="16" spans="1:11" ht="15" customHeight="1">
      <c r="A16" s="14" t="s">
        <v>1916</v>
      </c>
      <c r="B16" s="10" t="s">
        <v>221</v>
      </c>
      <c r="C16" s="20">
        <v>45871</v>
      </c>
      <c r="D16" s="10" t="s">
        <v>1913</v>
      </c>
      <c r="E16" s="10" t="s">
        <v>1902</v>
      </c>
      <c r="F16" s="32">
        <v>434.74</v>
      </c>
    </row>
    <row r="17" spans="1:6" ht="15" customHeight="1">
      <c r="A17" s="14" t="s">
        <v>1917</v>
      </c>
      <c r="B17" s="10" t="s">
        <v>252</v>
      </c>
      <c r="C17" s="20">
        <v>45796</v>
      </c>
      <c r="D17" s="10" t="s">
        <v>1904</v>
      </c>
      <c r="E17" s="10" t="s">
        <v>1902</v>
      </c>
      <c r="F17" s="32">
        <v>104.73</v>
      </c>
    </row>
    <row r="18" spans="1:6" ht="15" customHeight="1">
      <c r="A18" s="14" t="s">
        <v>1918</v>
      </c>
      <c r="B18" s="10" t="s">
        <v>281</v>
      </c>
      <c r="C18" s="20">
        <v>45838</v>
      </c>
      <c r="D18" s="10" t="s">
        <v>1901</v>
      </c>
      <c r="E18" s="10" t="s">
        <v>1908</v>
      </c>
      <c r="F18" s="32">
        <v>252.44</v>
      </c>
    </row>
    <row r="19" spans="1:6" ht="15" customHeight="1">
      <c r="A19" s="14" t="s">
        <v>1919</v>
      </c>
      <c r="B19" s="10" t="s">
        <v>344</v>
      </c>
      <c r="C19" s="20">
        <v>45734.041666666664</v>
      </c>
      <c r="D19" s="10" t="s">
        <v>1910</v>
      </c>
      <c r="E19" s="10" t="s">
        <v>1902</v>
      </c>
      <c r="F19" s="32">
        <v>749.66</v>
      </c>
    </row>
    <row r="20" spans="1:6" ht="15" customHeight="1">
      <c r="A20" s="14" t="s">
        <v>1920</v>
      </c>
      <c r="B20" s="10" t="s">
        <v>345</v>
      </c>
      <c r="C20" s="20">
        <v>45970</v>
      </c>
      <c r="D20" s="10" t="s">
        <v>1913</v>
      </c>
      <c r="E20" s="10" t="s">
        <v>1902</v>
      </c>
      <c r="F20" s="32">
        <v>58.72</v>
      </c>
    </row>
    <row r="21" spans="1:6" ht="15" customHeight="1">
      <c r="A21" s="14" t="s">
        <v>1921</v>
      </c>
      <c r="B21" s="10" t="s">
        <v>349</v>
      </c>
      <c r="C21" s="20">
        <v>46021</v>
      </c>
      <c r="D21" s="10" t="s">
        <v>1922</v>
      </c>
      <c r="E21" s="10" t="s">
        <v>1908</v>
      </c>
      <c r="F21" s="32">
        <v>540.29</v>
      </c>
    </row>
    <row r="22" spans="1:6" ht="15" customHeight="1">
      <c r="A22" s="14" t="s">
        <v>1923</v>
      </c>
      <c r="B22" s="10" t="s">
        <v>355</v>
      </c>
      <c r="C22" s="20">
        <v>45739.041666666664</v>
      </c>
      <c r="D22" s="10" t="s">
        <v>1904</v>
      </c>
      <c r="E22" s="10" t="s">
        <v>1902</v>
      </c>
      <c r="F22" s="32">
        <v>840.8</v>
      </c>
    </row>
    <row r="23" spans="1:6" ht="15" customHeight="1">
      <c r="A23" s="14" t="s">
        <v>1924</v>
      </c>
      <c r="B23" s="10" t="s">
        <v>427</v>
      </c>
      <c r="C23" s="20">
        <v>45915</v>
      </c>
      <c r="D23" s="10" t="s">
        <v>1904</v>
      </c>
      <c r="E23" s="10" t="s">
        <v>1902</v>
      </c>
      <c r="F23" s="32">
        <v>376.99</v>
      </c>
    </row>
    <row r="24" spans="1:6" ht="15" customHeight="1">
      <c r="A24" s="14" t="s">
        <v>1925</v>
      </c>
      <c r="B24" s="10" t="s">
        <v>434</v>
      </c>
      <c r="C24" s="20">
        <v>45924</v>
      </c>
      <c r="D24" s="10" t="s">
        <v>1904</v>
      </c>
      <c r="E24" s="10" t="s">
        <v>1902</v>
      </c>
      <c r="F24" s="32">
        <v>246.5</v>
      </c>
    </row>
    <row r="25" spans="1:6" ht="15" customHeight="1">
      <c r="A25" s="14" t="s">
        <v>1926</v>
      </c>
      <c r="B25" s="10" t="s">
        <v>439</v>
      </c>
      <c r="C25" s="20">
        <v>45975</v>
      </c>
      <c r="D25" s="10" t="s">
        <v>1901</v>
      </c>
      <c r="E25" s="10" t="s">
        <v>1902</v>
      </c>
      <c r="F25" s="32">
        <v>824.08</v>
      </c>
    </row>
    <row r="26" spans="1:6" ht="15" customHeight="1">
      <c r="A26" s="14" t="s">
        <v>1927</v>
      </c>
      <c r="B26" s="10" t="s">
        <v>446</v>
      </c>
      <c r="C26" s="20">
        <v>45985</v>
      </c>
      <c r="D26" s="10" t="s">
        <v>1913</v>
      </c>
      <c r="E26" s="10" t="s">
        <v>1908</v>
      </c>
      <c r="F26" s="32">
        <v>493.94</v>
      </c>
    </row>
    <row r="27" spans="1:6" ht="15" customHeight="1">
      <c r="A27" s="14" t="s">
        <v>1928</v>
      </c>
      <c r="B27" s="10" t="s">
        <v>453</v>
      </c>
      <c r="C27" s="20">
        <v>46019</v>
      </c>
      <c r="D27" s="10" t="s">
        <v>1904</v>
      </c>
      <c r="E27" s="10" t="s">
        <v>1908</v>
      </c>
      <c r="F27" s="32">
        <v>421.52</v>
      </c>
    </row>
    <row r="28" spans="1:6" ht="15" customHeight="1">
      <c r="A28" s="14" t="s">
        <v>1929</v>
      </c>
      <c r="B28" s="10" t="s">
        <v>483</v>
      </c>
      <c r="C28" s="20">
        <v>45734.041666666664</v>
      </c>
      <c r="D28" s="10" t="s">
        <v>1913</v>
      </c>
      <c r="E28" s="10" t="s">
        <v>1902</v>
      </c>
      <c r="F28" s="32">
        <v>300.56</v>
      </c>
    </row>
    <row r="29" spans="1:6" ht="15" customHeight="1">
      <c r="A29" s="14" t="s">
        <v>1930</v>
      </c>
      <c r="B29" s="10" t="s">
        <v>494</v>
      </c>
      <c r="C29" s="20">
        <v>45727.041666666664</v>
      </c>
      <c r="D29" s="10" t="s">
        <v>1904</v>
      </c>
      <c r="E29" s="10" t="s">
        <v>1902</v>
      </c>
      <c r="F29" s="32">
        <v>529.66</v>
      </c>
    </row>
    <row r="30" spans="1:6" ht="15" customHeight="1">
      <c r="A30" s="14" t="s">
        <v>1931</v>
      </c>
      <c r="B30" s="10" t="s">
        <v>496</v>
      </c>
      <c r="C30" s="20">
        <v>45722.041666666664</v>
      </c>
      <c r="D30" s="10" t="s">
        <v>1932</v>
      </c>
      <c r="E30" s="10" t="s">
        <v>1908</v>
      </c>
      <c r="F30" s="32">
        <v>160</v>
      </c>
    </row>
    <row r="31" spans="1:6" ht="15" customHeight="1">
      <c r="A31" s="14" t="s">
        <v>1933</v>
      </c>
      <c r="B31" s="10" t="s">
        <v>523</v>
      </c>
      <c r="C31" s="20">
        <v>45932</v>
      </c>
      <c r="D31" s="10" t="s">
        <v>1901</v>
      </c>
      <c r="E31" s="10" t="s">
        <v>1908</v>
      </c>
      <c r="F31" s="32">
        <v>128.78</v>
      </c>
    </row>
    <row r="32" spans="1:6" ht="15" customHeight="1">
      <c r="A32" s="14" t="s">
        <v>1934</v>
      </c>
      <c r="B32" s="10" t="s">
        <v>532</v>
      </c>
      <c r="C32" s="20">
        <v>45775</v>
      </c>
      <c r="D32" s="10" t="s">
        <v>1901</v>
      </c>
      <c r="E32" s="10" t="s">
        <v>1902</v>
      </c>
      <c r="F32" s="32">
        <v>187.93</v>
      </c>
    </row>
    <row r="33" spans="1:6" ht="15" customHeight="1">
      <c r="A33" s="14" t="s">
        <v>1935</v>
      </c>
      <c r="B33" s="10" t="s">
        <v>585</v>
      </c>
      <c r="C33" s="20">
        <v>45870</v>
      </c>
      <c r="D33" s="10" t="s">
        <v>1913</v>
      </c>
      <c r="E33" s="10" t="s">
        <v>1902</v>
      </c>
      <c r="F33" s="32">
        <v>162.33000000000001</v>
      </c>
    </row>
    <row r="34" spans="1:6" ht="15" customHeight="1">
      <c r="A34" s="14" t="s">
        <v>1936</v>
      </c>
      <c r="B34" s="10" t="s">
        <v>590</v>
      </c>
      <c r="C34" s="20">
        <v>45988</v>
      </c>
      <c r="D34" s="10" t="s">
        <v>1932</v>
      </c>
      <c r="E34" s="10" t="s">
        <v>1902</v>
      </c>
      <c r="F34" s="32">
        <v>66.739999999999995</v>
      </c>
    </row>
    <row r="35" spans="1:6" ht="15" customHeight="1">
      <c r="A35" s="14" t="s">
        <v>1937</v>
      </c>
      <c r="B35" s="10" t="s">
        <v>601</v>
      </c>
      <c r="C35" s="20">
        <v>45957</v>
      </c>
      <c r="D35" s="10" t="s">
        <v>1901</v>
      </c>
      <c r="E35" s="10" t="s">
        <v>1908</v>
      </c>
      <c r="F35" s="32">
        <v>287.16000000000003</v>
      </c>
    </row>
    <row r="36" spans="1:6" ht="15" customHeight="1">
      <c r="A36" s="14" t="s">
        <v>1938</v>
      </c>
      <c r="B36" s="10" t="s">
        <v>607</v>
      </c>
      <c r="C36" s="20">
        <v>45751.041666666664</v>
      </c>
      <c r="D36" s="10" t="s">
        <v>1939</v>
      </c>
      <c r="E36" s="10" t="s">
        <v>1902</v>
      </c>
      <c r="F36" s="32">
        <v>151.5</v>
      </c>
    </row>
    <row r="37" spans="1:6" ht="15" customHeight="1">
      <c r="A37" s="14" t="s">
        <v>1940</v>
      </c>
      <c r="B37" s="10" t="s">
        <v>618</v>
      </c>
      <c r="C37" s="20">
        <v>45912</v>
      </c>
      <c r="D37" s="10" t="s">
        <v>1922</v>
      </c>
      <c r="E37" s="10" t="s">
        <v>1902</v>
      </c>
      <c r="F37" s="32">
        <v>218.43</v>
      </c>
    </row>
    <row r="38" spans="1:6" ht="15" customHeight="1">
      <c r="A38" s="14" t="s">
        <v>1941</v>
      </c>
      <c r="B38" s="10" t="s">
        <v>632</v>
      </c>
      <c r="C38" s="20">
        <v>45891</v>
      </c>
      <c r="D38" s="10" t="s">
        <v>1913</v>
      </c>
      <c r="E38" s="10" t="s">
        <v>1902</v>
      </c>
      <c r="F38" s="32">
        <v>308.94</v>
      </c>
    </row>
    <row r="39" spans="1:6" ht="15" customHeight="1">
      <c r="A39" s="14" t="s">
        <v>1942</v>
      </c>
      <c r="B39" s="10" t="s">
        <v>634</v>
      </c>
      <c r="C39" s="20">
        <v>45889</v>
      </c>
      <c r="D39" s="10" t="s">
        <v>1922</v>
      </c>
      <c r="E39" s="10" t="s">
        <v>1908</v>
      </c>
      <c r="F39" s="32">
        <v>857.52</v>
      </c>
    </row>
    <row r="40" spans="1:6" ht="15" customHeight="1">
      <c r="A40" s="14" t="s">
        <v>1943</v>
      </c>
      <c r="B40" s="10" t="s">
        <v>658</v>
      </c>
      <c r="C40" s="20">
        <v>45974</v>
      </c>
      <c r="D40" s="10" t="s">
        <v>1910</v>
      </c>
      <c r="E40" s="10" t="s">
        <v>1908</v>
      </c>
      <c r="F40" s="32">
        <v>179.15</v>
      </c>
    </row>
    <row r="41" spans="1:6" ht="15" customHeight="1">
      <c r="A41" s="14" t="s">
        <v>1944</v>
      </c>
      <c r="B41" s="10" t="s">
        <v>689</v>
      </c>
      <c r="C41" s="20">
        <v>45843</v>
      </c>
      <c r="D41" s="10" t="s">
        <v>1901</v>
      </c>
      <c r="E41" s="10" t="s">
        <v>1908</v>
      </c>
      <c r="F41" s="32">
        <v>710.21</v>
      </c>
    </row>
    <row r="42" spans="1:6" ht="15" customHeight="1">
      <c r="A42" s="14" t="s">
        <v>1945</v>
      </c>
      <c r="B42" s="10" t="s">
        <v>712</v>
      </c>
      <c r="C42" s="20">
        <v>45740.041666666664</v>
      </c>
      <c r="D42" s="10" t="s">
        <v>1910</v>
      </c>
      <c r="E42" s="10" t="s">
        <v>1908</v>
      </c>
      <c r="F42" s="32">
        <v>210.15</v>
      </c>
    </row>
    <row r="43" spans="1:6" ht="15" customHeight="1">
      <c r="A43" s="14" t="s">
        <v>1946</v>
      </c>
      <c r="B43" s="10" t="s">
        <v>731</v>
      </c>
      <c r="C43" s="20">
        <v>45707</v>
      </c>
      <c r="D43" s="10" t="s">
        <v>1913</v>
      </c>
      <c r="E43" s="10" t="s">
        <v>1902</v>
      </c>
      <c r="F43" s="32">
        <v>67.900000000000006</v>
      </c>
    </row>
    <row r="44" spans="1:6" ht="15" customHeight="1">
      <c r="A44" s="14" t="s">
        <v>1947</v>
      </c>
      <c r="B44" s="10" t="s">
        <v>736</v>
      </c>
      <c r="C44" s="20">
        <v>46025</v>
      </c>
      <c r="D44" s="10" t="s">
        <v>1932</v>
      </c>
      <c r="E44" s="10" t="s">
        <v>1908</v>
      </c>
      <c r="F44" s="32">
        <v>25.01</v>
      </c>
    </row>
    <row r="45" spans="1:6" ht="15" customHeight="1">
      <c r="A45" s="14" t="s">
        <v>1948</v>
      </c>
      <c r="B45" s="10" t="s">
        <v>758</v>
      </c>
      <c r="C45" s="20">
        <v>45703</v>
      </c>
      <c r="D45" s="10" t="s">
        <v>1901</v>
      </c>
      <c r="E45" s="10" t="s">
        <v>1902</v>
      </c>
      <c r="F45" s="32">
        <v>100.3</v>
      </c>
    </row>
    <row r="46" spans="1:6" ht="15" customHeight="1">
      <c r="A46" s="14" t="s">
        <v>1949</v>
      </c>
      <c r="B46" s="10" t="s">
        <v>762</v>
      </c>
      <c r="C46" s="20">
        <v>45700</v>
      </c>
      <c r="D46" s="10" t="s">
        <v>1901</v>
      </c>
      <c r="E46" s="10" t="s">
        <v>1908</v>
      </c>
      <c r="F46" s="32">
        <v>37.82</v>
      </c>
    </row>
    <row r="47" spans="1:6" ht="15" customHeight="1">
      <c r="A47" s="14" t="s">
        <v>1950</v>
      </c>
      <c r="B47" s="10" t="s">
        <v>786</v>
      </c>
      <c r="C47" s="20">
        <v>45856</v>
      </c>
      <c r="D47" s="10" t="s">
        <v>1932</v>
      </c>
      <c r="E47" s="10" t="s">
        <v>1902</v>
      </c>
      <c r="F47" s="32">
        <v>438.06</v>
      </c>
    </row>
    <row r="48" spans="1:6" ht="15" customHeight="1">
      <c r="A48" s="14" t="s">
        <v>1951</v>
      </c>
      <c r="B48" s="10" t="s">
        <v>795</v>
      </c>
      <c r="C48" s="20">
        <v>45982</v>
      </c>
      <c r="D48" s="10" t="s">
        <v>1939</v>
      </c>
      <c r="E48" s="10" t="s">
        <v>1902</v>
      </c>
      <c r="F48" s="32">
        <v>228.91</v>
      </c>
    </row>
    <row r="49" spans="1:6" ht="15" customHeight="1">
      <c r="A49" s="14" t="s">
        <v>1952</v>
      </c>
      <c r="B49" s="10" t="s">
        <v>796</v>
      </c>
      <c r="C49" s="20">
        <v>45972</v>
      </c>
      <c r="D49" s="10" t="s">
        <v>1939</v>
      </c>
      <c r="E49" s="10" t="s">
        <v>1902</v>
      </c>
      <c r="F49" s="32">
        <v>357.34</v>
      </c>
    </row>
    <row r="50" spans="1:6" ht="15" customHeight="1">
      <c r="A50" s="14" t="s">
        <v>1953</v>
      </c>
      <c r="B50" s="10" t="s">
        <v>811</v>
      </c>
      <c r="C50" s="20">
        <v>45901</v>
      </c>
      <c r="D50" s="10" t="s">
        <v>1904</v>
      </c>
      <c r="E50" s="10" t="s">
        <v>1902</v>
      </c>
      <c r="F50" s="32">
        <v>391.95</v>
      </c>
    </row>
    <row r="51" spans="1:6" ht="15" customHeight="1">
      <c r="A51" s="14" t="s">
        <v>1954</v>
      </c>
      <c r="B51" s="10" t="s">
        <v>815</v>
      </c>
      <c r="C51" s="20">
        <v>45890</v>
      </c>
      <c r="D51" s="10" t="s">
        <v>1904</v>
      </c>
      <c r="E51" s="10" t="s">
        <v>1902</v>
      </c>
      <c r="F51" s="32">
        <v>757.33</v>
      </c>
    </row>
    <row r="52" spans="1:6" ht="15" customHeight="1">
      <c r="A52" s="14" t="s">
        <v>1955</v>
      </c>
      <c r="B52" s="10" t="s">
        <v>820</v>
      </c>
      <c r="C52" s="20">
        <v>45854</v>
      </c>
      <c r="D52" s="10" t="s">
        <v>1922</v>
      </c>
      <c r="E52" s="10" t="s">
        <v>1908</v>
      </c>
      <c r="F52" s="32">
        <v>476.94</v>
      </c>
    </row>
    <row r="53" spans="1:6" ht="15" customHeight="1">
      <c r="A53" s="14" t="s">
        <v>1956</v>
      </c>
      <c r="B53" s="10" t="s">
        <v>831</v>
      </c>
      <c r="C53" s="20">
        <v>45850</v>
      </c>
      <c r="D53" s="10" t="s">
        <v>1922</v>
      </c>
      <c r="E53" s="10" t="s">
        <v>1908</v>
      </c>
      <c r="F53" s="32">
        <v>188</v>
      </c>
    </row>
    <row r="54" spans="1:6" ht="15" customHeight="1">
      <c r="A54" s="14" t="s">
        <v>1957</v>
      </c>
      <c r="B54" s="10" t="s">
        <v>855</v>
      </c>
      <c r="C54" s="20">
        <v>45821</v>
      </c>
      <c r="D54" s="10" t="s">
        <v>1913</v>
      </c>
      <c r="E54" s="10" t="s">
        <v>1902</v>
      </c>
      <c r="F54" s="32">
        <v>281.42</v>
      </c>
    </row>
    <row r="55" spans="1:6" ht="15" customHeight="1">
      <c r="A55" s="14" t="s">
        <v>1958</v>
      </c>
      <c r="B55" s="10" t="s">
        <v>856</v>
      </c>
      <c r="C55" s="20">
        <v>45819</v>
      </c>
      <c r="D55" s="10" t="s">
        <v>1932</v>
      </c>
      <c r="E55" s="10" t="s">
        <v>1902</v>
      </c>
      <c r="F55" s="32">
        <v>851.44</v>
      </c>
    </row>
    <row r="56" spans="1:6" ht="15" customHeight="1">
      <c r="A56" s="14" t="s">
        <v>1959</v>
      </c>
      <c r="B56" s="10" t="s">
        <v>861</v>
      </c>
      <c r="C56" s="20">
        <v>45920</v>
      </c>
      <c r="D56" s="10" t="s">
        <v>1901</v>
      </c>
      <c r="E56" s="10" t="s">
        <v>1902</v>
      </c>
      <c r="F56" s="32">
        <v>115.28</v>
      </c>
    </row>
    <row r="57" spans="1:6" ht="15" customHeight="1">
      <c r="A57" s="14" t="s">
        <v>1960</v>
      </c>
      <c r="B57" s="10" t="s">
        <v>876</v>
      </c>
      <c r="C57" s="20">
        <v>45971</v>
      </c>
      <c r="D57" s="10" t="s">
        <v>1932</v>
      </c>
      <c r="E57" s="10" t="s">
        <v>1902</v>
      </c>
      <c r="F57" s="32">
        <v>879.3</v>
      </c>
    </row>
    <row r="58" spans="1:6" ht="15" customHeight="1">
      <c r="A58" s="14" t="s">
        <v>1961</v>
      </c>
      <c r="B58" s="10" t="s">
        <v>882</v>
      </c>
      <c r="C58" s="20">
        <v>45901</v>
      </c>
      <c r="D58" s="10" t="s">
        <v>1901</v>
      </c>
      <c r="E58" s="10" t="s">
        <v>1908</v>
      </c>
      <c r="F58" s="32">
        <v>155.97999999999999</v>
      </c>
    </row>
    <row r="59" spans="1:6" ht="15" customHeight="1">
      <c r="A59" s="14" t="s">
        <v>1962</v>
      </c>
      <c r="B59" s="10" t="s">
        <v>904</v>
      </c>
      <c r="C59" s="20">
        <v>45926</v>
      </c>
      <c r="D59" s="10" t="s">
        <v>1932</v>
      </c>
      <c r="E59" s="10" t="s">
        <v>1902</v>
      </c>
      <c r="F59" s="32">
        <v>166.07</v>
      </c>
    </row>
    <row r="60" spans="1:6" ht="15" customHeight="1">
      <c r="A60" s="14" t="s">
        <v>1963</v>
      </c>
      <c r="B60" s="10" t="s">
        <v>918</v>
      </c>
      <c r="C60" s="20">
        <v>45789</v>
      </c>
      <c r="D60" s="10" t="s">
        <v>1913</v>
      </c>
      <c r="E60" s="10" t="s">
        <v>1902</v>
      </c>
      <c r="F60" s="32">
        <v>79.75</v>
      </c>
    </row>
    <row r="61" spans="1:6" ht="15" customHeight="1">
      <c r="A61" s="14" t="s">
        <v>1964</v>
      </c>
      <c r="B61" s="10" t="s">
        <v>930</v>
      </c>
      <c r="C61" s="20">
        <v>45970</v>
      </c>
      <c r="D61" s="10" t="s">
        <v>1939</v>
      </c>
      <c r="E61" s="10" t="s">
        <v>1902</v>
      </c>
      <c r="F61" s="32">
        <v>309.89999999999998</v>
      </c>
    </row>
    <row r="62" spans="1:6" ht="15" customHeight="1">
      <c r="A62" s="14" t="s">
        <v>1965</v>
      </c>
      <c r="B62" s="10" t="s">
        <v>940</v>
      </c>
      <c r="C62" s="20">
        <v>45975</v>
      </c>
      <c r="D62" s="10" t="s">
        <v>1939</v>
      </c>
      <c r="E62" s="10" t="s">
        <v>1902</v>
      </c>
      <c r="F62" s="32">
        <v>721.48</v>
      </c>
    </row>
    <row r="63" spans="1:6" ht="15" customHeight="1">
      <c r="A63" s="14" t="s">
        <v>1966</v>
      </c>
      <c r="B63" s="10" t="s">
        <v>949</v>
      </c>
      <c r="C63" s="20">
        <v>45728.041666666664</v>
      </c>
      <c r="D63" s="10" t="s">
        <v>1932</v>
      </c>
      <c r="E63" s="10" t="s">
        <v>1902</v>
      </c>
      <c r="F63" s="32">
        <v>814.64</v>
      </c>
    </row>
    <row r="64" spans="1:6" ht="15" customHeight="1">
      <c r="A64" s="14" t="s">
        <v>1967</v>
      </c>
      <c r="B64" s="10" t="s">
        <v>972</v>
      </c>
      <c r="C64" s="20">
        <v>45816</v>
      </c>
      <c r="D64" s="10" t="s">
        <v>1913</v>
      </c>
      <c r="E64" s="10" t="s">
        <v>1908</v>
      </c>
      <c r="F64" s="32">
        <v>821.67</v>
      </c>
    </row>
    <row r="65" spans="1:6" ht="15" customHeight="1">
      <c r="A65" s="14" t="s">
        <v>1968</v>
      </c>
      <c r="B65" s="10" t="s">
        <v>988</v>
      </c>
      <c r="C65" s="20">
        <v>45912</v>
      </c>
      <c r="D65" s="10" t="s">
        <v>1913</v>
      </c>
      <c r="E65" s="10" t="s">
        <v>1902</v>
      </c>
      <c r="F65" s="32">
        <v>153.31</v>
      </c>
    </row>
    <row r="66" spans="1:6" ht="15" customHeight="1">
      <c r="A66" s="14" t="s">
        <v>1969</v>
      </c>
      <c r="B66" s="10" t="s">
        <v>990</v>
      </c>
      <c r="C66" s="20">
        <v>45891</v>
      </c>
      <c r="D66" s="10" t="s">
        <v>1904</v>
      </c>
      <c r="E66" s="10" t="s">
        <v>1902</v>
      </c>
      <c r="F66" s="32">
        <v>31.42</v>
      </c>
    </row>
    <row r="67" spans="1:6" ht="15" customHeight="1">
      <c r="A67" s="14" t="s">
        <v>1970</v>
      </c>
      <c r="B67" s="10" t="s">
        <v>994</v>
      </c>
      <c r="C67" s="20">
        <v>45885</v>
      </c>
      <c r="D67" s="10" t="s">
        <v>1932</v>
      </c>
      <c r="E67" s="10" t="s">
        <v>1908</v>
      </c>
      <c r="F67" s="32">
        <v>643.14</v>
      </c>
    </row>
    <row r="68" spans="1:6" ht="15" customHeight="1">
      <c r="A68" s="14" t="s">
        <v>1971</v>
      </c>
      <c r="B68" s="10" t="s">
        <v>1000</v>
      </c>
      <c r="C68" s="20">
        <v>45690</v>
      </c>
      <c r="D68" s="10" t="s">
        <v>1932</v>
      </c>
      <c r="E68" s="10" t="s">
        <v>1902</v>
      </c>
      <c r="F68" s="32">
        <v>703.37</v>
      </c>
    </row>
    <row r="69" spans="1:6" ht="15" customHeight="1">
      <c r="A69" s="14" t="s">
        <v>1972</v>
      </c>
      <c r="B69" s="10" t="s">
        <v>1011</v>
      </c>
      <c r="C69" s="20">
        <v>45709</v>
      </c>
      <c r="D69" s="10" t="s">
        <v>1922</v>
      </c>
      <c r="E69" s="10" t="s">
        <v>1902</v>
      </c>
      <c r="F69" s="32">
        <v>102.11</v>
      </c>
    </row>
    <row r="70" spans="1:6" ht="15" customHeight="1">
      <c r="A70" s="14" t="s">
        <v>1973</v>
      </c>
      <c r="B70" s="10" t="s">
        <v>1021</v>
      </c>
      <c r="C70" s="20">
        <v>45889</v>
      </c>
      <c r="D70" s="10" t="s">
        <v>1901</v>
      </c>
      <c r="E70" s="10" t="s">
        <v>1908</v>
      </c>
      <c r="F70" s="32">
        <v>100.04</v>
      </c>
    </row>
    <row r="71" spans="1:6" ht="15" customHeight="1">
      <c r="A71" s="14" t="s">
        <v>1974</v>
      </c>
      <c r="B71" s="10" t="s">
        <v>1022</v>
      </c>
      <c r="C71" s="20">
        <v>45961</v>
      </c>
      <c r="D71" s="10" t="s">
        <v>1922</v>
      </c>
      <c r="E71" s="10" t="s">
        <v>1902</v>
      </c>
      <c r="F71" s="32">
        <v>207.71</v>
      </c>
    </row>
    <row r="72" spans="1:6" ht="15" customHeight="1">
      <c r="A72" s="14" t="s">
        <v>1975</v>
      </c>
      <c r="B72" s="10" t="s">
        <v>1031</v>
      </c>
      <c r="C72" s="20">
        <v>45777</v>
      </c>
      <c r="D72" s="10" t="s">
        <v>1939</v>
      </c>
      <c r="E72" s="10" t="s">
        <v>1902</v>
      </c>
      <c r="F72" s="32">
        <v>894.34</v>
      </c>
    </row>
    <row r="73" spans="1:6" ht="15" customHeight="1">
      <c r="A73" s="14" t="s">
        <v>1976</v>
      </c>
      <c r="B73" s="10" t="s">
        <v>1052</v>
      </c>
      <c r="C73" s="20">
        <v>45800</v>
      </c>
      <c r="D73" s="10" t="s">
        <v>1939</v>
      </c>
      <c r="E73" s="10" t="s">
        <v>1902</v>
      </c>
      <c r="F73" s="32">
        <v>150.63999999999999</v>
      </c>
    </row>
    <row r="74" spans="1:6" ht="15" customHeight="1">
      <c r="A74" s="14" t="s">
        <v>1977</v>
      </c>
      <c r="B74" s="10" t="s">
        <v>1061</v>
      </c>
      <c r="C74" s="20">
        <v>45705</v>
      </c>
      <c r="D74" s="10" t="s">
        <v>1922</v>
      </c>
      <c r="E74" s="10" t="s">
        <v>1908</v>
      </c>
      <c r="F74" s="32">
        <v>195.98</v>
      </c>
    </row>
    <row r="75" spans="1:6" ht="15" customHeight="1">
      <c r="A75" s="14" t="s">
        <v>1978</v>
      </c>
      <c r="B75" s="10" t="s">
        <v>1066</v>
      </c>
      <c r="C75" s="20">
        <v>45769</v>
      </c>
      <c r="D75" s="10" t="s">
        <v>1922</v>
      </c>
      <c r="E75" s="10" t="s">
        <v>1908</v>
      </c>
      <c r="F75" s="32">
        <v>814.64</v>
      </c>
    </row>
    <row r="76" spans="1:6" ht="15" customHeight="1">
      <c r="A76" s="14" t="s">
        <v>1979</v>
      </c>
      <c r="B76" s="10" t="s">
        <v>1076</v>
      </c>
      <c r="C76" s="20">
        <v>45936</v>
      </c>
      <c r="D76" s="10" t="s">
        <v>1939</v>
      </c>
      <c r="E76" s="10" t="s">
        <v>1908</v>
      </c>
      <c r="F76" s="32">
        <v>294.92</v>
      </c>
    </row>
    <row r="77" spans="1:6" ht="15" customHeight="1">
      <c r="A77" s="14" t="s">
        <v>1980</v>
      </c>
      <c r="B77" s="10" t="s">
        <v>1091</v>
      </c>
      <c r="C77" s="20">
        <v>45899</v>
      </c>
      <c r="D77" s="10" t="s">
        <v>1932</v>
      </c>
      <c r="E77" s="10" t="s">
        <v>1902</v>
      </c>
      <c r="F77" s="32">
        <v>249.89</v>
      </c>
    </row>
    <row r="78" spans="1:6" ht="15" customHeight="1">
      <c r="A78" s="14" t="s">
        <v>1981</v>
      </c>
      <c r="B78" s="10" t="s">
        <v>1110</v>
      </c>
      <c r="C78" s="20">
        <v>45729.041666666664</v>
      </c>
      <c r="D78" s="10" t="s">
        <v>1913</v>
      </c>
      <c r="E78" s="10" t="s">
        <v>1908</v>
      </c>
      <c r="F78" s="32">
        <v>443.52</v>
      </c>
    </row>
    <row r="79" spans="1:6" ht="15" customHeight="1">
      <c r="A79" s="14" t="s">
        <v>1982</v>
      </c>
      <c r="B79" s="10" t="s">
        <v>1112</v>
      </c>
      <c r="C79" s="20">
        <v>45861</v>
      </c>
      <c r="D79" s="10" t="s">
        <v>1939</v>
      </c>
      <c r="E79" s="10" t="s">
        <v>1908</v>
      </c>
      <c r="F79" s="32">
        <v>95.02</v>
      </c>
    </row>
    <row r="80" spans="1:6" ht="15" customHeight="1">
      <c r="A80" s="14" t="s">
        <v>1983</v>
      </c>
      <c r="B80" s="10" t="s">
        <v>1116</v>
      </c>
      <c r="C80" s="20">
        <v>46034</v>
      </c>
      <c r="D80" s="10" t="s">
        <v>1922</v>
      </c>
      <c r="E80" s="10" t="s">
        <v>1902</v>
      </c>
      <c r="F80" s="32">
        <v>288</v>
      </c>
    </row>
    <row r="81" spans="1:6" ht="15" customHeight="1">
      <c r="A81" s="14" t="s">
        <v>1984</v>
      </c>
      <c r="B81" s="10" t="s">
        <v>1126</v>
      </c>
      <c r="C81" s="20">
        <v>45835</v>
      </c>
      <c r="D81" s="10" t="s">
        <v>1910</v>
      </c>
      <c r="E81" s="10" t="s">
        <v>1902</v>
      </c>
      <c r="F81" s="32">
        <v>115.34</v>
      </c>
    </row>
    <row r="82" spans="1:6" ht="15" customHeight="1">
      <c r="A82" s="14" t="s">
        <v>1985</v>
      </c>
      <c r="B82" s="10" t="s">
        <v>1129</v>
      </c>
      <c r="C82" s="20">
        <v>45925</v>
      </c>
      <c r="D82" s="10" t="s">
        <v>1939</v>
      </c>
      <c r="E82" s="10" t="s">
        <v>1902</v>
      </c>
      <c r="F82" s="32">
        <v>207.61</v>
      </c>
    </row>
    <row r="83" spans="1:6" ht="15" customHeight="1">
      <c r="A83" s="14" t="s">
        <v>1986</v>
      </c>
      <c r="B83" s="10" t="s">
        <v>1139</v>
      </c>
      <c r="C83" s="20">
        <v>45758</v>
      </c>
      <c r="D83" s="10" t="s">
        <v>1922</v>
      </c>
      <c r="E83" s="10" t="s">
        <v>1908</v>
      </c>
      <c r="F83" s="32">
        <v>236.51</v>
      </c>
    </row>
    <row r="84" spans="1:6" ht="15" customHeight="1">
      <c r="A84" s="14" t="s">
        <v>1987</v>
      </c>
      <c r="B84" s="10" t="s">
        <v>1140</v>
      </c>
      <c r="C84" s="20">
        <v>45702</v>
      </c>
      <c r="D84" s="10" t="s">
        <v>1901</v>
      </c>
      <c r="E84" s="10" t="s">
        <v>1902</v>
      </c>
      <c r="F84" s="32">
        <v>336.72</v>
      </c>
    </row>
    <row r="85" spans="1:6" ht="15" customHeight="1">
      <c r="A85" s="14" t="s">
        <v>1988</v>
      </c>
      <c r="B85" s="10" t="s">
        <v>1143</v>
      </c>
      <c r="C85" s="20">
        <v>45869</v>
      </c>
      <c r="D85" s="10" t="s">
        <v>1904</v>
      </c>
      <c r="E85" s="10" t="s">
        <v>1902</v>
      </c>
      <c r="F85" s="32">
        <v>565.84</v>
      </c>
    </row>
    <row r="86" spans="1:6" ht="15" customHeight="1">
      <c r="A86" s="14" t="s">
        <v>1989</v>
      </c>
      <c r="B86" s="10" t="s">
        <v>1145</v>
      </c>
      <c r="C86" s="20">
        <v>45868</v>
      </c>
      <c r="D86" s="10" t="s">
        <v>1913</v>
      </c>
      <c r="E86" s="10" t="s">
        <v>1908</v>
      </c>
      <c r="F86" s="32">
        <v>473.47</v>
      </c>
    </row>
    <row r="87" spans="1:6" ht="15" customHeight="1">
      <c r="A87" s="14" t="s">
        <v>1990</v>
      </c>
      <c r="B87" s="10" t="s">
        <v>1146</v>
      </c>
      <c r="C87" s="20">
        <v>45855</v>
      </c>
      <c r="D87" s="10" t="s">
        <v>1913</v>
      </c>
      <c r="E87" s="10" t="s">
        <v>1908</v>
      </c>
      <c r="F87" s="32">
        <v>223.48</v>
      </c>
    </row>
    <row r="88" spans="1:6" ht="15" customHeight="1">
      <c r="A88" s="14" t="s">
        <v>1991</v>
      </c>
      <c r="B88" s="10" t="s">
        <v>1147</v>
      </c>
      <c r="C88" s="20">
        <v>45858</v>
      </c>
      <c r="D88" s="10" t="s">
        <v>1932</v>
      </c>
      <c r="E88" s="10" t="s">
        <v>1908</v>
      </c>
      <c r="F88" s="32">
        <v>468.79</v>
      </c>
    </row>
    <row r="89" spans="1:6" ht="15" customHeight="1">
      <c r="A89" s="14" t="s">
        <v>1992</v>
      </c>
      <c r="B89" s="10" t="s">
        <v>1159</v>
      </c>
      <c r="C89" s="20">
        <v>45845</v>
      </c>
      <c r="D89" s="10" t="s">
        <v>1913</v>
      </c>
      <c r="E89" s="10" t="s">
        <v>1902</v>
      </c>
      <c r="F89" s="32">
        <v>789.12</v>
      </c>
    </row>
    <row r="90" spans="1:6" ht="15" customHeight="1">
      <c r="A90" s="14" t="s">
        <v>1993</v>
      </c>
      <c r="B90" s="10" t="s">
        <v>1160</v>
      </c>
      <c r="C90" s="20">
        <v>45854</v>
      </c>
      <c r="D90" s="10" t="s">
        <v>1939</v>
      </c>
      <c r="E90" s="10" t="s">
        <v>1902</v>
      </c>
      <c r="F90" s="32">
        <v>214.38</v>
      </c>
    </row>
    <row r="91" spans="1:6" ht="15" customHeight="1">
      <c r="A91" s="14" t="s">
        <v>1994</v>
      </c>
      <c r="B91" s="10" t="s">
        <v>1163</v>
      </c>
      <c r="C91" s="20">
        <v>45684</v>
      </c>
      <c r="D91" s="10" t="s">
        <v>1904</v>
      </c>
      <c r="E91" s="10" t="s">
        <v>1902</v>
      </c>
      <c r="F91" s="32">
        <v>544</v>
      </c>
    </row>
    <row r="92" spans="1:6" ht="15" customHeight="1">
      <c r="A92" s="14" t="s">
        <v>1995</v>
      </c>
      <c r="B92" s="10" t="s">
        <v>1164</v>
      </c>
      <c r="C92" s="20">
        <v>45688</v>
      </c>
      <c r="D92" s="10" t="s">
        <v>1904</v>
      </c>
      <c r="E92" s="10" t="s">
        <v>1908</v>
      </c>
      <c r="F92" s="32">
        <v>376.99</v>
      </c>
    </row>
    <row r="93" spans="1:6" ht="15" customHeight="1">
      <c r="A93" s="14" t="s">
        <v>1996</v>
      </c>
      <c r="B93" s="10" t="s">
        <v>1165</v>
      </c>
      <c r="C93" s="20">
        <v>45906</v>
      </c>
      <c r="D93" s="10" t="s">
        <v>1932</v>
      </c>
      <c r="E93" s="10" t="s">
        <v>1908</v>
      </c>
      <c r="F93" s="32">
        <v>287.85000000000002</v>
      </c>
    </row>
    <row r="94" spans="1:6" ht="15" customHeight="1">
      <c r="A94" s="14" t="s">
        <v>1997</v>
      </c>
      <c r="B94" s="10" t="s">
        <v>1167</v>
      </c>
      <c r="C94" s="20">
        <v>45895</v>
      </c>
      <c r="D94" s="10" t="s">
        <v>1922</v>
      </c>
      <c r="E94" s="10" t="s">
        <v>1902</v>
      </c>
      <c r="F94" s="32">
        <v>532.96</v>
      </c>
    </row>
    <row r="95" spans="1:6" ht="15" customHeight="1">
      <c r="A95" s="14" t="s">
        <v>1998</v>
      </c>
      <c r="B95" s="10" t="s">
        <v>1173</v>
      </c>
      <c r="C95" s="20">
        <v>45833</v>
      </c>
      <c r="D95" s="10" t="s">
        <v>1939</v>
      </c>
      <c r="E95" s="10" t="s">
        <v>1902</v>
      </c>
      <c r="F95" s="32">
        <v>731.76</v>
      </c>
    </row>
    <row r="96" spans="1:6" ht="15" customHeight="1">
      <c r="A96" s="14" t="s">
        <v>1999</v>
      </c>
      <c r="B96" s="10" t="s">
        <v>1176</v>
      </c>
      <c r="C96" s="20">
        <v>45767</v>
      </c>
      <c r="D96" s="10" t="s">
        <v>1901</v>
      </c>
      <c r="E96" s="10" t="s">
        <v>1908</v>
      </c>
      <c r="F96" s="32">
        <v>568.64</v>
      </c>
    </row>
    <row r="97" spans="1:6" ht="15" customHeight="1">
      <c r="A97" s="14" t="s">
        <v>2000</v>
      </c>
      <c r="B97" s="10" t="s">
        <v>1202</v>
      </c>
      <c r="C97" s="20">
        <v>45993</v>
      </c>
      <c r="D97" s="10" t="s">
        <v>1932</v>
      </c>
      <c r="E97" s="10" t="s">
        <v>1902</v>
      </c>
      <c r="F97" s="32">
        <v>223.58</v>
      </c>
    </row>
    <row r="98" spans="1:6" ht="15" customHeight="1">
      <c r="A98" s="14" t="s">
        <v>2001</v>
      </c>
      <c r="B98" s="10" t="s">
        <v>1209</v>
      </c>
      <c r="C98" s="20">
        <v>45713.041666666664</v>
      </c>
      <c r="D98" s="10" t="s">
        <v>1910</v>
      </c>
      <c r="E98" s="10" t="s">
        <v>1908</v>
      </c>
      <c r="F98" s="32">
        <v>135.05000000000001</v>
      </c>
    </row>
    <row r="99" spans="1:6" ht="15" customHeight="1">
      <c r="A99" s="14" t="s">
        <v>2002</v>
      </c>
      <c r="B99" s="10" t="s">
        <v>1235</v>
      </c>
      <c r="C99" s="20">
        <v>45864</v>
      </c>
      <c r="D99" s="10" t="s">
        <v>1904</v>
      </c>
      <c r="E99" s="10" t="s">
        <v>1908</v>
      </c>
      <c r="F99" s="32">
        <v>94.84</v>
      </c>
    </row>
    <row r="100" spans="1:6" ht="15" customHeight="1">
      <c r="A100" s="14" t="s">
        <v>2003</v>
      </c>
      <c r="B100" s="10" t="s">
        <v>1240</v>
      </c>
      <c r="C100" s="20">
        <v>45937</v>
      </c>
      <c r="D100" s="10" t="s">
        <v>1910</v>
      </c>
      <c r="E100" s="10" t="s">
        <v>1902</v>
      </c>
      <c r="F100" s="32">
        <v>399.72</v>
      </c>
    </row>
    <row r="101" spans="1:6" ht="15" customHeight="1">
      <c r="A101" s="14" t="s">
        <v>2004</v>
      </c>
      <c r="B101" s="10" t="s">
        <v>1244</v>
      </c>
      <c r="C101" s="20">
        <v>45976</v>
      </c>
      <c r="D101" s="10" t="s">
        <v>1932</v>
      </c>
      <c r="E101" s="10" t="s">
        <v>1908</v>
      </c>
      <c r="F101" s="32">
        <v>861.48</v>
      </c>
    </row>
    <row r="102" spans="1:6" ht="15" customHeight="1">
      <c r="A102" s="14" t="s">
        <v>2005</v>
      </c>
      <c r="B102" s="10" t="s">
        <v>1252</v>
      </c>
      <c r="C102" s="20">
        <v>45990</v>
      </c>
      <c r="D102" s="10" t="s">
        <v>1913</v>
      </c>
      <c r="E102" s="10" t="s">
        <v>1908</v>
      </c>
      <c r="F102" s="32">
        <v>749.66</v>
      </c>
    </row>
    <row r="103" spans="1:6" ht="15" customHeight="1">
      <c r="A103" s="14" t="s">
        <v>2006</v>
      </c>
      <c r="B103" s="10" t="s">
        <v>1266</v>
      </c>
      <c r="C103" s="20">
        <v>45939</v>
      </c>
      <c r="D103" s="10" t="s">
        <v>1910</v>
      </c>
      <c r="E103" s="10" t="s">
        <v>1902</v>
      </c>
      <c r="F103" s="32">
        <v>483.34</v>
      </c>
    </row>
    <row r="104" spans="1:6" ht="15" customHeight="1">
      <c r="A104" s="14" t="s">
        <v>2007</v>
      </c>
      <c r="B104" s="10" t="s">
        <v>1293</v>
      </c>
      <c r="C104" s="20">
        <v>45791</v>
      </c>
      <c r="D104" s="10" t="s">
        <v>1939</v>
      </c>
      <c r="E104" s="10" t="s">
        <v>1902</v>
      </c>
      <c r="F104" s="32">
        <v>186.92</v>
      </c>
    </row>
    <row r="105" spans="1:6" ht="15" customHeight="1">
      <c r="A105" s="14" t="s">
        <v>2008</v>
      </c>
      <c r="B105" s="10" t="s">
        <v>1297</v>
      </c>
      <c r="C105" s="20">
        <v>45822</v>
      </c>
      <c r="D105" s="10" t="s">
        <v>1932</v>
      </c>
      <c r="E105" s="10" t="s">
        <v>1902</v>
      </c>
      <c r="F105" s="32">
        <v>608.1</v>
      </c>
    </row>
    <row r="106" spans="1:6" ht="15" customHeight="1">
      <c r="A106" s="14" t="s">
        <v>2009</v>
      </c>
      <c r="B106" s="10" t="s">
        <v>1308</v>
      </c>
      <c r="C106" s="20">
        <v>45926</v>
      </c>
      <c r="D106" s="10" t="s">
        <v>1901</v>
      </c>
      <c r="E106" s="10" t="s">
        <v>1902</v>
      </c>
      <c r="F106" s="32">
        <v>412.04</v>
      </c>
    </row>
    <row r="107" spans="1:6" ht="15" customHeight="1">
      <c r="A107" s="14" t="s">
        <v>2010</v>
      </c>
      <c r="B107" s="10" t="s">
        <v>1314</v>
      </c>
      <c r="C107" s="20">
        <v>45683</v>
      </c>
      <c r="D107" s="10" t="s">
        <v>1913</v>
      </c>
      <c r="E107" s="10" t="s">
        <v>1902</v>
      </c>
      <c r="F107" s="32">
        <v>224.68</v>
      </c>
    </row>
    <row r="108" spans="1:6" ht="15" customHeight="1">
      <c r="A108" s="14" t="s">
        <v>2011</v>
      </c>
      <c r="B108" s="10" t="s">
        <v>1318</v>
      </c>
      <c r="C108" s="20">
        <v>45674</v>
      </c>
      <c r="D108" s="10" t="s">
        <v>1939</v>
      </c>
      <c r="E108" s="10" t="s">
        <v>1902</v>
      </c>
      <c r="F108" s="32">
        <v>48.44</v>
      </c>
    </row>
    <row r="109" spans="1:6" ht="15" customHeight="1">
      <c r="A109" s="14" t="s">
        <v>2012</v>
      </c>
      <c r="B109" s="10" t="s">
        <v>1320</v>
      </c>
      <c r="C109" s="20">
        <v>45989</v>
      </c>
      <c r="D109" s="10" t="s">
        <v>1904</v>
      </c>
      <c r="E109" s="10" t="s">
        <v>1902</v>
      </c>
      <c r="F109" s="32">
        <v>900.48</v>
      </c>
    </row>
    <row r="110" spans="1:6" ht="15" customHeight="1">
      <c r="A110" s="14" t="s">
        <v>2013</v>
      </c>
      <c r="B110" s="10" t="s">
        <v>1328</v>
      </c>
      <c r="C110" s="20">
        <v>45778</v>
      </c>
      <c r="D110" s="10" t="s">
        <v>1913</v>
      </c>
      <c r="E110" s="10" t="s">
        <v>1902</v>
      </c>
      <c r="F110" s="32">
        <v>105.58</v>
      </c>
    </row>
    <row r="111" spans="1:6" ht="15" customHeight="1">
      <c r="A111" s="14" t="s">
        <v>2014</v>
      </c>
      <c r="B111" s="10" t="s">
        <v>1330</v>
      </c>
      <c r="C111" s="20">
        <v>45780</v>
      </c>
      <c r="D111" s="10" t="s">
        <v>1904</v>
      </c>
      <c r="E111" s="10" t="s">
        <v>1902</v>
      </c>
      <c r="F111" s="32">
        <v>34.04</v>
      </c>
    </row>
    <row r="112" spans="1:6" ht="15" customHeight="1">
      <c r="A112" s="14" t="s">
        <v>2015</v>
      </c>
      <c r="B112" s="10" t="s">
        <v>1332</v>
      </c>
      <c r="C112" s="20">
        <v>45737.041666666664</v>
      </c>
      <c r="D112" s="10" t="s">
        <v>1939</v>
      </c>
      <c r="E112" s="10" t="s">
        <v>1902</v>
      </c>
      <c r="F112" s="32">
        <v>47.52</v>
      </c>
    </row>
    <row r="113" spans="1:6" ht="15" customHeight="1">
      <c r="A113" s="14" t="s">
        <v>2016</v>
      </c>
      <c r="B113" s="10" t="s">
        <v>1336</v>
      </c>
      <c r="C113" s="20">
        <v>45722.041666666664</v>
      </c>
      <c r="D113" s="10" t="s">
        <v>1913</v>
      </c>
      <c r="E113" s="10" t="s">
        <v>1902</v>
      </c>
      <c r="F113" s="32">
        <v>127.31</v>
      </c>
    </row>
    <row r="114" spans="1:6" ht="15" customHeight="1">
      <c r="A114" s="14" t="s">
        <v>2017</v>
      </c>
      <c r="B114" s="10" t="s">
        <v>1340</v>
      </c>
      <c r="C114" s="20">
        <v>46002</v>
      </c>
      <c r="D114" s="10" t="s">
        <v>1904</v>
      </c>
      <c r="E114" s="10" t="s">
        <v>1908</v>
      </c>
      <c r="F114" s="32">
        <v>696.11</v>
      </c>
    </row>
    <row r="115" spans="1:6" ht="15" customHeight="1">
      <c r="A115" s="14" t="s">
        <v>2018</v>
      </c>
      <c r="B115" s="10" t="s">
        <v>1378</v>
      </c>
      <c r="C115" s="20">
        <v>45997</v>
      </c>
      <c r="D115" s="10" t="s">
        <v>1904</v>
      </c>
      <c r="E115" s="10" t="s">
        <v>1908</v>
      </c>
      <c r="F115" s="32">
        <v>1082.02</v>
      </c>
    </row>
    <row r="116" spans="1:6" ht="15" customHeight="1">
      <c r="A116" s="14" t="s">
        <v>2019</v>
      </c>
      <c r="B116" s="10" t="s">
        <v>1413</v>
      </c>
      <c r="C116" s="20">
        <v>45948</v>
      </c>
      <c r="D116" s="10" t="s">
        <v>1913</v>
      </c>
      <c r="E116" s="10" t="s">
        <v>1902</v>
      </c>
      <c r="F116" s="32">
        <v>623.13</v>
      </c>
    </row>
    <row r="117" spans="1:6" ht="15" customHeight="1">
      <c r="A117" s="14" t="s">
        <v>2020</v>
      </c>
      <c r="B117" s="10" t="s">
        <v>1427</v>
      </c>
      <c r="C117" s="20">
        <v>45812</v>
      </c>
      <c r="D117" s="10" t="s">
        <v>1932</v>
      </c>
      <c r="E117" s="10" t="s">
        <v>1902</v>
      </c>
      <c r="F117" s="32">
        <v>810.43</v>
      </c>
    </row>
    <row r="118" spans="1:6" ht="15" customHeight="1">
      <c r="A118" s="14" t="s">
        <v>2021</v>
      </c>
      <c r="B118" s="10" t="s">
        <v>1436</v>
      </c>
      <c r="C118" s="20">
        <v>45985</v>
      </c>
      <c r="D118" s="10" t="s">
        <v>1904</v>
      </c>
      <c r="E118" s="10" t="s">
        <v>1902</v>
      </c>
      <c r="F118" s="32">
        <v>476.94</v>
      </c>
    </row>
    <row r="119" spans="1:6" ht="15" customHeight="1">
      <c r="A119" s="14" t="s">
        <v>2022</v>
      </c>
      <c r="B119" s="10" t="s">
        <v>1444</v>
      </c>
      <c r="C119" s="20">
        <v>45819</v>
      </c>
      <c r="D119" s="10" t="s">
        <v>1904</v>
      </c>
      <c r="E119" s="10" t="s">
        <v>1902</v>
      </c>
      <c r="F119" s="32">
        <v>228.81</v>
      </c>
    </row>
    <row r="120" spans="1:6" ht="15" customHeight="1">
      <c r="A120" s="14" t="s">
        <v>2023</v>
      </c>
      <c r="B120" s="10" t="s">
        <v>1445</v>
      </c>
      <c r="C120" s="20">
        <v>45849</v>
      </c>
      <c r="D120" s="10" t="s">
        <v>1913</v>
      </c>
      <c r="E120" s="10" t="s">
        <v>1902</v>
      </c>
      <c r="F120" s="32">
        <v>869.86</v>
      </c>
    </row>
    <row r="121" spans="1:6" ht="15" customHeight="1">
      <c r="A121" s="14" t="s">
        <v>2024</v>
      </c>
      <c r="B121" s="10" t="s">
        <v>1468</v>
      </c>
      <c r="C121" s="20">
        <v>46014</v>
      </c>
      <c r="D121" s="10" t="s">
        <v>1932</v>
      </c>
      <c r="E121" s="10" t="s">
        <v>1902</v>
      </c>
      <c r="F121" s="32">
        <v>276.68</v>
      </c>
    </row>
    <row r="122" spans="1:6" ht="15" customHeight="1">
      <c r="A122" s="14" t="s">
        <v>2025</v>
      </c>
      <c r="B122" s="10" t="s">
        <v>1483</v>
      </c>
      <c r="C122" s="20">
        <v>45954</v>
      </c>
      <c r="D122" s="10" t="s">
        <v>1901</v>
      </c>
      <c r="E122" s="10" t="s">
        <v>1908</v>
      </c>
      <c r="F122" s="32">
        <v>373.84</v>
      </c>
    </row>
    <row r="123" spans="1:6" ht="15" customHeight="1">
      <c r="A123" s="14" t="s">
        <v>2026</v>
      </c>
      <c r="B123" s="10" t="s">
        <v>1487</v>
      </c>
      <c r="C123" s="20">
        <v>45941</v>
      </c>
      <c r="D123" s="10" t="s">
        <v>1910</v>
      </c>
      <c r="E123" s="10" t="s">
        <v>1908</v>
      </c>
      <c r="F123" s="32">
        <v>240.48</v>
      </c>
    </row>
    <row r="124" spans="1:6" ht="15" customHeight="1">
      <c r="A124" s="14" t="s">
        <v>2027</v>
      </c>
      <c r="B124" s="10" t="s">
        <v>1517</v>
      </c>
      <c r="C124" s="20">
        <v>45811</v>
      </c>
      <c r="D124" s="10" t="s">
        <v>1932</v>
      </c>
      <c r="E124" s="10" t="s">
        <v>1902</v>
      </c>
      <c r="F124" s="32">
        <v>126.81</v>
      </c>
    </row>
    <row r="125" spans="1:6" ht="15" customHeight="1">
      <c r="A125" s="14" t="s">
        <v>2028</v>
      </c>
      <c r="B125" s="10" t="s">
        <v>1518</v>
      </c>
      <c r="C125" s="20">
        <v>45762</v>
      </c>
      <c r="D125" s="10" t="s">
        <v>1939</v>
      </c>
      <c r="E125" s="10" t="s">
        <v>1902</v>
      </c>
      <c r="F125" s="32">
        <v>439.65</v>
      </c>
    </row>
    <row r="126" spans="1:6" ht="15" customHeight="1">
      <c r="A126" s="14" t="s">
        <v>2029</v>
      </c>
      <c r="B126" s="10" t="s">
        <v>1525</v>
      </c>
      <c r="C126" s="20">
        <v>45807</v>
      </c>
      <c r="D126" s="10" t="s">
        <v>1901</v>
      </c>
      <c r="E126" s="10" t="s">
        <v>1902</v>
      </c>
      <c r="F126" s="32">
        <v>126.58</v>
      </c>
    </row>
    <row r="127" spans="1:6" ht="15" customHeight="1">
      <c r="A127" s="14" t="s">
        <v>2030</v>
      </c>
      <c r="B127" s="10" t="s">
        <v>1530</v>
      </c>
      <c r="C127" s="20">
        <v>45672</v>
      </c>
      <c r="D127" s="10" t="s">
        <v>1913</v>
      </c>
      <c r="E127" s="10" t="s">
        <v>1908</v>
      </c>
      <c r="F127" s="32">
        <v>25.01</v>
      </c>
    </row>
    <row r="128" spans="1:6" ht="15" customHeight="1">
      <c r="A128" s="14" t="s">
        <v>2031</v>
      </c>
      <c r="B128" s="10" t="s">
        <v>1539</v>
      </c>
      <c r="C128" s="20">
        <v>46016</v>
      </c>
      <c r="D128" s="10" t="s">
        <v>1904</v>
      </c>
      <c r="E128" s="10" t="s">
        <v>1902</v>
      </c>
      <c r="F128" s="32">
        <v>288.99</v>
      </c>
    </row>
    <row r="129" spans="1:6" ht="15" customHeight="1">
      <c r="A129" s="14" t="s">
        <v>2032</v>
      </c>
      <c r="B129" s="10" t="s">
        <v>1547</v>
      </c>
      <c r="C129" s="20">
        <v>45795</v>
      </c>
      <c r="D129" s="10" t="s">
        <v>1932</v>
      </c>
      <c r="E129" s="10" t="s">
        <v>1902</v>
      </c>
      <c r="F129" s="32">
        <v>110.88</v>
      </c>
    </row>
    <row r="130" spans="1:6" ht="15" customHeight="1">
      <c r="A130" s="14" t="s">
        <v>2033</v>
      </c>
      <c r="B130" s="10" t="s">
        <v>1556</v>
      </c>
      <c r="C130" s="20">
        <v>45738.041666666664</v>
      </c>
      <c r="D130" s="10" t="s">
        <v>1901</v>
      </c>
      <c r="E130" s="10" t="s">
        <v>1902</v>
      </c>
      <c r="F130" s="32">
        <v>270.5</v>
      </c>
    </row>
    <row r="131" spans="1:6" ht="15" customHeight="1">
      <c r="A131" s="14" t="s">
        <v>2034</v>
      </c>
      <c r="B131" s="10" t="s">
        <v>1565</v>
      </c>
      <c r="C131" s="20">
        <v>45800</v>
      </c>
      <c r="D131" s="10" t="s">
        <v>1932</v>
      </c>
      <c r="E131" s="10" t="s">
        <v>1902</v>
      </c>
      <c r="F131" s="32">
        <v>853.98</v>
      </c>
    </row>
    <row r="132" spans="1:6" ht="15" customHeight="1">
      <c r="A132" s="14" t="s">
        <v>2035</v>
      </c>
      <c r="B132" s="10" t="s">
        <v>1587</v>
      </c>
      <c r="C132" s="20">
        <v>45684</v>
      </c>
      <c r="D132" s="10" t="s">
        <v>1910</v>
      </c>
      <c r="E132" s="10" t="s">
        <v>1902</v>
      </c>
      <c r="F132" s="32">
        <v>560.82000000000005</v>
      </c>
    </row>
    <row r="133" spans="1:6" ht="15" customHeight="1">
      <c r="A133" s="14" t="s">
        <v>2036</v>
      </c>
      <c r="B133" s="10" t="s">
        <v>1592</v>
      </c>
      <c r="C133" s="20">
        <v>45754</v>
      </c>
      <c r="D133" s="10" t="s">
        <v>1901</v>
      </c>
      <c r="E133" s="10" t="s">
        <v>1908</v>
      </c>
      <c r="F133" s="32">
        <v>570.29999999999995</v>
      </c>
    </row>
    <row r="134" spans="1:6" ht="15" customHeight="1">
      <c r="A134" s="14" t="s">
        <v>2037</v>
      </c>
      <c r="B134" s="10" t="s">
        <v>1596</v>
      </c>
      <c r="C134" s="20">
        <v>45762</v>
      </c>
      <c r="D134" s="10" t="s">
        <v>1901</v>
      </c>
      <c r="E134" s="10" t="s">
        <v>1902</v>
      </c>
      <c r="F134" s="32">
        <v>100.3</v>
      </c>
    </row>
    <row r="135" spans="1:6" ht="15" customHeight="1">
      <c r="A135" s="14" t="s">
        <v>2038</v>
      </c>
      <c r="B135" s="10" t="s">
        <v>1597</v>
      </c>
      <c r="C135" s="20">
        <v>45760</v>
      </c>
      <c r="D135" s="10" t="s">
        <v>1904</v>
      </c>
      <c r="E135" s="10" t="s">
        <v>1908</v>
      </c>
      <c r="F135" s="32">
        <v>42.72</v>
      </c>
    </row>
    <row r="136" spans="1:6" ht="15" customHeight="1">
      <c r="A136" s="14" t="s">
        <v>2039</v>
      </c>
      <c r="B136" s="10" t="s">
        <v>1601</v>
      </c>
      <c r="C136" s="20">
        <v>45893</v>
      </c>
      <c r="D136" s="10" t="s">
        <v>1922</v>
      </c>
      <c r="E136" s="10" t="s">
        <v>1902</v>
      </c>
      <c r="F136" s="32">
        <v>821.67</v>
      </c>
    </row>
    <row r="137" spans="1:6" ht="15" customHeight="1">
      <c r="A137" s="14" t="s">
        <v>2040</v>
      </c>
      <c r="B137" s="10" t="s">
        <v>1632</v>
      </c>
      <c r="C137" s="20">
        <v>45848</v>
      </c>
      <c r="D137" s="10" t="s">
        <v>1901</v>
      </c>
      <c r="E137" s="10" t="s">
        <v>1908</v>
      </c>
      <c r="F137" s="32">
        <v>133.47999999999999</v>
      </c>
    </row>
    <row r="138" spans="1:6" ht="15" customHeight="1">
      <c r="A138" s="14" t="s">
        <v>2041</v>
      </c>
      <c r="B138" s="10" t="s">
        <v>1638</v>
      </c>
      <c r="C138" s="20">
        <v>45951</v>
      </c>
      <c r="D138" s="10" t="s">
        <v>1901</v>
      </c>
      <c r="E138" s="10" t="s">
        <v>1908</v>
      </c>
      <c r="F138" s="32">
        <v>156.16999999999999</v>
      </c>
    </row>
    <row r="139" spans="1:6" ht="15" customHeight="1">
      <c r="A139" s="14" t="s">
        <v>2042</v>
      </c>
      <c r="B139" s="10" t="s">
        <v>1647</v>
      </c>
      <c r="C139" s="20">
        <v>45876</v>
      </c>
      <c r="D139" s="10" t="s">
        <v>1904</v>
      </c>
      <c r="E139" s="10" t="s">
        <v>1902</v>
      </c>
      <c r="F139" s="32">
        <v>685.41</v>
      </c>
    </row>
    <row r="140" spans="1:6" ht="15" customHeight="1">
      <c r="A140" s="14" t="s">
        <v>2043</v>
      </c>
      <c r="B140" s="10" t="s">
        <v>1660</v>
      </c>
      <c r="C140" s="20">
        <v>45903</v>
      </c>
      <c r="D140" s="10" t="s">
        <v>1913</v>
      </c>
      <c r="E140" s="10" t="s">
        <v>1902</v>
      </c>
      <c r="F140" s="32">
        <v>373.84</v>
      </c>
    </row>
    <row r="141" spans="1:6" ht="15" customHeight="1">
      <c r="A141" s="16" t="s">
        <v>2044</v>
      </c>
      <c r="B141" s="17" t="s">
        <v>1668</v>
      </c>
      <c r="C141" s="21">
        <v>45735.041666666664</v>
      </c>
      <c r="D141" s="17" t="s">
        <v>1910</v>
      </c>
      <c r="E141" s="17" t="s">
        <v>1902</v>
      </c>
      <c r="F141" s="33">
        <v>309.89999999999998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F2F8"/>
  </sheetPr>
  <dimension ref="A1:K17"/>
  <sheetViews>
    <sheetView showGridLines="0" workbookViewId="0">
      <pane ySplit="5" topLeftCell="A6" activePane="bottomLeft" state="frozen"/>
      <selection pane="bottomLeft"/>
    </sheetView>
  </sheetViews>
  <sheetFormatPr baseColWidth="10" defaultColWidth="8.796875" defaultRowHeight="13.8"/>
  <cols>
    <col min="1" max="1" width="26" customWidth="1"/>
    <col min="2" max="3" width="11.8984375" customWidth="1"/>
  </cols>
  <sheetData>
    <row r="1" spans="1:11" ht="18" customHeight="1">
      <c r="A1" s="6" t="s">
        <v>2045</v>
      </c>
    </row>
    <row r="2" spans="1:11" ht="15" customHeight="1">
      <c r="A2" s="7" t="s">
        <v>2046</v>
      </c>
    </row>
    <row r="3" spans="1:11" ht="1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</row>
    <row r="5" spans="1:11" ht="15" customHeight="1">
      <c r="A5" s="9" t="s">
        <v>2047</v>
      </c>
      <c r="B5" s="9" t="s">
        <v>2048</v>
      </c>
      <c r="C5" s="9" t="s">
        <v>2049</v>
      </c>
    </row>
    <row r="6" spans="1:11" ht="15" customHeight="1">
      <c r="A6" s="34">
        <v>45658</v>
      </c>
      <c r="B6" s="25">
        <v>54379</v>
      </c>
      <c r="C6" s="31">
        <v>15266</v>
      </c>
    </row>
    <row r="7" spans="1:11" ht="15" customHeight="1">
      <c r="A7" s="35">
        <v>45689</v>
      </c>
      <c r="B7" s="26">
        <v>56788</v>
      </c>
      <c r="C7" s="32">
        <v>15151</v>
      </c>
    </row>
    <row r="8" spans="1:11" ht="15" customHeight="1">
      <c r="A8" s="35">
        <v>45717</v>
      </c>
      <c r="B8" s="26">
        <v>59992</v>
      </c>
      <c r="C8" s="32">
        <v>15682</v>
      </c>
    </row>
    <row r="9" spans="1:11" ht="15" customHeight="1">
      <c r="A9" s="35">
        <v>45748</v>
      </c>
      <c r="B9" s="26">
        <v>62449</v>
      </c>
      <c r="C9" s="32">
        <v>14803</v>
      </c>
    </row>
    <row r="10" spans="1:11" ht="15" customHeight="1">
      <c r="A10" s="35">
        <v>45778</v>
      </c>
      <c r="B10" s="26">
        <v>57790</v>
      </c>
      <c r="C10" s="32">
        <v>14606</v>
      </c>
    </row>
    <row r="11" spans="1:11" ht="15" customHeight="1">
      <c r="A11" s="35">
        <v>45809</v>
      </c>
      <c r="B11" s="26">
        <v>62757</v>
      </c>
      <c r="C11" s="32">
        <v>17144</v>
      </c>
    </row>
    <row r="12" spans="1:11" ht="15" customHeight="1">
      <c r="A12" s="35">
        <v>45839</v>
      </c>
      <c r="B12" s="26">
        <v>60520</v>
      </c>
      <c r="C12" s="32">
        <v>17018</v>
      </c>
    </row>
    <row r="13" spans="1:11" ht="15" customHeight="1">
      <c r="A13" s="35">
        <v>45870</v>
      </c>
      <c r="B13" s="26">
        <v>60527</v>
      </c>
      <c r="C13" s="32">
        <v>16211</v>
      </c>
    </row>
    <row r="14" spans="1:11" ht="15" customHeight="1">
      <c r="A14" s="35">
        <v>45901</v>
      </c>
      <c r="B14" s="26">
        <v>54950</v>
      </c>
      <c r="C14" s="32">
        <v>15402</v>
      </c>
    </row>
    <row r="15" spans="1:11" ht="15" customHeight="1">
      <c r="A15" s="35">
        <v>45931</v>
      </c>
      <c r="B15" s="26">
        <v>55112</v>
      </c>
      <c r="C15" s="32">
        <v>17219</v>
      </c>
    </row>
    <row r="16" spans="1:11" ht="15" customHeight="1">
      <c r="A16" s="35">
        <v>45962</v>
      </c>
      <c r="B16" s="26">
        <v>62555</v>
      </c>
      <c r="C16" s="32">
        <v>16020</v>
      </c>
    </row>
    <row r="17" spans="1:3" ht="15" customHeight="1">
      <c r="A17" s="36">
        <v>45992</v>
      </c>
      <c r="B17" s="27">
        <v>60789</v>
      </c>
      <c r="C17" s="33">
        <v>16750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F2F8"/>
  </sheetPr>
  <dimension ref="A1:K13"/>
  <sheetViews>
    <sheetView showGridLines="0" workbookViewId="0">
      <pane ySplit="5" topLeftCell="A6" activePane="bottomLeft" state="frozen"/>
      <selection pane="bottomLeft"/>
    </sheetView>
  </sheetViews>
  <sheetFormatPr baseColWidth="10" defaultColWidth="8.796875" defaultRowHeight="13.8"/>
  <cols>
    <col min="1" max="1" width="25.59765625" customWidth="1"/>
    <col min="2" max="2" width="15" customWidth="1"/>
    <col min="3" max="3" width="26" customWidth="1"/>
    <col min="4" max="4" width="10.09765625" customWidth="1"/>
    <col min="5" max="5" width="20.3984375" customWidth="1"/>
  </cols>
  <sheetData>
    <row r="1" spans="1:11" ht="18" customHeight="1">
      <c r="A1" s="6" t="s">
        <v>2050</v>
      </c>
    </row>
    <row r="2" spans="1:11" ht="15" customHeight="1">
      <c r="A2" s="7" t="s">
        <v>2051</v>
      </c>
    </row>
    <row r="3" spans="1:11" ht="1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</row>
    <row r="5" spans="1:11" ht="15" customHeight="1">
      <c r="A5" s="9" t="s">
        <v>2052</v>
      </c>
      <c r="B5" s="9" t="s">
        <v>2053</v>
      </c>
      <c r="C5" s="9" t="s">
        <v>2054</v>
      </c>
      <c r="D5" s="9" t="s">
        <v>2055</v>
      </c>
      <c r="E5" s="9" t="s">
        <v>2056</v>
      </c>
    </row>
    <row r="6" spans="1:11" ht="15" customHeight="1">
      <c r="A6" s="11" t="s">
        <v>2057</v>
      </c>
      <c r="B6" s="12" t="s">
        <v>23</v>
      </c>
      <c r="C6" s="12" t="s">
        <v>2058</v>
      </c>
      <c r="D6" s="12" t="s">
        <v>2059</v>
      </c>
      <c r="E6" s="13" t="s">
        <v>2060</v>
      </c>
    </row>
    <row r="7" spans="1:11" ht="15" customHeight="1">
      <c r="A7" s="14" t="s">
        <v>2057</v>
      </c>
      <c r="B7" s="10" t="s">
        <v>24</v>
      </c>
      <c r="C7" s="10" t="s">
        <v>2061</v>
      </c>
      <c r="D7" s="10" t="s">
        <v>2059</v>
      </c>
      <c r="E7" s="15" t="s">
        <v>2062</v>
      </c>
    </row>
    <row r="8" spans="1:11" ht="15" customHeight="1">
      <c r="A8" s="14" t="s">
        <v>2057</v>
      </c>
      <c r="B8" s="10" t="s">
        <v>27</v>
      </c>
      <c r="C8" s="10" t="s">
        <v>2063</v>
      </c>
      <c r="D8" s="10" t="s">
        <v>2059</v>
      </c>
      <c r="E8" s="15" t="s">
        <v>2064</v>
      </c>
    </row>
    <row r="9" spans="1:11" ht="15" customHeight="1">
      <c r="A9" s="14" t="s">
        <v>2057</v>
      </c>
      <c r="B9" s="10" t="s">
        <v>30</v>
      </c>
      <c r="C9" s="10" t="s">
        <v>2065</v>
      </c>
      <c r="D9" s="10" t="s">
        <v>2066</v>
      </c>
      <c r="E9" s="15" t="s">
        <v>2067</v>
      </c>
    </row>
    <row r="10" spans="1:11" ht="15" customHeight="1">
      <c r="A10" s="14" t="s">
        <v>1669</v>
      </c>
      <c r="B10" s="10" t="s">
        <v>1673</v>
      </c>
      <c r="C10" s="10" t="s">
        <v>2068</v>
      </c>
      <c r="D10" s="10" t="s">
        <v>2066</v>
      </c>
      <c r="E10" s="15" t="s">
        <v>2069</v>
      </c>
    </row>
    <row r="11" spans="1:11" ht="15" customHeight="1">
      <c r="A11" s="14" t="s">
        <v>1880</v>
      </c>
      <c r="B11" s="10" t="s">
        <v>1885</v>
      </c>
      <c r="C11" s="10" t="s">
        <v>2070</v>
      </c>
      <c r="D11" s="10" t="s">
        <v>2071</v>
      </c>
      <c r="E11" s="15" t="s">
        <v>2072</v>
      </c>
    </row>
    <row r="12" spans="1:11" ht="15" customHeight="1">
      <c r="A12" s="14" t="s">
        <v>2073</v>
      </c>
      <c r="B12" s="10" t="s">
        <v>1899</v>
      </c>
      <c r="C12" s="10" t="s">
        <v>2074</v>
      </c>
      <c r="D12" s="10" t="s">
        <v>2066</v>
      </c>
      <c r="E12" s="15" t="s">
        <v>2075</v>
      </c>
    </row>
    <row r="13" spans="1:11" ht="15" customHeight="1">
      <c r="A13" s="16" t="s">
        <v>2076</v>
      </c>
      <c r="B13" s="17" t="s">
        <v>2048</v>
      </c>
      <c r="C13" s="17" t="s">
        <v>2077</v>
      </c>
      <c r="D13" s="17" t="s">
        <v>2066</v>
      </c>
      <c r="E13" s="18" t="s">
        <v>2078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F2F8"/>
  </sheetPr>
  <dimension ref="A2:K37"/>
  <sheetViews>
    <sheetView zoomScale="78" zoomScaleNormal="78" workbookViewId="0">
      <selection activeCell="F20" sqref="F20"/>
    </sheetView>
  </sheetViews>
  <sheetFormatPr baseColWidth="10" defaultRowHeight="13.8"/>
  <cols>
    <col min="1" max="1" width="24.5" customWidth="1"/>
    <col min="2" max="2" width="24.59765625" customWidth="1"/>
    <col min="3" max="3" width="23.59765625" bestFit="1" customWidth="1"/>
    <col min="4" max="4" width="12.3984375" customWidth="1"/>
    <col min="5" max="5" width="12.796875" customWidth="1"/>
    <col min="6" max="6" width="24.5" bestFit="1" customWidth="1"/>
    <col min="7" max="7" width="21.59765625" customWidth="1"/>
    <col min="8" max="8" width="20.3984375" customWidth="1"/>
    <col min="9" max="9" width="7.796875" customWidth="1"/>
    <col min="10" max="11" width="12.796875" customWidth="1"/>
  </cols>
  <sheetData>
    <row r="2" spans="1:10" ht="15.6">
      <c r="A2" s="63" t="s">
        <v>2207</v>
      </c>
      <c r="B2" s="64"/>
    </row>
    <row r="3" spans="1:10">
      <c r="A3" s="50" t="s">
        <v>2175</v>
      </c>
      <c r="B3" t="s">
        <v>2177</v>
      </c>
      <c r="G3" s="48"/>
    </row>
    <row r="4" spans="1:10">
      <c r="A4" s="51" t="s">
        <v>1891</v>
      </c>
      <c r="B4" s="52">
        <v>217</v>
      </c>
    </row>
    <row r="5" spans="1:10">
      <c r="A5" s="51" t="s">
        <v>1888</v>
      </c>
      <c r="B5" s="52">
        <v>143</v>
      </c>
    </row>
    <row r="6" spans="1:10">
      <c r="A6" s="51" t="s">
        <v>2176</v>
      </c>
      <c r="B6" s="52">
        <v>360</v>
      </c>
    </row>
    <row r="8" spans="1:10">
      <c r="A8" s="65" t="s">
        <v>2208</v>
      </c>
      <c r="B8" s="64"/>
      <c r="C8" s="64"/>
      <c r="D8" s="64"/>
      <c r="E8" s="64"/>
      <c r="F8" s="64"/>
      <c r="G8" s="64"/>
      <c r="H8" s="64"/>
      <c r="I8" s="64"/>
    </row>
    <row r="9" spans="1:10">
      <c r="A9" s="64"/>
      <c r="B9" s="64"/>
      <c r="C9" s="64"/>
      <c r="D9" s="64"/>
      <c r="E9" s="64"/>
      <c r="F9" s="64"/>
      <c r="G9" s="64"/>
      <c r="H9" s="64"/>
      <c r="I9" s="64"/>
    </row>
    <row r="10" spans="1:10">
      <c r="B10" s="50" t="s">
        <v>2182</v>
      </c>
      <c r="G10" s="50" t="s">
        <v>2177</v>
      </c>
      <c r="H10" s="50" t="s">
        <v>2182</v>
      </c>
    </row>
    <row r="11" spans="1:10">
      <c r="A11" s="50" t="s">
        <v>2175</v>
      </c>
      <c r="B11" t="s">
        <v>1889</v>
      </c>
      <c r="C11" t="s">
        <v>1890</v>
      </c>
      <c r="D11" t="s">
        <v>1887</v>
      </c>
      <c r="E11" t="s">
        <v>2176</v>
      </c>
      <c r="G11" s="50" t="s">
        <v>2175</v>
      </c>
      <c r="H11" t="s">
        <v>1891</v>
      </c>
      <c r="I11" t="s">
        <v>1888</v>
      </c>
      <c r="J11" t="s">
        <v>2176</v>
      </c>
    </row>
    <row r="12" spans="1:10">
      <c r="A12" s="51" t="s">
        <v>2177</v>
      </c>
      <c r="B12" s="52"/>
      <c r="C12" s="52"/>
      <c r="D12" s="52"/>
      <c r="E12" s="52"/>
      <c r="G12" s="51" t="s">
        <v>1889</v>
      </c>
      <c r="H12" s="52">
        <v>54</v>
      </c>
      <c r="I12" s="52">
        <v>40</v>
      </c>
      <c r="J12" s="52">
        <v>94</v>
      </c>
    </row>
    <row r="13" spans="1:10">
      <c r="A13" s="61" t="s">
        <v>1891</v>
      </c>
      <c r="B13" s="52">
        <v>54</v>
      </c>
      <c r="C13" s="52">
        <v>51</v>
      </c>
      <c r="D13" s="52">
        <v>112</v>
      </c>
      <c r="E13" s="52">
        <v>217</v>
      </c>
      <c r="G13" s="51" t="s">
        <v>1890</v>
      </c>
      <c r="H13" s="52">
        <v>51</v>
      </c>
      <c r="I13" s="52">
        <v>28</v>
      </c>
      <c r="J13" s="52">
        <v>79</v>
      </c>
    </row>
    <row r="14" spans="1:10">
      <c r="A14" s="61" t="s">
        <v>1888</v>
      </c>
      <c r="B14" s="52">
        <v>40</v>
      </c>
      <c r="C14" s="52">
        <v>28</v>
      </c>
      <c r="D14" s="52">
        <v>75</v>
      </c>
      <c r="E14" s="52">
        <v>143</v>
      </c>
      <c r="G14" s="51" t="s">
        <v>1887</v>
      </c>
      <c r="H14" s="52">
        <v>112</v>
      </c>
      <c r="I14" s="52">
        <v>75</v>
      </c>
      <c r="J14" s="52">
        <v>187</v>
      </c>
    </row>
    <row r="15" spans="1:10">
      <c r="A15" s="51" t="s">
        <v>2186</v>
      </c>
      <c r="B15" s="52"/>
      <c r="C15" s="52"/>
      <c r="D15" s="52"/>
      <c r="E15" s="52"/>
      <c r="G15" s="51" t="s">
        <v>2176</v>
      </c>
      <c r="H15" s="52">
        <v>217</v>
      </c>
      <c r="I15" s="52">
        <v>143</v>
      </c>
      <c r="J15" s="52">
        <v>360</v>
      </c>
    </row>
    <row r="16" spans="1:10">
      <c r="A16" s="61" t="s">
        <v>1891</v>
      </c>
      <c r="B16" s="52">
        <v>0</v>
      </c>
      <c r="C16" s="52">
        <v>0</v>
      </c>
      <c r="D16" s="52">
        <v>0</v>
      </c>
      <c r="E16" s="52">
        <v>0</v>
      </c>
    </row>
    <row r="17" spans="1:11">
      <c r="A17" s="61" t="s">
        <v>1888</v>
      </c>
      <c r="B17" s="52">
        <v>1</v>
      </c>
      <c r="C17" s="52">
        <v>1</v>
      </c>
      <c r="D17" s="52">
        <v>1</v>
      </c>
      <c r="E17" s="52">
        <v>1</v>
      </c>
    </row>
    <row r="18" spans="1:11">
      <c r="A18" s="51" t="s">
        <v>2183</v>
      </c>
      <c r="B18" s="52">
        <v>94</v>
      </c>
      <c r="C18" s="52">
        <v>79</v>
      </c>
      <c r="D18" s="52">
        <v>187</v>
      </c>
      <c r="E18" s="52">
        <v>360</v>
      </c>
    </row>
    <row r="19" spans="1:11">
      <c r="A19" s="51" t="s">
        <v>2185</v>
      </c>
      <c r="B19" s="53">
        <v>0.42553191489361702</v>
      </c>
      <c r="C19" s="53">
        <v>0.35443037974683544</v>
      </c>
      <c r="D19" s="53">
        <v>0.40106951871657753</v>
      </c>
      <c r="E19" s="53">
        <v>0.3972222222222222</v>
      </c>
    </row>
    <row r="20" spans="1:11" ht="15.6">
      <c r="A20" s="63" t="s">
        <v>2206</v>
      </c>
      <c r="B20" s="64"/>
      <c r="C20" s="64"/>
      <c r="D20" s="64"/>
    </row>
    <row r="21" spans="1:11" ht="17.399999999999999">
      <c r="A21" s="54" t="s">
        <v>2192</v>
      </c>
      <c r="B21" s="54" t="s">
        <v>2193</v>
      </c>
      <c r="C21" s="54" t="s">
        <v>2194</v>
      </c>
      <c r="D21" s="54" t="s">
        <v>2195</v>
      </c>
    </row>
    <row r="22" spans="1:11" ht="21">
      <c r="B22" s="55">
        <f>COUNTA([1]OrdersRawTable9!B6:B888)</f>
        <v>883</v>
      </c>
      <c r="C22" s="55">
        <f>COUNTIF(OrdersRawTable9[Return_Status],"Yes")</f>
        <v>136</v>
      </c>
      <c r="D22" s="60">
        <f>C22/B22</f>
        <v>0.15402038505096263</v>
      </c>
      <c r="G22" s="67" t="s">
        <v>2203</v>
      </c>
      <c r="H22" s="67"/>
      <c r="I22" s="67"/>
      <c r="J22" s="67"/>
      <c r="K22" s="67"/>
    </row>
    <row r="24" spans="1:11">
      <c r="G24" s="50" t="s">
        <v>2196</v>
      </c>
      <c r="H24" s="50" t="s">
        <v>2182</v>
      </c>
      <c r="K24" s="66" t="s">
        <v>2201</v>
      </c>
    </row>
    <row r="25" spans="1:11">
      <c r="A25" s="65" t="s">
        <v>2204</v>
      </c>
      <c r="B25" s="64"/>
      <c r="C25" s="64"/>
      <c r="D25" s="64"/>
      <c r="E25" s="64"/>
      <c r="G25" s="50" t="s">
        <v>2175</v>
      </c>
      <c r="H25" t="s">
        <v>2197</v>
      </c>
      <c r="I25" t="s">
        <v>2198</v>
      </c>
      <c r="J25" t="s">
        <v>2176</v>
      </c>
      <c r="K25" s="66"/>
    </row>
    <row r="26" spans="1:11">
      <c r="A26" s="64"/>
      <c r="B26" s="64"/>
      <c r="C26" s="64"/>
      <c r="D26" s="64"/>
      <c r="E26" s="64"/>
      <c r="G26" s="51" t="s">
        <v>1891</v>
      </c>
      <c r="H26" s="52">
        <v>407</v>
      </c>
      <c r="I26" s="52">
        <v>103</v>
      </c>
      <c r="J26" s="52">
        <v>510</v>
      </c>
      <c r="K26" s="56">
        <f>I26/J26</f>
        <v>0.20196078431372549</v>
      </c>
    </row>
    <row r="27" spans="1:11">
      <c r="A27" s="50" t="s">
        <v>2196</v>
      </c>
      <c r="B27" s="50" t="s">
        <v>2182</v>
      </c>
      <c r="E27" s="66" t="s">
        <v>2200</v>
      </c>
      <c r="G27" s="51" t="s">
        <v>1888</v>
      </c>
      <c r="H27" s="52">
        <v>340</v>
      </c>
      <c r="I27" s="52">
        <v>33</v>
      </c>
      <c r="J27" s="52">
        <v>373</v>
      </c>
      <c r="K27" s="56">
        <f>I27/J27</f>
        <v>8.8471849865951746E-2</v>
      </c>
    </row>
    <row r="28" spans="1:11">
      <c r="A28" s="50" t="s">
        <v>2175</v>
      </c>
      <c r="B28" t="s">
        <v>2197</v>
      </c>
      <c r="C28" t="s">
        <v>2198</v>
      </c>
      <c r="D28" t="s">
        <v>2176</v>
      </c>
      <c r="E28" s="66"/>
      <c r="G28" s="51" t="s">
        <v>2176</v>
      </c>
      <c r="H28" s="52">
        <v>747</v>
      </c>
      <c r="I28" s="52">
        <v>136</v>
      </c>
      <c r="J28" s="52">
        <v>883</v>
      </c>
      <c r="K28" s="57"/>
    </row>
    <row r="29" spans="1:11">
      <c r="A29" s="51" t="s">
        <v>1724</v>
      </c>
      <c r="B29" s="52">
        <v>154</v>
      </c>
      <c r="C29" s="52">
        <v>20</v>
      </c>
      <c r="D29" s="52">
        <v>174</v>
      </c>
      <c r="E29" s="56">
        <f>C29/D29</f>
        <v>0.11494252873563218</v>
      </c>
      <c r="G29" s="67" t="s">
        <v>2205</v>
      </c>
      <c r="H29" s="64"/>
      <c r="I29" s="64"/>
    </row>
    <row r="30" spans="1:11">
      <c r="A30" s="51" t="s">
        <v>1677</v>
      </c>
      <c r="B30" s="52">
        <v>145</v>
      </c>
      <c r="C30" s="52">
        <v>27</v>
      </c>
      <c r="D30" s="52">
        <v>172</v>
      </c>
      <c r="E30" s="56">
        <f t="shared" ref="E30:E33" si="0">C30/D30</f>
        <v>0.15697674418604651</v>
      </c>
      <c r="G30" s="64"/>
      <c r="H30" s="64"/>
      <c r="I30" s="64"/>
    </row>
    <row r="31" spans="1:11">
      <c r="A31" s="51" t="s">
        <v>1713</v>
      </c>
      <c r="B31" s="52">
        <v>149</v>
      </c>
      <c r="C31" s="52">
        <v>28</v>
      </c>
      <c r="D31" s="52">
        <v>177</v>
      </c>
      <c r="E31" s="56">
        <f t="shared" si="0"/>
        <v>0.15819209039548024</v>
      </c>
      <c r="G31" s="50" t="s">
        <v>2175</v>
      </c>
      <c r="H31" t="s">
        <v>2199</v>
      </c>
      <c r="I31" s="58" t="s">
        <v>2202</v>
      </c>
    </row>
    <row r="32" spans="1:11">
      <c r="A32" s="51" t="s">
        <v>1691</v>
      </c>
      <c r="B32" s="52">
        <v>152</v>
      </c>
      <c r="C32" s="52">
        <v>19</v>
      </c>
      <c r="D32" s="52">
        <v>171</v>
      </c>
      <c r="E32" s="56">
        <f t="shared" si="0"/>
        <v>0.1111111111111111</v>
      </c>
      <c r="G32" s="51" t="s">
        <v>1932</v>
      </c>
      <c r="H32" s="52">
        <v>21</v>
      </c>
      <c r="I32" s="56">
        <f>H32/$H$37</f>
        <v>0.15441176470588236</v>
      </c>
    </row>
    <row r="33" spans="1:9">
      <c r="A33" s="51" t="s">
        <v>1702</v>
      </c>
      <c r="B33" s="52">
        <v>147</v>
      </c>
      <c r="C33" s="52">
        <v>42</v>
      </c>
      <c r="D33" s="52">
        <v>189</v>
      </c>
      <c r="E33" s="56">
        <f t="shared" si="0"/>
        <v>0.22222222222222221</v>
      </c>
      <c r="G33" s="51" t="s">
        <v>1904</v>
      </c>
      <c r="H33" s="52">
        <v>36</v>
      </c>
      <c r="I33" s="56">
        <f t="shared" ref="I33:I36" si="1">H33/$H$37</f>
        <v>0.26470588235294118</v>
      </c>
    </row>
    <row r="34" spans="1:9">
      <c r="A34" s="51" t="s">
        <v>2176</v>
      </c>
      <c r="B34" s="52">
        <v>747</v>
      </c>
      <c r="C34" s="52">
        <v>136</v>
      </c>
      <c r="D34" s="52">
        <v>883</v>
      </c>
      <c r="E34" s="59"/>
      <c r="G34" s="51" t="s">
        <v>1913</v>
      </c>
      <c r="H34" s="52">
        <v>25</v>
      </c>
      <c r="I34" s="56">
        <f t="shared" si="1"/>
        <v>0.18382352941176472</v>
      </c>
    </row>
    <row r="35" spans="1:9">
      <c r="G35" s="51" t="s">
        <v>1922</v>
      </c>
      <c r="H35" s="52">
        <v>13</v>
      </c>
      <c r="I35" s="56">
        <f t="shared" si="1"/>
        <v>9.5588235294117641E-2</v>
      </c>
    </row>
    <row r="36" spans="1:9">
      <c r="G36" s="51" t="s">
        <v>1901</v>
      </c>
      <c r="H36" s="52">
        <v>41</v>
      </c>
      <c r="I36" s="56">
        <f t="shared" si="1"/>
        <v>0.3014705882352941</v>
      </c>
    </row>
    <row r="37" spans="1:9">
      <c r="G37" s="51" t="s">
        <v>2176</v>
      </c>
      <c r="H37" s="52">
        <v>136</v>
      </c>
      <c r="I37" s="57"/>
    </row>
  </sheetData>
  <mergeCells count="8">
    <mergeCell ref="G29:I30"/>
    <mergeCell ref="A20:D20"/>
    <mergeCell ref="A2:B2"/>
    <mergeCell ref="A8:I9"/>
    <mergeCell ref="E27:E28"/>
    <mergeCell ref="K24:K25"/>
    <mergeCell ref="G22:K22"/>
    <mergeCell ref="A25:E26"/>
  </mergeCells>
  <pageMargins left="0.7" right="0.7" top="0.75" bottom="0.75" header="0.3" footer="0.3"/>
  <pageSetup orientation="portrait" r:id="rId7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showGridLines="0" tabSelected="1" zoomScale="58" zoomScaleNormal="58" workbookViewId="0">
      <selection activeCell="G32" sqref="G32"/>
    </sheetView>
  </sheetViews>
  <sheetFormatPr baseColWidth="10" defaultRowHeight="13.8"/>
  <cols>
    <col min="1" max="6" width="11.19921875" style="70"/>
    <col min="7" max="7" width="17.19921875" style="70" customWidth="1"/>
    <col min="8" max="10" width="11.19921875" style="70"/>
    <col min="11" max="11" width="18.296875" style="70" customWidth="1"/>
    <col min="12" max="16384" width="11.19921875" style="70"/>
  </cols>
  <sheetData>
    <row r="1" spans="1:15" s="70" customFormat="1" ht="13.8" customHeight="1">
      <c r="A1" s="68" t="s">
        <v>2209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</row>
    <row r="2" spans="1:15" s="70" customFormat="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</row>
    <row r="3" spans="1:15" s="70" customFormat="1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</row>
    <row r="6" spans="1:15" s="70" customFormat="1" ht="17.399999999999999">
      <c r="D6" s="71" t="s">
        <v>2193</v>
      </c>
      <c r="E6" s="71"/>
      <c r="F6" s="71" t="s">
        <v>2194</v>
      </c>
      <c r="G6" s="71"/>
      <c r="H6" s="71" t="s">
        <v>2195</v>
      </c>
      <c r="I6" s="71"/>
      <c r="J6" s="71" t="s">
        <v>2212</v>
      </c>
      <c r="K6" s="71"/>
    </row>
    <row r="7" spans="1:15" s="70" customFormat="1" ht="17.399999999999999">
      <c r="D7" s="71">
        <v>883</v>
      </c>
      <c r="E7" s="71"/>
      <c r="F7" s="71">
        <v>136</v>
      </c>
      <c r="G7" s="71"/>
      <c r="H7" s="71" t="s">
        <v>2213</v>
      </c>
      <c r="I7" s="71"/>
      <c r="J7" s="71" t="s">
        <v>2214</v>
      </c>
      <c r="K7" s="71"/>
    </row>
    <row r="8" spans="1:15" s="70" customFormat="1" ht="15.6">
      <c r="B8" s="72" t="s">
        <v>2211</v>
      </c>
      <c r="C8" s="72"/>
      <c r="D8" s="72"/>
      <c r="E8" s="72"/>
      <c r="J8" s="73" t="s">
        <v>2210</v>
      </c>
      <c r="K8" s="74"/>
      <c r="L8" s="74"/>
      <c r="M8" s="74"/>
      <c r="N8" s="74"/>
    </row>
    <row r="9" spans="1:15" s="70" customFormat="1"/>
    <row r="31" spans="2:12" s="70" customFormat="1" ht="17.399999999999999">
      <c r="B31" s="75" t="s">
        <v>2215</v>
      </c>
      <c r="C31" s="75"/>
      <c r="D31" s="75"/>
      <c r="E31" s="75"/>
      <c r="F31" s="75"/>
      <c r="J31" s="76" t="s">
        <v>2205</v>
      </c>
      <c r="K31" s="77"/>
      <c r="L31" s="77"/>
    </row>
    <row r="32" spans="2:12" s="70" customFormat="1">
      <c r="B32" s="78"/>
      <c r="C32" s="78"/>
      <c r="D32" s="78"/>
      <c r="E32" s="78"/>
      <c r="F32" s="78"/>
      <c r="J32" s="77"/>
      <c r="K32" s="77"/>
      <c r="L32" s="77"/>
    </row>
    <row r="33" s="70" customFormat="1"/>
    <row r="34" s="70" customFormat="1"/>
    <row r="35" s="70" customFormat="1" ht="13.8" customHeight="1"/>
  </sheetData>
  <mergeCells count="12">
    <mergeCell ref="B31:F31"/>
    <mergeCell ref="J31:L32"/>
    <mergeCell ref="B32:F32"/>
    <mergeCell ref="A1:O3"/>
    <mergeCell ref="D6:E6"/>
    <mergeCell ref="F6:G6"/>
    <mergeCell ref="H6:I6"/>
    <mergeCell ref="J6:K6"/>
    <mergeCell ref="J7:K7"/>
    <mergeCell ref="H7:I7"/>
    <mergeCell ref="F7:G7"/>
    <mergeCell ref="D7:E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Project Brief</vt:lpstr>
      <vt:lpstr>Audit</vt:lpstr>
      <vt:lpstr>Orders_Raw</vt:lpstr>
      <vt:lpstr>Orders_Clean</vt:lpstr>
      <vt:lpstr>Products</vt:lpstr>
      <vt:lpstr>Product_Clean</vt:lpstr>
      <vt:lpstr>Customers</vt:lpstr>
      <vt:lpstr>Customers_Clean</vt:lpstr>
      <vt:lpstr>Shipments</vt:lpstr>
      <vt:lpstr>Returns_Raw</vt:lpstr>
      <vt:lpstr>Monthly_Targets</vt:lpstr>
      <vt:lpstr>Data Dictionary</vt:lpstr>
      <vt:lpstr>KPI_Analysis</vt:lpstr>
      <vt:lpstr>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modified xsi:type="dcterms:W3CDTF">2026-10-18T10:50:12Z</dcterms:modified>
</cp:coreProperties>
</file>